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数据" sheetId="1" r:id="rId1"/>
    <sheet name="货件明细" sheetId="2" r:id="rId2"/>
  </sheets>
  <definedNames>
    <definedName name="_xlnm._FilterDatabase" localSheetId="0" hidden="1">数据!$A$1:$AA$2199</definedName>
    <definedName name="_xlnm._FilterDatabase" localSheetId="1" hidden="1">货件明细!$A$1:$AV$840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<sst xmlns="http://schemas.openxmlformats.org/spreadsheetml/2006/main" count="47233" uniqueCount="7254">
  <si>
    <t>月份</t>
  </si>
  <si>
    <t>周期</t>
  </si>
  <si>
    <t>出货日期</t>
  </si>
  <si>
    <t>目的仓</t>
  </si>
  <si>
    <t>货件号</t>
  </si>
  <si>
    <t>仓库</t>
  </si>
  <si>
    <t>区域</t>
  </si>
  <si>
    <t>店铺</t>
  </si>
  <si>
    <t>计划物流方式</t>
  </si>
  <si>
    <t>实际物流方式</t>
  </si>
  <si>
    <t>运输方式</t>
  </si>
  <si>
    <t>货代</t>
  </si>
  <si>
    <t>货代渠道</t>
  </si>
  <si>
    <t>重量</t>
  </si>
  <si>
    <t>报关费</t>
  </si>
  <si>
    <t>运费</t>
  </si>
  <si>
    <t>总运费</t>
  </si>
  <si>
    <t>入库配置费折算RMB</t>
  </si>
  <si>
    <t>总费用</t>
  </si>
  <si>
    <t>申报量</t>
  </si>
  <si>
    <t>申报量（货件明细）</t>
  </si>
  <si>
    <t>核对</t>
  </si>
  <si>
    <t>发货数量</t>
  </si>
  <si>
    <t>重量（货件明细）</t>
  </si>
  <si>
    <t>核对（重量）</t>
  </si>
  <si>
    <t>总费用（分摊合计）</t>
  </si>
  <si>
    <t>总费用（分摊合计）核对</t>
  </si>
  <si>
    <t>FBA</t>
  </si>
  <si>
    <t>FBA195R6KM47</t>
  </si>
  <si>
    <t>LBE1</t>
  </si>
  <si>
    <t>美东</t>
  </si>
  <si>
    <t>创奇-US</t>
  </si>
  <si>
    <t>空派</t>
  </si>
  <si>
    <t>空运</t>
  </si>
  <si>
    <t>天盛</t>
  </si>
  <si>
    <t>带电空派</t>
  </si>
  <si>
    <t>FBA195R6NJQM</t>
  </si>
  <si>
    <t>思业成-US</t>
  </si>
  <si>
    <t>FBA195R8JJRB</t>
  </si>
  <si>
    <t>大卖-US</t>
  </si>
  <si>
    <t>FBA195R3XN9F</t>
  </si>
  <si>
    <t>HGR6</t>
  </si>
  <si>
    <t>红单</t>
  </si>
  <si>
    <t>又久</t>
  </si>
  <si>
    <t>大陆UPS 5000</t>
  </si>
  <si>
    <t>FBA195R474W1</t>
  </si>
  <si>
    <t>艺胜-US</t>
  </si>
  <si>
    <t>普货空派</t>
  </si>
  <si>
    <t>FBA195R5PVW4</t>
  </si>
  <si>
    <t>FBA195R69BJD</t>
  </si>
  <si>
    <t>FBA195SNZS1W</t>
  </si>
  <si>
    <t>辰瑞-US</t>
  </si>
  <si>
    <t>FBA195SQ80NQ</t>
  </si>
  <si>
    <t>FBA195SSKN74</t>
  </si>
  <si>
    <t>争艳-US</t>
  </si>
  <si>
    <t>FBA195SSVTW0</t>
  </si>
  <si>
    <t>定行-US</t>
  </si>
  <si>
    <t>FBA195VF367P</t>
  </si>
  <si>
    <t>FBA195VFN31R</t>
  </si>
  <si>
    <t>势兴-US</t>
  </si>
  <si>
    <t>FBA195V9XJ5Q</t>
  </si>
  <si>
    <t>FBA195VQCM8N</t>
  </si>
  <si>
    <t>CLT2</t>
  </si>
  <si>
    <t>普船</t>
  </si>
  <si>
    <t>海运</t>
  </si>
  <si>
    <t>巨宝</t>
  </si>
  <si>
    <t>快速宝-组合（计方包税）（计方）</t>
  </si>
  <si>
    <t>FBA195VNL56P</t>
  </si>
  <si>
    <t>FWA4</t>
  </si>
  <si>
    <t>美中</t>
  </si>
  <si>
    <t>FBA195VR1RR0</t>
  </si>
  <si>
    <t>GYR2</t>
  </si>
  <si>
    <t>美西</t>
  </si>
  <si>
    <t>FBA195VQLS2S</t>
  </si>
  <si>
    <t>RMN3</t>
  </si>
  <si>
    <t>FBA195VQFFND</t>
  </si>
  <si>
    <t>SBD1</t>
  </si>
  <si>
    <t>FBA195VQN657</t>
  </si>
  <si>
    <t>进益-US</t>
  </si>
  <si>
    <t>FBA195VPBDH2</t>
  </si>
  <si>
    <t>FBA195VP72QX</t>
  </si>
  <si>
    <t>FBA195VQNLC9</t>
  </si>
  <si>
    <t>FBA195VQSM5Z</t>
  </si>
  <si>
    <t>FBA195VPB5NG</t>
  </si>
  <si>
    <t>FBA195VQY6Q1</t>
  </si>
  <si>
    <t>FBA195VR1RB3</t>
  </si>
  <si>
    <t>FBA195VQKX5L</t>
  </si>
  <si>
    <t>FBA195VQZRMV</t>
  </si>
  <si>
    <t>AWD</t>
  </si>
  <si>
    <t>STAR-SGBAD4PVVET7U</t>
  </si>
  <si>
    <t>IUSQ</t>
  </si>
  <si>
    <t>FBA195WZSTKF</t>
  </si>
  <si>
    <t>以星特快</t>
  </si>
  <si>
    <t>极速宝-组合（计方包税）（计方）</t>
  </si>
  <si>
    <t>FBA195X2QY5N</t>
  </si>
  <si>
    <t>FBA195X33PF8</t>
  </si>
  <si>
    <t>FBA195X18X47</t>
  </si>
  <si>
    <t>FBA195X1G57C</t>
  </si>
  <si>
    <t>SMF3</t>
  </si>
  <si>
    <t>FBA195WZRCFQ</t>
  </si>
  <si>
    <t>FBA195X1YC16</t>
  </si>
  <si>
    <t>FBA195X1NWLQ</t>
  </si>
  <si>
    <t>FBA195WYW8VM</t>
  </si>
  <si>
    <t>FBA195X01SCD</t>
  </si>
  <si>
    <t>FBA195WYZW30</t>
  </si>
  <si>
    <t>FBA195X30F66</t>
  </si>
  <si>
    <t>FBA195X1WK85</t>
  </si>
  <si>
    <t>FBA195X3WWCN</t>
  </si>
  <si>
    <t>FBA195X25RZL</t>
  </si>
  <si>
    <t>FBA195WXZ272</t>
  </si>
  <si>
    <t>FBA195X1QX9L</t>
  </si>
  <si>
    <t>FBA195X0NDB6</t>
  </si>
  <si>
    <t>FBA195WYTVN9</t>
  </si>
  <si>
    <t>FBA195WY8L95</t>
  </si>
  <si>
    <t>FBA195X32B30</t>
  </si>
  <si>
    <t>FBA195X0BYQW</t>
  </si>
  <si>
    <t>FBA195X2MG76</t>
  </si>
  <si>
    <t>FBA195X3GC0N</t>
  </si>
  <si>
    <t>FBA195WZC6DZ</t>
  </si>
  <si>
    <t>FBA195X3TM3L</t>
  </si>
  <si>
    <t>FBA195X14PRY</t>
  </si>
  <si>
    <t>FBA195X2B6VS</t>
  </si>
  <si>
    <t>FBA195X15B1C</t>
  </si>
  <si>
    <t>FBA195X1VK4N</t>
  </si>
  <si>
    <t>FBA195WZFH4W</t>
  </si>
  <si>
    <t>FBA195WZ07YR</t>
  </si>
  <si>
    <t>FBA195X2M7KR</t>
  </si>
  <si>
    <t>FBA195X25RYY</t>
  </si>
  <si>
    <t>FBA195X19QH1</t>
  </si>
  <si>
    <t>FBA195ZFNQNC</t>
  </si>
  <si>
    <t>大陆UPS特快 6000</t>
  </si>
  <si>
    <t>FBA195ZH0QDK</t>
  </si>
  <si>
    <t>FBA195ZH5LD6</t>
  </si>
  <si>
    <t>FBA195ZFLVV3</t>
  </si>
  <si>
    <t>FBA195ZGT5JJ</t>
  </si>
  <si>
    <t>FBA195ZH99Y4</t>
  </si>
  <si>
    <t>FBA195ZL33PP</t>
  </si>
  <si>
    <t>FBA19603LP0F</t>
  </si>
  <si>
    <t>FTW1</t>
  </si>
  <si>
    <t>FBA196030DG6</t>
  </si>
  <si>
    <t>FBA19604B38B</t>
  </si>
  <si>
    <t>IAH3</t>
  </si>
  <si>
    <t>FBA196048B12</t>
  </si>
  <si>
    <t>PSP3</t>
  </si>
  <si>
    <t>FBA196036006</t>
  </si>
  <si>
    <t>RDU4</t>
  </si>
  <si>
    <t>以星</t>
  </si>
  <si>
    <t>众壹</t>
  </si>
  <si>
    <t>美东限时达专线卡派按方包税</t>
  </si>
  <si>
    <t>FBA196020148</t>
  </si>
  <si>
    <t>FBA196043P9L</t>
  </si>
  <si>
    <t>FBA196027PT0</t>
  </si>
  <si>
    <t>FBA1960353R1</t>
  </si>
  <si>
    <t>FBA19603Z34H</t>
  </si>
  <si>
    <t>FBA196036GYF</t>
  </si>
  <si>
    <t>FBA1960310R8</t>
  </si>
  <si>
    <t>FBA19603HKS6</t>
  </si>
  <si>
    <t>FBA19602GMP9</t>
  </si>
  <si>
    <t>FBA1960317NG</t>
  </si>
  <si>
    <t>FBA19602JTK5</t>
  </si>
  <si>
    <t>FBA19602R2Z8</t>
  </si>
  <si>
    <t>FBA19602V8WQ</t>
  </si>
  <si>
    <t>FBA19604VF1P</t>
  </si>
  <si>
    <t>FBA19603FKP1</t>
  </si>
  <si>
    <t>FBA19603SZP7</t>
  </si>
  <si>
    <t>FBA196036YKZ</t>
  </si>
  <si>
    <t>FBA19602QWL6</t>
  </si>
  <si>
    <t>FBA196031G25</t>
  </si>
  <si>
    <t>FBA19604LH2J</t>
  </si>
  <si>
    <t>FBA196035H2N</t>
  </si>
  <si>
    <t>FBA196028BM6</t>
  </si>
  <si>
    <t>FBA19603LQ11</t>
  </si>
  <si>
    <t>FBA196034VW5</t>
  </si>
  <si>
    <t>FBA19603J03R</t>
  </si>
  <si>
    <t>FBA19602ZBSY</t>
  </si>
  <si>
    <t>FBA19603Z9KV</t>
  </si>
  <si>
    <t>FBA19602VHDN</t>
  </si>
  <si>
    <t>FBA19603KSRX</t>
  </si>
  <si>
    <t>FBA196040P82</t>
  </si>
  <si>
    <t>FBA19602ZP02</t>
  </si>
  <si>
    <t>FBA19603MSXC</t>
  </si>
  <si>
    <t>FBA19603TMYM</t>
  </si>
  <si>
    <t>FBA196038275</t>
  </si>
  <si>
    <t>FBA196047FG7</t>
  </si>
  <si>
    <t>FBA19603K27V</t>
  </si>
  <si>
    <t>AVP1</t>
  </si>
  <si>
    <t>FBA19603X3MD</t>
  </si>
  <si>
    <t>LGB8</t>
  </si>
  <si>
    <t>极速宝-组合（计重）</t>
  </si>
  <si>
    <t>FBA19603XVNL</t>
  </si>
  <si>
    <t>FBA19604FDHC</t>
  </si>
  <si>
    <t>美东限时达专线卡派</t>
  </si>
  <si>
    <t>FBA196050QFT</t>
  </si>
  <si>
    <t>MCC1</t>
  </si>
  <si>
    <t>FBA19603XGZ0</t>
  </si>
  <si>
    <t>ABE8</t>
  </si>
  <si>
    <t>FBA196056NXJ</t>
  </si>
  <si>
    <t>FBA1960490MR</t>
  </si>
  <si>
    <t>IND9</t>
  </si>
  <si>
    <t>FBA19604PLTW</t>
  </si>
  <si>
    <t>RDU2</t>
  </si>
  <si>
    <t>FBA196056Z5M</t>
  </si>
  <si>
    <t>FBA19607PYQ6</t>
  </si>
  <si>
    <t>POC3</t>
  </si>
  <si>
    <t>FBA19607TTY9</t>
  </si>
  <si>
    <t>RYY2</t>
  </si>
  <si>
    <t>FBA195X6KG3X</t>
  </si>
  <si>
    <t>德邦</t>
  </si>
  <si>
    <t>香港UPS 5000</t>
  </si>
  <si>
    <t>FBA195XD4M1Q</t>
  </si>
  <si>
    <t>STAR-XVDKXWE4KKXBM</t>
  </si>
  <si>
    <t>IUSP</t>
  </si>
  <si>
    <t>易通</t>
  </si>
  <si>
    <t>易·22日达卡派包税</t>
  </si>
  <si>
    <t>STAR-WZHQYNP3W3NHQ</t>
  </si>
  <si>
    <t>STAR-THG7X3M5PXBTY</t>
  </si>
  <si>
    <t>STAR-WM45XWCXAS7W4</t>
  </si>
  <si>
    <t>FBA19646H848</t>
  </si>
  <si>
    <t>大陆UPS特快 5000</t>
  </si>
  <si>
    <t>FBA19646PVWC</t>
  </si>
  <si>
    <t>FBA19649MXJY</t>
  </si>
  <si>
    <t>FBA19649V21R</t>
  </si>
  <si>
    <t>FBA1964B9CXR</t>
  </si>
  <si>
    <t>FBA1964C3TQN</t>
  </si>
  <si>
    <t>拼途-US</t>
  </si>
  <si>
    <t>FBA1965KY9WL</t>
  </si>
  <si>
    <t>FBA1966CX677</t>
  </si>
  <si>
    <t>FBA1966HRPKF</t>
  </si>
  <si>
    <t>FBA1966HTT5M</t>
  </si>
  <si>
    <t>FBA1966N5D0Q</t>
  </si>
  <si>
    <t>STAR-TVD5KMD5QB6CU</t>
  </si>
  <si>
    <t>STAR-XPZCHGFS6YGMU</t>
  </si>
  <si>
    <t>STAR-XB7B2GZ4RAFGQ</t>
  </si>
  <si>
    <t>STAR-TYCAPDQCV7ZTQ</t>
  </si>
  <si>
    <t>FBA196B88MSV</t>
  </si>
  <si>
    <t>FBA196B7K1NZ</t>
  </si>
  <si>
    <t>FBA196B7SMK8</t>
  </si>
  <si>
    <t>FBA196B8P5GW</t>
  </si>
  <si>
    <t>FBA196B6XJG1</t>
  </si>
  <si>
    <t>VGT2</t>
  </si>
  <si>
    <t>FBA196B8FKQH</t>
  </si>
  <si>
    <t>FBA196B7L5BT</t>
  </si>
  <si>
    <t>FBA196B83VT3</t>
  </si>
  <si>
    <t>GYR3</t>
  </si>
  <si>
    <t>FBA196B7F861</t>
  </si>
  <si>
    <t>FBA196B85WQF</t>
  </si>
  <si>
    <t>FBA196B8CLTR</t>
  </si>
  <si>
    <t>FBA196B87KPD</t>
  </si>
  <si>
    <t>FBA196B6X70S</t>
  </si>
  <si>
    <t>FBA196B695LK</t>
  </si>
  <si>
    <t>LAS1</t>
  </si>
  <si>
    <t>FBA196B8FCQP</t>
  </si>
  <si>
    <t>FBA196B5RZ5Q</t>
  </si>
  <si>
    <t>FBA196B8MY36</t>
  </si>
  <si>
    <t>FBA196B7L5B5</t>
  </si>
  <si>
    <t>FBA196BB4KM5</t>
  </si>
  <si>
    <t>FBA196B987PZ</t>
  </si>
  <si>
    <t>FBA196B7GHST</t>
  </si>
  <si>
    <t>FBA196B76Q82</t>
  </si>
  <si>
    <t>FBA196B6X6ZH</t>
  </si>
  <si>
    <t>FBA196B8HYFN</t>
  </si>
  <si>
    <t>FBA196B5RNLY</t>
  </si>
  <si>
    <t>FBA196B74TGH</t>
  </si>
  <si>
    <t>FBA196B8R9G1</t>
  </si>
  <si>
    <t>FBA196B9835B</t>
  </si>
  <si>
    <t>FBA196B727HS</t>
  </si>
  <si>
    <t>FBA196B81SN2</t>
  </si>
  <si>
    <t>FBA196B881N8</t>
  </si>
  <si>
    <t>FBA196B7CWK3</t>
  </si>
  <si>
    <t>FBA196B8DXLM</t>
  </si>
  <si>
    <t>FBA196B7V62S</t>
  </si>
  <si>
    <t>FBA196B9JV6X</t>
  </si>
  <si>
    <t>FBA196B9D12P</t>
  </si>
  <si>
    <t>FBA196B9B8KC</t>
  </si>
  <si>
    <t>FBA196B96CNM</t>
  </si>
  <si>
    <t>FBA196B96CP8</t>
  </si>
  <si>
    <t>FBA196B89MLP</t>
  </si>
  <si>
    <t>FBA196B8F14Y</t>
  </si>
  <si>
    <t>FBA196B715W5</t>
  </si>
  <si>
    <t>FBA196B73X8Y</t>
  </si>
  <si>
    <t>FBA196B8JLTX</t>
  </si>
  <si>
    <t>FBA196B5Z127</t>
  </si>
  <si>
    <t>FBA196B9R32L</t>
  </si>
  <si>
    <t>FBA196B9DQN2</t>
  </si>
  <si>
    <t>FBA196B7WKL6</t>
  </si>
  <si>
    <t>FBA196B88FGQ</t>
  </si>
  <si>
    <t>FBA196B80QD3</t>
  </si>
  <si>
    <t>FBA196B85MF0</t>
  </si>
  <si>
    <t>FBA196B8P5FL</t>
  </si>
  <si>
    <t>FBA196B6XFB8</t>
  </si>
  <si>
    <t>FBA196B8BQW8</t>
  </si>
  <si>
    <t>FBA196B68LRN</t>
  </si>
  <si>
    <t>FBA196B6H509</t>
  </si>
  <si>
    <t>FBA196B80SKV</t>
  </si>
  <si>
    <t>FBA196B8L3RR</t>
  </si>
  <si>
    <t>FBA196B5RZ52</t>
  </si>
  <si>
    <t>FBA196B7RG0C</t>
  </si>
  <si>
    <t>FBA196B8VRZL</t>
  </si>
  <si>
    <t>FBA196B94FXC</t>
  </si>
  <si>
    <t>FBA196B5HJR6</t>
  </si>
  <si>
    <t>FBA196B7QWDK</t>
  </si>
  <si>
    <t>FBA196B6RCYJ</t>
  </si>
  <si>
    <t>FBA196B77VQF</t>
  </si>
  <si>
    <t>FBA196B881MM</t>
  </si>
  <si>
    <t>FBA196B7F4QY</t>
  </si>
  <si>
    <t>FBA196B9LNM9</t>
  </si>
  <si>
    <t>FBA196B6Y32H</t>
  </si>
  <si>
    <t>FBA196B95D63</t>
  </si>
  <si>
    <t>FBA196B8VBLR</t>
  </si>
  <si>
    <t>FBA196B838NJ</t>
  </si>
  <si>
    <t>FBA196B73WB8</t>
  </si>
  <si>
    <t>FBA196B9QKVC</t>
  </si>
  <si>
    <t>FBA196B8P5G7</t>
  </si>
  <si>
    <t>FBA196B9JF7B</t>
  </si>
  <si>
    <t>FBA196B6F925</t>
  </si>
  <si>
    <t>FBA196B6T0LV</t>
  </si>
  <si>
    <t>FBA196B9D121</t>
  </si>
  <si>
    <t>FBA196B9H263</t>
  </si>
  <si>
    <t>FBA196B7RG10</t>
  </si>
  <si>
    <t>FBA196BB5DH3</t>
  </si>
  <si>
    <t>FBA196B8RF9D</t>
  </si>
  <si>
    <t>FBA196B7G1F0</t>
  </si>
  <si>
    <t>FBA196BQZ0HX</t>
  </si>
  <si>
    <t>德立迅</t>
  </si>
  <si>
    <t>FBA196BRB4PK</t>
  </si>
  <si>
    <t>FBA196BRCBHV</t>
  </si>
  <si>
    <t>FBA196BSHF76</t>
  </si>
  <si>
    <t>FBA196BSXMFC</t>
  </si>
  <si>
    <t>FBA196BTNW4Y</t>
  </si>
  <si>
    <t>FBA196BTH5X2</t>
  </si>
  <si>
    <t>FBA196BVGXGR</t>
  </si>
  <si>
    <t>FBA196BWVMM4</t>
  </si>
  <si>
    <t>HEA2</t>
  </si>
  <si>
    <t>FBA196BWX77V</t>
  </si>
  <si>
    <t>FBA196BW956X</t>
  </si>
  <si>
    <t>FBA196BXTBD0</t>
  </si>
  <si>
    <t>FBA196C2QZZZ</t>
  </si>
  <si>
    <t>FBA196C3B6G1</t>
  </si>
  <si>
    <t>FBA196C1X3TW</t>
  </si>
  <si>
    <t>ONT8</t>
  </si>
  <si>
    <t>FBA196C4MX4Y</t>
  </si>
  <si>
    <t>FBA196C404Q4</t>
  </si>
  <si>
    <t>FBA196C51G1F</t>
  </si>
  <si>
    <t>FBA196C55K70</t>
  </si>
  <si>
    <t>FBA196C4F0V1</t>
  </si>
  <si>
    <t>FBA196C20G7P</t>
  </si>
  <si>
    <t>FBA196C2R00M</t>
  </si>
  <si>
    <t>FBA196C2CT0V</t>
  </si>
  <si>
    <t>FBA196C399KJ</t>
  </si>
  <si>
    <t>FBA196C37BCR</t>
  </si>
  <si>
    <t>FBA196C4YY93</t>
  </si>
  <si>
    <t>FBA196C4KT3T</t>
  </si>
  <si>
    <t>FBA196C3ZBNC</t>
  </si>
  <si>
    <t>FBA196C2Y8H0</t>
  </si>
  <si>
    <t>FBA196C2CHQG</t>
  </si>
  <si>
    <t>FBA196C4SLWC</t>
  </si>
  <si>
    <t>FBA196C41XPN</t>
  </si>
  <si>
    <t>FBA196C2YSBM</t>
  </si>
  <si>
    <t>FBA196C3SF1R</t>
  </si>
  <si>
    <t>FBA196C47YRC</t>
  </si>
  <si>
    <t>FBA196C34TZD</t>
  </si>
  <si>
    <t>FBA196C3W4V4</t>
  </si>
  <si>
    <t>FBA196C2THDZ</t>
  </si>
  <si>
    <t>FBA196C4WVV1</t>
  </si>
  <si>
    <t>FBA196C31ZVS</t>
  </si>
  <si>
    <t>FBA196C3B6HZ</t>
  </si>
  <si>
    <t>FBA196C35YGF</t>
  </si>
  <si>
    <t>FBA196C3S6W4</t>
  </si>
  <si>
    <t>FBA196C5FJ82</t>
  </si>
  <si>
    <t>FBA196C23C5F</t>
  </si>
  <si>
    <t>FBA196C3GP5P</t>
  </si>
  <si>
    <t>FBA196C2CP28</t>
  </si>
  <si>
    <t>FBA196C3N60T</t>
  </si>
  <si>
    <t>FBA196C51HHL</t>
  </si>
  <si>
    <t>FBA196C3D6H8</t>
  </si>
  <si>
    <t>FBA196C2TDDF</t>
  </si>
  <si>
    <t>FBA196C3DNB9</t>
  </si>
  <si>
    <t>FBA196C2TH7T</t>
  </si>
  <si>
    <t>FBA196C4L5L9</t>
  </si>
  <si>
    <t>FBA196C36LLY</t>
  </si>
  <si>
    <t>FBA196C3PGSQ</t>
  </si>
  <si>
    <t>FBA196C347L2</t>
  </si>
  <si>
    <t>FBA196C57MM4</t>
  </si>
  <si>
    <t>FBA196C2X87M</t>
  </si>
  <si>
    <t>FBA196C52MSS</t>
  </si>
  <si>
    <t>FBA196C20G3T</t>
  </si>
  <si>
    <t>FBA196C3K32M</t>
  </si>
  <si>
    <t>FBA196C1HVC1</t>
  </si>
  <si>
    <t>FBA196C5DJN1</t>
  </si>
  <si>
    <t>FBA196C31DFT</t>
  </si>
  <si>
    <t>ORF2</t>
  </si>
  <si>
    <t>FBA196C4F15C</t>
  </si>
  <si>
    <t>FBA196C25WXQ</t>
  </si>
  <si>
    <t>FBA196C45FT7</t>
  </si>
  <si>
    <t>FBA196C41711</t>
  </si>
  <si>
    <t>FBA196C57MRN</t>
  </si>
  <si>
    <t>FBA196C3X2ZC</t>
  </si>
  <si>
    <t>FBA196C2TY3H</t>
  </si>
  <si>
    <t>GEU3</t>
  </si>
  <si>
    <t>FBA196C4FKNZ</t>
  </si>
  <si>
    <t>FBA196C2L40Z</t>
  </si>
  <si>
    <t>FBA196C3TZ60</t>
  </si>
  <si>
    <t>FBA196C41PSG</t>
  </si>
  <si>
    <t>FBA196C3NMP1</t>
  </si>
  <si>
    <t>FBA196C4CKBQ</t>
  </si>
  <si>
    <t>FBA196C3ZVNH</t>
  </si>
  <si>
    <t>FBA196C3Z66Y</t>
  </si>
  <si>
    <t>FBA196C28XKY</t>
  </si>
  <si>
    <t>FBA196C2Z219</t>
  </si>
  <si>
    <t>FBA196C1HV7T</t>
  </si>
  <si>
    <t>FBA196C4RQZT</t>
  </si>
  <si>
    <t>FBA196C3XMNS</t>
  </si>
  <si>
    <t>FBA196C3D09N</t>
  </si>
  <si>
    <t>FBA196C3V01G</t>
  </si>
  <si>
    <t>FBA196C5S0J9</t>
  </si>
  <si>
    <t>FBA196FW01TY</t>
  </si>
  <si>
    <t>HIA1</t>
  </si>
  <si>
    <t>FBA196FR9TC4</t>
  </si>
  <si>
    <t>FBA196FSLG8X</t>
  </si>
  <si>
    <t>FBA196FSLZ6G</t>
  </si>
  <si>
    <t>FBA196FSRCC3</t>
  </si>
  <si>
    <t>FBA196FSR1KW</t>
  </si>
  <si>
    <t>FBA196FSPWC9</t>
  </si>
  <si>
    <t>FBA196HKMZSZ</t>
  </si>
  <si>
    <t>STAR-SXC3XRANV4EXQ</t>
  </si>
  <si>
    <t>COSCO，EMC卡派按方包税</t>
  </si>
  <si>
    <t>STAR-SYCYYWDDNKZ6M</t>
  </si>
  <si>
    <t>IUSJ</t>
  </si>
  <si>
    <t>STAR-VGCNWNYKSDUY2</t>
  </si>
  <si>
    <t>STAR-XRKJ4MX6PVQRW</t>
  </si>
  <si>
    <t>STAR-T7UZY2TE7HCVQ</t>
  </si>
  <si>
    <t>STAR-VRABN4NW3R2VU</t>
  </si>
  <si>
    <t>STAR-VM4XYUESW4UJS</t>
  </si>
  <si>
    <t>STAR-QRJH7T6XXXYE2</t>
  </si>
  <si>
    <t>FBA196FKGPG6</t>
  </si>
  <si>
    <t>FBA196FLK296</t>
  </si>
  <si>
    <t>FBA196FLP5WP</t>
  </si>
  <si>
    <t>FBA196FN5F3C</t>
  </si>
  <si>
    <t>FBA196FNK0MJ</t>
  </si>
  <si>
    <t>FBA196FJWB45</t>
  </si>
  <si>
    <t>FBA196FJYH6J</t>
  </si>
  <si>
    <t>FBA196FK9MR4</t>
  </si>
  <si>
    <t>FBA196FMH6FM</t>
  </si>
  <si>
    <t>FBA196FMW3RN</t>
  </si>
  <si>
    <t>FBA196FJWH2Q</t>
  </si>
  <si>
    <t>FBA196FLMRFM</t>
  </si>
  <si>
    <t>FBA196FLYGQM</t>
  </si>
  <si>
    <t>FBA196FM0DRX</t>
  </si>
  <si>
    <t>FBA196FN6C8W</t>
  </si>
  <si>
    <t>FBA196FJRXTN</t>
  </si>
  <si>
    <t>FBA196FKR138</t>
  </si>
  <si>
    <t>FBA196FLC7L8</t>
  </si>
  <si>
    <t>FBA196FLM7T3</t>
  </si>
  <si>
    <t>FBA196FMHW3X</t>
  </si>
  <si>
    <t>STAR-W4CTCPZHAAXME</t>
  </si>
  <si>
    <t>快速宝-直送（计方包税）（计方）</t>
  </si>
  <si>
    <t>STAR-XYJVG2XEPDRW2</t>
  </si>
  <si>
    <t>FBA196P01RSV</t>
  </si>
  <si>
    <t>FBA196P166RL</t>
  </si>
  <si>
    <t>FBA196P229JH</t>
  </si>
  <si>
    <t>FBA196P2HN3S</t>
  </si>
  <si>
    <t>FBA196P2KC3C</t>
  </si>
  <si>
    <t>FBA196QHGT9N</t>
  </si>
  <si>
    <t>FBA196QFSGG8</t>
  </si>
  <si>
    <t>STAR-S5BDZXH44HE26</t>
  </si>
  <si>
    <t>STAR-TTDX3SYCYXKXC</t>
  </si>
  <si>
    <t>STAR-VMV2QWCE7YMTC</t>
  </si>
  <si>
    <t>FBA196QWQHF6</t>
  </si>
  <si>
    <t>FBA196QXS1N0</t>
  </si>
  <si>
    <t>FBA196QXTF1V</t>
  </si>
  <si>
    <t>FBA196QY4T1S</t>
  </si>
  <si>
    <t>FBA196QZTX91</t>
  </si>
  <si>
    <t>FBA196RKQMDD</t>
  </si>
  <si>
    <t>FBA196RLVMYN</t>
  </si>
  <si>
    <t>FBA196RMMGLQ</t>
  </si>
  <si>
    <t>FBA196RN7BZT</t>
  </si>
  <si>
    <t>FBA196RMR6CR</t>
  </si>
  <si>
    <t>FBA196RLQZ9F</t>
  </si>
  <si>
    <t>FBA196RN9N21</t>
  </si>
  <si>
    <t>FBA196RM6FQ2</t>
  </si>
  <si>
    <t>FBA196RPY7KX</t>
  </si>
  <si>
    <t>FBA196RLGFG3</t>
  </si>
  <si>
    <t>FBA196RKSJQR</t>
  </si>
  <si>
    <t>FBA196RL21GW</t>
  </si>
  <si>
    <t>FBA196RL0202</t>
  </si>
  <si>
    <t>FBA196RN0Q00</t>
  </si>
  <si>
    <t>FBA196RKP9MJ</t>
  </si>
  <si>
    <t>FBA196RMQHSQ</t>
  </si>
  <si>
    <t>FBA196RMMGJS</t>
  </si>
  <si>
    <t>FBA196RQW3TT</t>
  </si>
  <si>
    <t>FBA196RQPPWC</t>
  </si>
  <si>
    <t>FBA196RNSF5B</t>
  </si>
  <si>
    <t>FBA196RQG79N</t>
  </si>
  <si>
    <t>FBA196RQXJ33</t>
  </si>
  <si>
    <t>FBA196RR96B4</t>
  </si>
  <si>
    <t>FBA196RN9GYZ</t>
  </si>
  <si>
    <t>FBA196RQ84N8</t>
  </si>
  <si>
    <t>FBA196RNG701</t>
  </si>
  <si>
    <t>FBA196RSD691</t>
  </si>
  <si>
    <t>FBA196RPH3K6</t>
  </si>
  <si>
    <t>FBA196RMPTL9</t>
  </si>
  <si>
    <t>FBA196RS8SGD</t>
  </si>
  <si>
    <t>FBA196RQYPVG</t>
  </si>
  <si>
    <t>FBA196RPSRJL</t>
  </si>
  <si>
    <t>FBA196RR20X9</t>
  </si>
  <si>
    <t>FBA196RMX8K0</t>
  </si>
  <si>
    <t>FBA196RNHXK2</t>
  </si>
  <si>
    <t>FBA196RNQX1P</t>
  </si>
  <si>
    <t>FBA196RRLCNB</t>
  </si>
  <si>
    <t>FBA196RNZ6XL</t>
  </si>
  <si>
    <t>FBA196RR36MC</t>
  </si>
  <si>
    <t>FBA196RRVF1Y</t>
  </si>
  <si>
    <t>FBA196RPS9ZL</t>
  </si>
  <si>
    <t>FBA196RQDRY6</t>
  </si>
  <si>
    <t>FBA196RQH6FV</t>
  </si>
  <si>
    <t>FBA196RRJ72G</t>
  </si>
  <si>
    <t>FBA196RR3V8D</t>
  </si>
  <si>
    <t>FBA196RSR6GT</t>
  </si>
  <si>
    <t>FBA196RSNDQ4</t>
  </si>
  <si>
    <t>FBA196RNVRKV</t>
  </si>
  <si>
    <t>FBA196RNDJVX</t>
  </si>
  <si>
    <t>FBA196RNPG52</t>
  </si>
  <si>
    <t>FBA196RP6ZQR</t>
  </si>
  <si>
    <t>FBA196RP3P7B</t>
  </si>
  <si>
    <t>FBA196RTH1K4</t>
  </si>
  <si>
    <t>FBA196RVJ64B</t>
  </si>
  <si>
    <t>FBA196RTFQX4</t>
  </si>
  <si>
    <t>FBA196RRWQY1</t>
  </si>
  <si>
    <t>FBA196RSG15X</t>
  </si>
  <si>
    <t>FBA196RPN03X</t>
  </si>
  <si>
    <t>FBA196RQRW8D</t>
  </si>
  <si>
    <t>FBA196RRQWH5</t>
  </si>
  <si>
    <t>FBA196RQX14W</t>
  </si>
  <si>
    <t>FBA196RNKL9L</t>
  </si>
  <si>
    <t>FBA196RR9MN1</t>
  </si>
  <si>
    <t>FBA196RQ7H9Y</t>
  </si>
  <si>
    <t>FBA196RPK3MQ</t>
  </si>
  <si>
    <t>FBA196RQK5TF</t>
  </si>
  <si>
    <t>FBA196RPVFKH</t>
  </si>
  <si>
    <t>FBA196RNJSL4</t>
  </si>
  <si>
    <t>FBA196RQFSB3</t>
  </si>
  <si>
    <t>FBA196RQT1KK</t>
  </si>
  <si>
    <t>FBA196RR1QS2</t>
  </si>
  <si>
    <t>FBA196RRVQQ9</t>
  </si>
  <si>
    <t>FBA196RQFWNZ</t>
  </si>
  <si>
    <t>FBA196RS52J5</t>
  </si>
  <si>
    <t>FBA196RS61M2</t>
  </si>
  <si>
    <t>FBA196RSQ6PM</t>
  </si>
  <si>
    <t>LAX9</t>
  </si>
  <si>
    <t>FBA196RT7RW0</t>
  </si>
  <si>
    <t>FBA196RMTFKX</t>
  </si>
  <si>
    <t>FBA196RN3HWK</t>
  </si>
  <si>
    <t>FBA196RNMXFQ</t>
  </si>
  <si>
    <t>FBA196RPX5WC</t>
  </si>
  <si>
    <t>FBA196RQS9PJ</t>
  </si>
  <si>
    <t>FBA196RNQKTX</t>
  </si>
  <si>
    <t>FBA196RP2KY3</t>
  </si>
  <si>
    <t>FBA196RQ8WL7</t>
  </si>
  <si>
    <t>FBA196RQMG2H</t>
  </si>
  <si>
    <t>FBA196RR9MNP</t>
  </si>
  <si>
    <t>FBA196QDWSL2</t>
  </si>
  <si>
    <t>TCY1</t>
  </si>
  <si>
    <t>FBA196RN0N2N</t>
  </si>
  <si>
    <t>FBA196RQ97KW</t>
  </si>
  <si>
    <t>FBA196RQFPVB</t>
  </si>
  <si>
    <t>FBA196RQNLN2</t>
  </si>
  <si>
    <t>FBA196RQSPR2</t>
  </si>
  <si>
    <t>FBA196RNV7K2</t>
  </si>
  <si>
    <t>FBA196RQ3DDR</t>
  </si>
  <si>
    <t>FBA196RN9H6Q</t>
  </si>
  <si>
    <t>FBA196RR15PD</t>
  </si>
  <si>
    <t>FBA196RQ0C9Z</t>
  </si>
  <si>
    <t>FBA196RPXMPR</t>
  </si>
  <si>
    <t>FBA196RPDZ3V</t>
  </si>
  <si>
    <t>FBA196RQ8MYG</t>
  </si>
  <si>
    <t>FBA196RPXMP3</t>
  </si>
  <si>
    <t>FBA196RNHXXP</t>
  </si>
  <si>
    <t>FBA196RNXQ3M</t>
  </si>
  <si>
    <t>FBA196RPP299</t>
  </si>
  <si>
    <t>FBA196RPZ7J8</t>
  </si>
  <si>
    <t>FBA196RQX28Q</t>
  </si>
  <si>
    <t>FBA196RRLCV4</t>
  </si>
  <si>
    <t>FBA196RNNTB7</t>
  </si>
  <si>
    <t>FBA196RPBRK1</t>
  </si>
  <si>
    <t>FBA196RPL238</t>
  </si>
  <si>
    <t>FBA196RPRSJ8</t>
  </si>
  <si>
    <t>FBA196RPZ7JX</t>
  </si>
  <si>
    <t>FBA196RQZQYY</t>
  </si>
  <si>
    <t>FBA196RQ8679</t>
  </si>
  <si>
    <t>FBA196RQFWNB</t>
  </si>
  <si>
    <t>FBA196RRBR5C</t>
  </si>
  <si>
    <t>FBA196RTMBP7</t>
  </si>
  <si>
    <t>FBA196RQZZY1</t>
  </si>
  <si>
    <t>FBA196RQRYSG</t>
  </si>
  <si>
    <t>FBA196RNTBCJ</t>
  </si>
  <si>
    <t>FBA196RN1CXD</t>
  </si>
  <si>
    <t>FBA196RQBH1S</t>
  </si>
  <si>
    <t>FBA196RQNBMP</t>
  </si>
  <si>
    <t>FBA196RPVFL4</t>
  </si>
  <si>
    <t>FBA196RR74D6</t>
  </si>
  <si>
    <t>FBA196RPDV8H</t>
  </si>
  <si>
    <t>FBA196RN8KM8</t>
  </si>
  <si>
    <t>FBA196RMZSQW</t>
  </si>
  <si>
    <t>FBA196RN9QFL</t>
  </si>
  <si>
    <t>FBA196RQ3DG1</t>
  </si>
  <si>
    <t>FBA196RQ6NPR</t>
  </si>
  <si>
    <t>FBA196RQN55N</t>
  </si>
  <si>
    <t>FBA196RTMHM4</t>
  </si>
  <si>
    <t>FBA196RT2PQD</t>
  </si>
  <si>
    <t>FBA196RTRB5M</t>
  </si>
  <si>
    <t>FBA196RRSMWM</t>
  </si>
  <si>
    <t>FBA196RQTVP8</t>
  </si>
  <si>
    <t>FBA196RNJ5KG</t>
  </si>
  <si>
    <t>FBA196RNV4YF</t>
  </si>
  <si>
    <t>FBA196RPMR0Y</t>
  </si>
  <si>
    <t>FBA196RQVG8D</t>
  </si>
  <si>
    <t>FBA196RRGXGR</t>
  </si>
  <si>
    <t>FBA196RPNKLV</t>
  </si>
  <si>
    <t>FBA196RRQWHT</t>
  </si>
  <si>
    <t>FBA196RQHZ96</t>
  </si>
  <si>
    <t>FBA196RNBFB9</t>
  </si>
  <si>
    <t>FBA196RQXLQD</t>
  </si>
  <si>
    <t>FBA196QG79SY</t>
  </si>
  <si>
    <t>FBA196RQ7NTX</t>
  </si>
  <si>
    <t>FBA196RRQDQ3</t>
  </si>
  <si>
    <t>FBA196RRSMX8</t>
  </si>
  <si>
    <t>FBA196RSXY92</t>
  </si>
  <si>
    <t>FBA196RTFQXS</t>
  </si>
  <si>
    <t>FBA196RNFCNX</t>
  </si>
  <si>
    <t>FBA196RQ9N1Z</t>
  </si>
  <si>
    <t>FBA196RQKCLS</t>
  </si>
  <si>
    <t>FBA196RR0L9Q</t>
  </si>
  <si>
    <t>FBA196RRWVZ6</t>
  </si>
  <si>
    <t>FBA196RMTPCV</t>
  </si>
  <si>
    <t>FBA196RPBVL7</t>
  </si>
  <si>
    <t>FBA196RPC8V6</t>
  </si>
  <si>
    <t>FBA196RPSC4Q</t>
  </si>
  <si>
    <t>FBA196RQLVLL</t>
  </si>
  <si>
    <t>FBA196RQSD04</t>
  </si>
  <si>
    <t>FBA196RNG73X</t>
  </si>
  <si>
    <t>FBA196RQ5BM6</t>
  </si>
  <si>
    <t>FBA196RR414B</t>
  </si>
  <si>
    <t>FBA196RRXN2Y</t>
  </si>
  <si>
    <t>FBA196RPN1FK</t>
  </si>
  <si>
    <t>FBA196RQ1HD2</t>
  </si>
  <si>
    <t>FBA196RSDZT1</t>
  </si>
  <si>
    <t>FBA196RR0L92</t>
  </si>
  <si>
    <t>FBA196RQVDJV</t>
  </si>
  <si>
    <t>FBA196W6VFSY</t>
  </si>
  <si>
    <t>GEU2</t>
  </si>
  <si>
    <t>FBA196W6VG2B</t>
  </si>
  <si>
    <t>FBA196ZY8PC6</t>
  </si>
  <si>
    <t>PSC2</t>
  </si>
  <si>
    <t>FBA196ZZ8B5Q</t>
  </si>
  <si>
    <t>FBA196ZZBXGR</t>
  </si>
  <si>
    <t>FBA196W17RVC</t>
  </si>
  <si>
    <t>FBA196W20VZN</t>
  </si>
  <si>
    <t>FBA196W22FGW</t>
  </si>
  <si>
    <t>FBA196W32ZRZ</t>
  </si>
  <si>
    <t>FBA196W34JG1</t>
  </si>
  <si>
    <t>FBA196W1X7FM</t>
  </si>
  <si>
    <t>FBA196W2HZMD</t>
  </si>
  <si>
    <t>FBA196W378X2</t>
  </si>
  <si>
    <t>FBA196W3VJ0F</t>
  </si>
  <si>
    <t>快速宝-组合（计重）</t>
  </si>
  <si>
    <t>FBA196W40FL3</t>
  </si>
  <si>
    <t>FBA196W1ZPH1</t>
  </si>
  <si>
    <t>FBA196W45SM6</t>
  </si>
  <si>
    <t>FBA196W493RM</t>
  </si>
  <si>
    <t>FBA196W55L9P</t>
  </si>
  <si>
    <t>FBA196W5C0S8</t>
  </si>
  <si>
    <t>FBA196W3N8LY</t>
  </si>
  <si>
    <t>FBA196W40VZL</t>
  </si>
  <si>
    <t>FBA196W45G5Z</t>
  </si>
  <si>
    <t>FBA196W5CJKY</t>
  </si>
  <si>
    <t>FBA196W5FVDD</t>
  </si>
  <si>
    <t>FBA196W3V9T5</t>
  </si>
  <si>
    <t>FBA196W3YXRH</t>
  </si>
  <si>
    <t>FBA196W52RLZ</t>
  </si>
  <si>
    <t>FBA196W5X1T9</t>
  </si>
  <si>
    <t>FBA196W67960</t>
  </si>
  <si>
    <t>FBA196W1VFLN</t>
  </si>
  <si>
    <t>FBA196W2L2JN</t>
  </si>
  <si>
    <t>FBA196W376ZQ</t>
  </si>
  <si>
    <t>FBA196W3G6Z5</t>
  </si>
  <si>
    <t>FBA196W4JG1F</t>
  </si>
  <si>
    <t>FBA196W19R9J</t>
  </si>
  <si>
    <t>FBA196W3TV4B</t>
  </si>
  <si>
    <t>FBA196W46WG7</t>
  </si>
  <si>
    <t>FBA196W50PF9</t>
  </si>
  <si>
    <t>FBA196W5YH2K</t>
  </si>
  <si>
    <t>FBA196W3T0G6</t>
  </si>
  <si>
    <t>FBA196W4GP36</t>
  </si>
  <si>
    <t>FBA196W4P81S</t>
  </si>
  <si>
    <t>FBA196W55FZH</t>
  </si>
  <si>
    <t>FBA196W58QBF</t>
  </si>
  <si>
    <t>FBA196W36XNP</t>
  </si>
  <si>
    <t>FBA196W3S3GG</t>
  </si>
  <si>
    <t>FBA196W3T0D8</t>
  </si>
  <si>
    <t>FBA196W3V9SJ</t>
  </si>
  <si>
    <t>FBA196W5X1S0</t>
  </si>
  <si>
    <t>FBA196W26HMV</t>
  </si>
  <si>
    <t>FBA196W2SPFX</t>
  </si>
  <si>
    <t>FBA196W3MBKY</t>
  </si>
  <si>
    <t>FBA196W4PJDH</t>
  </si>
  <si>
    <t>FBA196W6TPMW</t>
  </si>
  <si>
    <t>FBA196W3F5ML</t>
  </si>
  <si>
    <t>FBA196W46D88</t>
  </si>
  <si>
    <t>FBA196W54VGY</t>
  </si>
  <si>
    <t>FBA196W5L68P</t>
  </si>
  <si>
    <t>FBA196W7ZT8X</t>
  </si>
  <si>
    <t>FBA196W7X1R9</t>
  </si>
  <si>
    <t>FBA196WC4QPB</t>
  </si>
  <si>
    <t>FBA196WHKF7V</t>
  </si>
  <si>
    <t>FBA196WCYPN7</t>
  </si>
  <si>
    <t>MDW2</t>
  </si>
  <si>
    <t>FBA196WC2Q21</t>
  </si>
  <si>
    <t>FBA196WB0Z6D</t>
  </si>
  <si>
    <t>FBA196WD70CX</t>
  </si>
  <si>
    <t>FBA196WCXBJF</t>
  </si>
  <si>
    <t>FBA196WGJBMY</t>
  </si>
  <si>
    <t>FBA196WB433X</t>
  </si>
  <si>
    <t>FBA196W898N3</t>
  </si>
  <si>
    <t>FBA196WD633S</t>
  </si>
  <si>
    <t>FBA196WCDX61</t>
  </si>
  <si>
    <t>FBA196WG2SNL</t>
  </si>
  <si>
    <t>FBA196WDDR6T</t>
  </si>
  <si>
    <t>FBA196WBS40N</t>
  </si>
  <si>
    <t>FBA196WD8KQM</t>
  </si>
  <si>
    <t>FBA196WC9ZTR</t>
  </si>
  <si>
    <t>FBA196WDRCPC</t>
  </si>
  <si>
    <t>FBA196WDYFLJ</t>
  </si>
  <si>
    <t>FBA196WCZ5ZQ</t>
  </si>
  <si>
    <t>FBA196WC4QNP</t>
  </si>
  <si>
    <t>FBA196WC0JJH</t>
  </si>
  <si>
    <t>FBA196WF44SF</t>
  </si>
  <si>
    <t>FBA196WCHZZ2</t>
  </si>
  <si>
    <t>FBA196W9ZD7B</t>
  </si>
  <si>
    <t>FBA196WB3CHM</t>
  </si>
  <si>
    <t>FBA196WDY953</t>
  </si>
  <si>
    <t>FBA196WCQFM3</t>
  </si>
  <si>
    <t>FBA196W9WHKZ</t>
  </si>
  <si>
    <t>FBA196WCT5FS</t>
  </si>
  <si>
    <t>FBA196WF6MBB</t>
  </si>
  <si>
    <t>FBA196WB2295</t>
  </si>
  <si>
    <t>FBA196WHSCJD</t>
  </si>
  <si>
    <t>FBA196WBGP7J</t>
  </si>
  <si>
    <t>FBA196WBWBCN</t>
  </si>
  <si>
    <t>FBA196WC4QPZ</t>
  </si>
  <si>
    <t>FBA196WDPFKH</t>
  </si>
  <si>
    <t>FBA196WD446D</t>
  </si>
  <si>
    <t>FBA196WBD7S5</t>
  </si>
  <si>
    <t>STAR-QVG2KJT4KH5K6</t>
  </si>
  <si>
    <t>STAR-SQ2XKYCYY7PXC</t>
  </si>
  <si>
    <t>STAR-UD4EA2DRNH27U</t>
  </si>
  <si>
    <t>STAR-QY2JBKYGPEEYW</t>
  </si>
  <si>
    <t>STAR-SKCSHYW5YEW72</t>
  </si>
  <si>
    <t>FBA1971SP1DH</t>
  </si>
  <si>
    <t>FBA1971SQ64W</t>
  </si>
  <si>
    <t>FBA1971TBLM1</t>
  </si>
  <si>
    <t>STAR-Q3CTAZNGXPTZX</t>
  </si>
  <si>
    <t>STAR-XB2VG7FFKMXCY</t>
  </si>
  <si>
    <t>STAR-XVBXAWEUPCNRG</t>
  </si>
  <si>
    <t>STAR-QU54AF4KVCYWK</t>
  </si>
  <si>
    <t>STAR-Q5XKJEPX56UPE</t>
  </si>
  <si>
    <t>STAR-V2YZP5NEMAQ42</t>
  </si>
  <si>
    <t>STAR-WNVFG2UM6YJZM</t>
  </si>
  <si>
    <t>STAR-VK3YRX6WAV6AW</t>
  </si>
  <si>
    <t>STAR-U772UR3YY7RZ6</t>
  </si>
  <si>
    <t>STAR-QWEHE2UQ2SSHU</t>
  </si>
  <si>
    <t>STAR-W4WQDKTT3KWCC</t>
  </si>
  <si>
    <t>STAR-QXJWEVPX3CJQQ</t>
  </si>
  <si>
    <t>STAR-SESPXUJXPFTRU</t>
  </si>
  <si>
    <t>STAR-WKCKUMX2AGYBC</t>
  </si>
  <si>
    <t>OA普船特价卡派按方包税</t>
  </si>
  <si>
    <t>STAR-UH5JEHYFHJAY6</t>
  </si>
  <si>
    <t>STAR-UP4WMZAFBAKWW</t>
  </si>
  <si>
    <t>STAR-QNWPWKQPMX43W</t>
  </si>
  <si>
    <t>STAR-UD44SU74JWRGQ</t>
  </si>
  <si>
    <t>STAR-XH4EPV3VEXYYK</t>
  </si>
  <si>
    <t>STAR-WHJPNSWE2XJTA</t>
  </si>
  <si>
    <t>STAR-V732G2HS3TZZ2</t>
  </si>
  <si>
    <t>FBA19732GM3F</t>
  </si>
  <si>
    <t>FBA19731TVTS</t>
  </si>
  <si>
    <t>FBA19733LZH5</t>
  </si>
  <si>
    <t>FBA197310DFT</t>
  </si>
  <si>
    <t>FBA19731PV1D</t>
  </si>
  <si>
    <t>FBA19730MZC1</t>
  </si>
  <si>
    <t>FBA1973293ZW</t>
  </si>
  <si>
    <t>FBA19731GM61</t>
  </si>
  <si>
    <t>FBA19732521C</t>
  </si>
  <si>
    <t>FBA19731BHT0</t>
  </si>
  <si>
    <t>FBA1972ZLB9H</t>
  </si>
  <si>
    <t>FBA197317KNV</t>
  </si>
  <si>
    <t>FBA1972ZT3TY</t>
  </si>
  <si>
    <t>FBA19732K17G</t>
  </si>
  <si>
    <t>FBA1973186MK</t>
  </si>
  <si>
    <t>FBA19732BX9Q</t>
  </si>
  <si>
    <t>FBA19730HL2J</t>
  </si>
  <si>
    <t>FBA1972ZF7QB</t>
  </si>
  <si>
    <t>FBA19732QMXB</t>
  </si>
  <si>
    <t>FBA19730CSXX</t>
  </si>
  <si>
    <t>FBA197311PQ6</t>
  </si>
  <si>
    <t>FBA19731WWKY</t>
  </si>
  <si>
    <t>FBA19730V7TF</t>
  </si>
  <si>
    <t>FBA1972WT4MK</t>
  </si>
  <si>
    <t>FBA1972W7TNR</t>
  </si>
  <si>
    <t>FBA1972XZ5M0</t>
  </si>
  <si>
    <t>FBA1972XF911</t>
  </si>
  <si>
    <t>FBA1972TTS26</t>
  </si>
  <si>
    <t>FBA1972XLXL0</t>
  </si>
  <si>
    <t>FBA1972YJ54L</t>
  </si>
  <si>
    <t>FBA1972X0NJX</t>
  </si>
  <si>
    <t>FBA1972W7QHP</t>
  </si>
  <si>
    <t>FBA1972Y0BM4</t>
  </si>
  <si>
    <t>FBA1972W13K4</t>
  </si>
  <si>
    <t>FBA1972XLQN4</t>
  </si>
  <si>
    <t>FBA1972XGWWV</t>
  </si>
  <si>
    <t>FBA1972W7TPD</t>
  </si>
  <si>
    <t>FBA1972YG991</t>
  </si>
  <si>
    <t>FBA1973N7T0M</t>
  </si>
  <si>
    <t>POC2</t>
  </si>
  <si>
    <t>FBA1973Y5RK7</t>
  </si>
  <si>
    <t>MIT2</t>
  </si>
  <si>
    <t>FBA1973Q61PP</t>
  </si>
  <si>
    <t>FBA1973MYXYJ</t>
  </si>
  <si>
    <t>FBA1973T175R</t>
  </si>
  <si>
    <t>FBA1973RDDCF</t>
  </si>
  <si>
    <t>FBA1973SYYQW</t>
  </si>
  <si>
    <t>FBA1973QB7NQ</t>
  </si>
  <si>
    <t>FBA1973R6QTH</t>
  </si>
  <si>
    <t>FBA1973ST1RX</t>
  </si>
  <si>
    <t>FBA1973TYJ6H</t>
  </si>
  <si>
    <t>FBA1973PJMQR</t>
  </si>
  <si>
    <t>FBA1973TF2HV</t>
  </si>
  <si>
    <t>FBA1973S8N0Y</t>
  </si>
  <si>
    <t>FBA1973QW5SF</t>
  </si>
  <si>
    <t>FBA1973R6T07</t>
  </si>
  <si>
    <t>FBA1973V0VYZ</t>
  </si>
  <si>
    <t>FBA1973V0429</t>
  </si>
  <si>
    <t>FBA1973RKF53</t>
  </si>
  <si>
    <t>FBA1973Q6MK7</t>
  </si>
  <si>
    <t>FBA1973RR6NM</t>
  </si>
  <si>
    <t>FBA1973SDQ76</t>
  </si>
  <si>
    <t>FBA1973QMWC2</t>
  </si>
  <si>
    <t>FBA1973WSF52</t>
  </si>
  <si>
    <t>FBA1973TBRW6</t>
  </si>
  <si>
    <t>FBA1973R0S68</t>
  </si>
  <si>
    <t>FBA1973NLL6M</t>
  </si>
  <si>
    <t>FBA1973QJCM3</t>
  </si>
  <si>
    <t>FBA1973SMP3G</t>
  </si>
  <si>
    <t>FBA1973SJDK2</t>
  </si>
  <si>
    <t>FBA1973PMYNQ</t>
  </si>
  <si>
    <t>FBA1973SLNG5</t>
  </si>
  <si>
    <t>FBA1973SV3WC</t>
  </si>
  <si>
    <t>FBA1973PYTKY</t>
  </si>
  <si>
    <t>FBA1973RF75F</t>
  </si>
  <si>
    <t>FBA1973TQ6ZL</t>
  </si>
  <si>
    <t>FBA1973QKF90</t>
  </si>
  <si>
    <t>FBA1973R2925</t>
  </si>
  <si>
    <t>FBA1973QC3X7</t>
  </si>
  <si>
    <t>FBA1973QWDMP</t>
  </si>
  <si>
    <t>FBA1973PZQPK</t>
  </si>
  <si>
    <t>FBA1973SQXQ5</t>
  </si>
  <si>
    <t>FBA1973QB7Y3</t>
  </si>
  <si>
    <t>FBA1973T07Q7</t>
  </si>
  <si>
    <t>FBA1973NJ9P5</t>
  </si>
  <si>
    <t>FBA1973TLFFQ</t>
  </si>
  <si>
    <t>FBA1973RTCD0</t>
  </si>
  <si>
    <t>FBA1973SXX56</t>
  </si>
  <si>
    <t>FBA1973W4N8Q</t>
  </si>
  <si>
    <t>FBA1973RRNYV</t>
  </si>
  <si>
    <t>FBA1973RFMRR</t>
  </si>
  <si>
    <t>FBA1973QQR0G</t>
  </si>
  <si>
    <t>FBA1973Q7XLJ</t>
  </si>
  <si>
    <t>FBA1973RBVXG</t>
  </si>
  <si>
    <t>FBA1973QVPRM</t>
  </si>
  <si>
    <t>FBA1973R4SLD</t>
  </si>
  <si>
    <t>FBA1973SBPBJ</t>
  </si>
  <si>
    <t>FBA1973SQXRG</t>
  </si>
  <si>
    <t>FBA1973QV643</t>
  </si>
  <si>
    <t>FBA1973WSF70</t>
  </si>
  <si>
    <t>FBA1973QPY0M</t>
  </si>
  <si>
    <t>FBA1973TRP93</t>
  </si>
  <si>
    <t>FBA1973NXB2P</t>
  </si>
  <si>
    <t>FBA1973R6LK7</t>
  </si>
  <si>
    <t>FBA1973V27XL</t>
  </si>
  <si>
    <t>FBA1973PRZP6</t>
  </si>
  <si>
    <t>FBA1973SWZ0B</t>
  </si>
  <si>
    <t>FBA1973PCZRJ</t>
  </si>
  <si>
    <t>FBA1973N4665</t>
  </si>
  <si>
    <t>FBA1973RVVW9</t>
  </si>
  <si>
    <t>FBA1973S2FQN</t>
  </si>
  <si>
    <t>FBA1973PMPHT</t>
  </si>
  <si>
    <t>FBA1973QCW2Y</t>
  </si>
  <si>
    <t>FBA1973TMZZW</t>
  </si>
  <si>
    <t>FBA1973QY3YL</t>
  </si>
  <si>
    <t>FBA1973V4ZT6</t>
  </si>
  <si>
    <t>FBA1973SJQDW</t>
  </si>
  <si>
    <t>FBA1979P0ZKK</t>
  </si>
  <si>
    <t>大陆UPS 6000</t>
  </si>
  <si>
    <t>FBA1979QB9H9</t>
  </si>
  <si>
    <t>FBA1979QFF0K</t>
  </si>
  <si>
    <t>STAR-R4KAAJSY5TWFS</t>
  </si>
  <si>
    <t>STAR-SXFWNPXGXYPPS</t>
  </si>
  <si>
    <t>STAR-SAS2YTR3X5YXU</t>
  </si>
  <si>
    <t>STAR-TF2QP22UFYUGU</t>
  </si>
  <si>
    <t>FBA19799VVNG</t>
  </si>
  <si>
    <t>FBA197CG7VSD</t>
  </si>
  <si>
    <t>FBA197DFTLZ6</t>
  </si>
  <si>
    <t>FBA197DPC7SY</t>
  </si>
  <si>
    <t>FBA197DT70QL</t>
  </si>
  <si>
    <t>FBA197DWTPQK</t>
  </si>
  <si>
    <t>FBA1977P32QM</t>
  </si>
  <si>
    <t>FBA1977R3JSP</t>
  </si>
  <si>
    <t>FBA1977S2JTN</t>
  </si>
  <si>
    <t>FBA1977S2JV9</t>
  </si>
  <si>
    <t>FBA1977SMN04</t>
  </si>
  <si>
    <t>FBA1977N32R9</t>
  </si>
  <si>
    <t>FBA1977RWGNR</t>
  </si>
  <si>
    <t>FBA1977S2JSC</t>
  </si>
  <si>
    <t>FBA1977S9HW2</t>
  </si>
  <si>
    <t>FBA1977SDSP6</t>
  </si>
  <si>
    <t>FBA1977PZP23</t>
  </si>
  <si>
    <t>FBA1977QJTZS</t>
  </si>
  <si>
    <t>FBA1977RP1MF</t>
  </si>
  <si>
    <t>FBA1977RTVXT</t>
  </si>
  <si>
    <t>FBA1977S3K7V</t>
  </si>
  <si>
    <t>FBA1977M8YC0</t>
  </si>
  <si>
    <t>FBA1977N4CG8</t>
  </si>
  <si>
    <t>FBA1977P174G</t>
  </si>
  <si>
    <t>FBA1977QJ06F</t>
  </si>
  <si>
    <t>FBA1977S7DNS</t>
  </si>
  <si>
    <t>FBA1977MCR13</t>
  </si>
  <si>
    <t>FBA1977Q37MV</t>
  </si>
  <si>
    <t>FBA1977QKBD6</t>
  </si>
  <si>
    <t>FBA1977QP6PW</t>
  </si>
  <si>
    <t>FBA1977RWT11</t>
  </si>
  <si>
    <t>FBA1977N2SP0</t>
  </si>
  <si>
    <t>FBA1977PQZYT</t>
  </si>
  <si>
    <t>FBA1977RPQXF</t>
  </si>
  <si>
    <t>FBA1977RY8WZ</t>
  </si>
  <si>
    <t>TEB9</t>
  </si>
  <si>
    <t>FBA1977T2PRJ</t>
  </si>
  <si>
    <t>FBA1977NDK4S</t>
  </si>
  <si>
    <t>FBA1977QM0Q4</t>
  </si>
  <si>
    <t>FBA1977R3M57</t>
  </si>
  <si>
    <t>FBA1977S02CZ</t>
  </si>
  <si>
    <t>FBA1977S2JVY</t>
  </si>
  <si>
    <t>FBA1977PT29N</t>
  </si>
  <si>
    <t>FBA1977QYBQ4</t>
  </si>
  <si>
    <t>FBA1977RRN74</t>
  </si>
  <si>
    <t>FBA1977RZTNM</t>
  </si>
  <si>
    <t>FBA1977SLRHW</t>
  </si>
  <si>
    <t>FBA1977NYNT3</t>
  </si>
  <si>
    <t>FBA1977QKBG4</t>
  </si>
  <si>
    <t>FBA1977QN9JZ</t>
  </si>
  <si>
    <t>FBA1977QWG59</t>
  </si>
  <si>
    <t>FBA1977RMN7X</t>
  </si>
  <si>
    <t>FBA19732XPWF</t>
  </si>
  <si>
    <t>FBA19731VRV5</t>
  </si>
  <si>
    <t>FBA1972ZVSKT</t>
  </si>
  <si>
    <t>FBA1972ZWN96</t>
  </si>
  <si>
    <t>FBA19731S2XV</t>
  </si>
  <si>
    <t>STAR-RAYVX6JU7K7RM</t>
  </si>
  <si>
    <t>STAR-WTXS5QTWRP5B2</t>
  </si>
  <si>
    <t>STAR-U7YWU4PXEGSM6</t>
  </si>
  <si>
    <t>STAR-SJZX3HERVRYMA</t>
  </si>
  <si>
    <t>STAR-VEATXTNRY4WV6</t>
  </si>
  <si>
    <t>STAR-S5W636HJ3NU3Y</t>
  </si>
  <si>
    <t>STAR-VGP2XWYQ6TE4C</t>
  </si>
  <si>
    <t>STAR-VRUJPFWYXU5ZC</t>
  </si>
  <si>
    <t>STAR-S7XCJSQKTEPEK</t>
  </si>
  <si>
    <t>STAR-XC5SSTGZWRJKW</t>
  </si>
  <si>
    <t>STAR-TWADMCVFUWD3K</t>
  </si>
  <si>
    <t>STAR-UEYG6Q4KRYFXC</t>
  </si>
  <si>
    <t>STAR-TXKSEAD4KXA6K</t>
  </si>
  <si>
    <t>STAR-V7FKXQZZ2PTZQ</t>
  </si>
  <si>
    <t>STAR-XYD5N3PAAARVS</t>
  </si>
  <si>
    <t>STAR-TPEMSXHARKWX4</t>
  </si>
  <si>
    <t>STAR-VZFH4K3NZWKXG</t>
  </si>
  <si>
    <t>STAR-SYYVZK3AQXBKY</t>
  </si>
  <si>
    <t>STAR-S3GEM4RFDHVU2</t>
  </si>
  <si>
    <t>STAR-WXATSSHBT76NY</t>
  </si>
  <si>
    <t>STAR-VXY3UYAGZFYAK</t>
  </si>
  <si>
    <t>STAR-WB34AYTPGZ6NM</t>
  </si>
  <si>
    <t>STAR-VCB5RQETBHWW2</t>
  </si>
  <si>
    <t>快速宝-直送（计重）</t>
  </si>
  <si>
    <t>FBA197DHT47C</t>
  </si>
  <si>
    <t>FBA197FKFMD0</t>
  </si>
  <si>
    <t>FBA197FN2R7Y</t>
  </si>
  <si>
    <t>FBA197FNQ0ST</t>
  </si>
  <si>
    <t>FBA197FNX9LJ</t>
  </si>
  <si>
    <t>FBA197FNP235</t>
  </si>
  <si>
    <t>FBA197FLLR5K</t>
  </si>
  <si>
    <t>FBA197FMG28X</t>
  </si>
  <si>
    <t>FBA197FL8FX4</t>
  </si>
  <si>
    <t>FBA197FL10N2</t>
  </si>
  <si>
    <t>FBA197FJPQ0Q</t>
  </si>
  <si>
    <t>FBA197FL2K13</t>
  </si>
  <si>
    <t>FBA197FKT2T2</t>
  </si>
  <si>
    <t>FBA197FMPN3X</t>
  </si>
  <si>
    <t>FBA197FLB2DY</t>
  </si>
  <si>
    <t>FBA197FPJ0BS</t>
  </si>
  <si>
    <t>FBA197FN2GTN</t>
  </si>
  <si>
    <t>FBA197FLLMG2</t>
  </si>
  <si>
    <t>FBA197FM10D9</t>
  </si>
  <si>
    <t>FBA197FJQD92</t>
  </si>
  <si>
    <t>FBA197FL8NJY</t>
  </si>
  <si>
    <t>FBA197FKXDHY</t>
  </si>
  <si>
    <t>FBA197FKC4ST</t>
  </si>
  <si>
    <t>FBA197FNC69T</t>
  </si>
  <si>
    <t>FBA197FL9D57</t>
  </si>
  <si>
    <t>FBA197FLPKTB</t>
  </si>
  <si>
    <t>FBA197FLR0PY</t>
  </si>
  <si>
    <t>FBA197FMV6VG</t>
  </si>
  <si>
    <t>FBA197FHST4R</t>
  </si>
  <si>
    <t>FBA197FLJ3KW</t>
  </si>
  <si>
    <t>FBA197FLNVK0</t>
  </si>
  <si>
    <t>FBA197FHQWH2</t>
  </si>
  <si>
    <t>FBA197FKT9X2</t>
  </si>
  <si>
    <t>FBA197FKTR1T</t>
  </si>
  <si>
    <t>FBA197FJ3T52</t>
  </si>
  <si>
    <t>FBA197FKHRXL</t>
  </si>
  <si>
    <t>FBA197FHNN5P</t>
  </si>
  <si>
    <t>FBA197FKX05C</t>
  </si>
  <si>
    <t>FBA197FLZWMW</t>
  </si>
  <si>
    <t>FBA197FJNSYD</t>
  </si>
  <si>
    <t>FBA197FLNC4L</t>
  </si>
  <si>
    <t>STAR-TZ4UBQS22RQV2</t>
  </si>
  <si>
    <t>STAR-RA7DEBJDPMDRW</t>
  </si>
  <si>
    <t>STAR-UJAN6WMY2TT5W</t>
  </si>
  <si>
    <t>STAR-TKVZXUJA7ZNNY</t>
  </si>
  <si>
    <t>FBA197H5HKHK</t>
  </si>
  <si>
    <t>FBA197H8Z2ZM</t>
  </si>
  <si>
    <t>FBA197HBY6X6</t>
  </si>
  <si>
    <t>FBA197H7HQ0H</t>
  </si>
  <si>
    <t>FBA197H6TSN4</t>
  </si>
  <si>
    <t>FBA197H7Q3CJ</t>
  </si>
  <si>
    <t>FBA197H9XSKP</t>
  </si>
  <si>
    <t>FBA197H85H0C</t>
  </si>
  <si>
    <t>FBA197H8F927</t>
  </si>
  <si>
    <t>FBA197H78Y5B</t>
  </si>
  <si>
    <t>SWF2</t>
  </si>
  <si>
    <t>FBA197H8TNHP</t>
  </si>
  <si>
    <t>FBA197H9WWPT</t>
  </si>
  <si>
    <t>FBA197H7KBKL</t>
  </si>
  <si>
    <t>FBA197H9N15S</t>
  </si>
  <si>
    <t>FBA197H9P39W</t>
  </si>
  <si>
    <t>FBA197H7NZCC</t>
  </si>
  <si>
    <t>FBA197H8J0JY</t>
  </si>
  <si>
    <t>FBA197H88TY9</t>
  </si>
  <si>
    <t>FBA197H7SQ3R</t>
  </si>
  <si>
    <t>FBA197H9RPXL</t>
  </si>
  <si>
    <t>FBA197H88RXQ</t>
  </si>
  <si>
    <t>FBA197H7802D</t>
  </si>
  <si>
    <t>FBA197H8P5YV</t>
  </si>
  <si>
    <t>FBA197HB1T21</t>
  </si>
  <si>
    <t>FBA197H7PRX0</t>
  </si>
  <si>
    <t>FBA197H8D1K1</t>
  </si>
  <si>
    <t>FBA197H7WGBP</t>
  </si>
  <si>
    <t>FBA197H79TZX</t>
  </si>
  <si>
    <t>FBA197H8RPCV</t>
  </si>
  <si>
    <t>FBA197H6DPFW</t>
  </si>
  <si>
    <t>FBA197H9R9VD</t>
  </si>
  <si>
    <t>POC1</t>
  </si>
  <si>
    <t>FBA197H8HF21</t>
  </si>
  <si>
    <t>FBA197H8DQTD</t>
  </si>
  <si>
    <t>FBA197H6NFPM</t>
  </si>
  <si>
    <t>FBA197H8KF01</t>
  </si>
  <si>
    <t>FBA197H74VPP</t>
  </si>
  <si>
    <t>FBA197HV893F</t>
  </si>
  <si>
    <t>FBA197HVCQ8D</t>
  </si>
  <si>
    <t>FBA197HTBJB8</t>
  </si>
  <si>
    <t>FBA197HV752M</t>
  </si>
  <si>
    <t>FBA197HTYBNH</t>
  </si>
  <si>
    <t>FBA197HTFBH6</t>
  </si>
  <si>
    <t>FBA197HT7Q3D</t>
  </si>
  <si>
    <t>FBA197HVW3TX</t>
  </si>
  <si>
    <t>FBA197HSDHLN</t>
  </si>
  <si>
    <t>FBA197HT9QBF</t>
  </si>
  <si>
    <t>FBA197HSGZRX</t>
  </si>
  <si>
    <t>FBA197HR2Y8W</t>
  </si>
  <si>
    <t>FBA197HT10MS</t>
  </si>
  <si>
    <t>FBA197LWRRXT</t>
  </si>
  <si>
    <t>FBA197M2PGSG</t>
  </si>
  <si>
    <t>FBA197KXNVNF</t>
  </si>
  <si>
    <t>FBA197KXTZGN</t>
  </si>
  <si>
    <t>FBA197KXZ3QS</t>
  </si>
  <si>
    <t>FBA197KYSXCT</t>
  </si>
  <si>
    <t>FBA197KZBGYG</t>
  </si>
  <si>
    <t>FBA197LX7KZS</t>
  </si>
  <si>
    <t>FBA197LTG0RS</t>
  </si>
  <si>
    <t>FBA197LVS9NK</t>
  </si>
  <si>
    <t>FBA197LW8KJ8</t>
  </si>
  <si>
    <t>FBA197LX414M</t>
  </si>
  <si>
    <t>FBA197KZPT74</t>
  </si>
  <si>
    <t>FBA197KZS0M4</t>
  </si>
  <si>
    <t>FBA197L21256</t>
  </si>
  <si>
    <t>FBA197L0MD5N</t>
  </si>
  <si>
    <t>FBA197L1SX7V</t>
  </si>
  <si>
    <t>STAR-T6ME53Q7V24KW</t>
  </si>
  <si>
    <t>STAR-WWXA52W7GGQHC</t>
  </si>
  <si>
    <t>STAR-XY4UJ4S23SGDY</t>
  </si>
  <si>
    <t>FBA197LM3P4M</t>
  </si>
  <si>
    <t>FBA197LN41SW</t>
  </si>
  <si>
    <t>FBA197LPNW8N</t>
  </si>
  <si>
    <t>FBA197LPPCSY</t>
  </si>
  <si>
    <t>FBA197LN79HT</t>
  </si>
  <si>
    <t>FBA197LNRK3F</t>
  </si>
  <si>
    <t>FBA197LNFJ89</t>
  </si>
  <si>
    <t>FBA197LMZ01J</t>
  </si>
  <si>
    <t>FBA197LQ4FSF</t>
  </si>
  <si>
    <t>FBA197LN6TN5</t>
  </si>
  <si>
    <t>FBA197LNQSCY</t>
  </si>
  <si>
    <t>FBA197LPHRFS</t>
  </si>
  <si>
    <t>FBA197LMJF1K</t>
  </si>
  <si>
    <t>FBA197LNFT2V</t>
  </si>
  <si>
    <t>FBA197LPLQKX</t>
  </si>
  <si>
    <t>FBA197LQHTPF</t>
  </si>
  <si>
    <t>FBA197LP585K</t>
  </si>
  <si>
    <t>FBA197LMFDL4</t>
  </si>
  <si>
    <t>FBA197LN9BSR</t>
  </si>
  <si>
    <t>FBA197LN9412</t>
  </si>
  <si>
    <t>FBA197LLN8WF</t>
  </si>
  <si>
    <t>FBA197LN9THW</t>
  </si>
  <si>
    <t>FBA197LPPWCJ</t>
  </si>
  <si>
    <t>FBA197LNB3VK</t>
  </si>
  <si>
    <t>FBA197LN9QM6</t>
  </si>
  <si>
    <t>FBA197LMGZX5</t>
  </si>
  <si>
    <t>FBA197LNQTLC</t>
  </si>
  <si>
    <t>FBA197LPQX1G</t>
  </si>
  <si>
    <t>FBA197LP8197</t>
  </si>
  <si>
    <t>FBA197LNSJK9</t>
  </si>
  <si>
    <t>FBA197LP64VM</t>
  </si>
  <si>
    <t>FBA197LP3Y12</t>
  </si>
  <si>
    <t>FBA197LMSS09</t>
  </si>
  <si>
    <t>FBA197LNKYN0</t>
  </si>
  <si>
    <t>FBA197LN244V</t>
  </si>
  <si>
    <t>FBA197MYF2B1</t>
  </si>
  <si>
    <t>正班</t>
  </si>
  <si>
    <t>FBA197MXF7Q5</t>
  </si>
  <si>
    <t>美森正班卡派按方包税</t>
  </si>
  <si>
    <t>FBA197N0G83M</t>
  </si>
  <si>
    <t>FBA197MXR73S</t>
  </si>
  <si>
    <t>FBA197MZTNVG</t>
  </si>
  <si>
    <t>FBA197MZGLXH</t>
  </si>
  <si>
    <t>FBA197MZLH39</t>
  </si>
  <si>
    <t>FBA197MXHMSY</t>
  </si>
  <si>
    <t>FBA197MZ9R12</t>
  </si>
  <si>
    <t>FBA197MZ4TPH</t>
  </si>
  <si>
    <t>FBA197MXRVP7</t>
  </si>
  <si>
    <t>FBA197MXRMF2</t>
  </si>
  <si>
    <t>FBA197MYQGG6</t>
  </si>
  <si>
    <t>FBA197MYF0HX</t>
  </si>
  <si>
    <t>FBA197MX2GYQ</t>
  </si>
  <si>
    <t>FBA197N0CV07</t>
  </si>
  <si>
    <t>FBA197MYCJD7</t>
  </si>
  <si>
    <t>FBA197MXW2QJ</t>
  </si>
  <si>
    <t>FBA197MYYC5C</t>
  </si>
  <si>
    <t>FBA197MYTD7D</t>
  </si>
  <si>
    <t>FBA197MY0GJ6</t>
  </si>
  <si>
    <t>FBA197MZ816N</t>
  </si>
  <si>
    <t>FBA197MZ6JX5</t>
  </si>
  <si>
    <t>FBA197MZBNL7</t>
  </si>
  <si>
    <t>FBA197MY1DHX</t>
  </si>
  <si>
    <t>FBA197MWR005</t>
  </si>
  <si>
    <t>FBA197MYYC60</t>
  </si>
  <si>
    <t>FBA197MZ9DL6</t>
  </si>
  <si>
    <t>FBA197MYLBLZ</t>
  </si>
  <si>
    <t>FBA197MXPLVQ</t>
  </si>
  <si>
    <t>FBA197MZ2C3Y</t>
  </si>
  <si>
    <t>FBA197MZ1F29</t>
  </si>
  <si>
    <t>FBA197MZWP2H</t>
  </si>
  <si>
    <t>FBA197MY8143</t>
  </si>
  <si>
    <t>FBA197MZKCGR</t>
  </si>
  <si>
    <t>FBA197MXH9RZ</t>
  </si>
  <si>
    <t>FBA197MZFXF1</t>
  </si>
  <si>
    <t>FBA197MYFT9Y</t>
  </si>
  <si>
    <t>FBA197MZCYTB</t>
  </si>
  <si>
    <t>FBA197MXWSBV</t>
  </si>
  <si>
    <t>FBA197MXRMDF</t>
  </si>
  <si>
    <t>FBA197MYJV13</t>
  </si>
  <si>
    <t>FBA197MYNX99</t>
  </si>
  <si>
    <t>FBA197MZJ0MZ</t>
  </si>
  <si>
    <t>FBA197MYX7G7</t>
  </si>
  <si>
    <t>FBA197MXN3MT</t>
  </si>
  <si>
    <t>FBA197MYP7QJ</t>
  </si>
  <si>
    <t>FBA197MYKS5B</t>
  </si>
  <si>
    <t>FBA197MYZ8XB</t>
  </si>
  <si>
    <t>FBA197MZ2DLR</t>
  </si>
  <si>
    <t>FBA197MYQXC5</t>
  </si>
  <si>
    <t>FBA197MYCVF6</t>
  </si>
  <si>
    <t>FBA197MZ1V71</t>
  </si>
  <si>
    <t>FBA197N063S1</t>
  </si>
  <si>
    <t>FBA197MZ8SJ7</t>
  </si>
  <si>
    <t>FBA197MZBNFQ</t>
  </si>
  <si>
    <t>FBA197MZ37FD</t>
  </si>
  <si>
    <t>FBA197MZ43TF</t>
  </si>
  <si>
    <t>FBA197MYHKX6</t>
  </si>
  <si>
    <t>FBA197MXX7TW</t>
  </si>
  <si>
    <t>FBA197MZ9WJF</t>
  </si>
  <si>
    <t>FBA197MXHMVW</t>
  </si>
  <si>
    <t>FBA197MZDVPV</t>
  </si>
  <si>
    <t>FBA197MZ7W9D</t>
  </si>
  <si>
    <t>FBA197MZNV7D</t>
  </si>
  <si>
    <t>FBA197MYVNHT</t>
  </si>
  <si>
    <t>FBA197MZJ0G5</t>
  </si>
  <si>
    <t>FBA197MY90D5</t>
  </si>
  <si>
    <t>FBA197MYGKPG</t>
  </si>
  <si>
    <t>FBA197MYHBLR</t>
  </si>
  <si>
    <t>FBA197MZ4ZPZ</t>
  </si>
  <si>
    <t>FBA197MYB26L</t>
  </si>
  <si>
    <t>FBA197MZ1F1N</t>
  </si>
  <si>
    <t>FBA197N03JH0</t>
  </si>
  <si>
    <t>FBA197MYHMF9</t>
  </si>
  <si>
    <t>FBA197MYJ9K4</t>
  </si>
  <si>
    <t>FBA197MYT06H</t>
  </si>
  <si>
    <t>FBA197MZCK9L</t>
  </si>
  <si>
    <t>FBA197MZ1Y0H</t>
  </si>
  <si>
    <t>FBA197MY3SMZ</t>
  </si>
  <si>
    <t>FBA197MZ5RFG</t>
  </si>
  <si>
    <t>FBA19832DD13</t>
  </si>
  <si>
    <t>FBA1985L92Y0</t>
  </si>
  <si>
    <t>FBA1985L9FRH</t>
  </si>
  <si>
    <t>FBA1985LMF35</t>
  </si>
  <si>
    <t>FBA1985NSVXN</t>
  </si>
  <si>
    <t>TMB8</t>
  </si>
  <si>
    <t>FBA1985NWCYC</t>
  </si>
  <si>
    <t>FBA1986GLJP8</t>
  </si>
  <si>
    <t>FBA198773BYW</t>
  </si>
  <si>
    <t>FBA198785S9B</t>
  </si>
  <si>
    <t>FBA1988VXD6F</t>
  </si>
  <si>
    <t>FBA1988XSP0D</t>
  </si>
  <si>
    <t>FBA1989MG5D4</t>
  </si>
  <si>
    <t>优享入仓（计方包税）（计方）</t>
  </si>
  <si>
    <t>FBA1989PG469</t>
  </si>
  <si>
    <t>FBA1989KSC5W</t>
  </si>
  <si>
    <t>FBA1989LNW9Z</t>
  </si>
  <si>
    <t>FBA1989M398T</t>
  </si>
  <si>
    <t>FBA1989LRGPL</t>
  </si>
  <si>
    <t>FBA1989MZB7L</t>
  </si>
  <si>
    <t>FBA1989P03NZ</t>
  </si>
  <si>
    <t>FBA1989LL9N9</t>
  </si>
  <si>
    <t>FBA1989PCDBZ</t>
  </si>
  <si>
    <t>FBA1989NX4N2</t>
  </si>
  <si>
    <t>FBA1989MQKX8</t>
  </si>
  <si>
    <t>FBA1989M7N53</t>
  </si>
  <si>
    <t>FBA1989M65KK</t>
  </si>
  <si>
    <t>FBA1989NB25W</t>
  </si>
  <si>
    <t>FBA1989N5X0C</t>
  </si>
  <si>
    <t>FBA1989MW87F</t>
  </si>
  <si>
    <t>FBA1989LTJPG</t>
  </si>
  <si>
    <t>FBA1989LNWBM</t>
  </si>
  <si>
    <t>FBA1989M5YNC</t>
  </si>
  <si>
    <t>FBA1989MPB5M</t>
  </si>
  <si>
    <t>FBA1989NZSZZ</t>
  </si>
  <si>
    <t>FBA1989MDWYK</t>
  </si>
  <si>
    <t>FBA1989P2J50</t>
  </si>
  <si>
    <t>FBA1989N0JGS</t>
  </si>
  <si>
    <t>FBA1989MTNCM</t>
  </si>
  <si>
    <t>FBA1989MXQVM</t>
  </si>
  <si>
    <t>FBA1989MGSP6</t>
  </si>
  <si>
    <t>FBA1989PSNK2</t>
  </si>
  <si>
    <t>FBA1989PXP7W</t>
  </si>
  <si>
    <t>FBA1989L3Q74</t>
  </si>
  <si>
    <t>FBA1989LP690</t>
  </si>
  <si>
    <t>FBA1989KSC6J</t>
  </si>
  <si>
    <t>FBA1989LXG8V</t>
  </si>
  <si>
    <t>FBA1989LXKM2</t>
  </si>
  <si>
    <t>STAR-UBPRUFUBWJEQX</t>
  </si>
  <si>
    <t>FBA1989P0XXK</t>
  </si>
  <si>
    <t>FBA1989P627X</t>
  </si>
  <si>
    <t>FBA1989QQB19</t>
  </si>
  <si>
    <t>FBA1989NHCR5</t>
  </si>
  <si>
    <t>FBA1989MTJSN</t>
  </si>
  <si>
    <t>FBA1989PSCJQ</t>
  </si>
  <si>
    <t>FBA1989PD46C</t>
  </si>
  <si>
    <t>FBA1989MRZQB</t>
  </si>
  <si>
    <t>FBA1989Q39SV</t>
  </si>
  <si>
    <t>FBA1989NTT0G</t>
  </si>
  <si>
    <t>FBA1989MKGXV</t>
  </si>
  <si>
    <t>FBA1989QJD9T</t>
  </si>
  <si>
    <t>FBA1989PNKVZ</t>
  </si>
  <si>
    <t>FBA1989Q7QVW</t>
  </si>
  <si>
    <t>FBA1989PTGPF</t>
  </si>
  <si>
    <t>FBA1989R0S9X</t>
  </si>
  <si>
    <t>FBA1989P3CVR</t>
  </si>
  <si>
    <t>FBA1989PZ1LS</t>
  </si>
  <si>
    <t>FBA1989P2SDH</t>
  </si>
  <si>
    <t>FBA1989NH7Q0</t>
  </si>
  <si>
    <t>FBA1989NJLJ4</t>
  </si>
  <si>
    <t>FBA1989PL98L</t>
  </si>
  <si>
    <t>FBA1989NKWPY</t>
  </si>
  <si>
    <t>FBA1989MWZQ6</t>
  </si>
  <si>
    <t>FBA1989PX58D</t>
  </si>
  <si>
    <t>FBA1989NWLBY</t>
  </si>
  <si>
    <t>FBA1989NL2CF</t>
  </si>
  <si>
    <t>FBA1989P16T1</t>
  </si>
  <si>
    <t>FBA1989NR37P</t>
  </si>
  <si>
    <t>FBA1989QGF9V</t>
  </si>
  <si>
    <t>FBA1989PFKZR</t>
  </si>
  <si>
    <t>FBA1989PMKCV</t>
  </si>
  <si>
    <t>FBA1989P5RZ5</t>
  </si>
  <si>
    <t>FBA1989P6T8G</t>
  </si>
  <si>
    <t>FBA1989QC8XH</t>
  </si>
  <si>
    <t>FBA1989NN4KR</t>
  </si>
  <si>
    <t>FBA1989QKZHB</t>
  </si>
  <si>
    <t>FBA1989NBDYF</t>
  </si>
  <si>
    <t>FBA1989NY0JM</t>
  </si>
  <si>
    <t>FBA1989NNQV6</t>
  </si>
  <si>
    <t>FBA1989NNLSD</t>
  </si>
  <si>
    <t>FBA1989PGNTS</t>
  </si>
  <si>
    <t>FBA1989N7SX5</t>
  </si>
  <si>
    <t>FBA1989NFXMG</t>
  </si>
  <si>
    <t>FBA1989PSPCW</t>
  </si>
  <si>
    <t>FBA198CXV9V3</t>
  </si>
  <si>
    <t>FBA198CXZWGF</t>
  </si>
  <si>
    <t>FBA198FKX2G9</t>
  </si>
  <si>
    <t>FBA198FLQPPL</t>
  </si>
  <si>
    <t>FBA198FLVP23</t>
  </si>
  <si>
    <t>FBA198HC23X4</t>
  </si>
  <si>
    <t>FBA198HCDF9F</t>
  </si>
  <si>
    <t>FBA198HCDH7F</t>
  </si>
  <si>
    <t>FBA198K9WPP8</t>
  </si>
  <si>
    <t>FBA198KBX0JD</t>
  </si>
  <si>
    <t>FBA198KC74NG</t>
  </si>
  <si>
    <t>FBA198KGJY4R</t>
  </si>
  <si>
    <t>FBA198KGWNV9</t>
  </si>
  <si>
    <t>FBA198K6RPRF</t>
  </si>
  <si>
    <t>FBA198M9P2R9</t>
  </si>
  <si>
    <t>FBA198M2RGD3</t>
  </si>
  <si>
    <t>FBA198M3FL8D</t>
  </si>
  <si>
    <t>FBA198M3N6JM</t>
  </si>
  <si>
    <t>FBA198M464FW</t>
  </si>
  <si>
    <t>FBA198M48HPV</t>
  </si>
  <si>
    <t>FBA198M5RB4D</t>
  </si>
  <si>
    <t>FBA197KJG1SD</t>
  </si>
  <si>
    <t>STAR-R7U7AW6XXKWWG</t>
  </si>
  <si>
    <t>STAR-WA6FDZCNAMNDW</t>
  </si>
  <si>
    <t>STAR-RVFW4QU7QT466</t>
  </si>
  <si>
    <t>STAR-V62ZZXWFEN5QU</t>
  </si>
  <si>
    <t>STAR-QZ4RX46PMW4WU</t>
  </si>
  <si>
    <t>STAR-RFD4JDNJQYTUQ</t>
  </si>
  <si>
    <t>STAR-SJW3WBTCHX3B2</t>
  </si>
  <si>
    <t>STAR-R7EVNXGBMAJP2</t>
  </si>
  <si>
    <t>STAR-WQYJEYMEPXB52</t>
  </si>
  <si>
    <t>STAR-U2C66XWSJXAYQ</t>
  </si>
  <si>
    <t>FBA198M2LKRG</t>
  </si>
  <si>
    <t>FBA198M1T17B</t>
  </si>
  <si>
    <t>FBA198M29D6T</t>
  </si>
  <si>
    <t>FBA198M2KZ4P</t>
  </si>
  <si>
    <t>FBA198M2H7H5</t>
  </si>
  <si>
    <t>FBA198M2LTVF</t>
  </si>
  <si>
    <t>FBA198M13758</t>
  </si>
  <si>
    <t>FBA198M41RS2</t>
  </si>
  <si>
    <t>FBA198M2Y54G</t>
  </si>
  <si>
    <t>FBA198M3RXL2</t>
  </si>
  <si>
    <t>FBA198M1TPQT</t>
  </si>
  <si>
    <t>FBA198M2CP37</t>
  </si>
  <si>
    <t>FBA198M2B3HS</t>
  </si>
  <si>
    <t>FBA198M32G1G</t>
  </si>
  <si>
    <t>FBA198M49J3D</t>
  </si>
  <si>
    <t>FBA198M41RV0</t>
  </si>
  <si>
    <t>FBA198M2R47X</t>
  </si>
  <si>
    <t>FBA198M1G56L</t>
  </si>
  <si>
    <t>FBA198M0YJPL</t>
  </si>
  <si>
    <t>FBA198M28KBW</t>
  </si>
  <si>
    <t>FBA198M2T1CT</t>
  </si>
  <si>
    <t>FBA198M2J2W7</t>
  </si>
  <si>
    <t>FBA198M4R48H</t>
  </si>
  <si>
    <t>FBA198M2HSV7</t>
  </si>
  <si>
    <t>FBA198M2NRNM</t>
  </si>
  <si>
    <t>FBA198M135VM</t>
  </si>
  <si>
    <t>FBA198M3CSWM</t>
  </si>
  <si>
    <t>FBA198M1W2ZG</t>
  </si>
  <si>
    <t>FBA198M33HPQ</t>
  </si>
  <si>
    <t>FBA198M0XV8Q</t>
  </si>
  <si>
    <t>FBA198M38VJC</t>
  </si>
  <si>
    <t>FBA198M2RKZ2</t>
  </si>
  <si>
    <t>FBA198M25NF4</t>
  </si>
  <si>
    <t>FBA198M2G4GZ</t>
  </si>
  <si>
    <t>FBA198M2XMRQ</t>
  </si>
  <si>
    <t>FBA198M98PZJ</t>
  </si>
  <si>
    <t>FBA198MBD6QG</t>
  </si>
  <si>
    <t>FBA198MD61Q3</t>
  </si>
  <si>
    <t>FBA198MBNWPJ</t>
  </si>
  <si>
    <t>FBA198M7YYH4</t>
  </si>
  <si>
    <t>FBA198MCTNSG</t>
  </si>
  <si>
    <t>FBA198MDHN3G</t>
  </si>
  <si>
    <t>FBA198MBJMFJ</t>
  </si>
  <si>
    <t>FBA198MBQZDB</t>
  </si>
  <si>
    <t>FBA198M9J7Z2</t>
  </si>
  <si>
    <t>FBA198MD61PG</t>
  </si>
  <si>
    <t>FBA198MDTSXT</t>
  </si>
  <si>
    <t>FBA198MB8N8L</t>
  </si>
  <si>
    <t>FBA198M876M4</t>
  </si>
  <si>
    <t>FBA198MFF3QR</t>
  </si>
  <si>
    <t>FBA198MCD1L2</t>
  </si>
  <si>
    <t>FBA198M7JD27</t>
  </si>
  <si>
    <t>FBA198MBQVQS</t>
  </si>
  <si>
    <t>FBA198MB6W0P</t>
  </si>
  <si>
    <t>FBA198MBF8FN</t>
  </si>
  <si>
    <t>FBA198M7W35Q</t>
  </si>
  <si>
    <t>FBA198MC8TFK</t>
  </si>
  <si>
    <t>FBA198M94KYH</t>
  </si>
  <si>
    <t>FBA198M7YYHS</t>
  </si>
  <si>
    <t>FBA198M96DMX</t>
  </si>
  <si>
    <t>FBA198MBNL51</t>
  </si>
  <si>
    <t>FBA198MDZYCD</t>
  </si>
  <si>
    <t>FBA198M7TX2D</t>
  </si>
  <si>
    <t>FBA198MDFGX7</t>
  </si>
  <si>
    <t>FBA198MDN9XH</t>
  </si>
  <si>
    <t>FBA198MD1RSG</t>
  </si>
  <si>
    <t>FBA198MCS5CR</t>
  </si>
  <si>
    <t>FBA198MB5GTB</t>
  </si>
  <si>
    <t>FBA198MDC44R</t>
  </si>
  <si>
    <t>FBA198MCMBBS</t>
  </si>
  <si>
    <t>FBA198MCGYKR</t>
  </si>
  <si>
    <t>FBA198MD7BNT</t>
  </si>
  <si>
    <t>FBA198M7NYNX</t>
  </si>
  <si>
    <t>FBA198MBBJ3H</t>
  </si>
  <si>
    <t>FBA198MF4K5H</t>
  </si>
  <si>
    <t>FBA198M9MTGW</t>
  </si>
  <si>
    <t>FBA198M9JT6X</t>
  </si>
  <si>
    <t>FBA198M9VS7X</t>
  </si>
  <si>
    <t>FBA198M8V5QR</t>
  </si>
  <si>
    <t>FBA198MFF3S1</t>
  </si>
  <si>
    <t>FBA198MDS0TF</t>
  </si>
  <si>
    <t>FBA198MDQBMC</t>
  </si>
  <si>
    <t>FBA198MCFQLZ</t>
  </si>
  <si>
    <t>FBA198MCPT1V</t>
  </si>
  <si>
    <t>FBA198MCTF41</t>
  </si>
  <si>
    <t>FBA198M8NX7C</t>
  </si>
  <si>
    <t>FBA198MDS6TW</t>
  </si>
  <si>
    <t>FBA198MBJC07</t>
  </si>
  <si>
    <t>FBA198M92Q1N</t>
  </si>
  <si>
    <t>FBA198MB6W1B</t>
  </si>
  <si>
    <t>FBA198MBCD1Z</t>
  </si>
  <si>
    <t>FBA198MC3V0G</t>
  </si>
  <si>
    <t>FBA198RBM9WH</t>
  </si>
  <si>
    <t>FBA198RC0RQ4</t>
  </si>
  <si>
    <t>FBA198RDRYFR</t>
  </si>
  <si>
    <t>FBA198RTY2CF</t>
  </si>
  <si>
    <t>FBA198RXJ49F</t>
  </si>
  <si>
    <t>FBA198RXMWQG</t>
  </si>
  <si>
    <t>FBA198TDWVTX</t>
  </si>
  <si>
    <t>FBA198TF5N8Q</t>
  </si>
  <si>
    <t>FBA198TG6H7V</t>
  </si>
  <si>
    <t>FBA198TGNSNN</t>
  </si>
  <si>
    <t>FBA198W164HN</t>
  </si>
  <si>
    <t>FBA198W77YVK</t>
  </si>
  <si>
    <t>FBA198W37F1D</t>
  </si>
  <si>
    <t>FBA198W1QBQP</t>
  </si>
  <si>
    <t>FBA198W4KYM7</t>
  </si>
  <si>
    <t>FBA198W1Z99K</t>
  </si>
  <si>
    <t>洛杉矶快线-组合（计方包税）（计方）</t>
  </si>
  <si>
    <t>FBA198W28Q3C</t>
  </si>
  <si>
    <t>FBA198W4JQX6</t>
  </si>
  <si>
    <t>FBA198W5BK59</t>
  </si>
  <si>
    <t>FBA198W5FXDX</t>
  </si>
  <si>
    <t>FBA198W3GTPR</t>
  </si>
  <si>
    <t>FBA198W6XB3M</t>
  </si>
  <si>
    <t>FBA198W3TJHK</t>
  </si>
  <si>
    <t>FBA198W31MGY</t>
  </si>
  <si>
    <t>FBA198W42KWJ</t>
  </si>
  <si>
    <t>FBA198W5WNDQ</t>
  </si>
  <si>
    <t>FBA198W3XDZR</t>
  </si>
  <si>
    <t>FBA198W4Y2Q9</t>
  </si>
  <si>
    <t>FBA198W56ZXW</t>
  </si>
  <si>
    <t>FBA198W28Q7W</t>
  </si>
  <si>
    <t>FBA198W54G12</t>
  </si>
  <si>
    <t>FBA198W39N68</t>
  </si>
  <si>
    <t>FBA198W1TTNH</t>
  </si>
  <si>
    <t>FBA198W568ZW</t>
  </si>
  <si>
    <t>FBA198W4HDP4</t>
  </si>
  <si>
    <t>FBA198W2YRXS</t>
  </si>
  <si>
    <t>FBA198W3424R</t>
  </si>
  <si>
    <t>FBA198W3RSGQ</t>
  </si>
  <si>
    <t>FBA198W41CRK</t>
  </si>
  <si>
    <t>FBA198W5DP4G</t>
  </si>
  <si>
    <t>FBA198W1ZGWG</t>
  </si>
  <si>
    <t>FBA198W6CB1X</t>
  </si>
  <si>
    <t>FBA198W4D8PP</t>
  </si>
  <si>
    <t>FBA198W6RB7Z</t>
  </si>
  <si>
    <t>FBA198W4FBSH</t>
  </si>
  <si>
    <t>FBA198W3WD9T</t>
  </si>
  <si>
    <t>FBA198W6QGLJ</t>
  </si>
  <si>
    <t>FBA198W319K6</t>
  </si>
  <si>
    <t>FBA198W2GYLF</t>
  </si>
  <si>
    <t>FBA198W2637X</t>
  </si>
  <si>
    <t>FBA198W32N0C</t>
  </si>
  <si>
    <t>FBA198W5F9FJ</t>
  </si>
  <si>
    <t>FBA198W4CX6K</t>
  </si>
  <si>
    <t>FBA198W2SLK5</t>
  </si>
  <si>
    <t>FBA198W40JQG</t>
  </si>
  <si>
    <t>FBA198W27TQB</t>
  </si>
  <si>
    <t>FBA198W19M52</t>
  </si>
  <si>
    <t>FBA198W2NDWT</t>
  </si>
  <si>
    <t>FBA198W3CYC2</t>
  </si>
  <si>
    <t>FBA198W2FZ2M</t>
  </si>
  <si>
    <t>FBA198W0V8Q0</t>
  </si>
  <si>
    <t>FBA198W4B45R</t>
  </si>
  <si>
    <t>FBA198W47N4C</t>
  </si>
  <si>
    <t>FBA198W6QD5P</t>
  </si>
  <si>
    <t>FBA198W28QT9</t>
  </si>
  <si>
    <t>FBA198W6WN49</t>
  </si>
  <si>
    <t>FBA198W54G2C</t>
  </si>
  <si>
    <t>FBA198W6GLGS</t>
  </si>
  <si>
    <t>FBA198W3HQS2</t>
  </si>
  <si>
    <t>FBA198W5TT8R</t>
  </si>
  <si>
    <t>FBA198W39HKD</t>
  </si>
  <si>
    <t>FBA198W41CSV</t>
  </si>
  <si>
    <t>FBA198W3CK32</t>
  </si>
  <si>
    <t>FBA198W3W1YJ</t>
  </si>
  <si>
    <t>FBA198W3NSF6</t>
  </si>
  <si>
    <t>STAR-X7UEMWQDEWXX6</t>
  </si>
  <si>
    <t>STAR-WWXBVMKSNHDUG</t>
  </si>
  <si>
    <t>STAR-U6PCWGNC3FXDG</t>
  </si>
  <si>
    <t>STAR-RNMVKXSRY5MH6</t>
  </si>
  <si>
    <t>FBA198X167KS</t>
  </si>
  <si>
    <t>FBA198XK359C</t>
  </si>
  <si>
    <t>FBA198XKGBN4</t>
  </si>
  <si>
    <t>FBA198XMB0QG</t>
  </si>
  <si>
    <t>FBA198XXV3JD</t>
  </si>
  <si>
    <t>FBA1990P7WDH</t>
  </si>
  <si>
    <t>FBA1990QJRV5</t>
  </si>
  <si>
    <t>FBA1990SZ2J0</t>
  </si>
  <si>
    <t>FBA19925NR3Y</t>
  </si>
  <si>
    <t>FBA19925WSRC</t>
  </si>
  <si>
    <t>FBA19925XZ25</t>
  </si>
  <si>
    <t>FBA199281R08</t>
  </si>
  <si>
    <t>STAR-SBQPHQTUUWV4Q</t>
  </si>
  <si>
    <t>STAR-WXXE6VATKC7YW</t>
  </si>
  <si>
    <t>STAR-R5TGY4EMJYWP6</t>
  </si>
  <si>
    <t>STAR-RYY74XRU43WVG</t>
  </si>
  <si>
    <t>STAR-U7QWUH32WJY7W</t>
  </si>
  <si>
    <t>STAR-SGW3MKR2QU7AS</t>
  </si>
  <si>
    <t>STAR-UKAA6E34A7XEQ</t>
  </si>
  <si>
    <t>STAR-QV7Y5TUYMURPX</t>
  </si>
  <si>
    <t>STAR-W7KCYPJYNX3XA</t>
  </si>
  <si>
    <t>STAR-QJGZT73DCTTVW</t>
  </si>
  <si>
    <t>STAR-SUVQ7KCXWXPPW</t>
  </si>
  <si>
    <t>STAR-RQZ7S6WKUNGNK</t>
  </si>
  <si>
    <t>FBA1993CLV0S</t>
  </si>
  <si>
    <t>以星限时达卡派按方包税</t>
  </si>
  <si>
    <t>FBA1993CVYVW</t>
  </si>
  <si>
    <t>FBA1993LHLMY</t>
  </si>
  <si>
    <t>FBA1993P5JH2</t>
  </si>
  <si>
    <t>FBA1993RF463</t>
  </si>
  <si>
    <t>FBA19938JCBG</t>
  </si>
  <si>
    <t>FBA1993CKVZ5</t>
  </si>
  <si>
    <t>FBA1993MD044</t>
  </si>
  <si>
    <t>FBA1993MGNBJ</t>
  </si>
  <si>
    <t>FBA1993T40Q8</t>
  </si>
  <si>
    <t>FBA1993BH47R</t>
  </si>
  <si>
    <t>FBA1993F3F2L</t>
  </si>
  <si>
    <t>FBA1993L6447</t>
  </si>
  <si>
    <t>FBA1993LPTWX</t>
  </si>
  <si>
    <t>FBA1993N70Y3</t>
  </si>
  <si>
    <t>FBA1993G218G</t>
  </si>
  <si>
    <t>FBA1993N5T1X</t>
  </si>
  <si>
    <t>FBA1993QQ4FX</t>
  </si>
  <si>
    <t>FBA1993QZPMK</t>
  </si>
  <si>
    <t>FBA1993RLNFH</t>
  </si>
  <si>
    <t>FBA1993CYWY3</t>
  </si>
  <si>
    <t>FBA1993PLFNW</t>
  </si>
  <si>
    <t>FBA1993PQ6DL</t>
  </si>
  <si>
    <t>FBA1993QPY5Q</t>
  </si>
  <si>
    <t>FBA1993TC3C9</t>
  </si>
  <si>
    <t>FBA19942X4WK</t>
  </si>
  <si>
    <t>FBA1996CT8H7</t>
  </si>
  <si>
    <t>FBA19969VTW9</t>
  </si>
  <si>
    <t>FBA1996F55X5</t>
  </si>
  <si>
    <t>FBA1996BPSLR</t>
  </si>
  <si>
    <t>FBA19967G51Y</t>
  </si>
  <si>
    <t>FBA19968ZQY7</t>
  </si>
  <si>
    <t>FBA19969CLJQ</t>
  </si>
  <si>
    <t>FBA19969D078</t>
  </si>
  <si>
    <t>FBA19969FX2S</t>
  </si>
  <si>
    <t>FBA19967FJCM</t>
  </si>
  <si>
    <t>FBA19968GWLM</t>
  </si>
  <si>
    <t>FBA19968TQN1</t>
  </si>
  <si>
    <t>FBA19968WZQY</t>
  </si>
  <si>
    <t>FBA1996994G0</t>
  </si>
  <si>
    <t>FBA19967N6M4</t>
  </si>
  <si>
    <t>FBA19967THXP</t>
  </si>
  <si>
    <t>FBA19968QGYR</t>
  </si>
  <si>
    <t>FBA199698TQQ</t>
  </si>
  <si>
    <t>FBA1996B4VDG</t>
  </si>
  <si>
    <t>FBA19968G3WS</t>
  </si>
  <si>
    <t>FBA19968F48R</t>
  </si>
  <si>
    <t>FBA199690XF6</t>
  </si>
  <si>
    <t>FBA199694Z3Z</t>
  </si>
  <si>
    <t>FBA1996BDMC4</t>
  </si>
  <si>
    <t>FBA1996C0C8J</t>
  </si>
  <si>
    <t>FBA19968DJ0Z</t>
  </si>
  <si>
    <t>FBA199698TQ2</t>
  </si>
  <si>
    <t>FBA19969FHNM</t>
  </si>
  <si>
    <t>FBA1996B988P</t>
  </si>
  <si>
    <t>FBA1996BB98Y</t>
  </si>
  <si>
    <t>STAR-TXKYT7RPNWXHY</t>
  </si>
  <si>
    <t>STAR-VRJW5FSUSUHPW</t>
  </si>
  <si>
    <t>STAR-QA2JZ6UQ7UYWY</t>
  </si>
  <si>
    <t>STAR-S2PZYRAUHYDXE</t>
  </si>
  <si>
    <t>FBA1996DNZYT</t>
  </si>
  <si>
    <t>FBA1996DW8RJ</t>
  </si>
  <si>
    <t>FBA1996GVWFJ</t>
  </si>
  <si>
    <t>FBA1996GWJMB</t>
  </si>
  <si>
    <t>FBA1996GWNCG</t>
  </si>
  <si>
    <t>FBA1996D7MZ8</t>
  </si>
  <si>
    <t>FBA1996DPCD0</t>
  </si>
  <si>
    <t>FBA1996F9ZC3</t>
  </si>
  <si>
    <t>FBA1996FBKPH</t>
  </si>
  <si>
    <t>FBA1996GBG1K</t>
  </si>
  <si>
    <t>FBA1996CPS55</t>
  </si>
  <si>
    <t>FBA1996DLPZ5</t>
  </si>
  <si>
    <t>FBA1996DSRPJ</t>
  </si>
  <si>
    <t>FBA1996G39DL</t>
  </si>
  <si>
    <t>FBA1996J16CD</t>
  </si>
  <si>
    <t>FBA1996G25Q3</t>
  </si>
  <si>
    <t>FBA1996BWGBH</t>
  </si>
  <si>
    <t>FBA1996CBGWG</t>
  </si>
  <si>
    <t>FBA1996DLQ5M</t>
  </si>
  <si>
    <t>FBA1996FG36Z</t>
  </si>
  <si>
    <t>FBA1996FGPW1</t>
  </si>
  <si>
    <t>FBA1996CHBVG</t>
  </si>
  <si>
    <t>FBA1996DQ7WX</t>
  </si>
  <si>
    <t>FBA1996FFX20</t>
  </si>
  <si>
    <t>FBA1996GJ2DQ</t>
  </si>
  <si>
    <t>FBA1996GK4SK</t>
  </si>
  <si>
    <t>FBA1996DP03Z</t>
  </si>
  <si>
    <t>FBA1996G6DFC</t>
  </si>
  <si>
    <t>FBA1996GNFZ9</t>
  </si>
  <si>
    <t>FBA1996H9XLV</t>
  </si>
  <si>
    <t>FBA1996HRD7Y</t>
  </si>
  <si>
    <t>FBA1996DJNPW</t>
  </si>
  <si>
    <t>FBA1996DRVDR</t>
  </si>
  <si>
    <t>FBA1996DS7RZ</t>
  </si>
  <si>
    <t>FBA1996DVTW6</t>
  </si>
  <si>
    <t>FBA1996F4C53</t>
  </si>
  <si>
    <t>FBA199877HCS</t>
  </si>
  <si>
    <t>FBA19989QH8Z</t>
  </si>
  <si>
    <t>FBA199CDBTRC</t>
  </si>
  <si>
    <t>FBA199CG201S</t>
  </si>
  <si>
    <t>FBA199CZLRTT</t>
  </si>
  <si>
    <t>FBA199D0P2Y8</t>
  </si>
  <si>
    <t>FBA199D12QYJ</t>
  </si>
  <si>
    <t>FBA199F7PKLJ</t>
  </si>
  <si>
    <t>FBA199F7RWBD</t>
  </si>
  <si>
    <t>FBA199FYHTF7</t>
  </si>
  <si>
    <t>FBA199FZGSGW</t>
  </si>
  <si>
    <t>FBA199GRFQXQ</t>
  </si>
  <si>
    <t>FBA199GSMQGY</t>
  </si>
  <si>
    <t>FBA199GSXS75</t>
  </si>
  <si>
    <t>FBA199JD2P4K</t>
  </si>
  <si>
    <t>FBA199JD5PN8</t>
  </si>
  <si>
    <t>FBA199JBSPKG</t>
  </si>
  <si>
    <t>FBA199J7S1VL</t>
  </si>
  <si>
    <t>FBA199J8CKGJ</t>
  </si>
  <si>
    <t>FBA199J86MJ7</t>
  </si>
  <si>
    <t>FBA199J6F9FH</t>
  </si>
  <si>
    <t>FBA199J8Y3KM</t>
  </si>
  <si>
    <t>FBA199JBCJV3</t>
  </si>
  <si>
    <t>FBA199J9GQPN</t>
  </si>
  <si>
    <t>FBA199J6K47Q</t>
  </si>
  <si>
    <t>FBA199J92Z7L</t>
  </si>
  <si>
    <t>FBA199J7YJR1</t>
  </si>
  <si>
    <t>FBA199J8KCNZ</t>
  </si>
  <si>
    <t>FBA199J7CSVL</t>
  </si>
  <si>
    <t>FBA199J5RJXG</t>
  </si>
  <si>
    <t>FBA199JB104C</t>
  </si>
  <si>
    <t>FBA199J6XKZH</t>
  </si>
  <si>
    <t>FBA199J4WBGC</t>
  </si>
  <si>
    <t>特快</t>
  </si>
  <si>
    <t>FBA199J953Q7</t>
  </si>
  <si>
    <t>FBA199J70FK9</t>
  </si>
  <si>
    <t>FBA199J7JNRN</t>
  </si>
  <si>
    <t>FBA199J7VL05</t>
  </si>
  <si>
    <t>FBA199J8GJXB</t>
  </si>
  <si>
    <t>FBA199J7HZSB</t>
  </si>
  <si>
    <t>FBA199J8R7KP</t>
  </si>
  <si>
    <t>FBA199JB46CH</t>
  </si>
  <si>
    <t>FBA199JBP19H</t>
  </si>
  <si>
    <t>FBA199J9TK1S</t>
  </si>
  <si>
    <t>FBA199J7H7LM</t>
  </si>
  <si>
    <t>FBA199J94RZB</t>
  </si>
  <si>
    <t>FBA199J9W6L6</t>
  </si>
  <si>
    <t>FBA199JB81WN</t>
  </si>
  <si>
    <t>FBA199JBMKT5</t>
  </si>
  <si>
    <t>FBA199JBYCT1</t>
  </si>
  <si>
    <t>FBA199J7NXNP</t>
  </si>
  <si>
    <t>FBA199JC93C2</t>
  </si>
  <si>
    <t>FBA199JDW0L9</t>
  </si>
  <si>
    <t>FBA199JDZHKD</t>
  </si>
  <si>
    <t>FBA199JFDL1Q</t>
  </si>
  <si>
    <t>FBA199JGCYND</t>
  </si>
  <si>
    <t>FBA199JF8VYB</t>
  </si>
  <si>
    <t>FBA199JDKB3G</t>
  </si>
  <si>
    <t>FBA199JCFPT6</t>
  </si>
  <si>
    <t>FBA199JCHPMZ</t>
  </si>
  <si>
    <t>FBA199JFM347</t>
  </si>
  <si>
    <t>FBA199JG2SJ0</t>
  </si>
  <si>
    <t>FBA199JJ8X5Y</t>
  </si>
  <si>
    <t>FBA199JD9S2M</t>
  </si>
  <si>
    <t>FBA199JGCR7P</t>
  </si>
  <si>
    <t>FBA199JF0ZKV</t>
  </si>
  <si>
    <t>FBA199JFYZR1</t>
  </si>
  <si>
    <t>FBA199JFNCB2</t>
  </si>
  <si>
    <t>FBA199JCLTTW</t>
  </si>
  <si>
    <t>FBA199J938LX</t>
  </si>
  <si>
    <t>FBA199JG8B59</t>
  </si>
  <si>
    <t>FBA199JF6KVG</t>
  </si>
  <si>
    <t>FBA199JGBL8V</t>
  </si>
  <si>
    <t>FBA199JDH9V4</t>
  </si>
  <si>
    <t>FBA199JBP7SS</t>
  </si>
  <si>
    <t>FBA199JCFL3C</t>
  </si>
  <si>
    <t>FBA199JDQFF6</t>
  </si>
  <si>
    <t>FBA199JFDXCQ</t>
  </si>
  <si>
    <t>FBA199JC0MPH</t>
  </si>
  <si>
    <t>FBA199JFTFD3</t>
  </si>
  <si>
    <t>FBA199JGCYP1</t>
  </si>
  <si>
    <t>FBA199JDB1XT</t>
  </si>
  <si>
    <t>FBA199JFLN05</t>
  </si>
  <si>
    <t>FBA199JCRM7J</t>
  </si>
  <si>
    <t>FBA199JF7PYV</t>
  </si>
  <si>
    <t>FBA199JG31Q6</t>
  </si>
  <si>
    <t>FBA199JDNPMG</t>
  </si>
  <si>
    <t>FBA199JFNRJ4</t>
  </si>
  <si>
    <t>FBA199JJFTLG</t>
  </si>
  <si>
    <t>FBA199JDM8ML</t>
  </si>
  <si>
    <t>FBA199JDK1T1</t>
  </si>
  <si>
    <t>FBA199JFH5FZ</t>
  </si>
  <si>
    <t>FBA199JDZJW1</t>
  </si>
  <si>
    <t>FBA199JG31N8</t>
  </si>
  <si>
    <t>FBA199JCKC25</t>
  </si>
  <si>
    <t>FBA199JD8DMH</t>
  </si>
  <si>
    <t>FBA199JGXM50</t>
  </si>
  <si>
    <t>FBA199JFTFFD</t>
  </si>
  <si>
    <t>FBA199JDF7FC</t>
  </si>
  <si>
    <t>FBA199JG961V</t>
  </si>
  <si>
    <t>FBA199JD044J</t>
  </si>
  <si>
    <t>FBA199JF1F7Q</t>
  </si>
  <si>
    <t>FBA199JFP30Y</t>
  </si>
  <si>
    <t>FBA199JDGSTC</t>
  </si>
  <si>
    <t>FBA199JFND6T</t>
  </si>
  <si>
    <t>FBA199JF6KQL</t>
  </si>
  <si>
    <t>FBA199JCRGZX</t>
  </si>
  <si>
    <t>FBA199JFJM3H</t>
  </si>
  <si>
    <t>FBA199JDPQSW</t>
  </si>
  <si>
    <t>FBA199JC9TD9</t>
  </si>
  <si>
    <t>FBA199JCDJJ1</t>
  </si>
  <si>
    <t>FBA199JDRW1F</t>
  </si>
  <si>
    <t>FBA199JGSQZ6</t>
  </si>
  <si>
    <t>FBA199JDKT3M</t>
  </si>
  <si>
    <t>FBA199JGRJKV</t>
  </si>
  <si>
    <t>FBA199JCJJ8T</t>
  </si>
  <si>
    <t>FBA199J84XX8</t>
  </si>
  <si>
    <t>FBA199JC71L9</t>
  </si>
  <si>
    <t>FBA199JBVZJG</t>
  </si>
  <si>
    <t>FBA199J8M2J1</t>
  </si>
  <si>
    <t>FBA199JB62B8</t>
  </si>
  <si>
    <t>FBA199JB8CGF</t>
  </si>
  <si>
    <t>FBA199JD9YXX</t>
  </si>
  <si>
    <t>FBA199JCZWZL</t>
  </si>
  <si>
    <t>FBA199JCTB2L</t>
  </si>
  <si>
    <t>FBA199JG8B40</t>
  </si>
  <si>
    <t>FBA199JDK1XX</t>
  </si>
  <si>
    <t>FBA199JGC254</t>
  </si>
  <si>
    <t>FBA199JFTDJN</t>
  </si>
  <si>
    <t>FBA199JJ8WLW</t>
  </si>
  <si>
    <t>FBA199JFS37M</t>
  </si>
  <si>
    <t>STAR-WMYXKMVKT72GM</t>
  </si>
  <si>
    <t>STAR-XXCKSF4TXYEQW</t>
  </si>
  <si>
    <t>STAR-WXTK7GQVJPFBW</t>
  </si>
  <si>
    <t>STAR-TKSEFE4SJ3BBK</t>
  </si>
  <si>
    <t>STAR-VUPGWFYZKSRMC</t>
  </si>
  <si>
    <t>STAR-RHXPRCSPGRE7E</t>
  </si>
  <si>
    <t>STAR-Q2QX3JEXRXF64</t>
  </si>
  <si>
    <t>STAR-T2MHS3HF4W3KW</t>
  </si>
  <si>
    <t>STAR-QYY4XXSKNATR6</t>
  </si>
  <si>
    <t>STAR-VGTQ7SYE7JZBY</t>
  </si>
  <si>
    <t>STAR-S3WXAJSGERHNG</t>
  </si>
  <si>
    <t>STAR-WXQ44ZU65Y3DK</t>
  </si>
  <si>
    <t>STAR-THA65Q5BHW4UC</t>
  </si>
  <si>
    <t>STAR-V6XVWDAAR3YJ2</t>
  </si>
  <si>
    <t>STAR-SXKWPWBMRSBWY</t>
  </si>
  <si>
    <t>STAR-V3XN4TXPXNECU</t>
  </si>
  <si>
    <t>STAR-U4QAEWW3WQD76</t>
  </si>
  <si>
    <t>STAR-XK7JCPJDYXXA6</t>
  </si>
  <si>
    <t>STAR-T42KKYCPS52DU</t>
  </si>
  <si>
    <t>STAR-VJRKFYKRHTEMM</t>
  </si>
  <si>
    <t>STAR-TTSWYR5Y2X7WW</t>
  </si>
  <si>
    <t>STAR-VJUWWQXBZAFSA</t>
  </si>
  <si>
    <t>STAR-VSSEJKY5EE26Q</t>
  </si>
  <si>
    <t>FBA199L86271</t>
  </si>
  <si>
    <t>BNA6</t>
  </si>
  <si>
    <t>FBA199L89B2H</t>
  </si>
  <si>
    <t>FBA199L8CM6N</t>
  </si>
  <si>
    <t>FBA199NMSWY3</t>
  </si>
  <si>
    <t>FBA199NQW3RK</t>
  </si>
  <si>
    <t>FBA199NQXCM2</t>
  </si>
  <si>
    <t>FBA199NQ7V0W</t>
  </si>
  <si>
    <t>FBA199NQZ3W0</t>
  </si>
  <si>
    <t>STAR-TYCP4RGTYGAC2</t>
  </si>
  <si>
    <t>STAR-XHMDZAXEA3NES</t>
  </si>
  <si>
    <t>STAR-UFJ7TFJ2532YG</t>
  </si>
  <si>
    <t>STAR-WHGXYHJMFH2X6</t>
  </si>
  <si>
    <t>STAR-T63X7WXFV54P2</t>
  </si>
  <si>
    <t>STAR-QXMU7AG5VYXYX</t>
  </si>
  <si>
    <t>STAR-TYYWF6QJMYYEX</t>
  </si>
  <si>
    <t>STAR-SGTFXC6HNTDE4</t>
  </si>
  <si>
    <t>STAR-RXQZ6U4CA4U26</t>
  </si>
  <si>
    <t>STAR-TY6CVMUCXGS4M</t>
  </si>
  <si>
    <t>STAR-TU4YWUE5WGJRE</t>
  </si>
  <si>
    <t>FBA199TLL8LH</t>
  </si>
  <si>
    <t>FBA199TJYB8S</t>
  </si>
  <si>
    <t>FBA199TM0MRV</t>
  </si>
  <si>
    <t>FBA199TMZYTS</t>
  </si>
  <si>
    <t>FBA199TM91SG</t>
  </si>
  <si>
    <t>SCK4</t>
  </si>
  <si>
    <t>FBA199TKW5VD</t>
  </si>
  <si>
    <t>FBA199TN7MVH</t>
  </si>
  <si>
    <t>FBA199TNTBWH</t>
  </si>
  <si>
    <t>FBA199TNDY4D</t>
  </si>
  <si>
    <t>FBA199TNY9V3</t>
  </si>
  <si>
    <t>FBA199TP53JQ</t>
  </si>
  <si>
    <t>FBA199TNWG3F</t>
  </si>
  <si>
    <t>FBA199TL00G5</t>
  </si>
  <si>
    <t>FBA199TM29F4</t>
  </si>
  <si>
    <t>FBA199TKGKGH</t>
  </si>
  <si>
    <t>FBA199TP1H64</t>
  </si>
  <si>
    <t>TCY2</t>
  </si>
  <si>
    <t>FBA199TMTXDR</t>
  </si>
  <si>
    <t>FBA199TQRJDG</t>
  </si>
  <si>
    <t>FBA199TRF7GB</t>
  </si>
  <si>
    <t>FBA199TPW3BV</t>
  </si>
  <si>
    <t>FBA199TMPWT5</t>
  </si>
  <si>
    <t>FBA199TM2Z79</t>
  </si>
  <si>
    <t>FBA199TLZPSS</t>
  </si>
  <si>
    <t>FBA199TKD82L</t>
  </si>
  <si>
    <t>FBA199TN3P03</t>
  </si>
  <si>
    <t>FBA199TR8WT4</t>
  </si>
  <si>
    <t>FBA199TMJL95</t>
  </si>
  <si>
    <t>FBA199TM637D</t>
  </si>
  <si>
    <t>FBA199TN63X0</t>
  </si>
  <si>
    <t>FBA199TMRZ0H</t>
  </si>
  <si>
    <t>FBA199TM6JK9</t>
  </si>
  <si>
    <t>FBA199TM0YRJ</t>
  </si>
  <si>
    <t>FBA199TKK7HP</t>
  </si>
  <si>
    <t>FBA199TM529Q</t>
  </si>
  <si>
    <t>FBA199TL3L9Y</t>
  </si>
  <si>
    <t>FBA199TLSX98</t>
  </si>
  <si>
    <t>FBA199TPTYQZ</t>
  </si>
  <si>
    <t>FBA199TKTPWW</t>
  </si>
  <si>
    <t>FBA199TL6XF2</t>
  </si>
  <si>
    <t>FBA199TNJ1ZB</t>
  </si>
  <si>
    <t>FBA199TMCZ8M</t>
  </si>
  <si>
    <t>FBA199TN6NV5</t>
  </si>
  <si>
    <t>FBA199TMYVXT</t>
  </si>
  <si>
    <t>FBA199TMR64H</t>
  </si>
  <si>
    <t>FBA199TNHY7V</t>
  </si>
  <si>
    <t>FBA199TMVVYW</t>
  </si>
  <si>
    <t>FBA199TPTYRM</t>
  </si>
  <si>
    <t>FBA199TL0MBB</t>
  </si>
  <si>
    <t>FBA199TPZ45W</t>
  </si>
  <si>
    <t>FBA199TP34ZY</t>
  </si>
  <si>
    <t>FBA199TPW3DS</t>
  </si>
  <si>
    <t>FBA199TL4DN3</t>
  </si>
  <si>
    <t>FBA199TNMKWG</t>
  </si>
  <si>
    <t>FBA199TPKV3B</t>
  </si>
  <si>
    <t>FBA199TLF9S3</t>
  </si>
  <si>
    <t>FBA199TN4PND</t>
  </si>
  <si>
    <t>FBA199TKRNLY</t>
  </si>
  <si>
    <t>FBA199TR8WRV</t>
  </si>
  <si>
    <t>FBA199TLK4JD</t>
  </si>
  <si>
    <t>FBA199TMYFGD</t>
  </si>
  <si>
    <t>FBA199TLZCVD</t>
  </si>
  <si>
    <t>FBA199TJDHFC</t>
  </si>
  <si>
    <t>FBA199TNMNFT</t>
  </si>
  <si>
    <t>FBA199TQWC5D</t>
  </si>
  <si>
    <t>FBA199TNPNYW</t>
  </si>
  <si>
    <t>FBA199TNZ5WT</t>
  </si>
  <si>
    <t>FBA199TNW95J</t>
  </si>
  <si>
    <t>FBA199TNHZ7T</t>
  </si>
  <si>
    <t>FBA199TMLFWB</t>
  </si>
  <si>
    <t>FBA199TMVKHB</t>
  </si>
  <si>
    <t>FBA199TPG5MX</t>
  </si>
  <si>
    <t>FBA199TY4QY3</t>
  </si>
  <si>
    <t>FBA199TYDNCH</t>
  </si>
  <si>
    <t>FBA199V0J1H4</t>
  </si>
  <si>
    <t>FBA199XCCXDD</t>
  </si>
  <si>
    <t>FBA19B5DNQXG</t>
  </si>
  <si>
    <t>FBA19B6C0Y78</t>
  </si>
  <si>
    <t>FBA19B6CZ0LV</t>
  </si>
  <si>
    <t>FBA19B7B9MQS</t>
  </si>
  <si>
    <t>FBA19B7BRYC1</t>
  </si>
  <si>
    <t>FBA19B7FDXMD</t>
  </si>
  <si>
    <t>FBA19B7GYK59</t>
  </si>
  <si>
    <t>FBA19B7H722L</t>
  </si>
  <si>
    <t>FBA19B7L2RX3</t>
  </si>
  <si>
    <t>FBA19B5L1S03</t>
  </si>
  <si>
    <t>STAR-X5WMRRTFYWQBX</t>
  </si>
  <si>
    <t>STAR-Q5JCCPTD3FJQM</t>
  </si>
  <si>
    <t>STAR-W7YDX5NTTTKVA</t>
  </si>
  <si>
    <t>STAR-TP2X6FWNCYMNM</t>
  </si>
  <si>
    <t>STAR-RXV63JYHF6JYC</t>
  </si>
  <si>
    <t>STAR-UPVRUXDQNFTUM</t>
  </si>
  <si>
    <t>STAR-TZET3YS4Y6S6G</t>
  </si>
  <si>
    <t>STAR-UWKYQTRTN4YKX</t>
  </si>
  <si>
    <t>STAR-TRAUDWQRYWPWS</t>
  </si>
  <si>
    <t>STAR-THEYGW5GHJ3RM</t>
  </si>
  <si>
    <t>FBA19B99QK04</t>
  </si>
  <si>
    <t>FBA19B9BGW92</t>
  </si>
  <si>
    <t>FBA19B9D9F62</t>
  </si>
  <si>
    <t>FBA19B9JBBSD</t>
  </si>
  <si>
    <t>FBA19B9M4RGD</t>
  </si>
  <si>
    <t>FBA19B98D3C8</t>
  </si>
  <si>
    <t>FBA19B9BRZZY</t>
  </si>
  <si>
    <t>FBA19B9DL7QF</t>
  </si>
  <si>
    <t>FBA19B9FXF8Z</t>
  </si>
  <si>
    <t>FBA19B9KBMNV</t>
  </si>
  <si>
    <t>FBA19B98QX4Z</t>
  </si>
  <si>
    <t>FBA19B9BRFG2</t>
  </si>
  <si>
    <t>FBA19B9H87KH</t>
  </si>
  <si>
    <t>FBA19B9J28WY</t>
  </si>
  <si>
    <t>FBA19B9JGFST</t>
  </si>
  <si>
    <t>FBA19B9DKVZK</t>
  </si>
  <si>
    <t>FBA19B9H6Z7S</t>
  </si>
  <si>
    <t>FBA19B9K4083</t>
  </si>
  <si>
    <t>FBA19B9MCMMS</t>
  </si>
  <si>
    <t>FBA19B9PJ3XS</t>
  </si>
  <si>
    <t>FBA19B98QFC8</t>
  </si>
  <si>
    <t>FBA19B98R23J</t>
  </si>
  <si>
    <t>FBA19B9D6JB8</t>
  </si>
  <si>
    <t>FBA19B9DBNZN</t>
  </si>
  <si>
    <t>FBA19B9J4G7P</t>
  </si>
  <si>
    <t>FBA19B99ZFNN</t>
  </si>
  <si>
    <t>FBA19B9H68HL</t>
  </si>
  <si>
    <t>FBA19B9JXN9Y</t>
  </si>
  <si>
    <t>FBA19B9LV936</t>
  </si>
  <si>
    <t>FBA19B9MK853</t>
  </si>
  <si>
    <t>FBA19B9HTZWH</t>
  </si>
  <si>
    <t>易·17日达卡派包税</t>
  </si>
  <si>
    <t>FBA19B9KLQR2</t>
  </si>
  <si>
    <t>FBA19B9KV4W8</t>
  </si>
  <si>
    <t>FBA19B9KWFNT</t>
  </si>
  <si>
    <t>FBA19B9MWP8W</t>
  </si>
  <si>
    <t>FBA19B98LXMY</t>
  </si>
  <si>
    <t>FBA19B9B4N3T</t>
  </si>
  <si>
    <t>FBA19B9DFPNJ</t>
  </si>
  <si>
    <t>FBA19B9FTZG0</t>
  </si>
  <si>
    <t>FBA19B9H955L</t>
  </si>
  <si>
    <t>FBA19B9B24JN</t>
  </si>
  <si>
    <t>FBA19B9CK14Y</t>
  </si>
  <si>
    <t>FBA19B9FYP6F</t>
  </si>
  <si>
    <t>FBA19B9GJWNH</t>
  </si>
  <si>
    <t>FBA19B9M8ZX7</t>
  </si>
  <si>
    <t>FBA19B9BP89S</t>
  </si>
  <si>
    <t>FBA19B9BRYW3</t>
  </si>
  <si>
    <t>FBA19B9G8LJJ</t>
  </si>
  <si>
    <t>FBA19B9JL710</t>
  </si>
  <si>
    <t>FBA19B9JLS13</t>
  </si>
  <si>
    <t>FBA19B99RHV9</t>
  </si>
  <si>
    <t>FBA19B99Y5Y0</t>
  </si>
  <si>
    <t>FBA19B9CKB40</t>
  </si>
  <si>
    <t>FBA19B9FTRZC</t>
  </si>
  <si>
    <t>FBA19B9LR4D5</t>
  </si>
  <si>
    <t>FBA19B9BCYM3</t>
  </si>
  <si>
    <t>FBA19B9BQ3R4</t>
  </si>
  <si>
    <t>FBA19B9BRK2Z</t>
  </si>
  <si>
    <t>FBA19B9J6W9S</t>
  </si>
  <si>
    <t>FBA19B9K5YYD</t>
  </si>
  <si>
    <t>STAR-SGRSRJXJ5AXH6</t>
  </si>
  <si>
    <t>易·20日达卡派包税</t>
  </si>
  <si>
    <t>STAR-QTXJBXSREVPEX</t>
  </si>
  <si>
    <t>STAR-Q3R4MSESAKYYE</t>
  </si>
  <si>
    <t>FBA19BBJJYZZ</t>
  </si>
  <si>
    <t>FBA19BBJTN0Z</t>
  </si>
  <si>
    <t>FBA19BCD6K50</t>
  </si>
  <si>
    <t>FBA19BCK1534</t>
  </si>
  <si>
    <t>FBA19BCNSDZ4</t>
  </si>
  <si>
    <t>FBA19BCSSJDG</t>
  </si>
  <si>
    <t>FBA19BH4LY2F</t>
  </si>
  <si>
    <t>FBA19BH9P9TQ</t>
  </si>
  <si>
    <t>FBA19BK71RF0</t>
  </si>
  <si>
    <t>FBA19BK8ZMV1</t>
  </si>
  <si>
    <t>FBA199V5RY1X</t>
  </si>
  <si>
    <t>FBA199V75LLX</t>
  </si>
  <si>
    <t>FBA199V6P02W</t>
  </si>
  <si>
    <t>FBA19BMDXS4G</t>
  </si>
  <si>
    <t>FBA19BMH59RZ</t>
  </si>
  <si>
    <t>FBA19BN93QBK</t>
  </si>
  <si>
    <t>FBA19BPQ80GJ</t>
  </si>
  <si>
    <t>FBA19BPHM23P</t>
  </si>
  <si>
    <t>FBA19BPNKNB3</t>
  </si>
  <si>
    <t>FBA19BPN5XM8</t>
  </si>
  <si>
    <t>FBA19BPSYY3H</t>
  </si>
  <si>
    <t>FBA19BPTKPWZ</t>
  </si>
  <si>
    <t>FBA19BPPP3WX</t>
  </si>
  <si>
    <t>FBA19BPTLQP4</t>
  </si>
  <si>
    <t>洛杉矶快线-组合（计重）</t>
  </si>
  <si>
    <t>FBA19BPNPZL1</t>
  </si>
  <si>
    <t>FBA19BPVGYDM</t>
  </si>
  <si>
    <t>FBA19BPRNTXS</t>
  </si>
  <si>
    <t>FBA19BPSB88B</t>
  </si>
  <si>
    <t>FBA19BPP4M3R</t>
  </si>
  <si>
    <t>FBA19BPQ9MQL</t>
  </si>
  <si>
    <t>FBA19BPMVTQ8</t>
  </si>
  <si>
    <t>FBA19BPRFRS7</t>
  </si>
  <si>
    <t>FBA19BPRVNGK</t>
  </si>
  <si>
    <t>FBA19BPSX03H</t>
  </si>
  <si>
    <t>FBA19BPSG96W</t>
  </si>
  <si>
    <t>FBA19BPPRWZ9</t>
  </si>
  <si>
    <t>FBA19BPRPQL6</t>
  </si>
  <si>
    <t>FBA19BPR4SKQ</t>
  </si>
  <si>
    <t>FBA19BPTLQRQ</t>
  </si>
  <si>
    <t>FBA19BPSXNN8</t>
  </si>
  <si>
    <t>FBA19BPT2V6P</t>
  </si>
  <si>
    <t>FBA19BPS35LN</t>
  </si>
  <si>
    <t>FBA19BPS2Z77</t>
  </si>
  <si>
    <t>FBA19BPSXNYY</t>
  </si>
  <si>
    <t>FBA19BPZ82N0</t>
  </si>
  <si>
    <t>FBA19BPR2609</t>
  </si>
  <si>
    <t>FBA19BPNV1TL</t>
  </si>
  <si>
    <t>FBA19BPTMZT1</t>
  </si>
  <si>
    <t>FBA19BPR73WN</t>
  </si>
  <si>
    <t>FBA19BPPDJJH</t>
  </si>
  <si>
    <t>FBA19BPYR5Z3</t>
  </si>
  <si>
    <t>FBA19BPV2XMH</t>
  </si>
  <si>
    <t>FBA19BPS1C8V</t>
  </si>
  <si>
    <t>FBA19BPSL963</t>
  </si>
  <si>
    <t>FBA19BPSYY26</t>
  </si>
  <si>
    <t>FBA19BPRPGVV</t>
  </si>
  <si>
    <t>FBA19BPTLB4R</t>
  </si>
  <si>
    <t>FBA19BPMV087</t>
  </si>
  <si>
    <t>FBA19BPRK52R</t>
  </si>
  <si>
    <t>FBA19BPQW6YJ</t>
  </si>
  <si>
    <t>FBA19BPWLPFC</t>
  </si>
  <si>
    <t>FBA19BPT3GHR</t>
  </si>
  <si>
    <t>FBA19BPSPMN6</t>
  </si>
  <si>
    <t>FBA19BPPGRL4</t>
  </si>
  <si>
    <t>FBA19BPRQNVY</t>
  </si>
  <si>
    <t>FBA19BPNQ7HV</t>
  </si>
  <si>
    <t>FBA19BPRN665</t>
  </si>
  <si>
    <t>FBA19BPV9DBF</t>
  </si>
  <si>
    <t>FBA19BPRM657</t>
  </si>
  <si>
    <t>FBA19BPWM51X</t>
  </si>
  <si>
    <t>FBA19BPTJ5P3</t>
  </si>
  <si>
    <t>FBA19BPSX65W</t>
  </si>
  <si>
    <t>FBA19BPTPVT3</t>
  </si>
  <si>
    <t>FBA19BPT7WX3</t>
  </si>
  <si>
    <t>FBA19BPV22MP</t>
  </si>
  <si>
    <t>FBA19BPNX87W</t>
  </si>
  <si>
    <t>FBA19BPRP934</t>
  </si>
  <si>
    <t>FBA19BPV9DFN</t>
  </si>
  <si>
    <t>FBA19BPT81V0</t>
  </si>
  <si>
    <t>FBA19BPTYLXB</t>
  </si>
  <si>
    <t>FBA19BPYY1F8</t>
  </si>
  <si>
    <t>FBA19BPQZ6CP</t>
  </si>
  <si>
    <t>FBA19BPTG3DV</t>
  </si>
  <si>
    <t>FBA19BPRFG1Y</t>
  </si>
  <si>
    <t>FBA19BPQ1F0G</t>
  </si>
  <si>
    <t>FBA19BPPLJQR</t>
  </si>
  <si>
    <t>FBA19BPQ1DZT</t>
  </si>
  <si>
    <t>FBA19BPQNYTG</t>
  </si>
  <si>
    <t>FBA19BPMQXDM</t>
  </si>
  <si>
    <t>FBA19BPWK7SH</t>
  </si>
  <si>
    <t>FBA19BPTHYHJ</t>
  </si>
  <si>
    <t>FBA19BPQBQQ4</t>
  </si>
  <si>
    <t>FBA19BPX1ZF8</t>
  </si>
  <si>
    <t>FBA19BPT9G5W</t>
  </si>
  <si>
    <t>FBA19BPT2QDM</t>
  </si>
  <si>
    <t>FBA19BPX1ZK4</t>
  </si>
  <si>
    <t>FBA19BPRFS64</t>
  </si>
  <si>
    <t>FBA19BPQ1H7H</t>
  </si>
  <si>
    <t>FBA19BPX5Q14</t>
  </si>
  <si>
    <t>FBA19BPS8KFX</t>
  </si>
  <si>
    <t>STAR-UC6TVYPU2RMU4</t>
  </si>
  <si>
    <t>STAR-SPWHR5D5NUJPW</t>
  </si>
  <si>
    <t>STAR-WWNW5WAS3AE7U</t>
  </si>
  <si>
    <t>STAR-UVAFTS52VNPHX</t>
  </si>
  <si>
    <t>STAR-SUXZ2KSMWYWZC</t>
  </si>
  <si>
    <t>STAR-T4ZDC5WPXXMGK</t>
  </si>
  <si>
    <t>STAR-RWZDSHYRTDVBX</t>
  </si>
  <si>
    <t>STAR-V3DESMC6EXZ3Q</t>
  </si>
  <si>
    <t>STAR-T7DSJW22W3PNE</t>
  </si>
  <si>
    <t>STAR-SQSQVWWRWQBGU</t>
  </si>
  <si>
    <t>STAR-WY7VK2ABZTW2A</t>
  </si>
  <si>
    <t>STAR-UUEEEE4TXB33A</t>
  </si>
  <si>
    <t>STAR-SWVRYGC3R2774</t>
  </si>
  <si>
    <t>STAR-WB7AWGWMYHESU</t>
  </si>
  <si>
    <t>合德</t>
  </si>
  <si>
    <t>稳速宝-组合（计方包税）（计方）</t>
  </si>
  <si>
    <t>FBA19BRJXT81</t>
  </si>
  <si>
    <t>FBA19BRKR2KM</t>
  </si>
  <si>
    <t>STAR-SXC2V7GW4RY74</t>
  </si>
  <si>
    <t>STAR-RP6HSYFUDE25X</t>
  </si>
  <si>
    <t>STAR-QFAZ5EW7PVDQA</t>
  </si>
  <si>
    <t>STAR-RTGYWUM2N4VAQ</t>
  </si>
  <si>
    <t>STAR-X563XEXDW77QY</t>
  </si>
  <si>
    <t>STAR-U7E6UBYPX3KZC</t>
  </si>
  <si>
    <t>STAR-RXGX67YCTRSYW</t>
  </si>
  <si>
    <t>FBA19C13MY9M</t>
  </si>
  <si>
    <t>FBA19C10J5D6</t>
  </si>
  <si>
    <t>FBA19C0WHCK0</t>
  </si>
  <si>
    <t>FBA19BVYKYWR</t>
  </si>
  <si>
    <t>FBA19BW0K1RF</t>
  </si>
  <si>
    <t>FBA19BW5WT7Z</t>
  </si>
  <si>
    <t>FBA19BWF9F8P</t>
  </si>
  <si>
    <t>FBA19BYKS6CS</t>
  </si>
  <si>
    <t>FBA19C1030PH</t>
  </si>
  <si>
    <t>FBA19C0WNLY6</t>
  </si>
  <si>
    <t>FBA19C3C9KKR</t>
  </si>
  <si>
    <t>FBA19C3GT107</t>
  </si>
  <si>
    <t>普船亚马逊自提</t>
  </si>
  <si>
    <t>FBA19C3FKB1J</t>
  </si>
  <si>
    <t>FBA19C38H6XB</t>
  </si>
  <si>
    <t>MEM1</t>
  </si>
  <si>
    <t>FBA19C3GXTPM</t>
  </si>
  <si>
    <t>FBA19C3FCFX2</t>
  </si>
  <si>
    <t>FBA19C3CNLHR</t>
  </si>
  <si>
    <t>FBA19C3M51GX</t>
  </si>
  <si>
    <t>FBA19C3H3GM6</t>
  </si>
  <si>
    <t>FBA19C3JT6J4</t>
  </si>
  <si>
    <t>FBA19C3FYGVT</t>
  </si>
  <si>
    <t>FBA19C3DJ4S1</t>
  </si>
  <si>
    <t>FBA19C3KBR5D</t>
  </si>
  <si>
    <t>FBA19C3FYQKJ</t>
  </si>
  <si>
    <t>FBA19C3FS00N</t>
  </si>
  <si>
    <t>FBA19C3K0L2N</t>
  </si>
  <si>
    <t>FBA19C3F6N2J</t>
  </si>
  <si>
    <t>FBA19C3H4SK7</t>
  </si>
  <si>
    <t>FBA19C3Q02CD</t>
  </si>
  <si>
    <t>FBA19C3F2J79</t>
  </si>
  <si>
    <t>FBA19C3JT6HH</t>
  </si>
  <si>
    <t>FBA19C3DVV67</t>
  </si>
  <si>
    <t>FBA19C3KBR61</t>
  </si>
  <si>
    <t>FBA19C3HBZT7</t>
  </si>
  <si>
    <t>FBA19C3FPYJX</t>
  </si>
  <si>
    <t>FBA19C3KXC9Q</t>
  </si>
  <si>
    <t>FBA19C3F6N17</t>
  </si>
  <si>
    <t>FBA19C3FBW0W</t>
  </si>
  <si>
    <t>FBA19C3DZ6HS</t>
  </si>
  <si>
    <t>FBA19C3M51DZ</t>
  </si>
  <si>
    <t>FBA19C3DZRFY</t>
  </si>
  <si>
    <t>FBA19C3DJN7D</t>
  </si>
  <si>
    <t>FBA19C3FG8Y3</t>
  </si>
  <si>
    <t>FBA19C3MXLP1</t>
  </si>
  <si>
    <t>FBA19C3D7S04</t>
  </si>
  <si>
    <t>FBA19C3FZHYN</t>
  </si>
  <si>
    <t>FBA19C3BJ7L6</t>
  </si>
  <si>
    <t>FBA19C3FPT0X</t>
  </si>
  <si>
    <t>FBA19C3H2Y65</t>
  </si>
  <si>
    <t>FBA19C3H2LDB</t>
  </si>
  <si>
    <t>FBA19C3H3GKX</t>
  </si>
  <si>
    <t>FBA19C3JXWS2</t>
  </si>
  <si>
    <t>FBA19C3FK62Y</t>
  </si>
  <si>
    <t>FBA19C3KB938</t>
  </si>
  <si>
    <t>FBA19C3H9YX6</t>
  </si>
  <si>
    <t>FBA19C3G0DBP</t>
  </si>
  <si>
    <t>FBA19C3GYH09</t>
  </si>
  <si>
    <t>FBA19C3DLY53</t>
  </si>
  <si>
    <t>FBA19C3DS8SY</t>
  </si>
  <si>
    <t>FBA19C3KQF7X</t>
  </si>
  <si>
    <t>FBA19C3K712N</t>
  </si>
  <si>
    <t>FBA19C3H3GK8</t>
  </si>
  <si>
    <t>FBA19C3GKCN5</t>
  </si>
  <si>
    <t>FBA19C3C3NSY</t>
  </si>
  <si>
    <t>FBA19C3FJ6DB</t>
  </si>
  <si>
    <t>FBA19C3F8XMM</t>
  </si>
  <si>
    <t>FBA19C3DYS93</t>
  </si>
  <si>
    <t>FBA19C3PBCRQ</t>
  </si>
  <si>
    <t>FBA19C3KCB9Z</t>
  </si>
  <si>
    <t>FBA19C3HD9NP</t>
  </si>
  <si>
    <t>FBA19C3GZ0BR</t>
  </si>
  <si>
    <t>FBA19C3F565X</t>
  </si>
  <si>
    <t>FBA19C3FK629</t>
  </si>
  <si>
    <t>FBA19C3HLW52</t>
  </si>
  <si>
    <t>FBA19C3DVYHT</t>
  </si>
  <si>
    <t>FBA19C3FDB1C</t>
  </si>
  <si>
    <t>FBA19C3F79FH</t>
  </si>
  <si>
    <t>FBA19C3M9SMV</t>
  </si>
  <si>
    <t>FBA19C3F52F4</t>
  </si>
  <si>
    <t>FBA19C3FGVN4</t>
  </si>
  <si>
    <t>FBA19C3FJ6DZ</t>
  </si>
  <si>
    <t>FBA19C3FTC7P</t>
  </si>
  <si>
    <t>FBA19C3CY3HM</t>
  </si>
  <si>
    <t>FBA19C3DDW4Q</t>
  </si>
  <si>
    <t>FBA19C3KFDQ3</t>
  </si>
  <si>
    <t>FBA19C3BJ22W</t>
  </si>
  <si>
    <t>FBA19C3F6N35</t>
  </si>
  <si>
    <t>FBA19C3HBG8B</t>
  </si>
  <si>
    <t>FBA19C3KVB1F</t>
  </si>
  <si>
    <t>FBA19C3H7P7W</t>
  </si>
  <si>
    <t>FBA19C3N1MXM</t>
  </si>
  <si>
    <t>STAR-RDXZ7FSYEZFWE</t>
  </si>
  <si>
    <t>STAR-RFFCEDMDEDPDC</t>
  </si>
  <si>
    <t>STAR-SB5YSEUEK3XYY</t>
  </si>
  <si>
    <t>STAR-SR3SED2G3XHGQ</t>
  </si>
  <si>
    <t>STAR-TREKWHWK2TCWE</t>
  </si>
  <si>
    <t>STAR-U7NHX5GS2ZZDG</t>
  </si>
  <si>
    <t>STAR-US5D2JDYVKKWS</t>
  </si>
  <si>
    <t>STAR-UWTC5ZQKYU7CX</t>
  </si>
  <si>
    <t>STAR-VWCRX2ZBXYAT2</t>
  </si>
  <si>
    <t>STAR-WPZPEWYTPC62G</t>
  </si>
  <si>
    <t>STAR-WT2YX6X7M5UGX</t>
  </si>
  <si>
    <t>FBA19C5H8D55</t>
  </si>
  <si>
    <t>FBA19C5KRKS4</t>
  </si>
  <si>
    <t>FBA19C5MZPS1</t>
  </si>
  <si>
    <t>FBA19C5S6LSR</t>
  </si>
  <si>
    <t>FBA19C5VVJHQ</t>
  </si>
  <si>
    <t>FBA19C9Q7624</t>
  </si>
  <si>
    <t>香港UPS 6000</t>
  </si>
  <si>
    <t>FBA19C9PLYN3</t>
  </si>
  <si>
    <t>FBA19C9PT6BM</t>
  </si>
  <si>
    <t>FBA19C9S6DYZ</t>
  </si>
  <si>
    <t>FBA19C9SYN1K</t>
  </si>
  <si>
    <t>FBA19C9VYD86</t>
  </si>
  <si>
    <t>FBA19C9VZ12D</t>
  </si>
  <si>
    <t>STAR-QNYKEJMU6U364</t>
  </si>
  <si>
    <t>STAR-RSWPA4CGTPKR2</t>
  </si>
  <si>
    <t>STAR-XHUXJGEJNXSJW</t>
  </si>
  <si>
    <t>STAR-TWAQ4A2VWEHHS</t>
  </si>
  <si>
    <t>STAR-XUWSCJW3NUSY4</t>
  </si>
  <si>
    <t>STAR-WY5TV46Q76YYW</t>
  </si>
  <si>
    <t>STAR-QWQFNQCH6ARPC</t>
  </si>
  <si>
    <t>FBA19CGF8TH5</t>
  </si>
  <si>
    <t>FBA19CGFJ5GX</t>
  </si>
  <si>
    <t>FBA19CHXXPJD</t>
  </si>
  <si>
    <t>FBA19CJ0GG4Q</t>
  </si>
  <si>
    <t>FBA19CK9T171</t>
  </si>
  <si>
    <t>FBA19CK2GTJ6</t>
  </si>
  <si>
    <t>FBA19CKHLVGB</t>
  </si>
  <si>
    <t>FBA19CK9WDTB</t>
  </si>
  <si>
    <t>FBA19CK9NVY9</t>
  </si>
  <si>
    <t>FBA19CHD5QDS</t>
  </si>
  <si>
    <t>FBA19CHD6SL5</t>
  </si>
  <si>
    <t>FBA19CHV292V</t>
  </si>
  <si>
    <t>FBA19CHV35MD</t>
  </si>
  <si>
    <t>FBA19CJ5K65P</t>
  </si>
  <si>
    <t>FBA19CHV2KXD</t>
  </si>
  <si>
    <t>FBA19CHZ4T3F</t>
  </si>
  <si>
    <t>FBA19CHZ9ZLX</t>
  </si>
  <si>
    <t>FBA19CHZQ10D</t>
  </si>
  <si>
    <t>FBA19CJ2V538</t>
  </si>
  <si>
    <t>FBA19CHD3K94</t>
  </si>
  <si>
    <t>FBA19CHQ6KDX</t>
  </si>
  <si>
    <t>FBA19CHV220H</t>
  </si>
  <si>
    <t>FBA19CHV2M8Z</t>
  </si>
  <si>
    <t>FBA19CHZVNS5</t>
  </si>
  <si>
    <t>FBA19CHQ3J3P</t>
  </si>
  <si>
    <t>FBA19CHQ4ZQW</t>
  </si>
  <si>
    <t>FBA19CHV0KWT</t>
  </si>
  <si>
    <t>FBA19CHYFTQV</t>
  </si>
  <si>
    <t>FBA19CJ25467</t>
  </si>
  <si>
    <t>FBA19CHD284M</t>
  </si>
  <si>
    <t>FBA19CHQ55CQ</t>
  </si>
  <si>
    <t>FBA19CHW01HD</t>
  </si>
  <si>
    <t>FBA19CHZN8LY</t>
  </si>
  <si>
    <t>FBA19CHZWB8N</t>
  </si>
  <si>
    <t>FBA19CHC2F0M</t>
  </si>
  <si>
    <t>FBA19CHQ2D0Y</t>
  </si>
  <si>
    <t>FBA19CHTZXN2</t>
  </si>
  <si>
    <t>FBA19CHYK9FK</t>
  </si>
  <si>
    <t>FBA19CJ028FP</t>
  </si>
  <si>
    <t>FBA19CK9BJS4</t>
  </si>
  <si>
    <t>FBA19CKQY0QN</t>
  </si>
  <si>
    <t>FBA19CK21L6V</t>
  </si>
  <si>
    <t>FBA19CK3B7XH</t>
  </si>
  <si>
    <t>FBA19CK91ZRN</t>
  </si>
  <si>
    <t>FBA19CHW54T4</t>
  </si>
  <si>
    <t>FBA19CHYBBR3</t>
  </si>
  <si>
    <t>FBA19CJ2L1YG</t>
  </si>
  <si>
    <t>FBA19CJ2QXDB</t>
  </si>
  <si>
    <t>FBA19CJ608T5</t>
  </si>
  <si>
    <t>FBA19CK9BHWD</t>
  </si>
  <si>
    <t>FBA19CK904WF</t>
  </si>
  <si>
    <t>FBA19CK4SLTQ</t>
  </si>
  <si>
    <t>FBA19CKMXFF0</t>
  </si>
  <si>
    <t>FBA19CK8HDTR</t>
  </si>
  <si>
    <t>FBA19CK6K7T8</t>
  </si>
  <si>
    <t>FBA19CK91KH1</t>
  </si>
  <si>
    <t>FBA19CKFZBCY</t>
  </si>
  <si>
    <t>FBA19CK47L9T</t>
  </si>
  <si>
    <t>FBA19CK8429Z</t>
  </si>
  <si>
    <t>FBA19CK20Y9F</t>
  </si>
  <si>
    <t>FBA19CK734MZ</t>
  </si>
  <si>
    <t>FBA19CK8VDX9</t>
  </si>
  <si>
    <t>FBA19CKGRLL0</t>
  </si>
  <si>
    <t>FBA19CKQX6N7</t>
  </si>
  <si>
    <t>FBA19CK05ZP7</t>
  </si>
  <si>
    <t>FBA19CKQ11M0</t>
  </si>
  <si>
    <t>FBA19CKG8QSH</t>
  </si>
  <si>
    <t>FBA19CKC8VZ8</t>
  </si>
  <si>
    <t>FBA19CK9NLB6</t>
  </si>
  <si>
    <t>FBA19CK21P7D</t>
  </si>
  <si>
    <t>FBA19CK221VD</t>
  </si>
  <si>
    <t>FBA19CK8KQWY</t>
  </si>
  <si>
    <t>FBA19CK88VMD</t>
  </si>
  <si>
    <t>FBA19CK79RH9</t>
  </si>
  <si>
    <t>FBA19CKMWKQ8</t>
  </si>
  <si>
    <t>FBA19CK8RX5M</t>
  </si>
  <si>
    <t>FBA19CKGRLFH</t>
  </si>
  <si>
    <t>FBA19CKQPD3T</t>
  </si>
  <si>
    <t>FBA19CK61LJD</t>
  </si>
  <si>
    <t>FBA19CK1YV2H</t>
  </si>
  <si>
    <t>FBA19CK47L5Y</t>
  </si>
  <si>
    <t>FBA19CK6VZR8</t>
  </si>
  <si>
    <t>FBA19CK95NGT</t>
  </si>
  <si>
    <t>FBA19CK6JQDW</t>
  </si>
  <si>
    <t>FBA19CKQ4J8F</t>
  </si>
  <si>
    <t>FBA19CKDG3G0</t>
  </si>
  <si>
    <t>FBA19CKMRX0R</t>
  </si>
  <si>
    <t>FBA19CK2DF88</t>
  </si>
  <si>
    <t>FBA19CKHLXFM</t>
  </si>
  <si>
    <t>FBA19CKCSCM8</t>
  </si>
  <si>
    <t>FBA19CK5J3SH</t>
  </si>
  <si>
    <t>FBA19CK4YXX4</t>
  </si>
  <si>
    <t>FBA19CKD1CX1</t>
  </si>
  <si>
    <t>FBA19CK21L5K</t>
  </si>
  <si>
    <t>FBA19CKD6KXN</t>
  </si>
  <si>
    <t>FBA19CK9FJDR</t>
  </si>
  <si>
    <t>FBA19CK48WGZ</t>
  </si>
  <si>
    <t>FBA19CK4R08L</t>
  </si>
  <si>
    <t>FBA19CKG1KPZ</t>
  </si>
  <si>
    <t>FBA19CK25CTN</t>
  </si>
  <si>
    <t>FBA19CK863N6</t>
  </si>
  <si>
    <t>FBA19CKQPD7P</t>
  </si>
  <si>
    <t>FBA19CK6V4RG</t>
  </si>
  <si>
    <t>FBA19CK23LJG</t>
  </si>
  <si>
    <t>成本类型</t>
  </si>
  <si>
    <t>开售时间</t>
  </si>
  <si>
    <t>出货时间</t>
  </si>
  <si>
    <t>单品毛重</t>
  </si>
  <si>
    <t>总重量</t>
  </si>
  <si>
    <t>分摊总费用</t>
  </si>
  <si>
    <t>货件单号</t>
  </si>
  <si>
    <t>国家</t>
  </si>
  <si>
    <t>货件名称</t>
  </si>
  <si>
    <t>标签类型</t>
  </si>
  <si>
    <t>装箱方式</t>
  </si>
  <si>
    <t>货件类型</t>
  </si>
  <si>
    <t>承运人</t>
  </si>
  <si>
    <t>跟踪编号</t>
  </si>
  <si>
    <t>货件状态</t>
  </si>
  <si>
    <t>WORKING状态变更时间</t>
  </si>
  <si>
    <t>SHIPPED状态变更时间</t>
  </si>
  <si>
    <t>RECEIVING状态变更时间</t>
  </si>
  <si>
    <t>CLOSED状态变更时间</t>
  </si>
  <si>
    <t>货件实际状态</t>
  </si>
  <si>
    <t>Reference ID</t>
  </si>
  <si>
    <t>创建人</t>
  </si>
  <si>
    <t>创建时间</t>
  </si>
  <si>
    <t>更新时间</t>
  </si>
  <si>
    <t>发货单</t>
  </si>
  <si>
    <t>到货时间</t>
  </si>
  <si>
    <t>实际发货时间</t>
  </si>
  <si>
    <t>备注</t>
  </si>
  <si>
    <t>当前步骤</t>
  </si>
  <si>
    <t>送达时段(开始时间)</t>
  </si>
  <si>
    <t>送达时段(结束时间)</t>
  </si>
  <si>
    <t>MSKU</t>
  </si>
  <si>
    <t>FNSKU</t>
  </si>
  <si>
    <t>ASIN</t>
  </si>
  <si>
    <t>父ASIN</t>
  </si>
  <si>
    <t>品名</t>
  </si>
  <si>
    <t>SKU</t>
  </si>
  <si>
    <t>已发货</t>
  </si>
  <si>
    <t>签收量</t>
  </si>
  <si>
    <t>签收明细</t>
  </si>
  <si>
    <t>申发差异</t>
  </si>
  <si>
    <t>收发差异</t>
  </si>
  <si>
    <t>申收差异</t>
  </si>
  <si>
    <t>美国</t>
  </si>
  <si>
    <t>SZH-4.29-DX-红单-1-12.7-LBE1</t>
  </si>
  <si>
    <t>卖家自己贴标签</t>
  </si>
  <si>
    <t>每箱一款SKU</t>
  </si>
  <si>
    <t>STA</t>
  </si>
  <si>
    <t>Other</t>
  </si>
  <si>
    <t>RECEIVING</t>
  </si>
  <si>
    <t>2026-04-29 18:47</t>
  </si>
  <si>
    <t>2026-04-30 10:31</t>
  </si>
  <si>
    <t>2026-05-12 05:15</t>
  </si>
  <si>
    <t>-</t>
  </si>
  <si>
    <t>进行中</t>
  </si>
  <si>
    <t>4BIY9SNC</t>
  </si>
  <si>
    <t>夏筱宇</t>
  </si>
  <si>
    <t>2026-05-20 22:00</t>
  </si>
  <si>
    <t>SP260429029</t>
  </si>
  <si>
    <t>2026-05-14</t>
  </si>
  <si>
    <t>2026-05-10</t>
  </si>
  <si>
    <t>2026-05-17</t>
  </si>
  <si>
    <t>DX06010</t>
  </si>
  <si>
    <t>X004ZDWHJV</t>
  </si>
  <si>
    <t>B0GHQ9TSJD</t>
  </si>
  <si>
    <t>B0FZ9Q887G</t>
  </si>
  <si>
    <t>【DX06010】-玫瑰金17岁流苏花球套装-定行（点胶固定）</t>
  </si>
  <si>
    <t>2026-05-11 | 50
2026-05-20 | -1
2026-05-21 | -1</t>
  </si>
  <si>
    <t>LRV-4.29-SYC-红单-1-21.7-LBE1</t>
  </si>
  <si>
    <t>每箱多款SKU</t>
  </si>
  <si>
    <t>2026-04-30 10:21</t>
  </si>
  <si>
    <t>2026-05-12 05:42</t>
  </si>
  <si>
    <t>已完成</t>
  </si>
  <si>
    <t>5XHBMAVC</t>
  </si>
  <si>
    <t>吴沛文</t>
  </si>
  <si>
    <t>2026-05-13 04:35</t>
  </si>
  <si>
    <t>SP260429030</t>
  </si>
  <si>
    <t>SYC607</t>
  </si>
  <si>
    <t>X004ZJARPV</t>
  </si>
  <si>
    <t>B0GJD11PM1</t>
  </si>
  <si>
    <t>【SYC607】-香槟金60岁流苏花球套装-思业成（点胶固定）</t>
  </si>
  <si>
    <t>2026-05-11 | 28</t>
  </si>
  <si>
    <t>SYC594</t>
  </si>
  <si>
    <t>X004Y858FR</t>
  </si>
  <si>
    <t>B0G77D8686</t>
  </si>
  <si>
    <t>2026-【SYC594】-黑金60岁年份生日音乐贺卡-思业成</t>
  </si>
  <si>
    <t>2026-05-11 | 40
2026-05-12 | 9
2026-05-17 | -2
2026-05-18 | -1</t>
  </si>
  <si>
    <t>SYC617</t>
  </si>
  <si>
    <t>X004ZVB9SN</t>
  </si>
  <si>
    <t>B0GKRV389P</t>
  </si>
  <si>
    <t>【SYC617】-玫瑰金无岁数生日音乐贺卡-思业成</t>
  </si>
  <si>
    <t>2026-05-11 | 100
2026-05-14 | 9
2026-05-18 | -1</t>
  </si>
  <si>
    <t>未开售</t>
  </si>
  <si>
    <t>GUY-4.29-YS-空派-2-39.1-HGR6</t>
  </si>
  <si>
    <t>2026-04-29 14:08</t>
  </si>
  <si>
    <t>2026-04-29 20:17</t>
  </si>
  <si>
    <t>2026-05-16 20:36</t>
  </si>
  <si>
    <t>3LUNMKVH</t>
  </si>
  <si>
    <t>2026-05-21 14:00</t>
  </si>
  <si>
    <t>SP260429028</t>
  </si>
  <si>
    <t>2026-05-25</t>
  </si>
  <si>
    <t>4-箱子标签</t>
  </si>
  <si>
    <t>2026-05-03</t>
  </si>
  <si>
    <t>YS06716</t>
  </si>
  <si>
    <t>X00531EHLZ</t>
  </si>
  <si>
    <t>B0GX6LJQMT</t>
  </si>
  <si>
    <t>B0GYR1DYNG</t>
  </si>
  <si>
    <t>【YS06716】-玫瑰金16岁甜蜜套装-艺胜（铝箔气球+乳胶气球一起抽真空）</t>
  </si>
  <si>
    <t>2026-05-20 | 160</t>
  </si>
  <si>
    <t>YS06718</t>
  </si>
  <si>
    <t>X00531CBNL</t>
  </si>
  <si>
    <t>B0GX6RXM64</t>
  </si>
  <si>
    <t>【YS06718】-玫瑰金21岁告别假身份证套装-艺胜（铝箔气球+乳胶气球一起抽真空）</t>
  </si>
  <si>
    <t>2026-05-16 | 160</t>
  </si>
  <si>
    <t>VVR-4.29-JY-空派-1-12.75-HGR6</t>
  </si>
  <si>
    <t>2026-04-29 20:26</t>
  </si>
  <si>
    <t>2026-05-16 20:22</t>
  </si>
  <si>
    <t>2BEU2BIF</t>
  </si>
  <si>
    <t>2026-05-17 20:06</t>
  </si>
  <si>
    <t>SP260429027</t>
  </si>
  <si>
    <t>2026-05-20</t>
  </si>
  <si>
    <t>JY01172</t>
  </si>
  <si>
    <t>X0049P43R9</t>
  </si>
  <si>
    <t>B0D69CK8J9</t>
  </si>
  <si>
    <t>B0GZMYC85S</t>
  </si>
  <si>
    <t>2406-【JY01172】-鲜花女孩婴儿沐浴签名本-进益</t>
  </si>
  <si>
    <t>2026-05-16 | 45
2026-05-18 | 1</t>
  </si>
  <si>
    <t>JY01313</t>
  </si>
  <si>
    <t>X004Z7O3KN</t>
  </si>
  <si>
    <t>B0GGZD2YH1</t>
  </si>
  <si>
    <t>2026-【JY01313】-蓝银18岁年份金葱纸套装-进益（点胶固定）</t>
  </si>
  <si>
    <t>2026-05-16 | 80</t>
  </si>
  <si>
    <t>GWV-4.27-PT-红单-2-29.2-LBE1</t>
  </si>
  <si>
    <t>1ZA5F5470435931006</t>
  </si>
  <si>
    <t>2026-04-27 16:49</t>
  </si>
  <si>
    <t>2026-04-28 00:34</t>
  </si>
  <si>
    <t>2026-05-06 08:15</t>
  </si>
  <si>
    <t>5F3FLNJO</t>
  </si>
  <si>
    <t>2026-05-07 08:06</t>
  </si>
  <si>
    <t>SP260427025</t>
  </si>
  <si>
    <t>2026-05-11</t>
  </si>
  <si>
    <t>PT53624</t>
  </si>
  <si>
    <t>X0052TD30J</t>
  </si>
  <si>
    <t>B0GX9L3FJB</t>
  </si>
  <si>
    <t>B0GYRHXDS5</t>
  </si>
  <si>
    <t>【PT53624】-玫瑰金色16岁年份灯饰横幅-拼途（点胶固定）</t>
  </si>
  <si>
    <t>2026-05-05 | 120</t>
  </si>
  <si>
    <t>PT53625</t>
  </si>
  <si>
    <t>X0052TLIJH</t>
  </si>
  <si>
    <t>B0GX9TNX3S</t>
  </si>
  <si>
    <t>【PT53625】-玫瑰金40岁年份灯饰横幅-拼途（点胶固定）</t>
  </si>
  <si>
    <t>2026-05-05 | 120
2026-05-06 | 1
2026-05-17 | -1</t>
  </si>
  <si>
    <t>PT53622</t>
  </si>
  <si>
    <t>X0052TCMDX</t>
  </si>
  <si>
    <t>B0GX9M19PV</t>
  </si>
  <si>
    <t>【PT53622】-金色18岁年份灯饰横幅-拼途（点胶固定）</t>
  </si>
  <si>
    <t>2026-05-05 | 140</t>
  </si>
  <si>
    <t>NBQ-4.27-PT-红单-2-24.5-LBE1</t>
  </si>
  <si>
    <t>1ZA5F5470433855816</t>
  </si>
  <si>
    <t>2026-05-09 00:38</t>
  </si>
  <si>
    <t>8B2SWG1Q</t>
  </si>
  <si>
    <t>2026-05-11 13:36</t>
  </si>
  <si>
    <t>SP260427026</t>
  </si>
  <si>
    <t>PT53607</t>
  </si>
  <si>
    <t>X00508ZD41</t>
  </si>
  <si>
    <t>B0GMJGLRKT</t>
  </si>
  <si>
    <t>B0GYRCS5W4</t>
  </si>
  <si>
    <t>【PT53607】-黑色18岁年份灯饰横幅-拼途（点胶固定）</t>
  </si>
  <si>
    <t>2026-05-08 | 50</t>
  </si>
  <si>
    <t>PT53617</t>
  </si>
  <si>
    <t>X0052TEO1L</t>
  </si>
  <si>
    <t>B0GX923R2S</t>
  </si>
  <si>
    <t>【PT53617】-黑色16岁年份灯饰横幅-拼途（点胶固定）</t>
  </si>
  <si>
    <t>2026-05-08 | 140</t>
  </si>
  <si>
    <t>PT53619</t>
  </si>
  <si>
    <t>X0052TET6B</t>
  </si>
  <si>
    <t>B0GX9JZQR7</t>
  </si>
  <si>
    <t>【PT53619】-黑色40岁年份灯饰横幅-拼途（点胶固定）</t>
  </si>
  <si>
    <t>2026-05-08 | 140
2026-05-17 | 2</t>
  </si>
  <si>
    <t>EMH-4.27-DM-空派-1-12.75-HGR6</t>
  </si>
  <si>
    <t>CLOSED</t>
  </si>
  <si>
    <t>2026-04-27 16:47</t>
  </si>
  <si>
    <t>2026-04-27 19:46</t>
  </si>
  <si>
    <t>2026-05-04 22:16</t>
  </si>
  <si>
    <t>2026-05-21 08:23</t>
  </si>
  <si>
    <t>885HZOQM</t>
  </si>
  <si>
    <t>2026-05-22 08:03</t>
  </si>
  <si>
    <t>SP260427031</t>
  </si>
  <si>
    <t>DM21338</t>
  </si>
  <si>
    <t>X00433TARF</t>
  </si>
  <si>
    <t>B0CR6CPJWN</t>
  </si>
  <si>
    <t>2402-【DM21338】-黑金50周年盒子3件套-大卖</t>
  </si>
  <si>
    <t>2026-05-04 | 20</t>
  </si>
  <si>
    <t>DM21233</t>
  </si>
  <si>
    <t>X0036Z78FH</t>
  </si>
  <si>
    <t>B09VXJ1595</t>
  </si>
  <si>
    <t>【DM21233】-绿松石13岁长方形海报-大卖</t>
  </si>
  <si>
    <t>DM21309</t>
  </si>
  <si>
    <t>X003UDRC15</t>
  </si>
  <si>
    <t>B0C6XKK1WF</t>
  </si>
  <si>
    <t>New6-【DM21309】-绿黑无岁数生日漩涡-大卖</t>
  </si>
  <si>
    <t>2026-05-04 | 10</t>
  </si>
  <si>
    <t>FIW-4.27-ZY-空派-1-13.4-HGR6</t>
  </si>
  <si>
    <t>2026-04-27 16:46</t>
  </si>
  <si>
    <t>2026-04-27 19:16</t>
  </si>
  <si>
    <t>2026-05-04 21:50</t>
  </si>
  <si>
    <t>2026-05-21 18:59</t>
  </si>
  <si>
    <t>7BNRSO7G</t>
  </si>
  <si>
    <t>2026-05-22 16:22</t>
  </si>
  <si>
    <t>SP260427030</t>
  </si>
  <si>
    <t>5-货件追踪</t>
  </si>
  <si>
    <t>ZY02288</t>
  </si>
  <si>
    <t>X004Y5DDBV</t>
  </si>
  <si>
    <t>B0G7FD2PVK</t>
  </si>
  <si>
    <t>B0FQJH78TD</t>
  </si>
  <si>
    <t>【ZY02288】-蓝银13岁三角拉旗套装-争艳</t>
  </si>
  <si>
    <t>2026-05-04 | 50</t>
  </si>
  <si>
    <t>ZY02244</t>
  </si>
  <si>
    <t>X004SQPM4R</t>
  </si>
  <si>
    <t>B0FM3ZGZLH</t>
  </si>
  <si>
    <t>【ZY02244】-蓝银16岁三角拉旗套装-争艳</t>
  </si>
  <si>
    <t>ZY02284</t>
  </si>
  <si>
    <t>X004X9XI1X</t>
  </si>
  <si>
    <t>B0G3NRBS4R</t>
  </si>
  <si>
    <t>B0GCZS6V9W</t>
  </si>
  <si>
    <t>2026-【ZY02284】-黑金1976纸巾50件套-争艳</t>
  </si>
  <si>
    <t>2026-05-04 | 30</t>
  </si>
  <si>
    <t>RBJ-4.27-DX-空派-2-32.85-HGR6</t>
  </si>
  <si>
    <t>2026-04-27 19:06</t>
  </si>
  <si>
    <t>2026-05-04 21:37</t>
  </si>
  <si>
    <t>14YDD79Z</t>
  </si>
  <si>
    <t>2026-05-11 11:48</t>
  </si>
  <si>
    <t>SP260427029</t>
  </si>
  <si>
    <t>DX05598</t>
  </si>
  <si>
    <t>X0033JUHR7</t>
  </si>
  <si>
    <t>B09NBWF592</t>
  </si>
  <si>
    <t>B0C3CVFMLV</t>
  </si>
  <si>
    <t>【DX05598】-粉色闪光水晶17岁海报-定行</t>
  </si>
  <si>
    <t>2026-05-04 | 45</t>
  </si>
  <si>
    <t>2026-05-04 | 50
2026-05-10 | -1</t>
  </si>
  <si>
    <t>DX06019</t>
  </si>
  <si>
    <t>X004ZGOBAL</t>
  </si>
  <si>
    <t>B0GHY8PCJP</t>
  </si>
  <si>
    <t>【DX06019】-趣味标签13岁海报套装-定行（整体真空+外面套opp袋）</t>
  </si>
  <si>
    <t>2026-05-04 | 37</t>
  </si>
  <si>
    <t>FOB-4.27-CR-空派-1-13.8-HGR6</t>
  </si>
  <si>
    <t>2026-05-04 22:22</t>
  </si>
  <si>
    <t>2026-05-21 05:11</t>
  </si>
  <si>
    <t>8BU17WGQ</t>
  </si>
  <si>
    <t>2026-05-22 05:02</t>
  </si>
  <si>
    <t>SP260427027</t>
  </si>
  <si>
    <t>CR32571</t>
  </si>
  <si>
    <t>X005323EUT</t>
  </si>
  <si>
    <t>B0GXVT9C52</t>
  </si>
  <si>
    <t>【CR32571】-60从未如此美好玫瑰金横幅套装-辰瑞（气球真空+点胶固定）</t>
  </si>
  <si>
    <t>2026-05-04 | 90</t>
  </si>
  <si>
    <t>CR32558</t>
  </si>
  <si>
    <t>X004ZMRHRT</t>
  </si>
  <si>
    <t>B0GJRMMTG5</t>
  </si>
  <si>
    <t>B0GCZB9Q4V</t>
  </si>
  <si>
    <t>2026-【CR32558】-报纸色90岁气球签名本加丝带-辰瑞</t>
  </si>
  <si>
    <t>2026-05-04 | 1</t>
  </si>
  <si>
    <t>XMY-4.27-CQ-空派-2-33.2-HGR6</t>
  </si>
  <si>
    <t>2026-04-27 19:11</t>
  </si>
  <si>
    <t>2026-05-04 22:11</t>
  </si>
  <si>
    <t>8RPUW8YP</t>
  </si>
  <si>
    <t>2026-05-14 20:00</t>
  </si>
  <si>
    <t>SP260427028</t>
  </si>
  <si>
    <t>CQ11788</t>
  </si>
  <si>
    <t>X00500JAYN</t>
  </si>
  <si>
    <t>B0GL8KF6B4</t>
  </si>
  <si>
    <t>【CQ11788】-玫瑰金甜蜜16照片横幅-创奇</t>
  </si>
  <si>
    <t>2026-05-04 | 100</t>
  </si>
  <si>
    <t>CQ11720</t>
  </si>
  <si>
    <t>X004WALLF3</t>
  </si>
  <si>
    <t>B0FYFFQWTC</t>
  </si>
  <si>
    <t>B0GFCDZ5G5</t>
  </si>
  <si>
    <t>2026-【CQ11720】-金粉16岁照片横幅-创奇</t>
  </si>
  <si>
    <t>CQ11683</t>
  </si>
  <si>
    <t>X004VMI5DN</t>
  </si>
  <si>
    <t>B0CBWH96M1</t>
  </si>
  <si>
    <t>2026-【CQ11683】-黑金50周年木摆件4件套-创奇</t>
  </si>
  <si>
    <t>2026-05-04 | 50
2026-05-14 | -1</t>
  </si>
  <si>
    <t>1987Y11292</t>
  </si>
  <si>
    <t>X0038GSF0V</t>
  </si>
  <si>
    <t>B09YXMRM2Z</t>
  </si>
  <si>
    <t>【CQ11292】-青色16岁蜂窝8件套-创奇</t>
  </si>
  <si>
    <t>GNZ-4.24-YS-空派-2-25.4-BNA6</t>
  </si>
  <si>
    <t>2026-04-24 17:49</t>
  </si>
  <si>
    <t>2026-04-24 19:42</t>
  </si>
  <si>
    <t>2026-05-03 10:24</t>
  </si>
  <si>
    <t>2026-05-22 05:00</t>
  </si>
  <si>
    <t>61D2V4YG</t>
  </si>
  <si>
    <t>2026-05-22 16:16</t>
  </si>
  <si>
    <t>SP260427021</t>
  </si>
  <si>
    <t>2026-05-07</t>
  </si>
  <si>
    <t>YS06715</t>
  </si>
  <si>
    <t>X0052RFDCR</t>
  </si>
  <si>
    <t>B0GX6QH7KX</t>
  </si>
  <si>
    <t>【YS06715】-黑金13岁青少年套装-艺胜（铝箔气球+乳胶气球一起抽真空）</t>
  </si>
  <si>
    <t>2026-05-02 | 174</t>
  </si>
  <si>
    <t>OXS-4.24-CQ-空派-1-12.7-BNA6</t>
  </si>
  <si>
    <t>2026-04-24 19:43</t>
  </si>
  <si>
    <t>2026-05-05 05:19</t>
  </si>
  <si>
    <t>2026-05-22 02:19</t>
  </si>
  <si>
    <t>8CERPRDK</t>
  </si>
  <si>
    <t>2026-05-22 16:11</t>
  </si>
  <si>
    <t>SP260427022</t>
  </si>
  <si>
    <t>1987Y11226</t>
  </si>
  <si>
    <t>X002YJO6Z1</t>
  </si>
  <si>
    <t>B099N7F4VC</t>
  </si>
  <si>
    <t>【CQ11226】-90年代长方形海报-创奇</t>
  </si>
  <si>
    <t>FUN-4.24-SX-空派-4-66.75-BNA6</t>
  </si>
  <si>
    <t>2026-04-24 17:44</t>
  </si>
  <si>
    <t>2026-04-24 19:56</t>
  </si>
  <si>
    <t>2026-05-02 16:50</t>
  </si>
  <si>
    <t>2026-05-22 02:30</t>
  </si>
  <si>
    <t>5TU211QJ</t>
  </si>
  <si>
    <t>2026-05-22 15:27</t>
  </si>
  <si>
    <t>SP260427024</t>
  </si>
  <si>
    <t>2026-04-26</t>
  </si>
  <si>
    <t>SX00323</t>
  </si>
  <si>
    <t>X004B17VS9</t>
  </si>
  <si>
    <t>B0D8KDT8VJ</t>
  </si>
  <si>
    <t>B0DFYB2GQV</t>
  </si>
  <si>
    <t>2407-【SX00323】-金粉90岁小号长横幅-势兴</t>
  </si>
  <si>
    <t>2026-05-02 | 50</t>
  </si>
  <si>
    <t>SX00385</t>
  </si>
  <si>
    <t>X004S498SF</t>
  </si>
  <si>
    <t>B0FKBG4LLX</t>
  </si>
  <si>
    <t>2508-【SX00385】-金粉13岁小号长横幅-势兴</t>
  </si>
  <si>
    <t>2026-05-02 | 20</t>
  </si>
  <si>
    <t>SX00455</t>
  </si>
  <si>
    <t>X0052LG8OZ</t>
  </si>
  <si>
    <t>B0GWR2VDZB</t>
  </si>
  <si>
    <t>2605-【SX00455】-黑金告别横幅蛋糕签小套装-势兴（气球抽真空，包装点胶固定）</t>
  </si>
  <si>
    <t>2026-05-02 | 110
2026-05-03 | 1
2026-05-08 | -1</t>
  </si>
  <si>
    <t>SX00456</t>
  </si>
  <si>
    <t>X0052LFQIJ</t>
  </si>
  <si>
    <t>B0GWQZYH1Z</t>
  </si>
  <si>
    <t>2026-【SX00456】-黑金16岁照片横幅花球套装-势兴（整套真空+外面套opp袋子）</t>
  </si>
  <si>
    <t>2026-05-02 | 115
2026-05-07 | -1
2026-05-09 | 1</t>
  </si>
  <si>
    <t>BOI-4.24-DM-空派-3-59.3-BNA6</t>
  </si>
  <si>
    <t>2026-04-24 17:43</t>
  </si>
  <si>
    <t>2026-04-24 19:36</t>
  </si>
  <si>
    <t>2026-05-02 16:47</t>
  </si>
  <si>
    <t>2026-05-20 15:39</t>
  </si>
  <si>
    <t>397MEX3I</t>
  </si>
  <si>
    <t>2026-05-21 14:49</t>
  </si>
  <si>
    <t>SP260427023</t>
  </si>
  <si>
    <t>DM21478</t>
  </si>
  <si>
    <t>X00533PFQ9</t>
  </si>
  <si>
    <t>B0GXYK33QV</t>
  </si>
  <si>
    <t>【DM21478】-黑金40岁气球拉旗套装-大卖（气球真空）</t>
  </si>
  <si>
    <t>2026-05-02 | 115
2026-05-05 | 19
2026-05-17 | -2</t>
  </si>
  <si>
    <t>DM21479</t>
  </si>
  <si>
    <t>X00533U1N1</t>
  </si>
  <si>
    <t>B0GXY4BFBB</t>
  </si>
  <si>
    <t>【DM21479】-玫瑰金16岁气球拉旗套装-大卖（气球真空）</t>
  </si>
  <si>
    <t>2026-05-02 | 135
2026-05-07 | -4
2026-05-15 | -1
2026-05-20 | -1</t>
  </si>
  <si>
    <t>2026-05-02 | 45</t>
  </si>
  <si>
    <t>FVK-4.24-PT-红单-3-55.65-LBE1</t>
  </si>
  <si>
    <t>1Z64290R6690598288</t>
  </si>
  <si>
    <t>2026-04-24 17:17</t>
  </si>
  <si>
    <t>2026-04-27 09:10</t>
  </si>
  <si>
    <t>2026-05-02 00:19</t>
  </si>
  <si>
    <t>2TY4LT4Q</t>
  </si>
  <si>
    <t>2026-05-19 16:00</t>
  </si>
  <si>
    <t>SP260424018</t>
  </si>
  <si>
    <t>PT53613</t>
  </si>
  <si>
    <t>X0051EU6PP</t>
  </si>
  <si>
    <t>B0GSVPCJSV</t>
  </si>
  <si>
    <t>B0GWJ4LZ1V</t>
  </si>
  <si>
    <t>【PT53613】-粉色13岁拉花漩涡套装-拼途（整体真空+外面套opp袋）</t>
  </si>
  <si>
    <t>2026-05-01 | 2
2026-05-02 | 88</t>
  </si>
  <si>
    <t>PT53614</t>
  </si>
  <si>
    <t>X0051ETJDP</t>
  </si>
  <si>
    <t>B0GSVVNTLS</t>
  </si>
  <si>
    <t>【PT53614】-粉色16岁拉花漩涡套装-拼途（整体真空+外面套opp袋）</t>
  </si>
  <si>
    <t>2026-05-02 | 88
2026-05-04 | 1</t>
  </si>
  <si>
    <t>PT53615</t>
  </si>
  <si>
    <t>X0051EUAKB</t>
  </si>
  <si>
    <t>B0GSVTYR7L</t>
  </si>
  <si>
    <t>【PT53615】-粉色18岁拉花漩涡套装-拼途（整体真空+外面套opp袋）</t>
  </si>
  <si>
    <t>2026-05-01 | 92
2026-05-05 | 5
2026-05-08 | -9
2026-05-13 | 2
2026-05-18 | -1</t>
  </si>
  <si>
    <t>BIS-4.23-PT-红单-3-54.1-HGR6</t>
  </si>
  <si>
    <t>2026-04-23 17:46</t>
  </si>
  <si>
    <t>2026-04-24 09:40</t>
  </si>
  <si>
    <t>2026-05-04 22:13</t>
  </si>
  <si>
    <t>3SXHRVCH</t>
  </si>
  <si>
    <t>2026-05-14 00:00</t>
  </si>
  <si>
    <t>SP260423018</t>
  </si>
  <si>
    <t>PT53616</t>
  </si>
  <si>
    <t>X0052SZNSF</t>
  </si>
  <si>
    <t>B0GX91MBMV</t>
  </si>
  <si>
    <t>【PT53616】-黑色13岁年份灯饰横幅-拼途（点胶固定）</t>
  </si>
  <si>
    <t>2026-05-04 | 160</t>
  </si>
  <si>
    <t>PT53618</t>
  </si>
  <si>
    <t>X0052TC4MR</t>
  </si>
  <si>
    <t>B0GX94J27Q</t>
  </si>
  <si>
    <t>【PT53618】-黑色21岁年份灯饰横幅-拼途（点胶固定）</t>
  </si>
  <si>
    <t>2026-05-04 | 160
2026-05-17 | -3</t>
  </si>
  <si>
    <t>PT53620</t>
  </si>
  <si>
    <t>X0052TCHV5</t>
  </si>
  <si>
    <t>B0GX9JF9HP</t>
  </si>
  <si>
    <t>【PT53620】-黑色50岁年份灯饰横幅-拼途（点胶固定）</t>
  </si>
  <si>
    <t>2026-05-04 | 135
2026-05-15 | -2
2026-05-16 | 1</t>
  </si>
  <si>
    <t>PT53621</t>
  </si>
  <si>
    <t>X0052TC9UT</t>
  </si>
  <si>
    <t>B0GX9LQM6F</t>
  </si>
  <si>
    <t>【PT53621】-黑色60岁年份灯饰横幅-拼途（点胶固定）</t>
  </si>
  <si>
    <t>2026-05-04 | 130
2026-05-08 | 2
2026-05-13 | -4
2026-05-20 | -1
2026-05-20 | -2
2026-05-20 | 1</t>
  </si>
  <si>
    <t>PT53623</t>
  </si>
  <si>
    <t>X0052TH3SH</t>
  </si>
  <si>
    <t>B0GX97X7LC</t>
  </si>
  <si>
    <t>【PT53623】-蓝色16岁年份灯饰横幅-拼途（点胶固定）</t>
  </si>
  <si>
    <t>2026-05-04 | 130
2026-05-16 | -1
2026-05-20 | -4</t>
  </si>
  <si>
    <t>QKZ-4.22-YS-红单-3-48.25-HGR6</t>
  </si>
  <si>
    <t>2026-04-22 16:58</t>
  </si>
  <si>
    <t>2026-04-22 18:06</t>
  </si>
  <si>
    <t>2026-04-29 21:11</t>
  </si>
  <si>
    <t>3LTJ1PBT</t>
  </si>
  <si>
    <t>2026-05-22 07:00</t>
  </si>
  <si>
    <t>SP260422009</t>
  </si>
  <si>
    <t>2026-05-04</t>
  </si>
  <si>
    <t>YS06714</t>
  </si>
  <si>
    <t>X00531CBNB</t>
  </si>
  <si>
    <t>B0GX6LD5L7</t>
  </si>
  <si>
    <t>【YS06714】-蓝银13岁青少年套装-艺胜（铝箔气球+乳胶气球一起抽真空）</t>
  </si>
  <si>
    <t>2026-04-29 | 160</t>
  </si>
  <si>
    <t>YS06717</t>
  </si>
  <si>
    <t>X00531EHM9</t>
  </si>
  <si>
    <t>B0GX6H1H5V</t>
  </si>
  <si>
    <t>【YS06717】-玫瑰金18岁成年人套装-艺胜（铝箔气球+乳胶气球一起抽真空）</t>
  </si>
  <si>
    <t>2026-04-29 | 160
2026-05-09 | -1
2026-05-17 | 1</t>
  </si>
  <si>
    <t>HEK-4.22-CQ-红单-1-16.95-HGR6</t>
  </si>
  <si>
    <t>2026-04-22 18:05</t>
  </si>
  <si>
    <t>2026-04-29 21:05</t>
  </si>
  <si>
    <t>2026-05-16 03:22</t>
  </si>
  <si>
    <t>3296563Q</t>
  </si>
  <si>
    <t>2026-05-17 02:32</t>
  </si>
  <si>
    <t>SP260422010</t>
  </si>
  <si>
    <t>CQ11776</t>
  </si>
  <si>
    <t>X00508HOL1</t>
  </si>
  <si>
    <t>B0GJ59F45L</t>
  </si>
  <si>
    <t>2026-【CQ11776】-金粉10岁照片横幅-创奇</t>
  </si>
  <si>
    <t>2026-04-29 | 40</t>
  </si>
  <si>
    <t>CQ11750</t>
  </si>
  <si>
    <t>X004Z9TBXF</t>
  </si>
  <si>
    <t>B0GH7Q3XXH</t>
  </si>
  <si>
    <t>B0FVWSH58T</t>
  </si>
  <si>
    <t>【CQ11750】-蓝银9岁兄弟海报套装-创奇（整体真空+外面套opp袋）</t>
  </si>
  <si>
    <t>2026-04-29 | 10</t>
  </si>
  <si>
    <t>CQ11785</t>
  </si>
  <si>
    <t>X004ZI3DJ9</t>
  </si>
  <si>
    <t>B0GJ4ZV2QL</t>
  </si>
  <si>
    <t>B0GFCRDPYT</t>
  </si>
  <si>
    <t>2026-【CQ11785】-黑色10岁照片横幅-创奇</t>
  </si>
  <si>
    <t>2026-04-29 | 50</t>
  </si>
  <si>
    <t>GDF-4.21-SYC-红单-2-28.7-HGR6</t>
  </si>
  <si>
    <t>2026-04-21 17:04</t>
  </si>
  <si>
    <t>2026-04-22 00:25</t>
  </si>
  <si>
    <t>2026-05-03 11:44</t>
  </si>
  <si>
    <t>2NLPOW7P</t>
  </si>
  <si>
    <t>2026-05-16 20:00</t>
  </si>
  <si>
    <t>SP260421009</t>
  </si>
  <si>
    <t>SYC566</t>
  </si>
  <si>
    <t>X004UUQ6FZ</t>
  </si>
  <si>
    <t>B0FT2KZTJ4</t>
  </si>
  <si>
    <t>B0GR8Y32ST</t>
  </si>
  <si>
    <t>【SYC566】-黑金15岁生日音乐贺卡-思业成</t>
  </si>
  <si>
    <t>2026-05-02 | 50
2026-05-17 | -1</t>
  </si>
  <si>
    <t>SYC622</t>
  </si>
  <si>
    <t>X00507EFEV</t>
  </si>
  <si>
    <t>B0GMH9PVXW</t>
  </si>
  <si>
    <t>【SYC622】-黑金100岁生日音乐贺卡-思业成</t>
  </si>
  <si>
    <t>2026-05-02 | 140
2026-05-08 | -1
2026-05-10 | 1
2026-05-16 | -1</t>
  </si>
  <si>
    <t>2026-05-02 | 90
2026-05-06 | -1
2026-05-12 | 1
2026-05-17 | -1</t>
  </si>
  <si>
    <t>WVU-4.20-DX-空派-4-68.6-HGR6</t>
  </si>
  <si>
    <t>1ZG2C1210302608684</t>
  </si>
  <si>
    <t>2026-04-20 17:19</t>
  </si>
  <si>
    <t>2026-04-20 18:04</t>
  </si>
  <si>
    <t>2026-05-12 01:54</t>
  </si>
  <si>
    <t>4DKHIB2C</t>
  </si>
  <si>
    <t>2026-05-13 01:41</t>
  </si>
  <si>
    <t>SP260420031</t>
  </si>
  <si>
    <t>2026-05-15</t>
  </si>
  <si>
    <t>DX05986</t>
  </si>
  <si>
    <t>X004VSO6YJ</t>
  </si>
  <si>
    <t>B0FMR8ZYWS</t>
  </si>
  <si>
    <t>B0G8DFDNLP</t>
  </si>
  <si>
    <t>2026-【DX05986】-蓝银13岁年份双横幅套装-定行（点胶固定）</t>
  </si>
  <si>
    <t>2026-05-11 | 20</t>
  </si>
  <si>
    <t>DX06021</t>
  </si>
  <si>
    <t>X004ZKSSBP</t>
  </si>
  <si>
    <t>B0GJ8WVSKH</t>
  </si>
  <si>
    <t>【DX06021】-黑金50岁流苏花球套装-定行（点胶固定）</t>
  </si>
  <si>
    <t>2026-05-11 | 50</t>
  </si>
  <si>
    <t>2026-05-11 | 1</t>
  </si>
  <si>
    <t>DX06023</t>
  </si>
  <si>
    <t>X00500JEDZ</t>
  </si>
  <si>
    <t>B0GLDXM5F9</t>
  </si>
  <si>
    <t>【DX06023】-多彩25岁更有趣横幅套装-定行（气球真空）</t>
  </si>
  <si>
    <t>2026-05-11 | 3</t>
  </si>
  <si>
    <t>DX05984</t>
  </si>
  <si>
    <t>X004VSODTR</t>
  </si>
  <si>
    <t>B0FMR9YYV8</t>
  </si>
  <si>
    <t>2026-【DX05984】-蓝银80岁年份双横幅套装-定行（点胶固定）</t>
  </si>
  <si>
    <t>2026-05-11 | 100</t>
  </si>
  <si>
    <t>DX06011</t>
  </si>
  <si>
    <t>X004ZDWGJH</t>
  </si>
  <si>
    <t>B0GHQZVKXG</t>
  </si>
  <si>
    <t>【DX06011】-玫瑰金30岁流苏花球套装-定行（点胶固定）</t>
  </si>
  <si>
    <t>2026-05-11 | 90</t>
  </si>
  <si>
    <t>VGD-4.20-JY-空派-3-45.15-HGR6</t>
  </si>
  <si>
    <t>1ZG2C1210306015076</t>
  </si>
  <si>
    <t>2026-04-20 17:03</t>
  </si>
  <si>
    <t>2026-04-20 17:50</t>
  </si>
  <si>
    <t>2026-05-12 01:56</t>
  </si>
  <si>
    <t>6O97JRYP</t>
  </si>
  <si>
    <t>2026-05-21 16:00</t>
  </si>
  <si>
    <t>SP260420030</t>
  </si>
  <si>
    <t>JY01312</t>
  </si>
  <si>
    <t>X004XLLUM5</t>
  </si>
  <si>
    <t>B0G4QXZDJH</t>
  </si>
  <si>
    <t>B0GGR743ZG</t>
  </si>
  <si>
    <t>2601-【JY01312】-男孩婴儿沐浴横幅套装-进益（点胶固定）</t>
  </si>
  <si>
    <t>JY01260</t>
  </si>
  <si>
    <t>X004VLTZXD</t>
  </si>
  <si>
    <t>B0BWDXM25Q</t>
  </si>
  <si>
    <t>2026-【JY01260】-黑金1976周年蜂窝九件套-进益</t>
  </si>
  <si>
    <t>JY01145</t>
  </si>
  <si>
    <t>X00420UAVJ</t>
  </si>
  <si>
    <t>B0CP6SM34W</t>
  </si>
  <si>
    <t>B0CXY5NDWP</t>
  </si>
  <si>
    <t>2401-【JY01145】-金粉60岁眼镜24件套-进益</t>
  </si>
  <si>
    <t>JY01319</t>
  </si>
  <si>
    <t>X0050N1QW9</t>
  </si>
  <si>
    <t>B0GQ985ZGJ</t>
  </si>
  <si>
    <t>2026-【JY01319】-粉白18年份气球亚克力板-进益</t>
  </si>
  <si>
    <t>2026-05-11 | 110</t>
  </si>
  <si>
    <t>JY01324</t>
  </si>
  <si>
    <t>X005273OZF</t>
  </si>
  <si>
    <t>B0GVS56WS3</t>
  </si>
  <si>
    <t>2605-【JY01324】-绿金婴儿沐浴横幅套装-进益（点胶固定）</t>
  </si>
  <si>
    <t>2026-05-11 | 150
2026-05-20 | -1</t>
  </si>
  <si>
    <t>XUK-4.20-SYC-空派-3-44.7-HGR6</t>
  </si>
  <si>
    <t>1ZG2C1210314112026</t>
  </si>
  <si>
    <t>2026-04-20 16:14</t>
  </si>
  <si>
    <t>2026-04-21 00:23</t>
  </si>
  <si>
    <t>2026-05-12 01:47</t>
  </si>
  <si>
    <t>2S8JOWVK</t>
  </si>
  <si>
    <t>SP260420029</t>
  </si>
  <si>
    <t>SYC635</t>
  </si>
  <si>
    <t>X0050RPH8J</t>
  </si>
  <si>
    <t>B0GQM2C31N</t>
  </si>
  <si>
    <t>B0GCMLC5HC</t>
  </si>
  <si>
    <t>2026-【SYC635】-金粉1926年份签名本加丝带-思业成</t>
  </si>
  <si>
    <t>2026-05-11 | 60</t>
  </si>
  <si>
    <t>SYC652</t>
  </si>
  <si>
    <t>X00524ENK3</t>
  </si>
  <si>
    <t>B0GVN4GY2T</t>
  </si>
  <si>
    <t>B0F8PXZKMT</t>
  </si>
  <si>
    <t>【SYC652】-蓝银11岁抽钱盒子-思业成（小尺寸）</t>
  </si>
  <si>
    <t>2026-05-11 | 130</t>
  </si>
  <si>
    <t>SYC653</t>
  </si>
  <si>
    <t>X00524EKCT</t>
  </si>
  <si>
    <t>B0GVN7G7JZ</t>
  </si>
  <si>
    <t>【SYC653】-蓝银12岁抽钱盒子-思业成（小尺寸）</t>
  </si>
  <si>
    <t>SYC654</t>
  </si>
  <si>
    <t>X00524L1OT</t>
  </si>
  <si>
    <t>B0GVN153R7</t>
  </si>
  <si>
    <t>【SYC654】-蓝银14岁抽钱盒子-思业成（小尺寸）</t>
  </si>
  <si>
    <t>AIM-4.20-CQ-空派-4-59.5-HGR6</t>
  </si>
  <si>
    <t>1ZG2C1210305244419</t>
  </si>
  <si>
    <t>2026-04-20 15:57</t>
  </si>
  <si>
    <t>2026-04-21 00:21</t>
  </si>
  <si>
    <t>2026-05-12 02:00</t>
  </si>
  <si>
    <t>14KV21HK</t>
  </si>
  <si>
    <t>2026-05-16 09:00</t>
  </si>
  <si>
    <t>SP260420028</t>
  </si>
  <si>
    <t>2026-05-11 | 100
2026-05-15 | -1</t>
  </si>
  <si>
    <t>CQ11802</t>
  </si>
  <si>
    <t>X00523ZYT3</t>
  </si>
  <si>
    <t>B0GVM9GMPQ</t>
  </si>
  <si>
    <t>2026-【CQ11802】-黑色11岁照片横幅-创奇</t>
  </si>
  <si>
    <t>CQ11803</t>
  </si>
  <si>
    <t>X005240TFV</t>
  </si>
  <si>
    <t>B0GVM4PGJC</t>
  </si>
  <si>
    <t>2026-【CQ11803】-黑色12岁照片横幅-创奇</t>
  </si>
  <si>
    <t>CQ11804</t>
  </si>
  <si>
    <t>X00523RY4L</t>
  </si>
  <si>
    <t>B0GVLYDL85</t>
  </si>
  <si>
    <t>2026-【CQ11804】-黑色75岁照片横幅-创奇</t>
  </si>
  <si>
    <t>CQ11805</t>
  </si>
  <si>
    <t>X0052450VT</t>
  </si>
  <si>
    <t>B0GVM46GQ3</t>
  </si>
  <si>
    <t>2026-【CQ11805】-黑色90岁照片横幅-创奇</t>
  </si>
  <si>
    <t>KZM-4.17-SX-红单-2-28.2-HGR6</t>
  </si>
  <si>
    <t>2026-04-17 15:36</t>
  </si>
  <si>
    <t>2026-04-17 18:20</t>
  </si>
  <si>
    <t>2026-04-29 08:30</t>
  </si>
  <si>
    <t>7TOJHBTV</t>
  </si>
  <si>
    <t>2026-05-11 11:42</t>
  </si>
  <si>
    <t>SP260417009</t>
  </si>
  <si>
    <t>2026-05-01</t>
  </si>
  <si>
    <t>SX00452</t>
  </si>
  <si>
    <t>X0051ZGIYH</t>
  </si>
  <si>
    <t>B0GV3T8FJK</t>
  </si>
  <si>
    <t>B0FM89PYWL</t>
  </si>
  <si>
    <t>2026-【SX00452】-渐变色11岁年份吊坠8件套-势兴</t>
  </si>
  <si>
    <t>2026-04-28 | 100
2026-04-29 | 100
2026-05-02 | -21
2026-05-02 | 1
2026-05-06 | -1</t>
  </si>
  <si>
    <t>SX00453</t>
  </si>
  <si>
    <t>X0051ZHYZ9</t>
  </si>
  <si>
    <t>B0GV3S4HNY</t>
  </si>
  <si>
    <t>2026-【SX00453】-渐变色17岁年份吊坠8件套-势兴</t>
  </si>
  <si>
    <t>2026-04-28 | 78
2026-04-29 | 100
2026-05-02 | -16
2026-05-05 | -1
2026-05-07 | 1
2026-05-16 | -62</t>
  </si>
  <si>
    <t>SX00454</t>
  </si>
  <si>
    <t>X0051ZGIYR</t>
  </si>
  <si>
    <t>B0GV43VKD9</t>
  </si>
  <si>
    <t>2026-【SX00454】-渐变色21岁年份吊坠8件套-势兴</t>
  </si>
  <si>
    <t>2026-04-29 | 130
2026-05-07 | -1
2026-05-09 | 1</t>
  </si>
  <si>
    <t>SX00445</t>
  </si>
  <si>
    <t>X004ZRQMWZ</t>
  </si>
  <si>
    <t>B0GHXC727S</t>
  </si>
  <si>
    <t>2602-【SX00445】-香槟金18岁雨帘气球套装-势兴（整体真空+外面套opp袋）</t>
  </si>
  <si>
    <t>2026-04-29 | 1</t>
  </si>
  <si>
    <t>CDL-4.17-YS-红单-2-41.45-HGR6</t>
  </si>
  <si>
    <t>2026-04-17 18:21</t>
  </si>
  <si>
    <t>2026-04-30 02:12</t>
  </si>
  <si>
    <t>2026-05-21 03:48</t>
  </si>
  <si>
    <t>71BL642Y</t>
  </si>
  <si>
    <t>2026-05-22 02:43</t>
  </si>
  <si>
    <t>SP260417008</t>
  </si>
  <si>
    <t>YS06710</t>
  </si>
  <si>
    <t>X0050NJ6IP</t>
  </si>
  <si>
    <t>B0GQBCGYHW</t>
  </si>
  <si>
    <t>【YS06710】-黄金生日横幅套装-艺胜（点胶固定）</t>
  </si>
  <si>
    <t>2026-04-29 | 299
2026-05-08 | -1
2026-05-10 | 1</t>
  </si>
  <si>
    <t>YS06711</t>
  </si>
  <si>
    <t>X0051CDK0P</t>
  </si>
  <si>
    <t>B0GSPTMBQD</t>
  </si>
  <si>
    <t>【YS06711】-蓝色13岁兄弟青少年横幅套装-艺胜</t>
  </si>
  <si>
    <t>2026-04-29 | 33</t>
  </si>
  <si>
    <t>WJE-4.16-CQ-空派-1-20.35-HGR6</t>
  </si>
  <si>
    <t>1Z9X02R50338861511</t>
  </si>
  <si>
    <t>2026-04-16 16:58</t>
  </si>
  <si>
    <t>2026-04-17 09:14</t>
  </si>
  <si>
    <t>2026-04-27 15:45</t>
  </si>
  <si>
    <t>2026-05-20 16:33</t>
  </si>
  <si>
    <t>3X27EXQE</t>
  </si>
  <si>
    <t>2026-05-21 16:24</t>
  </si>
  <si>
    <t>SP260416009</t>
  </si>
  <si>
    <t>2026-04-29</t>
  </si>
  <si>
    <t>2026-04-27 | 90</t>
  </si>
  <si>
    <t>CQ11766</t>
  </si>
  <si>
    <t>X004ZI040Z</t>
  </si>
  <si>
    <t>B0GJ4WC949</t>
  </si>
  <si>
    <t>B0GFCRDJQ9</t>
  </si>
  <si>
    <t>2026-【CQ11766】-金色30岁照片横幅-创奇</t>
  </si>
  <si>
    <t>2026-04-27 | 60
2026-04-30 | -1
2026-05-05 | 1</t>
  </si>
  <si>
    <t>ZMG-4.16-SYC-空派-4-54.3-HGR6</t>
  </si>
  <si>
    <t>1Z9X02R50329308529</t>
  </si>
  <si>
    <t>2026-05-21 01:43</t>
  </si>
  <si>
    <t>572UEBVZ</t>
  </si>
  <si>
    <t>2026-05-22 01:39</t>
  </si>
  <si>
    <t>SP260416008</t>
  </si>
  <si>
    <t>SYC649</t>
  </si>
  <si>
    <t>X00524410P</t>
  </si>
  <si>
    <t>B0GVJLWBMS</t>
  </si>
  <si>
    <t>B0DJ71R2P5</t>
  </si>
  <si>
    <t>【SYC649】-金粉9岁抽钱盒子-思业成（小尺寸）</t>
  </si>
  <si>
    <t>2026-04-27 | 140
2026-05-07 | -1
2026-05-08 | -1
2026-05-08 | 1
2026-05-14 | -10
2026-05-16 | -1
2026-05-16 | 1
2026-05-20 | 10</t>
  </si>
  <si>
    <t>SYC650</t>
  </si>
  <si>
    <t>X00526EIPV</t>
  </si>
  <si>
    <t>B0GVMWF7T3</t>
  </si>
  <si>
    <t>【SYC650】-金粉11岁抽钱盒子-思业成（小尺寸）</t>
  </si>
  <si>
    <t>2026-04-27 | 140
2026-05-16 | 1</t>
  </si>
  <si>
    <t>SYC651</t>
  </si>
  <si>
    <t>X0052481N3</t>
  </si>
  <si>
    <t>B0GVMQ669W</t>
  </si>
  <si>
    <t>【SYC651】-蓝银9岁抽钱盒子-思业成（小尺寸）（弃用）</t>
  </si>
  <si>
    <t>2026-04-27 | 140
2026-05-06 | -1
2026-05-08 | -1
2026-05-10 | 1
2026-05-14 | 1</t>
  </si>
  <si>
    <t>SYC656</t>
  </si>
  <si>
    <t>X0052G0VA7</t>
  </si>
  <si>
    <t>B0GVYQ64DQ</t>
  </si>
  <si>
    <t>2026-【SYC656】-蓝黑18岁年份签名本-思业成</t>
  </si>
  <si>
    <t>2026-04-27 | 110</t>
  </si>
  <si>
    <t>PRY-4.16-DX-空派-2-28.45-HGR6</t>
  </si>
  <si>
    <t>1Z9X02R50328250351</t>
  </si>
  <si>
    <t>2026-04-16 17:11</t>
  </si>
  <si>
    <t>2026-04-27 15:47</t>
  </si>
  <si>
    <t>2026-05-17 16:33</t>
  </si>
  <si>
    <t>3PN5ZIBW</t>
  </si>
  <si>
    <t>2026-05-18 16:23</t>
  </si>
  <si>
    <t>SP260416010</t>
  </si>
  <si>
    <t>2026-04-19</t>
  </si>
  <si>
    <t>DX05697</t>
  </si>
  <si>
    <t>X003QDNZD3</t>
  </si>
  <si>
    <t>B0BX32T9WG</t>
  </si>
  <si>
    <t>B0BYJB8KTH</t>
  </si>
  <si>
    <t>New3-【DX05697】-金粉小号70岁海报加拱圈-定行</t>
  </si>
  <si>
    <t>2026-04-27 | 10</t>
  </si>
  <si>
    <t>2026-04-27 | 49</t>
  </si>
  <si>
    <t>DX06012</t>
  </si>
  <si>
    <t>X004ZE355P</t>
  </si>
  <si>
    <t>B0GHQHWQHS</t>
  </si>
  <si>
    <t>【DX06012】-玫瑰金50岁流苏花球套装-定行（点胶固定）</t>
  </si>
  <si>
    <t>2026-04-27 | 25</t>
  </si>
  <si>
    <t>MUO-4.16-SYC-红单-5-87-HGR6</t>
  </si>
  <si>
    <t>1Z64W3460426736214</t>
  </si>
  <si>
    <t>IN_TRANSIT</t>
  </si>
  <si>
    <t>2026-04-16 16:25</t>
  </si>
  <si>
    <t>8TEJTIJV</t>
  </si>
  <si>
    <t>2026-05-15 18:48</t>
  </si>
  <si>
    <t>SP260416007</t>
  </si>
  <si>
    <t>2026-05-31</t>
  </si>
  <si>
    <t>SYC618</t>
  </si>
  <si>
    <t>X00507FP09</t>
  </si>
  <si>
    <t>B0GMGX5K27</t>
  </si>
  <si>
    <t>【SYC618】-黑金20岁生日音乐贺卡-思业成</t>
  </si>
  <si>
    <t>SYC619</t>
  </si>
  <si>
    <t>X00507DUOR</t>
  </si>
  <si>
    <t>B0GMH4LL5F</t>
  </si>
  <si>
    <t>【SYC619】-黑金45岁生日音乐贺卡-思业成</t>
  </si>
  <si>
    <t>SYC620</t>
  </si>
  <si>
    <t>X00507G52B</t>
  </si>
  <si>
    <t>B0GMH1H12H</t>
  </si>
  <si>
    <t>【SYC620】-黑金55岁生日音乐贺卡-思业成</t>
  </si>
  <si>
    <t>SYC621</t>
  </si>
  <si>
    <t>X00507G4O5</t>
  </si>
  <si>
    <t>B0GMHC9XHF</t>
  </si>
  <si>
    <t>【SYC621】-黑金65岁生日音乐贺卡-思业成</t>
  </si>
  <si>
    <t>SYC627</t>
  </si>
  <si>
    <t>X00508UV5R</t>
  </si>
  <si>
    <t>B0GMPZFD72</t>
  </si>
  <si>
    <t>B0FHGNS67T</t>
  </si>
  <si>
    <t>【SYC627】-多彩11岁生日音乐贺卡-思业成</t>
  </si>
  <si>
    <t>SYC629</t>
  </si>
  <si>
    <t>X00509S73J</t>
  </si>
  <si>
    <t>B0GMTLHD9F</t>
  </si>
  <si>
    <t>【SYC629】-多彩17岁生日音乐贺卡-思业成</t>
  </si>
  <si>
    <t>EWD-4.15-DX-空派-3-48.9-HGR6</t>
  </si>
  <si>
    <t>1ZG2C1210330049324</t>
  </si>
  <si>
    <t>2026-04-15 17:58</t>
  </si>
  <si>
    <t>2026-04-15 18:32</t>
  </si>
  <si>
    <t>2026-04-23 11:16</t>
  </si>
  <si>
    <t>2026-05-19 08:29</t>
  </si>
  <si>
    <t>5KX2FNZO</t>
  </si>
  <si>
    <t>2026-05-20 07:28</t>
  </si>
  <si>
    <t>SP260415014</t>
  </si>
  <si>
    <t>2026-04-28</t>
  </si>
  <si>
    <t>DX05919</t>
  </si>
  <si>
    <t>X004UQPGO1</t>
  </si>
  <si>
    <t>B0FR8JTKBD</t>
  </si>
  <si>
    <t>【DX05919】-玫瑰金15岁流苏花球套装-定行（点胶固定）</t>
  </si>
  <si>
    <t>2026-04-22 | 50</t>
  </si>
  <si>
    <t>DX05982</t>
  </si>
  <si>
    <t>X004VSH4C5</t>
  </si>
  <si>
    <t>B0FPF6DJS9</t>
  </si>
  <si>
    <t>B0G8WW247Z</t>
  </si>
  <si>
    <t>2026-【DX05982】-玫瑰金13岁年份双横幅套装-定行（点胶固定）</t>
  </si>
  <si>
    <t>2026-04-22 | 30
2026-04-30 | 1
2026-05-04 | -1</t>
  </si>
  <si>
    <t>2026-04-22 | 48
2026-05-04 | -1</t>
  </si>
  <si>
    <t>WMJ-4.15-CQ-空派-4-64.85-HGR6</t>
  </si>
  <si>
    <t>1ZG2C1210337454310</t>
  </si>
  <si>
    <t>2026-04-15 17:49</t>
  </si>
  <si>
    <t>2026-04-15 19:54</t>
  </si>
  <si>
    <t>2026-04-23 11:25</t>
  </si>
  <si>
    <t>2026-05-21 12:29</t>
  </si>
  <si>
    <t>6HL2CUDY</t>
  </si>
  <si>
    <t>2026-05-22 15:00</t>
  </si>
  <si>
    <t>SP260415007</t>
  </si>
  <si>
    <t>CQ11799</t>
  </si>
  <si>
    <t>X00523ZXJ9</t>
  </si>
  <si>
    <t>B0GVLQRGCX</t>
  </si>
  <si>
    <t>B0GYNMR2GN</t>
  </si>
  <si>
    <t>2026-【CQ11799】-玫瑰金18岁小贺卡海报套装-创奇（抛货不带电）</t>
  </si>
  <si>
    <t>2026-04-23 | 35
2026-04-24 | 35</t>
  </si>
  <si>
    <t>CQ11800</t>
  </si>
  <si>
    <t>X00523Z8L7</t>
  </si>
  <si>
    <t>B0GVM45QDC</t>
  </si>
  <si>
    <t>B0GYNDY5V6</t>
  </si>
  <si>
    <t>2026-【CQ11800】-粉色13岁生日女孩皇冠套装-创奇（点胶固定)</t>
  </si>
  <si>
    <t>2026-04-22 | 80
2026-04-23 | 1
2026-05-05 | -2
2026-05-09 | -1
2026-05-12 | 1</t>
  </si>
  <si>
    <t>CQ11801</t>
  </si>
  <si>
    <t>X0052400QJ</t>
  </si>
  <si>
    <t>B0GVMCD1S6</t>
  </si>
  <si>
    <t>2026-【CQ11801】-粉色16岁生日女孩皇冠套装-创奇（点胶固定)</t>
  </si>
  <si>
    <t>2026-04-22 | 80</t>
  </si>
  <si>
    <t>CQ11786</t>
  </si>
  <si>
    <t>X004ZIA6YT</t>
  </si>
  <si>
    <t>B0GJ5MST4L</t>
  </si>
  <si>
    <t>【CQ11786】-紫色5岁流苏花球套装-创奇（点胶固定）</t>
  </si>
  <si>
    <t>2026-04-22 | 30</t>
  </si>
  <si>
    <t>FBN-4.15-JY-空派-2-35.25-HGR6</t>
  </si>
  <si>
    <t>1ZG2C1210323569268</t>
  </si>
  <si>
    <t>2026-04-15 17:09</t>
  </si>
  <si>
    <t>2026-04-15 18:30</t>
  </si>
  <si>
    <t>2026-04-23 11:09</t>
  </si>
  <si>
    <t>2026-05-19 02:47</t>
  </si>
  <si>
    <t>2DRNSVBL</t>
  </si>
  <si>
    <t>2026-05-20 02:37</t>
  </si>
  <si>
    <t>SP260415013</t>
  </si>
  <si>
    <t>JY01286</t>
  </si>
  <si>
    <t>X004VUIQDT</t>
  </si>
  <si>
    <t>B0FX4N44GN</t>
  </si>
  <si>
    <t>B0GC6X1Z67</t>
  </si>
  <si>
    <t>2026-【JY01286】-金粉90年份气球小木板-进益</t>
  </si>
  <si>
    <t>2026-04-22 | 98
2026-04-29 | -2</t>
  </si>
  <si>
    <t>JY01321</t>
  </si>
  <si>
    <t>X0051CG2M3</t>
  </si>
  <si>
    <t>B0GSQS3CRV</t>
  </si>
  <si>
    <t>2026-【JY01321】-黑白30岁年份亚克力板-进益</t>
  </si>
  <si>
    <t>2026-04-22 | 100
2026-04-26 | -1
2026-05-02 | -1
2026-05-04 | 1</t>
  </si>
  <si>
    <t>JY01325</t>
  </si>
  <si>
    <t>X00526XB81</t>
  </si>
  <si>
    <t>B0GVRTM1LC</t>
  </si>
  <si>
    <t>2604-【JY01325】-男孩婴儿沐浴签名本-进益</t>
  </si>
  <si>
    <t>2026-04-22 | 120</t>
  </si>
  <si>
    <t>JDQ-4.14-CQ-空派-2-42.3-HGR6</t>
  </si>
  <si>
    <t>1ZG2C1210323203876</t>
  </si>
  <si>
    <t>2026-04-14 17:41</t>
  </si>
  <si>
    <t>2026-04-14 18:16</t>
  </si>
  <si>
    <t>2026-04-24 15:40</t>
  </si>
  <si>
    <t>2026-05-20 20:41</t>
  </si>
  <si>
    <t>2L8QMT4H</t>
  </si>
  <si>
    <t>2026-05-21 20:03</t>
  </si>
  <si>
    <t>SP260414008</t>
  </si>
  <si>
    <t>2026-04-27</t>
  </si>
  <si>
    <t>CQ11775</t>
  </si>
  <si>
    <t>X004ZI1FG7</t>
  </si>
  <si>
    <t>B0GJ5DKPQY</t>
  </si>
  <si>
    <t>2026-【CQ11775】-金粉13岁照片横幅-创奇</t>
  </si>
  <si>
    <t>2026-04-24 | 70
2026-05-01 | -2
2026-05-02 | 1
2026-05-07 | 1</t>
  </si>
  <si>
    <t>CQ11717</t>
  </si>
  <si>
    <t>X004WAFKQT</t>
  </si>
  <si>
    <t>B0FYFCMXJW</t>
  </si>
  <si>
    <t>2026-【CQ11717】-黑色60岁照片横幅-创奇</t>
  </si>
  <si>
    <t>2026-04-24 | 25</t>
  </si>
  <si>
    <t>2026-04-24 | 38
2026-05-10 | -1</t>
  </si>
  <si>
    <t>CQ11774</t>
  </si>
  <si>
    <t>X004ZI83N5</t>
  </si>
  <si>
    <t>B0GJ54QSN5</t>
  </si>
  <si>
    <t>2026-【CQ11774】-金粉15岁照片横幅-创奇</t>
  </si>
  <si>
    <t>2026-04-24 | 50</t>
  </si>
  <si>
    <t>2026-04-24 | 49</t>
  </si>
  <si>
    <t>TWD&amp;IMX-4.14-ZY-空派-5-82.2-HGR6</t>
  </si>
  <si>
    <t>1ZG2C1210324638824</t>
  </si>
  <si>
    <t>2026-04-14 17:37</t>
  </si>
  <si>
    <t>2026-04-14 18:07</t>
  </si>
  <si>
    <t>2026-04-24 15:37</t>
  </si>
  <si>
    <t>2026-05-20 09:03</t>
  </si>
  <si>
    <t>1TV9EWVX</t>
  </si>
  <si>
    <t>2026-05-21 09:00</t>
  </si>
  <si>
    <t>SP260414007</t>
  </si>
  <si>
    <t>ZY02309</t>
  </si>
  <si>
    <t>X00524J2NL</t>
  </si>
  <si>
    <t>B0GVN1NTM7</t>
  </si>
  <si>
    <t>【ZY02309】-蓝银 11 岁三角拉旗套装-争艳</t>
  </si>
  <si>
    <t>2026-04-24 | 80
2026-04-27 | -3
2026-05-05 | 8
2026-05-07 | -4
2026-05-10 | -1</t>
  </si>
  <si>
    <t>ZY02312</t>
  </si>
  <si>
    <t>X00524BO69</t>
  </si>
  <si>
    <t>B0GVN373Y2</t>
  </si>
  <si>
    <t>【ZY02312】-蓝银 21 岁三角拉旗套装-争艳</t>
  </si>
  <si>
    <t>2026-04-24 | 103
2026-05-04 | 5
2026-05-08 | -10
2026-05-11 | 2</t>
  </si>
  <si>
    <t>ZY02313</t>
  </si>
  <si>
    <t>X00524BOJL</t>
  </si>
  <si>
    <t>B0GVN51YG4</t>
  </si>
  <si>
    <t>【ZY02313】-蓝银 40 岁三角拉旗套装-争艳</t>
  </si>
  <si>
    <t>2026-04-24 | 100
2026-04-28 | 1
2026-05-07 | -1
2026-05-09 | -2
2026-05-15 | 2</t>
  </si>
  <si>
    <t>ZY02314</t>
  </si>
  <si>
    <t>X00524BP31</t>
  </si>
  <si>
    <t>B0GVMZ9T9B</t>
  </si>
  <si>
    <t>【ZY02314】-蓝银 50 岁三角拉旗套装-争艳</t>
  </si>
  <si>
    <t>2026-04-24 | 100</t>
  </si>
  <si>
    <t>ZY02315</t>
  </si>
  <si>
    <t>X00524GDLZ</t>
  </si>
  <si>
    <t>B0GVMXKLV6</t>
  </si>
  <si>
    <t>【ZY02315】-蓝银 80 岁三角拉旗套装-争艳</t>
  </si>
  <si>
    <t>ZY02316</t>
  </si>
  <si>
    <t>X00522FRLT</t>
  </si>
  <si>
    <t>B0GVJG7Z8Y</t>
  </si>
  <si>
    <t>2026-【ZY02316】-玫瑰金1976年份皇冠肩带-争艳</t>
  </si>
  <si>
    <t>2026-04-24 | 80</t>
  </si>
  <si>
    <t>ZY02295</t>
  </si>
  <si>
    <t>X004ZNNDEJ</t>
  </si>
  <si>
    <t>B0GJSFS2YQ</t>
  </si>
  <si>
    <t>B0GCZMQ4ZB</t>
  </si>
  <si>
    <t>2026-【ZY02295】-金粉2005异形签名本-争艳</t>
  </si>
  <si>
    <t>2026-04-24 | 1</t>
  </si>
  <si>
    <t>ZY02310</t>
  </si>
  <si>
    <t>X00524E7AJ</t>
  </si>
  <si>
    <t>B0GVN598LY</t>
  </si>
  <si>
    <t>【ZY02310】-蓝银 12 岁三角拉旗套装-争艳</t>
  </si>
  <si>
    <t>2026-04-24 | 80
2026-05-01 | -1</t>
  </si>
  <si>
    <t>ZY02311</t>
  </si>
  <si>
    <t>X00524BM1V</t>
  </si>
  <si>
    <t>B0GVMY3QF6</t>
  </si>
  <si>
    <t>【ZY02311】-蓝银 15 岁三角拉旗套装-争艳</t>
  </si>
  <si>
    <t>2026-04-24 | 100
2026-05-19 | 1</t>
  </si>
  <si>
    <t>HML-4.13-DM-红单-1-8.9-LBE1</t>
  </si>
  <si>
    <t>2026-04-13 16:52</t>
  </si>
  <si>
    <t>2026-04-13 18:10</t>
  </si>
  <si>
    <t>2026-04-26 02:15</t>
  </si>
  <si>
    <t>2026-05-19 13:26</t>
  </si>
  <si>
    <t>8FIYFWAC</t>
  </si>
  <si>
    <t>2026-05-20 12:34</t>
  </si>
  <si>
    <t>SP260413005</t>
  </si>
  <si>
    <t>DM21187</t>
  </si>
  <si>
    <t>X0030GI03L</t>
  </si>
  <si>
    <t>B09FYVTR2N</t>
  </si>
  <si>
    <t>【DM21187】-黑金60周年蜂窝插件8件套-大卖</t>
  </si>
  <si>
    <t>2026-04-25 | 20</t>
  </si>
  <si>
    <t>DM21468</t>
  </si>
  <si>
    <t>X004Z1YP4N</t>
  </si>
  <si>
    <t>B0GG8YXQR9</t>
  </si>
  <si>
    <t>B0GYNF2H4Q</t>
  </si>
  <si>
    <t>【DM21468】-黑金工作周年横幅套装（点胶固定）-大卖</t>
  </si>
  <si>
    <t>2026-04-25 | 40
2026-04-26 | 1
2026-05-02 | -1
2026-05-07 | -1</t>
  </si>
  <si>
    <t>DM21235</t>
  </si>
  <si>
    <t>X0037DNI1L</t>
  </si>
  <si>
    <t>B09WQTJBDM</t>
  </si>
  <si>
    <t>【DM21235】-建筑条纹拉旗-大卖</t>
  </si>
  <si>
    <t>2026-04-25 | 1</t>
  </si>
  <si>
    <t>DM21477</t>
  </si>
  <si>
    <t>X0051ROHAR</t>
  </si>
  <si>
    <t>B0GTTMWMM3</t>
  </si>
  <si>
    <t>B0GZN1LYSX</t>
  </si>
  <si>
    <t>【DM21477】-蓝银18岁兄弟拉旗套装-大卖（气球真空）</t>
  </si>
  <si>
    <t>2026-04-25 | 3</t>
  </si>
  <si>
    <t>COA-4.13-SYC-红单-1-18.7-LBE1</t>
  </si>
  <si>
    <t>2026-04-13 18:11</t>
  </si>
  <si>
    <t>2026-04-24 04:45</t>
  </si>
  <si>
    <t>2026-05-18 03:34</t>
  </si>
  <si>
    <t>8O686VNT</t>
  </si>
  <si>
    <t>2026-05-19 03:03</t>
  </si>
  <si>
    <t>SP260413004</t>
  </si>
  <si>
    <t>SYC623</t>
  </si>
  <si>
    <t>X005089F2H</t>
  </si>
  <si>
    <t>B0GMNBMYBX</t>
  </si>
  <si>
    <t>【SYC623】-蓝金无岁数生日音乐贺卡-思业成</t>
  </si>
  <si>
    <t>2026-04-23 | 80
2026-04-26 | 1
2026-05-01 | -1</t>
  </si>
  <si>
    <t>SYC628</t>
  </si>
  <si>
    <t>X00509NH93</t>
  </si>
  <si>
    <t>B0GMV6PRR6</t>
  </si>
  <si>
    <t>【SYC628】-多彩15岁生日音乐贺卡-思业成</t>
  </si>
  <si>
    <t>2026-04-23 | 105
2026-05-01 | 1
2026-05-03 | -1
2026-05-03 | -1</t>
  </si>
  <si>
    <t>GGY-4.10-DX-红单-2-25.55-HGR6</t>
  </si>
  <si>
    <t>2026-04-10 16:22</t>
  </si>
  <si>
    <t>2026-04-11 22:49</t>
  </si>
  <si>
    <t>2026-04-21 13:49</t>
  </si>
  <si>
    <t>2026-05-16 19:46</t>
  </si>
  <si>
    <t>3WVAIKDF</t>
  </si>
  <si>
    <t>2026-05-21 01:00</t>
  </si>
  <si>
    <t>SP260410019</t>
  </si>
  <si>
    <t>2026-04-23</t>
  </si>
  <si>
    <t>DX05911</t>
  </si>
  <si>
    <t>X004RPF86V</t>
  </si>
  <si>
    <t>B0FJ8DNXY6</t>
  </si>
  <si>
    <t>【DX05911】-黑金退休双横幅套装-定行（外包装真空）</t>
  </si>
  <si>
    <t>2026-04-20 | 100
2026-04-28 | -1
2026-04-28 | 1
2026-04-29 | -1
2026-05-01 | 1
2026-05-20 | -13</t>
  </si>
  <si>
    <t>2026-04-21 | 50</t>
  </si>
  <si>
    <t>XVJ-4.10-JY-红单-2-40.35-HGR6</t>
  </si>
  <si>
    <t>2026-04-10 16:20</t>
  </si>
  <si>
    <t>2026-04-12 00:22</t>
  </si>
  <si>
    <t>2026-04-21 13:38</t>
  </si>
  <si>
    <t>2026-05-12 16:46</t>
  </si>
  <si>
    <t>5UNMFJCP</t>
  </si>
  <si>
    <t>2026-05-13 16:29</t>
  </si>
  <si>
    <t>SP260410018</t>
  </si>
  <si>
    <t>JY01323</t>
  </si>
  <si>
    <t>X0051ZHA35</t>
  </si>
  <si>
    <t>B0GV46N414</t>
  </si>
  <si>
    <t>2026-【JY01323】-黑金1966年份签名本套装-进益（真空包装）</t>
  </si>
  <si>
    <t>2026-04-20 | 46
2026-04-21 | 44</t>
  </si>
  <si>
    <t>KVR-4.10-SYC-红单-1-14.8-HGR6</t>
  </si>
  <si>
    <t>2026-04-10 16:03</t>
  </si>
  <si>
    <t>2026-04-12 00:23</t>
  </si>
  <si>
    <t>2026-04-21 12:38</t>
  </si>
  <si>
    <t>2026-05-17 07:42</t>
  </si>
  <si>
    <t>7WJUIYMJ</t>
  </si>
  <si>
    <t>2026-05-18 07:01</t>
  </si>
  <si>
    <t>SP260410017</t>
  </si>
  <si>
    <t>SYC647</t>
  </si>
  <si>
    <t>X00521X2E9</t>
  </si>
  <si>
    <t>B0GVJ3K74W</t>
  </si>
  <si>
    <t>2026-【SYC647】-黑金60岁签名本蜂窝-思业成</t>
  </si>
  <si>
    <t>2026-04-20 | 90
2026-04-21 | 3
2026-04-26 | -1
2026-04-29 | -1
2026-04-30 | -1</t>
  </si>
  <si>
    <t>SYC615</t>
  </si>
  <si>
    <t>X004ZS9JTH</t>
  </si>
  <si>
    <t>B0GKDX58BW</t>
  </si>
  <si>
    <t>【SYC615】-金粉14岁抽钱盒子-思业成</t>
  </si>
  <si>
    <t>2026-04-20 | 1
2026-04-24 | -1
2026-05-16 | 1</t>
  </si>
  <si>
    <t>MMJ-4.10-CQ-红单-1-15.75-HGR6</t>
  </si>
  <si>
    <t>2026-04-21 14:02</t>
  </si>
  <si>
    <t>2026-05-16 19:31</t>
  </si>
  <si>
    <t>71V1S6DR</t>
  </si>
  <si>
    <t>2026-05-17 18:51</t>
  </si>
  <si>
    <t>SP260410016</t>
  </si>
  <si>
    <t>CQ11772</t>
  </si>
  <si>
    <t>X004ZI0VDP</t>
  </si>
  <si>
    <t>B0GJ5DKKJX</t>
  </si>
  <si>
    <t>2026-【CQ11772】-金粉18岁照片横幅-创奇</t>
  </si>
  <si>
    <t>2026-04-20 | 50
2026-04-21 | 2
2026-04-26 | -1
2026-04-29 | -1</t>
  </si>
  <si>
    <t>2026-04-20 | 55
2026-04-23 | 1
2026-04-24 | -5
2026-04-26 | -1</t>
  </si>
  <si>
    <t>BNT-4.8-CQ-红单-2-38.35-LBE1</t>
  </si>
  <si>
    <t>1Z64W3460423905582</t>
  </si>
  <si>
    <t>2026-04-08 17:49</t>
  </si>
  <si>
    <t>2026-04-09 09:21</t>
  </si>
  <si>
    <t>2026-04-21 20:02</t>
  </si>
  <si>
    <t>2026-05-07 07:27</t>
  </si>
  <si>
    <t>6I46A5QH</t>
  </si>
  <si>
    <t>2026-05-11 11:37</t>
  </si>
  <si>
    <t>SP260408019</t>
  </si>
  <si>
    <t>2026-04-12</t>
  </si>
  <si>
    <t>CQ11748</t>
  </si>
  <si>
    <t>X00502HWGJ</t>
  </si>
  <si>
    <t>B0GD73Z18F</t>
  </si>
  <si>
    <t>【CQ11748】-金粉16岁盒子音乐贺卡-创奇</t>
  </si>
  <si>
    <t>2026-04-21 | 40</t>
  </si>
  <si>
    <t>CQ11741</t>
  </si>
  <si>
    <t>X004XLMCMH</t>
  </si>
  <si>
    <t>B0G4R7CF4Z</t>
  </si>
  <si>
    <t>2026-【CQ11741】-玫瑰金60岁贺卡海报套装-创奇（抛货不带电）</t>
  </si>
  <si>
    <t>2026-04-21 | 49</t>
  </si>
  <si>
    <t>CQ11798</t>
  </si>
  <si>
    <t>X00523ZI6H</t>
  </si>
  <si>
    <t>B0GVLN6NKB</t>
  </si>
  <si>
    <t>【CQ11798】-黑色10岁兄弟照片横幅-创奇</t>
  </si>
  <si>
    <t>2026-04-21 | 100
2026-04-27 | -1
2026-04-30 | -1
2026-05-09 | -16</t>
  </si>
  <si>
    <t>TVN-4.8-CR-空派-2-38.2-LBE1</t>
  </si>
  <si>
    <t>1Z64T0T60322680268</t>
  </si>
  <si>
    <t>2026-04-08 17:48</t>
  </si>
  <si>
    <t>2026-04-24 00:31</t>
  </si>
  <si>
    <t>2026-05-10 14:28</t>
  </si>
  <si>
    <t>59HILVAI</t>
  </si>
  <si>
    <t>2026-05-11 14:10</t>
  </si>
  <si>
    <t>SP260408018</t>
  </si>
  <si>
    <t>CR32570</t>
  </si>
  <si>
    <t>X00522G89J</t>
  </si>
  <si>
    <t>B0GVJSP67R</t>
  </si>
  <si>
    <t>B0GYY11H8B</t>
  </si>
  <si>
    <t>2026-【CR32570】-蓝黑1986签名本海报套装-辰瑞</t>
  </si>
  <si>
    <t>2026-04-23 | 45
2026-04-24 | 45</t>
  </si>
  <si>
    <t>CR32555</t>
  </si>
  <si>
    <t>X004ZNNDS5</t>
  </si>
  <si>
    <t>B0GJRJ5HC8</t>
  </si>
  <si>
    <t>2026-【CR32555】-报纸色15岁气球签名本加丝带-辰瑞</t>
  </si>
  <si>
    <t>2026-04-23 | 1</t>
  </si>
  <si>
    <t>WMX-4.8-DM-空派-2-30.4-LBE1</t>
  </si>
  <si>
    <t>1Z64T0T60335181210</t>
  </si>
  <si>
    <t>2026-04-08 17:39</t>
  </si>
  <si>
    <t>2026-04-09 09:31</t>
  </si>
  <si>
    <t>2026-04-24 21:16</t>
  </si>
  <si>
    <t>2026-05-20 11:44</t>
  </si>
  <si>
    <t>2EF2VRAV</t>
  </si>
  <si>
    <t>2026-05-21 10:55</t>
  </si>
  <si>
    <t>SP260408017</t>
  </si>
  <si>
    <t>DM21470</t>
  </si>
  <si>
    <t>X0051ROOJV</t>
  </si>
  <si>
    <t>B0GTTKVSFV</t>
  </si>
  <si>
    <t>【DM21470】-玫瑰金工作周年横幅套装-大卖（点胶固定）</t>
  </si>
  <si>
    <t>2026-04-24 | 110
2026-05-03 | 1
2026-05-18 | -1</t>
  </si>
  <si>
    <t>DM21471</t>
  </si>
  <si>
    <t>X0051S2415</t>
  </si>
  <si>
    <t>B0GTTJCKBH</t>
  </si>
  <si>
    <t>【DM21471】-蓝银工作周年横幅套装-大卖（点胶固定）</t>
  </si>
  <si>
    <t>2026-04-24 | 115
2026-04-26 | 13
2026-04-30 | -12
2026-05-02 | -1
2026-05-02 | -5
2026-05-04 | 1
2026-05-05 | -1</t>
  </si>
  <si>
    <t>SUL-4.8-DX-空派-2-41.9-LBE1</t>
  </si>
  <si>
    <t>1Z64T0T60320243798</t>
  </si>
  <si>
    <t>2026-04-24 20:59</t>
  </si>
  <si>
    <t>2026-05-10 12:12</t>
  </si>
  <si>
    <t>7OTWA11N</t>
  </si>
  <si>
    <t>2026-05-11 11:49</t>
  </si>
  <si>
    <t>SP260408016</t>
  </si>
  <si>
    <t>DX05624</t>
  </si>
  <si>
    <t>X003ACVUMD</t>
  </si>
  <si>
    <t>B0B4CD75BY</t>
  </si>
  <si>
    <t>【DX05624】-嘉年华主题拉旗-定行</t>
  </si>
  <si>
    <t>2026-04-24 | 30</t>
  </si>
  <si>
    <t>DX06034</t>
  </si>
  <si>
    <t>X0052E3H2N</t>
  </si>
  <si>
    <t>B0GVNTJHXC</t>
  </si>
  <si>
    <t>【DX06034】-13岁蓝黑蛋糕签雨帘套装-定行（整套真空+外面套opp袋子）</t>
  </si>
  <si>
    <t>TKB-4.8-SX-空派-5-87.5-LBE1</t>
  </si>
  <si>
    <t>1Z64T0T60327991879</t>
  </si>
  <si>
    <t>2026-04-24 00:36</t>
  </si>
  <si>
    <t>2026-05-22 08:22</t>
  </si>
  <si>
    <t>7PWO5GOW</t>
  </si>
  <si>
    <t>SP260408015</t>
  </si>
  <si>
    <t>SX00448</t>
  </si>
  <si>
    <t>X0051GFGIZ</t>
  </si>
  <si>
    <t>B0GSR787QF</t>
  </si>
  <si>
    <t>B0GD6RTPZC</t>
  </si>
  <si>
    <t>2026-【SX00448】-报纸色70岁蜂窝海报套装（整体真空+外面套opp袋）-势兴</t>
  </si>
  <si>
    <t>2026-04-23 | 20
2026-04-24 | 80
2026-05-13 | -1
2026-05-15 | -1
2026-05-17 | -1</t>
  </si>
  <si>
    <t>SX00449</t>
  </si>
  <si>
    <t>X0051WE8Z1</t>
  </si>
  <si>
    <t>B0GV3Q5LN3</t>
  </si>
  <si>
    <t>2026-【SX00449】-蓝黑12岁蛋糕签海报套装-势兴（真空包装+外面套opp袋）</t>
  </si>
  <si>
    <t>2026-04-23 | 24
2026-04-24 | 96
2026-05-13 | -2
2026-05-16 | 2
2026-05-17 | -1</t>
  </si>
  <si>
    <t>STU-4.8-YS-空派-1-13.1-LBE1</t>
  </si>
  <si>
    <t>1Z64T0T60320472988</t>
  </si>
  <si>
    <t>2026-04-08 17:32</t>
  </si>
  <si>
    <t>2026-04-25 03:33</t>
  </si>
  <si>
    <t>2026-05-18 14:21</t>
  </si>
  <si>
    <t>76SQELFQ</t>
  </si>
  <si>
    <t>2026-05-19 14:04</t>
  </si>
  <si>
    <t>SP260408014</t>
  </si>
  <si>
    <t>2026-04-24 | 37</t>
  </si>
  <si>
    <t>YS06708</t>
  </si>
  <si>
    <t>X004YM446R</t>
  </si>
  <si>
    <t>B0GD7L95C6</t>
  </si>
  <si>
    <t>B0GXDQXK8H</t>
  </si>
  <si>
    <t>【YS06708】-黑金13岁兄弟青少年横幅套装-艺胜</t>
  </si>
  <si>
    <t>2026-04-24 | 40</t>
  </si>
  <si>
    <t>YS06709</t>
  </si>
  <si>
    <t>X004YQWJ47</t>
  </si>
  <si>
    <t>B0GDY1FMLC</t>
  </si>
  <si>
    <t>【YS06709】-黑金18岁成年横幅套装-艺胜</t>
  </si>
  <si>
    <t>2026-04-24 | 17
2026-04-28 | 6
2026-05-08 | -6
2026-05-18 | -1</t>
  </si>
  <si>
    <t>JSH-4.8-PT-红单-1-21.6-BNA6</t>
  </si>
  <si>
    <t>2026-04-08 10:32</t>
  </si>
  <si>
    <t>2026-04-18 20:52</t>
  </si>
  <si>
    <t>2026-05-09 02:52</t>
  </si>
  <si>
    <t>7PQSEDCX</t>
  </si>
  <si>
    <t>SP260408012</t>
  </si>
  <si>
    <t>2026-04-22</t>
  </si>
  <si>
    <t>PT53610</t>
  </si>
  <si>
    <t>X0051CYVM1</t>
  </si>
  <si>
    <t>B0GSR69XDH</t>
  </si>
  <si>
    <t>B0GYRJYDZ4</t>
  </si>
  <si>
    <t>【PT53610】-玫瑰金13岁青少年灯饰横幅-拼途（点胶固定）</t>
  </si>
  <si>
    <t>2026-04-18 | 85
2026-04-21 | -3
2026-04-23 | 3
2026-04-26 | -1
2026-04-27 | 1
2026-05-02 | -1
2026-05-06 | 1</t>
  </si>
  <si>
    <t>PT53611</t>
  </si>
  <si>
    <t>X0051CU1HP</t>
  </si>
  <si>
    <t>B0GSR6K9DD</t>
  </si>
  <si>
    <t>【PT53611】-蓝色13岁青少年灯饰横幅-拼途（点胶固定）</t>
  </si>
  <si>
    <t>2026-04-18 | 80</t>
  </si>
  <si>
    <t>PT53612</t>
  </si>
  <si>
    <t>X0051D0C7N</t>
  </si>
  <si>
    <t>B0GSQWP6LT</t>
  </si>
  <si>
    <t>【PT53612】-玫瑰金18岁成年灯饰横幅-拼途（点胶固定）</t>
  </si>
  <si>
    <t>2026-04-18 | 83
2026-04-26 | -4
2026-04-26 | 1
2026-04-30 | -1
2026-04-30 | 1
2026-05-06 | 1
2026-05-09 | -1</t>
  </si>
  <si>
    <t>2026-04-18 | 75
2026-04-28 | 1
2026-05-01 | 1</t>
  </si>
  <si>
    <t>PT53608</t>
  </si>
  <si>
    <t>X00508SPAP</t>
  </si>
  <si>
    <t>B0GMJ55HZZ</t>
  </si>
  <si>
    <t>【PT53608】-金色50岁灯饰横幅-拼途（点胶固定）</t>
  </si>
  <si>
    <t>2026-04-18 | 1</t>
  </si>
  <si>
    <t>YDL-4.8-SYC-红单-3-37.2-BNA6</t>
  </si>
  <si>
    <t>2026-04-18 17:01</t>
  </si>
  <si>
    <t>2026-05-12 04:44</t>
  </si>
  <si>
    <t>7JFIUDKY</t>
  </si>
  <si>
    <t>2026-05-13 04:22</t>
  </si>
  <si>
    <t>SP260408013</t>
  </si>
  <si>
    <t>2026-04-24</t>
  </si>
  <si>
    <t>SYC624</t>
  </si>
  <si>
    <t>X005085DPP</t>
  </si>
  <si>
    <t>B0GMNF363H</t>
  </si>
  <si>
    <t>B0FDWRPHBG</t>
  </si>
  <si>
    <t>【SYC624】-金粉17岁生日音乐贺卡-思业成</t>
  </si>
  <si>
    <t>2026-04-20 | 120</t>
  </si>
  <si>
    <t>SYC625</t>
  </si>
  <si>
    <t>X00508JC61</t>
  </si>
  <si>
    <t>B0GMMNR3N3</t>
  </si>
  <si>
    <t>【SYC625】-金粉65岁生日音乐贺卡-思业成</t>
  </si>
  <si>
    <t>2026-04-18 | 120
2026-04-25 | -2</t>
  </si>
  <si>
    <t>SYC626</t>
  </si>
  <si>
    <t>X005089NGZ</t>
  </si>
  <si>
    <t>B0GMNGT6XF</t>
  </si>
  <si>
    <t>【SYC626】-金粉100岁生日音乐贺卡-思业成</t>
  </si>
  <si>
    <t>2026-04-18 | 121
2026-04-25 | -1</t>
  </si>
  <si>
    <t>ZTK-4.7-CR-空派-7-109.5-LBE1</t>
  </si>
  <si>
    <t>1Z64T0T60312196560</t>
  </si>
  <si>
    <t>2026-04-07 17:20</t>
  </si>
  <si>
    <t>2026-04-07 18:46</t>
  </si>
  <si>
    <t>2026-04-24 22:21</t>
  </si>
  <si>
    <t>8BIWYVUS</t>
  </si>
  <si>
    <t>2026-05-01 19:00</t>
  </si>
  <si>
    <t>SP260409069</t>
  </si>
  <si>
    <t>CR32568</t>
  </si>
  <si>
    <t>X0051GDZAL</t>
  </si>
  <si>
    <t>B0GSZ25R8Z</t>
  </si>
  <si>
    <t>B0GYSHCPF4</t>
  </si>
  <si>
    <t>【CR32568】-黑金50岁极好皇冠签名本套装-辰瑞</t>
  </si>
  <si>
    <t>2026-04-24 | 66
2026-04-25 | 36</t>
  </si>
  <si>
    <t>CR32569</t>
  </si>
  <si>
    <t>X0051GCJM1</t>
  </si>
  <si>
    <t>B0GSZ23Q94</t>
  </si>
  <si>
    <t>【CR32569】-黑金60岁极好皇冠签名本套装-辰瑞</t>
  </si>
  <si>
    <t>2026-04-24 | 72
2026-04-26 | 28
2026-05-01 | -1
2026-05-02 | -1
2026-05-05 | -1</t>
  </si>
  <si>
    <t>CR32482</t>
  </si>
  <si>
    <t>X004OT5BNZ</t>
  </si>
  <si>
    <t>B0F8TPTZLC</t>
  </si>
  <si>
    <t>【CR32482】-金粉想你横幅蜂窝套装-辰瑞（点胶固定）</t>
  </si>
  <si>
    <t>2026-04-24 | 10</t>
  </si>
  <si>
    <t>CR32566</t>
  </si>
  <si>
    <t>X0051ERQC1</t>
  </si>
  <si>
    <t>B0GSW2KCHY</t>
  </si>
  <si>
    <t>2026-【CR32566】-白金1966纸巾50件套-辰瑞</t>
  </si>
  <si>
    <t>AWG-4.7-ZY-空派-6-115.1-LBE1</t>
  </si>
  <si>
    <t>1Z9X02R50394817982</t>
  </si>
  <si>
    <t>2026-04-07 17:00</t>
  </si>
  <si>
    <t>2026-04-07 18:37</t>
  </si>
  <si>
    <t>2026-04-17 11:55</t>
  </si>
  <si>
    <t>2026-05-15 15:03</t>
  </si>
  <si>
    <t>134ANU9P</t>
  </si>
  <si>
    <t>2026-05-19 13:00</t>
  </si>
  <si>
    <t>SP260407013</t>
  </si>
  <si>
    <t>2026-04-20</t>
  </si>
  <si>
    <t>ZY02301</t>
  </si>
  <si>
    <t>X0051BGO5T</t>
  </si>
  <si>
    <t>B0GSFWYWDY</t>
  </si>
  <si>
    <t>B0GLFFTPWW</t>
  </si>
  <si>
    <t>【ZY02301】-紫银5岁三角拉旗套装-争艳</t>
  </si>
  <si>
    <t>2026-04-18 | 70
2026-05-12 | -1
2026-05-16 | 1</t>
  </si>
  <si>
    <t>ZY02302</t>
  </si>
  <si>
    <t>X00519KVCX</t>
  </si>
  <si>
    <t>B0GSG7NFTC</t>
  </si>
  <si>
    <t>【ZY02302】-紫银50岁三角拉旗套装-争艳</t>
  </si>
  <si>
    <t>2026-04-16 | 70
2026-04-28 | -1
2026-05-18 | 1</t>
  </si>
  <si>
    <t>ZY02307</t>
  </si>
  <si>
    <t>X0051GOD43</t>
  </si>
  <si>
    <t>B0GSZ8SY7P</t>
  </si>
  <si>
    <t>B0GZN3P79N</t>
  </si>
  <si>
    <t>【ZY02307】-金粉40岁极好皇冠签名本套装-争艳</t>
  </si>
  <si>
    <t>2026-04-17 | 36
2026-04-18 | 64</t>
  </si>
  <si>
    <t>ZY02308</t>
  </si>
  <si>
    <t>X0051JQR21</t>
  </si>
  <si>
    <t>B0GSZFFPYZ</t>
  </si>
  <si>
    <t>【ZY02308】-金粉16岁极好皇冠签名本套装-争艳</t>
  </si>
  <si>
    <t>2026-04-16 | 28
2026-04-18 | 72
2026-04-24 | 1
2026-05-07 | -2
2026-05-15 | -1
2026-05-18 | 2</t>
  </si>
  <si>
    <t>UQF-4.3-CQ-红单-1-21.9-HGR6</t>
  </si>
  <si>
    <t>1ZB60Y076627536428</t>
  </si>
  <si>
    <t>2026-04-03 16:21</t>
  </si>
  <si>
    <t>2026-04-09 23:40</t>
  </si>
  <si>
    <t>2026-04-25 21:22</t>
  </si>
  <si>
    <t>6N23TYZG</t>
  </si>
  <si>
    <t>2026-05-11 11:38</t>
  </si>
  <si>
    <t>SP260407002</t>
  </si>
  <si>
    <t>2026-04-15</t>
  </si>
  <si>
    <t>CQ11709</t>
  </si>
  <si>
    <t>X004WHRMGN</t>
  </si>
  <si>
    <t>B0FPCXGLG4</t>
  </si>
  <si>
    <t>2026-【CQ11709】-黑色16岁照片横幅-创奇</t>
  </si>
  <si>
    <t>2026-04-09 | 100
2026-04-11 | 100
2026-04-29 | -100</t>
  </si>
  <si>
    <t>CQ11756</t>
  </si>
  <si>
    <t>X004ZHXDUJ</t>
  </si>
  <si>
    <t>B0GJ487Z1K</t>
  </si>
  <si>
    <t>B0FL6ZMVTK</t>
  </si>
  <si>
    <t>【CQ11756】-黑金45岁干杯漩涡套装-创奇（点胶固定）</t>
  </si>
  <si>
    <t>2026-04-09 | 25
2026-04-11 | 25
2026-04-29 | -25</t>
  </si>
  <si>
    <t>CQ11757</t>
  </si>
  <si>
    <t>X004ZHTGIH</t>
  </si>
  <si>
    <t>B0GJ4S6NTR</t>
  </si>
  <si>
    <t>【CQ11757】-黑金55岁干杯漩涡套装-创奇（点胶固定）</t>
  </si>
  <si>
    <t>2026-04-09 | 20
2026-04-11 | 20
2026-04-29 | -20</t>
  </si>
  <si>
    <t>2026-04-09 | 4
2026-04-11 | 4
2026-04-29 | -4</t>
  </si>
  <si>
    <t>WNN-4.2-PT-红单-3-47.45-LBE1</t>
  </si>
  <si>
    <t>2026-04-02 17:52</t>
  </si>
  <si>
    <t>2026-04-14 18:28</t>
  </si>
  <si>
    <t>2026-04-26 01:59</t>
  </si>
  <si>
    <t>2026-05-19 10:20</t>
  </si>
  <si>
    <t>5Y5U9IDJ</t>
  </si>
  <si>
    <t>2026-05-20 19:00</t>
  </si>
  <si>
    <t>SP260414009</t>
  </si>
  <si>
    <t>PT53596</t>
  </si>
  <si>
    <t>X004VLW0RL</t>
  </si>
  <si>
    <t>B0CLV8CXSM</t>
  </si>
  <si>
    <t>B0DRYL1K9K</t>
  </si>
  <si>
    <t>2026-【PT53596】-粉金16岁木摆件4件套-拼途</t>
  </si>
  <si>
    <t>2026-04-25 | 90
2026-04-28 | 122
2026-05-05 | -1
2026-05-07 | 1
2026-05-08 | -1
2026-05-08 | 1
2026-05-20 | -1</t>
  </si>
  <si>
    <t>GXI-4.2-SYC-红单-1-19.85-LBE1</t>
  </si>
  <si>
    <t>2026-04-14 18:27</t>
  </si>
  <si>
    <t>2026-04-23 15:33</t>
  </si>
  <si>
    <t>2026-05-17 09:39</t>
  </si>
  <si>
    <t>37ASF79R</t>
  </si>
  <si>
    <t>2026-05-18 09:27</t>
  </si>
  <si>
    <t>SP260414010</t>
  </si>
  <si>
    <t>SYC555</t>
  </si>
  <si>
    <t>X004VAVBHR</t>
  </si>
  <si>
    <t>B0CD7LBR5F</t>
  </si>
  <si>
    <t>B0GCZD9P7W</t>
  </si>
  <si>
    <t>2026-【SYC555】-黑金90岁木摆件4件套-思业成（亚克力勿发此SKU）</t>
  </si>
  <si>
    <t>2026-04-23 | 65
2026-04-27 | -1</t>
  </si>
  <si>
    <t>SYC557</t>
  </si>
  <si>
    <t>X004VAVBCR</t>
  </si>
  <si>
    <t>B0C1YXWVVN</t>
  </si>
  <si>
    <t>2026-【SYC557】-黑金50岁木摆件4件套-思业成（亚克力勿发此SKU）</t>
  </si>
  <si>
    <t>2026-04-23 | 26
2026-04-26 | -1
2026-04-26 | 1
2026-05-01 | -1
2026-05-05 | 1</t>
  </si>
  <si>
    <t>SYC559</t>
  </si>
  <si>
    <t>X004VAVB8V</t>
  </si>
  <si>
    <t>B0CD7P3NJ5</t>
  </si>
  <si>
    <t>2026-【SYC559】-黑金70岁木摆件4件套-思业成（亚克力勿发此SKU）</t>
  </si>
  <si>
    <t>2026-04-23 | 6
2026-05-16 | -1</t>
  </si>
  <si>
    <t>TON-4.2-DM-红单-1-16.91-LBE1</t>
  </si>
  <si>
    <t>2026-04-14 18:25</t>
  </si>
  <si>
    <t>2026-04-25 03:49</t>
  </si>
  <si>
    <t>2026-05-18 08:30</t>
  </si>
  <si>
    <t>6A8WKUPB</t>
  </si>
  <si>
    <t>2026-05-19 08:14</t>
  </si>
  <si>
    <t>SP260414011</t>
  </si>
  <si>
    <t>DM21314</t>
  </si>
  <si>
    <t>X003X6EITX</t>
  </si>
  <si>
    <t>B0CDWVW312</t>
  </si>
  <si>
    <t>New8-【DM21314】-黑金男人生日木摆件4件套-大卖</t>
  </si>
  <si>
    <t>2026-04-24 | 66
2026-05-03 | -1
2026-05-03 | -1
2026-05-19 | 1</t>
  </si>
  <si>
    <t>DM21456</t>
  </si>
  <si>
    <t>X004VE5T7B</t>
  </si>
  <si>
    <t>B0CP57NHBK</t>
  </si>
  <si>
    <t>B0CP8Y39JG</t>
  </si>
  <si>
    <t>2026-【DM21456】-玫瑰金1976小海报木板-大卖</t>
  </si>
  <si>
    <t>2026-04-24 | 44
2026-05-03 | -1
2026-05-17 | 1</t>
  </si>
  <si>
    <t>DM21460</t>
  </si>
  <si>
    <t>X004VE5YZ3</t>
  </si>
  <si>
    <t>B0CVZZYC1H</t>
  </si>
  <si>
    <t>2026-【DM21460】-玫瑰金2010小海报木板-大卖</t>
  </si>
  <si>
    <t>2026-04-24 | 4</t>
  </si>
  <si>
    <t>EVT-4.2-DM-红单-1-16.9-HGR6</t>
  </si>
  <si>
    <t>2026-04-02 16:15</t>
  </si>
  <si>
    <t>2026-04-02 16:23</t>
  </si>
  <si>
    <t>2026-04-10 04:01</t>
  </si>
  <si>
    <t>2026-04-26 09:52</t>
  </si>
  <si>
    <t>2OTVKVSU</t>
  </si>
  <si>
    <t>2026-05-11 11:47</t>
  </si>
  <si>
    <t>SP260402077</t>
  </si>
  <si>
    <t>2026-04-05</t>
  </si>
  <si>
    <t>DM21476</t>
  </si>
  <si>
    <t>X0051RW4RP</t>
  </si>
  <si>
    <t>B0GTTVDHVM</t>
  </si>
  <si>
    <t>【DM21476】-蓝银16岁兄弟拉旗套装-大卖（气球真空）</t>
  </si>
  <si>
    <t>2026-04-09 | 120</t>
  </si>
  <si>
    <t>DM21469</t>
  </si>
  <si>
    <t>X004Z1WHE3</t>
  </si>
  <si>
    <t>B0GG939Q72</t>
  </si>
  <si>
    <t>【DM21469】-蓝银11岁兄弟拉旗套装-大卖（气球真空+点胶固定）</t>
  </si>
  <si>
    <t>2026-04-09 | 19
2026-04-28 | 1</t>
  </si>
  <si>
    <t>BGI-4.2-CQ-空派-3-42.25-HGR6</t>
  </si>
  <si>
    <t>2026-04-02 16:11</t>
  </si>
  <si>
    <t>2026-04-02 18:20</t>
  </si>
  <si>
    <t>2026-04-10 01:13</t>
  </si>
  <si>
    <t>2026-05-06 08:44</t>
  </si>
  <si>
    <t>3599N86S</t>
  </si>
  <si>
    <t>SP260402044</t>
  </si>
  <si>
    <t>CQ11633</t>
  </si>
  <si>
    <t>X004SHO44F</t>
  </si>
  <si>
    <t>B0FLDM4Z18</t>
  </si>
  <si>
    <t>【CQ11633】-黑金50岁干杯漩涡套装-创奇（点胶固定）</t>
  </si>
  <si>
    <t>2026-04-09 | 200</t>
  </si>
  <si>
    <t>2026-04-09 | 8</t>
  </si>
  <si>
    <t>CQ11714</t>
  </si>
  <si>
    <t>X004WALSTH</t>
  </si>
  <si>
    <t>B0FYF4PVFD</t>
  </si>
  <si>
    <t>2026-【CQ11714】-黑色30岁照片横幅-创奇</t>
  </si>
  <si>
    <t>2026-04-09 | 40</t>
  </si>
  <si>
    <t>CQ11721</t>
  </si>
  <si>
    <t>X004WAIZ7P</t>
  </si>
  <si>
    <t>B0FYFBR85C</t>
  </si>
  <si>
    <t>2026-【CQ11721】-金粉60岁照片横幅-创奇</t>
  </si>
  <si>
    <t>2026-04-09 | 50</t>
  </si>
  <si>
    <t>JWK-4.2-DX-空派-2-40.7-HGR6</t>
  </si>
  <si>
    <t>2026-04-02 16:09</t>
  </si>
  <si>
    <t>2026-04-02 16:18</t>
  </si>
  <si>
    <t>2026-04-10 01:05</t>
  </si>
  <si>
    <t>2026-04-30 09:19</t>
  </si>
  <si>
    <t>8UJ2RWHR</t>
  </si>
  <si>
    <t>SP260402076</t>
  </si>
  <si>
    <t>DX05959</t>
  </si>
  <si>
    <t>X004VM0I1Z</t>
  </si>
  <si>
    <t>B0D3G21TNW</t>
  </si>
  <si>
    <t>B0D9VRXGLL</t>
  </si>
  <si>
    <t>2026-【DX05959】-黑金60岁年份气球签名本-定行</t>
  </si>
  <si>
    <t>2026-04-09 | 45
2026-04-18 | -2
2026-04-29 | 2</t>
  </si>
  <si>
    <t>DX05993</t>
  </si>
  <si>
    <t>X004WCB6BF</t>
  </si>
  <si>
    <t>B0FYMJF9Y6</t>
  </si>
  <si>
    <t>B0G8GTVD2H</t>
  </si>
  <si>
    <t>2026-【DX05993】-绿金40岁气球漩涡套装-定行（气球真空）</t>
  </si>
  <si>
    <t>2026-04-09 | 99
2026-04-30 | 1
2026-05-10 | -1</t>
  </si>
  <si>
    <t>DX06033</t>
  </si>
  <si>
    <t>X0050OVG1T</t>
  </si>
  <si>
    <t>B0GQGR5T1T</t>
  </si>
  <si>
    <t>B0FQD4JYJ2</t>
  </si>
  <si>
    <t>【DX06033】-蓝银12岁兄弟横幅套装-定行（气球真空+点胶固定）</t>
  </si>
  <si>
    <t>2026-04-09 | 90</t>
  </si>
  <si>
    <t>OAO-3.30-PT-红单-2-40.5-BNA6</t>
  </si>
  <si>
    <t>1Z64W3460494860809</t>
  </si>
  <si>
    <t>2026-03-30 18:13</t>
  </si>
  <si>
    <t>2026-03-30 20:30</t>
  </si>
  <si>
    <t>2026-04-08 08:49</t>
  </si>
  <si>
    <t>2026-04-28 09:55</t>
  </si>
  <si>
    <t>6KSFUT4N</t>
  </si>
  <si>
    <t>2026-05-11 13:37</t>
  </si>
  <si>
    <t>SP260330008</t>
  </si>
  <si>
    <t>2026-04-18</t>
  </si>
  <si>
    <t>2026-04-07 | 102
2026-04-08 | 3
2026-04-17 | -1
2026-04-19 | -2</t>
  </si>
  <si>
    <t>2026-04-07 | 3
2026-04-08 | 97
2026-04-11 | -1
2026-04-18 | 1
2026-04-19 | 2</t>
  </si>
  <si>
    <t>RAD-3.30-CQ-红单-2-39.8-HGR6</t>
  </si>
  <si>
    <t>1Z64W3460492450292</t>
  </si>
  <si>
    <t>2026-03-30 18:10</t>
  </si>
  <si>
    <t>2026-04-09 07:39</t>
  </si>
  <si>
    <t>2026-05-02 10:24</t>
  </si>
  <si>
    <t>5YNFHQLT</t>
  </si>
  <si>
    <t>SP260330007</t>
  </si>
  <si>
    <t>2026-04-11</t>
  </si>
  <si>
    <t>2026-04-08 | 50</t>
  </si>
  <si>
    <t>CQ11723</t>
  </si>
  <si>
    <t>X004WAFW5N</t>
  </si>
  <si>
    <t>B0FYFF76V2</t>
  </si>
  <si>
    <t>2026-【CQ11723】-金色50岁照片横幅-创奇</t>
  </si>
  <si>
    <t>2026-04-08 | 80</t>
  </si>
  <si>
    <t>CQ11719</t>
  </si>
  <si>
    <t>X004WAI3V3</t>
  </si>
  <si>
    <t>B0FYFG7K5X</t>
  </si>
  <si>
    <t>2026-【CQ11719】-黑色80岁照片横幅-创奇</t>
  </si>
  <si>
    <t>2026-04-08 | 100
2026-04-09 | 2
2026-04-21 | 10
2026-04-22 | -1
2026-04-26 | -1
2026-04-27 | -1
2026-05-07 | -12
2026-05-09 | 1</t>
  </si>
  <si>
    <t>2026-04-08 | 50
2026-04-09 | 26
2026-04-13 | -3
2026-04-24 | -8
2026-05-07 | -31
2026-05-14 | 1</t>
  </si>
  <si>
    <t>SLJ-3.30-ZY-红单-3-63.6-BNA6</t>
  </si>
  <si>
    <t>1Z64W3460493105412</t>
  </si>
  <si>
    <t>2026-03-30 18:09</t>
  </si>
  <si>
    <t>2026-03-30 18:38</t>
  </si>
  <si>
    <t>2026-04-08 08:53</t>
  </si>
  <si>
    <t>2026-05-12 22:26</t>
  </si>
  <si>
    <t>7SO1WPSR</t>
  </si>
  <si>
    <t>2026-05-13 21:26</t>
  </si>
  <si>
    <t>SP260330006</t>
  </si>
  <si>
    <t>2026-04-25</t>
  </si>
  <si>
    <t>ZY02303</t>
  </si>
  <si>
    <t>X00519QEA1</t>
  </si>
  <si>
    <t>B0GSG86YVS</t>
  </si>
  <si>
    <t>【ZY02303】-黑金50岁雨帘签名本套装-争艳（整套真空+外面套opp袋子）</t>
  </si>
  <si>
    <t>2026-04-07 | 88
2026-04-22 | 43</t>
  </si>
  <si>
    <t>TPT-3.30-CR-红单-1-12.8-HGR6</t>
  </si>
  <si>
    <t>1Z64W3460490074121</t>
  </si>
  <si>
    <t>2026-03-30 18:07</t>
  </si>
  <si>
    <t>2026-04-08 09:37</t>
  </si>
  <si>
    <t>2026-04-25 16:16</t>
  </si>
  <si>
    <t>557T3HAK</t>
  </si>
  <si>
    <t>2026-05-11 13:41</t>
  </si>
  <si>
    <t>SP260330004</t>
  </si>
  <si>
    <t>mgj 100s srchf</t>
  </si>
  <si>
    <t>X002PM3I3D</t>
  </si>
  <si>
    <t>B08NDJRLV9</t>
  </si>
  <si>
    <t>【CR025】-玫瑰金100岁生日长横幅-辰瑞</t>
  </si>
  <si>
    <t>2026-04-07 | 10</t>
  </si>
  <si>
    <t>CR32545</t>
  </si>
  <si>
    <t>X004ZKZ3GX</t>
  </si>
  <si>
    <t>B0GJJ72437</t>
  </si>
  <si>
    <t>B0GRH22M1T</t>
  </si>
  <si>
    <t>2026-【CR32545】-粉白13岁年份签名本-辰瑞</t>
  </si>
  <si>
    <t>2026-04-07 | 60
2026-04-12 | -1
2026-04-14 | -1
2026-04-14 | 1
2026-04-16 | 1</t>
  </si>
  <si>
    <t>CR32549</t>
  </si>
  <si>
    <t>X004ZKW9UB</t>
  </si>
  <si>
    <t>B0GJKDGXL6</t>
  </si>
  <si>
    <t>2026-【CR32549】-粉白15岁年份签名本-辰瑞</t>
  </si>
  <si>
    <t>2026-04-07 | 35
2026-04-25 | 1</t>
  </si>
  <si>
    <t>DEB-3.30-DM-红单-3-48.45-HGR6</t>
  </si>
  <si>
    <t>1Z64W3460492541907</t>
  </si>
  <si>
    <t>2026-03-30 17:52</t>
  </si>
  <si>
    <t>2026-03-30 18:19</t>
  </si>
  <si>
    <t>2026-04-08 09:30</t>
  </si>
  <si>
    <t>2026-05-04 04:33</t>
  </si>
  <si>
    <t>1F7BL8ZI</t>
  </si>
  <si>
    <t>SP260330005</t>
  </si>
  <si>
    <t>DM21474</t>
  </si>
  <si>
    <t>X0051RMEOX</t>
  </si>
  <si>
    <t>B0GTTJCQFL</t>
  </si>
  <si>
    <t>【DM21474】-蓝银12岁兄弟拉旗套装-大卖（气球真空）</t>
  </si>
  <si>
    <t>2026-04-07 | 150</t>
  </si>
  <si>
    <t>DM21475</t>
  </si>
  <si>
    <t>X0051ROIAL</t>
  </si>
  <si>
    <t>B0GTTJ3XHF</t>
  </si>
  <si>
    <t>【DM21475】-蓝银13岁兄弟拉旗套装-大卖（气球真空）</t>
  </si>
  <si>
    <t>2026-04-07 | 1
2026-04-08 | 119</t>
  </si>
  <si>
    <t>2026-04-07 | 1
2026-04-08 | 119
2026-04-10 | 1
2026-04-15 | -1</t>
  </si>
  <si>
    <t>SLK-3.27-PT-红单-2-25.8-BNA6</t>
  </si>
  <si>
    <t>1Z64W3460491022943</t>
  </si>
  <si>
    <t>2026-03-27 18:39</t>
  </si>
  <si>
    <t>2026-03-29 22:09</t>
  </si>
  <si>
    <t>2026-04-07 18:58</t>
  </si>
  <si>
    <t>2026-04-24 23:29</t>
  </si>
  <si>
    <t>2WLGYR1M</t>
  </si>
  <si>
    <t>SP260327010</t>
  </si>
  <si>
    <t>2026-04-10</t>
  </si>
  <si>
    <t>2026-04-07 | 100</t>
  </si>
  <si>
    <t>2026-04-07 | 80
2026-04-17 | 1
2026-04-26 | -1</t>
  </si>
  <si>
    <t>AUU-3.27-JY-红单-1-20.9-HGR6</t>
  </si>
  <si>
    <t>1ZC228W90404348178</t>
  </si>
  <si>
    <t>2026-03-27 18:36</t>
  </si>
  <si>
    <t>2026-04-07 20:00</t>
  </si>
  <si>
    <t>2026-05-02 00:13</t>
  </si>
  <si>
    <t>3HDN2BUY</t>
  </si>
  <si>
    <t>2026-05-12 23:00</t>
  </si>
  <si>
    <t>SP260327011</t>
  </si>
  <si>
    <t>2026-04-09</t>
  </si>
  <si>
    <t>JY01320</t>
  </si>
  <si>
    <t>X0050ZWCLV</t>
  </si>
  <si>
    <t>B0GRN5WV7J</t>
  </si>
  <si>
    <t>2026-【JY01320】-鼠尾草绿金30岁横幅套装-进益（点胶固定）</t>
  </si>
  <si>
    <t>2026-04-07 | 100
2026-04-15 | -1
2026-04-19 | -1
2026-05-06 | 1
2026-05-12 | 1</t>
  </si>
  <si>
    <t>MNK-3.27-YS-红单-2-27.8-HGR6</t>
  </si>
  <si>
    <t>1ZC228W90405680155</t>
  </si>
  <si>
    <t>2026-04-07 12:25</t>
  </si>
  <si>
    <t>2026-05-02 19:04</t>
  </si>
  <si>
    <t>3AQLDJMW</t>
  </si>
  <si>
    <t>2026-05-11 10:23</t>
  </si>
  <si>
    <t>SP260327012</t>
  </si>
  <si>
    <t>YS06712</t>
  </si>
  <si>
    <t>X0051CMB37</t>
  </si>
  <si>
    <t>B0GSQHQN1J</t>
  </si>
  <si>
    <t>【YS06712】-黑金17岁兄弟蛋糕签套装-艺胜</t>
  </si>
  <si>
    <t>2026-04-06 | 120</t>
  </si>
  <si>
    <t>YS06713</t>
  </si>
  <si>
    <t>X0051CQR2X</t>
  </si>
  <si>
    <t>B0GSQM4VXB</t>
  </si>
  <si>
    <t>【YS06713】-黑金18岁兄弟蛋糕签套装-艺胜</t>
  </si>
  <si>
    <t>2026-04-07 | 121
2026-04-13 | -1
2026-04-16 | -3
2026-04-17 | -1
2026-04-19 | -1
2026-04-19 | 1
2026-04-21 | 4
2026-05-11 | 1
2026-05-13 | -1</t>
  </si>
  <si>
    <t>2026-04-06 | 37
2026-04-07 | 58</t>
  </si>
  <si>
    <t>XPG-3.26-ZY-红单-3-47.55-LBE1</t>
  </si>
  <si>
    <t>1Z64W3460492740460</t>
  </si>
  <si>
    <t>2026-03-26 18:02</t>
  </si>
  <si>
    <t>2026-03-27 10:38</t>
  </si>
  <si>
    <t>2026-04-13 04:17</t>
  </si>
  <si>
    <t>2026-05-05 06:20</t>
  </si>
  <si>
    <t>6BN17QIJ</t>
  </si>
  <si>
    <t>2026-05-11 11:21</t>
  </si>
  <si>
    <t>SP260326057</t>
  </si>
  <si>
    <t>2026-04-14</t>
  </si>
  <si>
    <t>2026-03-29</t>
  </si>
  <si>
    <t>ZY02304</t>
  </si>
  <si>
    <t>X0051EPDJ9</t>
  </si>
  <si>
    <t>B0GSWKRS4F</t>
  </si>
  <si>
    <t>2026-【ZY02304】-黑金1996纸巾50件套-争艳</t>
  </si>
  <si>
    <t>2026-04-12 | 70</t>
  </si>
  <si>
    <t>ZY02305</t>
  </si>
  <si>
    <t>X0051EPEK7</t>
  </si>
  <si>
    <t>B0GSW5TK6R</t>
  </si>
  <si>
    <t>2026-【ZY02305】-黑金1951纸巾50件套-争艳</t>
  </si>
  <si>
    <t>ZY02306</t>
  </si>
  <si>
    <t>X0051EQE0B</t>
  </si>
  <si>
    <t>B0GSW7YLHY</t>
  </si>
  <si>
    <t>2026-【ZY02306】-黑金1946纸巾50件套-争艳</t>
  </si>
  <si>
    <t>2026-04-12 | 70
2026-04-23 | -1
2026-05-07 | 1</t>
  </si>
  <si>
    <t>ZY02297</t>
  </si>
  <si>
    <t>X004ZN2MTV</t>
  </si>
  <si>
    <t>B0GJS3ZKMV</t>
  </si>
  <si>
    <t>2026-【ZY02297】-金粉1936异形签名本-争艳</t>
  </si>
  <si>
    <t>2026-04-12 | 50
2026-04-15 | 1
2026-04-20 | -1</t>
  </si>
  <si>
    <t>NCU-3.23-CR-红单-1-16.75-LBE1</t>
  </si>
  <si>
    <t>1Z64W3460490283511</t>
  </si>
  <si>
    <t>2026-04-13 03:55</t>
  </si>
  <si>
    <t>2026-05-04 20:37</t>
  </si>
  <si>
    <t>6MFSOM7S</t>
  </si>
  <si>
    <t>SP260326056</t>
  </si>
  <si>
    <t>2026-04-12 | 80
2026-04-16 | 1
2026-04-24 | -1</t>
  </si>
  <si>
    <t>CR32559</t>
  </si>
  <si>
    <t>X004ZMOKU1</t>
  </si>
  <si>
    <t>B0GJRYXS1G</t>
  </si>
  <si>
    <t>B0GRH24FLW</t>
  </si>
  <si>
    <t>2026-【CR32559】-复古彩色40岁年份签名本-辰瑞</t>
  </si>
  <si>
    <t>2026-04-12 | 1</t>
  </si>
  <si>
    <t>2026-04-12 | 10</t>
  </si>
  <si>
    <t>JYP-3.26-DM-红单-2-28.8-LBE1</t>
  </si>
  <si>
    <t>1Z64W3460492417293</t>
  </si>
  <si>
    <t>2026-04-11 21:00</t>
  </si>
  <si>
    <t>2026-05-06 04:32</t>
  </si>
  <si>
    <t>2VOF5IMT</t>
  </si>
  <si>
    <t>SP260326055</t>
  </si>
  <si>
    <t>DM21472</t>
  </si>
  <si>
    <t>X0051ROJ2D</t>
  </si>
  <si>
    <t>B0GTTLHMQ2</t>
  </si>
  <si>
    <t>【DM21472】-蓝银7岁兄弟拉旗套装-大卖（气球真空）（停用）</t>
  </si>
  <si>
    <t>2026-04-11 | 116
2026-04-12 | 4
2026-05-01 | -1
2026-05-09 | 1</t>
  </si>
  <si>
    <t>DM21473</t>
  </si>
  <si>
    <t>X0051ROMLL</t>
  </si>
  <si>
    <t>B0GTTRGCR8</t>
  </si>
  <si>
    <t>【DM21473】-蓝银9岁兄弟拉旗套装-大卖（气球真空）</t>
  </si>
  <si>
    <t>2026-04-12 | 120
2026-04-28 | -1</t>
  </si>
  <si>
    <t>NGD-3.25-CQ-红单-1-17.65-HGR6</t>
  </si>
  <si>
    <t>1Z0RY3230408847096</t>
  </si>
  <si>
    <t>2026-03-25 17:25</t>
  </si>
  <si>
    <t>2026-03-25 19:39</t>
  </si>
  <si>
    <t>2026-04-07 20:06</t>
  </si>
  <si>
    <t>2026-04-22 12:23</t>
  </si>
  <si>
    <t>12K6XQOF</t>
  </si>
  <si>
    <t>SP260325013</t>
  </si>
  <si>
    <t>2026-04-07 | 50
2026-04-13 | 1
2026-04-21 | -1</t>
  </si>
  <si>
    <t>CQ11712</t>
  </si>
  <si>
    <t>X004WAKD25</t>
  </si>
  <si>
    <t>B0FYF414M5</t>
  </si>
  <si>
    <t>2026-【CQ11712】-黑色18岁照片横幅-创奇</t>
  </si>
  <si>
    <t>2026-04-07 | 80</t>
  </si>
  <si>
    <t>2026-04-07 | 4</t>
  </si>
  <si>
    <t>AOM(D6~10)-3.25-DX-红单-5-84.5-HGR6</t>
  </si>
  <si>
    <t>1Z0RY3230409172901</t>
  </si>
  <si>
    <t>2026-03-25 17:19</t>
  </si>
  <si>
    <t>2026-04-03 01:12</t>
  </si>
  <si>
    <t>2026-05-15 01:50</t>
  </si>
  <si>
    <t>2LVFM45V</t>
  </si>
  <si>
    <t>2026-05-16 01:15</t>
  </si>
  <si>
    <t>SP260325014</t>
  </si>
  <si>
    <t>DX06015</t>
  </si>
  <si>
    <t>X004ZEHICB</t>
  </si>
  <si>
    <t>B0GHR7MYXK</t>
  </si>
  <si>
    <t>2026-【DX06015】-蓝银21岁年份双横幅套装-定行（点胶固定）</t>
  </si>
  <si>
    <t>2026-04-02 | 19
2026-04-03 | 38
2026-04-06 | 19
2026-04-16 | 1
2026-04-23 | 19</t>
  </si>
  <si>
    <t>DX06016</t>
  </si>
  <si>
    <t>X004ZEEVY9</t>
  </si>
  <si>
    <t>B0GHR8JJ7J</t>
  </si>
  <si>
    <t>2026-【DX06016】-蓝银30岁年份双横幅套装-定行（点胶固定）</t>
  </si>
  <si>
    <t>2026-04-02 | 19
2026-04-03 | 38
2026-04-06 | 19
2026-04-23 | 19</t>
  </si>
  <si>
    <t>DX06017</t>
  </si>
  <si>
    <t>X004ZECCAT</t>
  </si>
  <si>
    <t>B0GHQNCTYT</t>
  </si>
  <si>
    <t>2026-【DX06017】-蓝银40岁年份双横幅套装-定行（点胶固定）</t>
  </si>
  <si>
    <t>2026-04-02 | 19
2026-04-03 | 38
2026-04-06 | 19
2026-04-09 | 1
2026-04-23 | 19
2026-05-14 | -1</t>
  </si>
  <si>
    <t>DX06018</t>
  </si>
  <si>
    <t>X004ZEHM0J</t>
  </si>
  <si>
    <t>B0GHR8SVL4</t>
  </si>
  <si>
    <t>2026-【DX06018】-蓝银70岁年份双横幅套装-定行（点胶固定）</t>
  </si>
  <si>
    <t>2026-04-02 | 19
2026-04-03 | 38
2026-04-06 | 19
2026-04-10 | 1
2026-04-16 | -1
2026-04-23 | 19
2026-04-25 | -1</t>
  </si>
  <si>
    <t>DX06029</t>
  </si>
  <si>
    <t>X0050ONTU5</t>
  </si>
  <si>
    <t>B0GQGLN1ZC</t>
  </si>
  <si>
    <t>【DX06029】-蓝银7岁兄弟横幅套装-定行（气球真空+点胶固定）</t>
  </si>
  <si>
    <t>2026-04-02 | 19
2026-04-03 | 38
2026-04-06 | 19
2026-04-12 | 1
2026-04-23 | 19
2026-04-24 | -1</t>
  </si>
  <si>
    <t>DX06030</t>
  </si>
  <si>
    <t>X0050OVBOL</t>
  </si>
  <si>
    <t>B0GQGHZYTF</t>
  </si>
  <si>
    <t>【DX06030】-蓝银8岁兄弟横幅套装-定行（气球真空+点胶固定）</t>
  </si>
  <si>
    <t>2026-04-02 | 12
2026-04-03 | 24
2026-04-06 | 12
2026-04-19 | 1
2026-04-23 | 12
2026-04-24 | -1</t>
  </si>
  <si>
    <t>AOM(D1~5)-3.25-DX-红单-5-74.5-HGR6</t>
  </si>
  <si>
    <t>1Z0RY3230414272043</t>
  </si>
  <si>
    <t>2026-04-06 21:10</t>
  </si>
  <si>
    <t>2026-05-02 23:02</t>
  </si>
  <si>
    <t>2GXP3CHI</t>
  </si>
  <si>
    <t>SP260325015</t>
  </si>
  <si>
    <t>DX06005</t>
  </si>
  <si>
    <t>X004Y3GL03</t>
  </si>
  <si>
    <t>B0G2Q725NN</t>
  </si>
  <si>
    <t>【DX06005】-玫瑰金21岁流苏花球套装-定行（点胶固定）</t>
  </si>
  <si>
    <t>2026-04-06 | 64
2026-04-07 | 16
2026-04-14 | 1
2026-04-23 | -1
2026-04-23 | -1
2026-04-24 | -1
2026-04-27 | 1
2026-05-02 | -1</t>
  </si>
  <si>
    <t>DX06027</t>
  </si>
  <si>
    <t>X0050N0MLZ</t>
  </si>
  <si>
    <t>B0GQ6SHHH3</t>
  </si>
  <si>
    <t>B0GWZ22D7R</t>
  </si>
  <si>
    <t>【DX06027】-绿金18岁流苏花球套装-定行（点胶固定）</t>
  </si>
  <si>
    <t>2026-04-06 | 76
2026-04-07 | 19
2026-04-16 | 1
2026-04-16 | 1
2026-04-23 | -1
2026-04-23 | -2
2026-04-27 | 1
2026-04-28 | -1
2026-05-02 | 1</t>
  </si>
  <si>
    <t>DX06028</t>
  </si>
  <si>
    <t>X0050N058P</t>
  </si>
  <si>
    <t>B0GQ7F1NMX</t>
  </si>
  <si>
    <t>【DX06028】-绿金40岁流苏花球套装-定行（点胶固定）</t>
  </si>
  <si>
    <t>2026-04-06 | 76
2026-04-07 | 19
2026-04-09 | 1
2026-04-14 | -1
2026-04-23 | -1
2026-04-27 | 1</t>
  </si>
  <si>
    <t>2026-04-06 | 28
2026-04-07 | 7
2026-04-09 | 2
2026-04-16 | -1
2026-04-23 | -1</t>
  </si>
  <si>
    <t>KWC-3.25-SYC-红单-1-12.8-LBE1</t>
  </si>
  <si>
    <t>1Z64W3460494364908</t>
  </si>
  <si>
    <t>2026-03-25 09:50</t>
  </si>
  <si>
    <t>2026-04-02 17:05</t>
  </si>
  <si>
    <t>2026-04-27 04:46</t>
  </si>
  <si>
    <t>4OFIOPWH</t>
  </si>
  <si>
    <t>2026-04-28 03:49</t>
  </si>
  <si>
    <t>SP260325011</t>
  </si>
  <si>
    <t>2026-04-07</t>
  </si>
  <si>
    <t>2026-04-02 | 125</t>
  </si>
  <si>
    <t>XVO-3.25-YS-红单-2-28.7-LBE1</t>
  </si>
  <si>
    <t>1Z64W3460492964684</t>
  </si>
  <si>
    <t>2026-03-25 19:38</t>
  </si>
  <si>
    <t>2026-04-02 17:15</t>
  </si>
  <si>
    <t>2026-04-26 21:07</t>
  </si>
  <si>
    <t>1YK1879V</t>
  </si>
  <si>
    <t>SP260325012</t>
  </si>
  <si>
    <t>2026-04-02 | 100
2026-04-20 | -1</t>
  </si>
  <si>
    <t>2026-04-02 | 205</t>
  </si>
  <si>
    <t>EAE-3.24-SX-红单-1-21.8-LBE1</t>
  </si>
  <si>
    <t>1Z64W3460421287487</t>
  </si>
  <si>
    <t>2026-03-24 17:34</t>
  </si>
  <si>
    <t>2026-03-24 20:25</t>
  </si>
  <si>
    <t>2026-04-02 17:20</t>
  </si>
  <si>
    <t>2026-04-26 22:53</t>
  </si>
  <si>
    <t>5PHSI35Q</t>
  </si>
  <si>
    <t>SP260324010</t>
  </si>
  <si>
    <t>2026-04-06</t>
  </si>
  <si>
    <t>SX00184</t>
  </si>
  <si>
    <t>X0039Y771P</t>
  </si>
  <si>
    <t>B0B3D6TL6R</t>
  </si>
  <si>
    <t>【SX00184】-玫瑰金男人内裤蜂窝8件套-势兴</t>
  </si>
  <si>
    <t>2026-04-02 | 46
2026-04-06 | -5
2026-04-11 | -1
2026-04-12 | 13
2026-04-13 | -2
2026-04-14 | 1</t>
  </si>
  <si>
    <t>SX00143</t>
  </si>
  <si>
    <t>X00312TKRJ</t>
  </si>
  <si>
    <t>B09H41BCP2</t>
  </si>
  <si>
    <t>【SX00143】-玫瑰金内裤男人漩涡-势兴</t>
  </si>
  <si>
    <t>2026-04-02 | 170
2026-04-03 | 11
2026-04-08 | 1
2026-04-09 | 2
2026-04-10 | 1
2026-04-12 | -1
2026-04-15 | -1
2026-04-17 | -14</t>
  </si>
  <si>
    <t>NPF-3.24-DM-红单-1-16.45-LBE1</t>
  </si>
  <si>
    <t>1Z64W3460430535692</t>
  </si>
  <si>
    <t>2026-03-24 20:43</t>
  </si>
  <si>
    <t>2026-03-31 20:20</t>
  </si>
  <si>
    <t>2026-04-23 21:18</t>
  </si>
  <si>
    <t>6RH1TFGC</t>
  </si>
  <si>
    <t>SP260324011</t>
  </si>
  <si>
    <t>2026-04-03</t>
  </si>
  <si>
    <t>DM21186</t>
  </si>
  <si>
    <t>X0030FZL3T</t>
  </si>
  <si>
    <t>B09FYVJC6J</t>
  </si>
  <si>
    <t>【DM21186】-黑金40周年蜂窝插件8件套-大卖</t>
  </si>
  <si>
    <t>2026-03-31 | 70</t>
  </si>
  <si>
    <t>GJC-3.24-DM-红单-1-20.75-LBE1</t>
  </si>
  <si>
    <t>1Z64V46Y0404055168</t>
  </si>
  <si>
    <t>2026-03-24 09:17</t>
  </si>
  <si>
    <t>2026-04-01 09:39</t>
  </si>
  <si>
    <t>2026-04-24 02:10</t>
  </si>
  <si>
    <t>683M78IY</t>
  </si>
  <si>
    <t>SP260324008</t>
  </si>
  <si>
    <t>2026-03-31 | 143
2026-04-12 | -1</t>
  </si>
  <si>
    <t>2026-03-31 | 1</t>
  </si>
  <si>
    <t>DM21437</t>
  </si>
  <si>
    <t>X004VEDPD1</t>
  </si>
  <si>
    <t>B0CTC443GZ</t>
  </si>
  <si>
    <t>B0CSNKYVYN</t>
  </si>
  <si>
    <t>2026-【DM21437】-黑金50岁年份海报套装-大卖</t>
  </si>
  <si>
    <t>DM21441</t>
  </si>
  <si>
    <t>X004VEDVAD</t>
  </si>
  <si>
    <t>B0CVX6QJ4D</t>
  </si>
  <si>
    <t>2026-【DM21441】-黑金80岁年份海报套装-大卖</t>
  </si>
  <si>
    <t>2026-03-31 | 3</t>
  </si>
  <si>
    <t>DM21467</t>
  </si>
  <si>
    <t>X004YKA64X</t>
  </si>
  <si>
    <t>B0GCYQB92J</t>
  </si>
  <si>
    <t>B0GL4XM8GD</t>
  </si>
  <si>
    <t>【DM21467】-金粉16岁长方形海报雨帘套装-大卖（整套真空+外面套opp袋子）</t>
  </si>
  <si>
    <t>GCJ-3.24-SYC-红单-3-45.25-LBE1</t>
  </si>
  <si>
    <t>1Z64V46Y0412478599</t>
  </si>
  <si>
    <t>2026-03-24 09:16</t>
  </si>
  <si>
    <t>2026-03-24 20:35</t>
  </si>
  <si>
    <t>2026-03-31 20:38</t>
  </si>
  <si>
    <t>2026-04-22 09:54</t>
  </si>
  <si>
    <t>35V4VWCB</t>
  </si>
  <si>
    <t>2026-04-23 09:43</t>
  </si>
  <si>
    <t>SP260324004</t>
  </si>
  <si>
    <t>SYC587</t>
  </si>
  <si>
    <t>X004XDL8QB</t>
  </si>
  <si>
    <t>B0G42SPVDC</t>
  </si>
  <si>
    <t>【SYC587】-蓝银15岁抽钱盒子-思业成</t>
  </si>
  <si>
    <t>2026-03-31 | 4</t>
  </si>
  <si>
    <t>SYC598</t>
  </si>
  <si>
    <t>X004Z7DYNF</t>
  </si>
  <si>
    <t>B0GGY4FJ77</t>
  </si>
  <si>
    <t>B0GCNDYX6D</t>
  </si>
  <si>
    <t>2026-【SYC598】-报纸色2008年份签名本-思业成</t>
  </si>
  <si>
    <t>SYC602</t>
  </si>
  <si>
    <t>X004Z7P7OJ</t>
  </si>
  <si>
    <t>B0GGYPDV69</t>
  </si>
  <si>
    <t>2026-【SYC602】-报纸色1956年份签名本-思业成</t>
  </si>
  <si>
    <t>SYC638</t>
  </si>
  <si>
    <t>X0050TAS3L</t>
  </si>
  <si>
    <t>B0GQXQ98JZ</t>
  </si>
  <si>
    <t>2026-【SYC638】-金粉2016年份签名本加丝带-思业成</t>
  </si>
  <si>
    <t>2026-03-31 | 120
2026-04-16 | -1</t>
  </si>
  <si>
    <t>SYC639</t>
  </si>
  <si>
    <t>X0050TMLVN</t>
  </si>
  <si>
    <t>B0GQYZQGNF</t>
  </si>
  <si>
    <t>B0GCM139DH</t>
  </si>
  <si>
    <t>2026-【SYC639】-黑金复古2015年份签名本-思业成</t>
  </si>
  <si>
    <t>2026-03-31 | 120</t>
  </si>
  <si>
    <t>SYC640</t>
  </si>
  <si>
    <t>X0050TKMHD</t>
  </si>
  <si>
    <t>B0GQYZ4XX6</t>
  </si>
  <si>
    <t>2026-【SYC640】-黑金复古2014年份签名本-思业成</t>
  </si>
  <si>
    <t>2026-03-31 | 120
2026-04-03 | -2
2026-04-08 | -1
2026-04-22 | 1</t>
  </si>
  <si>
    <t>DAI-3.24-PT-红单-1-9.8-LBE1</t>
  </si>
  <si>
    <t>1Z64V46Y0402852952</t>
  </si>
  <si>
    <t>2026-03-24 20:36</t>
  </si>
  <si>
    <t>2026-04-01 08:35</t>
  </si>
  <si>
    <t>8GR4PCHP</t>
  </si>
  <si>
    <t>SP260324005</t>
  </si>
  <si>
    <t>2026-03-31 | 100
2026-04-09 | -1
2026-04-10 | -1
2026-04-19 | 1
2026-04-28 | 1</t>
  </si>
  <si>
    <t>PT53439</t>
  </si>
  <si>
    <t>X003KE6R47</t>
  </si>
  <si>
    <t>B0BPLS2FKH</t>
  </si>
  <si>
    <t>New 1-【PT53439】-黑金无岁数生日漩涡16件套-拼途</t>
  </si>
  <si>
    <t>2026-03-31 | 30
2026-04-11 | 3
2026-04-16 | -6
2026-04-21 | 14</t>
  </si>
  <si>
    <t>NJO-3.23-CR-红单-1-13.75-LBE1</t>
  </si>
  <si>
    <t>1Z64W3460421954505</t>
  </si>
  <si>
    <t>2026-03-23 18:04</t>
  </si>
  <si>
    <t>2026-03-23 20:50</t>
  </si>
  <si>
    <t>2026-03-31 20:01</t>
  </si>
  <si>
    <t>2026-04-22 09:20</t>
  </si>
  <si>
    <t>25AUUS7A</t>
  </si>
  <si>
    <t>2026-05-11 13:42</t>
  </si>
  <si>
    <t>SP260323007</t>
  </si>
  <si>
    <t>2026-04-02</t>
  </si>
  <si>
    <t>CR32544</t>
  </si>
  <si>
    <t>X004ZKZ3ZJ</t>
  </si>
  <si>
    <t>B0GJJDL944</t>
  </si>
  <si>
    <t>2026-【CR32544】-粉白10岁年份签名本-辰瑞</t>
  </si>
  <si>
    <t>2026-03-31 | 23
2026-04-12 | -1
2026-04-24 | 1
2026-04-27 | -1</t>
  </si>
  <si>
    <t>CR32546</t>
  </si>
  <si>
    <t>X004ZKTH5L</t>
  </si>
  <si>
    <t>B0GJJ452Y5</t>
  </si>
  <si>
    <t>2026-【CR32546】-粉白16岁年份签名本-辰瑞</t>
  </si>
  <si>
    <t>2026-03-31 | 50
2026-04-03 | -1
2026-04-15 | -2
2026-04-25 | 2</t>
  </si>
  <si>
    <t>2026-03-31 | 40
2026-04-15 | -1
2026-04-17 | -1
2026-04-17 | 1</t>
  </si>
  <si>
    <t>SPT-3.23-CQ-红单-4-68.75-LBE1</t>
  </si>
  <si>
    <t>1Z64W3460438690287</t>
  </si>
  <si>
    <t>2026-03-23 21:03</t>
  </si>
  <si>
    <t>2026-03-31 19:46</t>
  </si>
  <si>
    <t>2026-04-23 08:48</t>
  </si>
  <si>
    <t>19753C6F</t>
  </si>
  <si>
    <t>2026-04-24 08:47</t>
  </si>
  <si>
    <t>SP260323006</t>
  </si>
  <si>
    <t>CQ11711</t>
  </si>
  <si>
    <t>X004WAHZFX</t>
  </si>
  <si>
    <t>B0FYF57ZXH</t>
  </si>
  <si>
    <t>2026-【CQ11711】-黑色13岁照片横幅-创奇</t>
  </si>
  <si>
    <t>2026-03-31 | 300
2026-04-03 | -1
2026-04-14 | -2
2026-04-24 | 2
2026-04-25 | -1</t>
  </si>
  <si>
    <t>2026-03-31 | 40
2026-04-08 | -1
2026-04-24 | 1</t>
  </si>
  <si>
    <t>ABB-3.20-CQ-红单-4-71.3-HGR6</t>
  </si>
  <si>
    <t>1Z64W3460494937852</t>
  </si>
  <si>
    <t>2026-03-20 16:43</t>
  </si>
  <si>
    <t>2026-03-20 17:52</t>
  </si>
  <si>
    <t>2026-03-31 01:45</t>
  </si>
  <si>
    <t>2026-04-24 04:52</t>
  </si>
  <si>
    <t>4WJG4I6Y</t>
  </si>
  <si>
    <t>2026-04-28 18:00</t>
  </si>
  <si>
    <t>SP260320028</t>
  </si>
  <si>
    <t>2026-03-22</t>
  </si>
  <si>
    <t>CQ11790</t>
  </si>
  <si>
    <t>X0050YDUFT</t>
  </si>
  <si>
    <t>B0GRDGCC8C</t>
  </si>
  <si>
    <t>【CQ11790】-蓝银7岁兄弟海报套装-创奇（整套真空+外面套opp袋子）</t>
  </si>
  <si>
    <t>2026-03-30 | 60</t>
  </si>
  <si>
    <t>CQ11791</t>
  </si>
  <si>
    <t>X0050YCGBX</t>
  </si>
  <si>
    <t>B0GRFJ9BRM</t>
  </si>
  <si>
    <t>【CQ11791】-蓝银8岁兄弟海报套装-创奇（整套真空+外面套opp袋子）</t>
  </si>
  <si>
    <t>CQ11792</t>
  </si>
  <si>
    <t>X0050Y9W4R</t>
  </si>
  <si>
    <t>B0GRDLNXGJ</t>
  </si>
  <si>
    <t>【CQ11792】-蓝银12岁兄弟海报套装-创奇（整套真空+外面套opp袋子）</t>
  </si>
  <si>
    <t>2026-03-30 | 70
2026-04-08 | -1
2026-04-27 | 1</t>
  </si>
  <si>
    <t>KYY-3.20-DX-空派-3-50.2-HGR6</t>
  </si>
  <si>
    <t>2026-03-20 16:42</t>
  </si>
  <si>
    <t>2026-03-20 17:36</t>
  </si>
  <si>
    <t>2026-03-31 01:40</t>
  </si>
  <si>
    <t>2026-04-23 22:50</t>
  </si>
  <si>
    <t>6S5BEHRA</t>
  </si>
  <si>
    <t>2026-04-24 22:44</t>
  </si>
  <si>
    <t>SP260320029</t>
  </si>
  <si>
    <t>2026-03-30 | 100</t>
  </si>
  <si>
    <t>DX06003</t>
  </si>
  <si>
    <t>X004X1WH4F</t>
  </si>
  <si>
    <t>B0G2PXRFF7</t>
  </si>
  <si>
    <t>【DX06003】-玫瑰金10岁流苏花球套装-定行（点胶固定）</t>
  </si>
  <si>
    <t>SBS-3.19-CQ-红单-2-24.98-HGR6</t>
  </si>
  <si>
    <t>1Z64W3460420261112</t>
  </si>
  <si>
    <t>2026-03-19 17:19</t>
  </si>
  <si>
    <t>2026-03-20 14:32</t>
  </si>
  <si>
    <t>22BS23OX</t>
  </si>
  <si>
    <t>SP260319049</t>
  </si>
  <si>
    <t>CQ11747</t>
  </si>
  <si>
    <t>X004YID47V</t>
  </si>
  <si>
    <t>B0GCN93JYQ</t>
  </si>
  <si>
    <t>2026-【CQ11747】-粉色10岁生日女孩皇冠套装-创奇（点胶固定）</t>
  </si>
  <si>
    <t>HUY-3.19-CR-红单-1-12.9-HGR6</t>
  </si>
  <si>
    <t>1Z64W3460425208135</t>
  </si>
  <si>
    <t>2U373QJO</t>
  </si>
  <si>
    <t>2026-03-25 10:07</t>
  </si>
  <si>
    <t>SP260319050</t>
  </si>
  <si>
    <t>SPP-3.19-ZY-红单-1-14.2-HGR6</t>
  </si>
  <si>
    <t>1Z64W3460424303346</t>
  </si>
  <si>
    <t>2026-03-19 17:18</t>
  </si>
  <si>
    <t>8C3VOPUB</t>
  </si>
  <si>
    <t>2026-04-09 16:27</t>
  </si>
  <si>
    <t>SP260319051</t>
  </si>
  <si>
    <t>ZY02291</t>
  </si>
  <si>
    <t>X004YP2Y1L</t>
  </si>
  <si>
    <t>B0GD7C9XD9</t>
  </si>
  <si>
    <t>【ZY02291】-紫银无岁数三角拉旗套装-争艳</t>
  </si>
  <si>
    <t>ZY02271</t>
  </si>
  <si>
    <t>X004VSV629</t>
  </si>
  <si>
    <t>B0FX2PR36L</t>
  </si>
  <si>
    <t>【ZY02271】-金粉60岁极好皇冠套装-争艳</t>
  </si>
  <si>
    <t>ZY02294</t>
  </si>
  <si>
    <t>X004ZMWF53</t>
  </si>
  <si>
    <t>B0GJSFRZ74</t>
  </si>
  <si>
    <t>2026-【ZY02294】-金粉2016异形签名本-争艳</t>
  </si>
  <si>
    <t>DMR-3.19-DX-红单-4-64.65-HGR6</t>
  </si>
  <si>
    <t>1Z64W3460433889082</t>
  </si>
  <si>
    <t>6XHJUG4Z</t>
  </si>
  <si>
    <t>2026-04-21 14:34</t>
  </si>
  <si>
    <t>SP260319052</t>
  </si>
  <si>
    <t>DX06024</t>
  </si>
  <si>
    <t>X0051E3RI3</t>
  </si>
  <si>
    <t>B0GSTX6Z61</t>
  </si>
  <si>
    <t>【DX06024】-紫色无岁数生日音乐贺卡-定行</t>
  </si>
  <si>
    <t>DX06031</t>
  </si>
  <si>
    <t>X0050N023D</t>
  </si>
  <si>
    <t>B0GQ68LX8C</t>
  </si>
  <si>
    <t>【DX06031】-玫瑰金11岁流苏花球套装-定行（点胶固定）</t>
  </si>
  <si>
    <t>DX06032</t>
  </si>
  <si>
    <t>X0050MXT9X</t>
  </si>
  <si>
    <t>B0GQ8PZDF2</t>
  </si>
  <si>
    <t>【DX06032】-玫瑰金12岁流苏花球套装-定行（点胶固定）</t>
  </si>
  <si>
    <t>HMZ-3.18-JY-红单-2-33.95-HGR6</t>
  </si>
  <si>
    <t>1Z64W3460491736762</t>
  </si>
  <si>
    <t>2026-03-18 18:04</t>
  </si>
  <si>
    <t>2026-03-18 18:46</t>
  </si>
  <si>
    <t>2026-03-25 23:53</t>
  </si>
  <si>
    <t>2026-04-17 02:59</t>
  </si>
  <si>
    <t>5ZULH3GD</t>
  </si>
  <si>
    <t>2026-04-18 02:48</t>
  </si>
  <si>
    <t>SP260318027</t>
  </si>
  <si>
    <t>2026-03-28</t>
  </si>
  <si>
    <t>JY01238</t>
  </si>
  <si>
    <t>X004QA9AED</t>
  </si>
  <si>
    <t>B0FDWQGXK2</t>
  </si>
  <si>
    <t>2507-【JY01238】-鲜花女儿沐浴横幅套装-进益（点胶固定）</t>
  </si>
  <si>
    <t>2026-03-25 | 120
2026-03-26 | 80
2026-04-10 | -1
2026-04-13 | 1</t>
  </si>
  <si>
    <t>JY01288</t>
  </si>
  <si>
    <t>X004VUIL7P</t>
  </si>
  <si>
    <t>B0FX4NGYMJ</t>
  </si>
  <si>
    <t>2026-【JY01288】-金粉70年份气球小木板-进益</t>
  </si>
  <si>
    <t>2026-03-26 | 79
2026-04-15 | 1
2026-04-29 | -1</t>
  </si>
  <si>
    <t>SXX-3.17-JY-空派-1-13.75-HGR6</t>
  </si>
  <si>
    <t>2026-03-17 18:09</t>
  </si>
  <si>
    <t>2026-03-17 19:32</t>
  </si>
  <si>
    <t>2026-03-28 00:53</t>
  </si>
  <si>
    <t>2026-04-21 02:16</t>
  </si>
  <si>
    <t>8X524MZR</t>
  </si>
  <si>
    <t>2026-05-11 14:11</t>
  </si>
  <si>
    <t>SP260317004</t>
  </si>
  <si>
    <t>2026-03-30</t>
  </si>
  <si>
    <t>2026-03-27 | 150
2026-04-02 | -3
2026-04-05 | 1
2026-04-05 | 1
2026-04-06 | 1
2026-04-10 | -2</t>
  </si>
  <si>
    <t>IGE-3.17-ZY-空派-2-25.5-HGR6</t>
  </si>
  <si>
    <t>2026-03-17 19:36</t>
  </si>
  <si>
    <t>2026-03-28 00:59</t>
  </si>
  <si>
    <t>2026-04-21 20:54</t>
  </si>
  <si>
    <t>6XGV8OTD</t>
  </si>
  <si>
    <t>SP260317003</t>
  </si>
  <si>
    <t>ZY02287</t>
  </si>
  <si>
    <t>X004Y5DIGL</t>
  </si>
  <si>
    <t>B0G7FPZJHS</t>
  </si>
  <si>
    <t>【ZY02287】-蓝银10岁三角拉旗套装-争艳</t>
  </si>
  <si>
    <t>2026-03-27 | 45
2026-03-29 | 1
2026-04-24 | -1</t>
  </si>
  <si>
    <t>ZY02289</t>
  </si>
  <si>
    <t>X004Y56985</t>
  </si>
  <si>
    <t>B0G7FFFBLD</t>
  </si>
  <si>
    <t>【ZY02289】-蓝银18岁三角拉旗套装-争艳</t>
  </si>
  <si>
    <t>2026-03-27 | 50
2026-04-10 | -2
2026-04-26 | 2</t>
  </si>
  <si>
    <t>ZY02245</t>
  </si>
  <si>
    <t>X004SQSRWV</t>
  </si>
  <si>
    <t>B0FM45VZ5M</t>
  </si>
  <si>
    <t>【ZY02245】-蓝银60岁三角拉旗套装-争艳</t>
  </si>
  <si>
    <t>2026-03-27 | 80</t>
  </si>
  <si>
    <t>2026-03-27 | 33
2026-04-10 | -2
2026-04-22 | -1
2026-05-09 | 1</t>
  </si>
  <si>
    <t>ZY02285</t>
  </si>
  <si>
    <t>X004XA2E4T</t>
  </si>
  <si>
    <t>B0G3NQXBGR</t>
  </si>
  <si>
    <t>2026-【ZY02285】-黑金1956纸巾50件套-争艳</t>
  </si>
  <si>
    <t>2026-03-27 | 14</t>
  </si>
  <si>
    <t>DWJ-3.17-CR-空派-1-13.7-HGR6</t>
  </si>
  <si>
    <t>2026-03-28 00:46</t>
  </si>
  <si>
    <t>2026-04-20 12:21</t>
  </si>
  <si>
    <t>1H27ZF8K</t>
  </si>
  <si>
    <t>SP260317002</t>
  </si>
  <si>
    <t>2026-03-27 | 35
2026-03-30 | -1
2026-03-30 | 1
2026-04-05 | -1
2026-04-27 | -1</t>
  </si>
  <si>
    <t>2026-03-27 | 30</t>
  </si>
  <si>
    <t>2026-03-27 | 30
2026-04-25 | -1</t>
  </si>
  <si>
    <t>CR32503</t>
  </si>
  <si>
    <t>X004VPPY1V</t>
  </si>
  <si>
    <t>B0FWRNQ5S1</t>
  </si>
  <si>
    <t>B0GCYLB2GC</t>
  </si>
  <si>
    <t>2026-【CR32503】-玫瑰金1976年份桌布2件套-辰瑞</t>
  </si>
  <si>
    <t>2026-03-27 | 3</t>
  </si>
  <si>
    <t>GNA-3.17-CQ-空派-3-49.3-HGR6</t>
  </si>
  <si>
    <t>2026-03-17 18:04</t>
  </si>
  <si>
    <t>2026-03-17 19:45</t>
  </si>
  <si>
    <t>2026-03-28 01:01</t>
  </si>
  <si>
    <t>2026-04-17 12:59</t>
  </si>
  <si>
    <t>7SA8KDTQ</t>
  </si>
  <si>
    <t>2026-04-18 12:42</t>
  </si>
  <si>
    <t>SP260317001</t>
  </si>
  <si>
    <t>CQ11713</t>
  </si>
  <si>
    <t>X004WAGG0D</t>
  </si>
  <si>
    <t>B0FYF3Z4FR</t>
  </si>
  <si>
    <t>2026-【CQ11713】-黑色21岁照片横幅-创奇</t>
  </si>
  <si>
    <t>2026-03-27 | 50</t>
  </si>
  <si>
    <t>CQ11715</t>
  </si>
  <si>
    <t>X004WAKS75</t>
  </si>
  <si>
    <t>B0FYF2X2NJ</t>
  </si>
  <si>
    <t>2026-【CQ11715】-黑色40岁照片横幅-创奇</t>
  </si>
  <si>
    <t>2026-03-27 | 100</t>
  </si>
  <si>
    <t>FNQ-3.16-YS-红单-1-13.7-HGR6</t>
  </si>
  <si>
    <t>1Z64W3460422942847</t>
  </si>
  <si>
    <t>2026-03-16 17:47</t>
  </si>
  <si>
    <t>2026-03-16 18:37</t>
  </si>
  <si>
    <t>2026-03-26 07:38</t>
  </si>
  <si>
    <t>2026-04-19 05:05</t>
  </si>
  <si>
    <t>5GCYOR1S</t>
  </si>
  <si>
    <t>SP260316009</t>
  </si>
  <si>
    <t>2026-03-25 | 50
2026-04-05 | -1
2026-04-05 | -1
2026-04-08 | 1
2026-04-09 | 1</t>
  </si>
  <si>
    <t>2026-03-25 | 76
2026-04-05 | -1
2026-04-07 | -1
2026-04-07 | -1
2026-04-11 | 1
2026-04-12 | 1
2026-04-18 | 1</t>
  </si>
  <si>
    <t>MRI-3.16-YS-红单-1-13.7-HGR6</t>
  </si>
  <si>
    <t>1Z64W3460420637636</t>
  </si>
  <si>
    <t>2026-03-25 23:20</t>
  </si>
  <si>
    <t>2026-04-19 09:18</t>
  </si>
  <si>
    <t>1JNWK3WE</t>
  </si>
  <si>
    <t>SP260316008</t>
  </si>
  <si>
    <t>2026-03-25 | 50
2026-03-28 | -1
2026-03-30 | 1
2026-04-05 | -1
2026-05-02 | 1</t>
  </si>
  <si>
    <t>2026-03-25 | 78
2026-04-02 | -1</t>
  </si>
  <si>
    <t>SUV-3.16-ZY-红单-2-39.4-HGR6</t>
  </si>
  <si>
    <t>1Z64W3460421227854</t>
  </si>
  <si>
    <t>2026-03-16 18:29</t>
  </si>
  <si>
    <t>2026-03-25 23:31</t>
  </si>
  <si>
    <t>2026-04-17 22:49</t>
  </si>
  <si>
    <t>6F5417MW</t>
  </si>
  <si>
    <t>SP260316010</t>
  </si>
  <si>
    <t>ZY02293</t>
  </si>
  <si>
    <t>X004YMAI03</t>
  </si>
  <si>
    <t>B0GD7QGGRN</t>
  </si>
  <si>
    <t>【ZY02293】-金粉无岁数三角拉旗套装-争艳</t>
  </si>
  <si>
    <t>2026-03-25 | 40
2026-04-09 | -1</t>
  </si>
  <si>
    <t>ZY02300</t>
  </si>
  <si>
    <t>X0050XI5A5</t>
  </si>
  <si>
    <t>B0GR9XV47Y</t>
  </si>
  <si>
    <t>【ZY02300】-黑金60岁烫金横幅套装-争艳（整套真空+外面套opp袋子）</t>
  </si>
  <si>
    <t>2026-03-25 | 100
2026-04-03 | -1</t>
  </si>
  <si>
    <t>2026-03-25 | 21</t>
  </si>
  <si>
    <t>ZY02298</t>
  </si>
  <si>
    <t>X00502WDE5</t>
  </si>
  <si>
    <t>B0GLPCSBJ5</t>
  </si>
  <si>
    <t>2026-【ZY02298】-黑白70岁年份签名本-争艳</t>
  </si>
  <si>
    <t>2026-03-25 | 50
2026-04-17 | -1</t>
  </si>
  <si>
    <t>WBV-3.13-DM-空派-2-30.9-HGR6</t>
  </si>
  <si>
    <t>2026-03-13 17:16</t>
  </si>
  <si>
    <t>2026-03-13 21:04</t>
  </si>
  <si>
    <t>2026-03-20 00:58</t>
  </si>
  <si>
    <t>2026-04-12 11:33</t>
  </si>
  <si>
    <t>3XPZXBCG</t>
  </si>
  <si>
    <t>2026-04-13 10:56</t>
  </si>
  <si>
    <t>SP260313055</t>
  </si>
  <si>
    <t>2026-03-26</t>
  </si>
  <si>
    <t>DM21258</t>
  </si>
  <si>
    <t>X003DMN4QP</t>
  </si>
  <si>
    <t>B0BCJ3QGJJ</t>
  </si>
  <si>
    <t>【DM21258】-黑金无岁数周年漩涡-大卖</t>
  </si>
  <si>
    <t>2026-03-19 | 60</t>
  </si>
  <si>
    <t>DM21452</t>
  </si>
  <si>
    <t>X004VEBFQP</t>
  </si>
  <si>
    <t>B0D6N75NN2</t>
  </si>
  <si>
    <t>B0D2P9W2LZ</t>
  </si>
  <si>
    <t>2026-【DM21452】-玫瑰金90岁年份海报套装-大卖</t>
  </si>
  <si>
    <t>2026-03-19 | 1
2026-03-21 | 38
2026-04-03 | 1
2026-04-12 | -2</t>
  </si>
  <si>
    <t>2026-03-19 | 39
2026-04-17 | 1</t>
  </si>
  <si>
    <t>MJH-3.13-CQ-空派-5-101.5-HGR6</t>
  </si>
  <si>
    <t>2026-03-13 14:57</t>
  </si>
  <si>
    <t>2026-03-13 21:16</t>
  </si>
  <si>
    <t>2026-03-20 01:06</t>
  </si>
  <si>
    <t>2026-04-08 16:36</t>
  </si>
  <si>
    <t>2N7ZE24S</t>
  </si>
  <si>
    <t>2026-05-11 11:40</t>
  </si>
  <si>
    <t>SP260313052</t>
  </si>
  <si>
    <t>2026-03-19 | 40
2026-03-20 | 20
2026-03-25 | -1
2026-03-25 | 40
2026-03-28 | 1
2026-04-06 | -1
2026-04-14 | 1</t>
  </si>
  <si>
    <t>2026-03-19 | 30
2026-03-20 | 15
2026-03-25 | 30</t>
  </si>
  <si>
    <t>2026-03-19 | 20
2026-03-20 | 10
2026-03-25 | 20</t>
  </si>
  <si>
    <t>2026-03-19 | 60
2026-03-20 | 30
2026-03-25 | -1
2026-03-25 | 60
2026-04-03 | -2
2026-04-03 | 1
2026-04-05 | 1
2026-04-06 | 1</t>
  </si>
  <si>
    <t>CQ11718</t>
  </si>
  <si>
    <t>X004WAFQG3</t>
  </si>
  <si>
    <t>B0FYFDB9VS</t>
  </si>
  <si>
    <t>2026-【CQ11718】-黑色70岁照片横幅-创奇</t>
  </si>
  <si>
    <t>2026-03-19 | 60
2026-03-20 | 30
2026-03-25 | 60</t>
  </si>
  <si>
    <t>CQ11716</t>
  </si>
  <si>
    <t>X004WAIKXJ</t>
  </si>
  <si>
    <t>B0FYF6J6X5</t>
  </si>
  <si>
    <t>2026-【CQ11716】-黑色50岁照片横幅-创奇</t>
  </si>
  <si>
    <t>2026-03-19 | 40
2026-03-20 | 20
2026-03-25 | -1
2026-03-25 | 40
2026-03-27 | 1
2026-03-30 | -1
2026-04-12 | 1</t>
  </si>
  <si>
    <t>LXL-3.13-CR-空派-3-53.16-HGR6</t>
  </si>
  <si>
    <t>2026-03-13 21:02</t>
  </si>
  <si>
    <t>2026-03-20 00:57</t>
  </si>
  <si>
    <t>2026-04-12 05:12</t>
  </si>
  <si>
    <t>29HOFLWL</t>
  </si>
  <si>
    <t>2026-04-13 05:07</t>
  </si>
  <si>
    <t>SP260313053</t>
  </si>
  <si>
    <t>CR32502</t>
  </si>
  <si>
    <t>X004VSQ6LF</t>
  </si>
  <si>
    <t>B0FX253T13</t>
  </si>
  <si>
    <t>2026-【CR32502】-玫瑰金1986年份桌布2件套-辰瑞</t>
  </si>
  <si>
    <t>2026-03-19 | 110
2026-03-31 | -1
2026-04-02 | 1</t>
  </si>
  <si>
    <t>CR32563</t>
  </si>
  <si>
    <t>X0050X5QJN</t>
  </si>
  <si>
    <t>B0GR95LRJ7</t>
  </si>
  <si>
    <t>2026-【CR32563】-复古彩色30岁年份签名本-辰瑞</t>
  </si>
  <si>
    <t>2026-03-20 | 80</t>
  </si>
  <si>
    <t>CR32564</t>
  </si>
  <si>
    <t>X0050WWI27</t>
  </si>
  <si>
    <t>B0GR924YHX</t>
  </si>
  <si>
    <t>2026-【CR32564】-复古彩色80岁年份签名本-辰瑞</t>
  </si>
  <si>
    <t>CR32565</t>
  </si>
  <si>
    <t>X0050WZ85V</t>
  </si>
  <si>
    <t>B0GR9H5LT3</t>
  </si>
  <si>
    <t>2026-【CR32565】-复古彩色90岁年份签名本-辰瑞</t>
  </si>
  <si>
    <t>2026-03-19 | 80</t>
  </si>
  <si>
    <t>XST-3.13-SYC-空派-2-35.5-HGR6</t>
  </si>
  <si>
    <t>2026-03-13 21:12</t>
  </si>
  <si>
    <t>2026-04-08 18:46</t>
  </si>
  <si>
    <t>6UZ7GWPL</t>
  </si>
  <si>
    <t>2026-04-22 16:00</t>
  </si>
  <si>
    <t>SP260313054</t>
  </si>
  <si>
    <t>SYC612</t>
  </si>
  <si>
    <t>X004ZOXYAV</t>
  </si>
  <si>
    <t>B0GK13P42N</t>
  </si>
  <si>
    <t>2026-【SYC612】-黑金复古2016年份签名本-思业成</t>
  </si>
  <si>
    <t>2026-03-19 | 45</t>
  </si>
  <si>
    <t>2026-03-19 | 105
2026-04-05 | -1
2026-04-21 | 1</t>
  </si>
  <si>
    <t>UGY-3.13-CQ-红单-2-32.6-HGR6</t>
  </si>
  <si>
    <t>2026-03-13 10:28</t>
  </si>
  <si>
    <t>2026-03-14 09:20</t>
  </si>
  <si>
    <t>2026-03-19 01:06</t>
  </si>
  <si>
    <t>2026-04-11 14:03</t>
  </si>
  <si>
    <t>6H6GM4TF</t>
  </si>
  <si>
    <t>2026-05-19 14:00</t>
  </si>
  <si>
    <t>SP260313046</t>
  </si>
  <si>
    <t>2026-03-23</t>
  </si>
  <si>
    <t>2026-03-15</t>
  </si>
  <si>
    <t>2026-03-18 | 96
2026-03-27 | 4
2026-03-31 | -4
2026-04-02 | -1</t>
  </si>
  <si>
    <t>2026-03-18 | 75
2026-03-21 | -1
2026-05-18 | 1</t>
  </si>
  <si>
    <t>2026-03-18 | 47</t>
  </si>
  <si>
    <t>HQZ-3.11-DX-空派-5-91.5-HGR6</t>
  </si>
  <si>
    <t>1Z64T0T60307817514</t>
  </si>
  <si>
    <t>2026-03-11 17:32</t>
  </si>
  <si>
    <t>2026-03-11 21:47</t>
  </si>
  <si>
    <t>2026-03-18 19:54</t>
  </si>
  <si>
    <t>2026-04-14 08:10</t>
  </si>
  <si>
    <t>5OARN3QH</t>
  </si>
  <si>
    <t>2026-04-15 07:48</t>
  </si>
  <si>
    <t>SP260311020</t>
  </si>
  <si>
    <t>2026-03-24</t>
  </si>
  <si>
    <t>DX06008</t>
  </si>
  <si>
    <t>X004ZJBYT9</t>
  </si>
  <si>
    <t>B0GHQWNVKF</t>
  </si>
  <si>
    <t>【DX06008】-香槟金16岁铝箔气球小套装-定行（整套真空+外面套opp袋子）</t>
  </si>
  <si>
    <t>2026-03-18 | 89</t>
  </si>
  <si>
    <t>DX06009</t>
  </si>
  <si>
    <t>X004ZDWHKF</t>
  </si>
  <si>
    <t>B0GHR1K63G</t>
  </si>
  <si>
    <t>【DX06009】-玫瑰金14岁流苏花球套装-定行（点胶固定）</t>
  </si>
  <si>
    <t>2026-03-18 | 80
2026-03-19 | 20</t>
  </si>
  <si>
    <t>2026-03-19 | 100
2026-04-14 | 1
2026-04-24 | -1</t>
  </si>
  <si>
    <t>DX06013</t>
  </si>
  <si>
    <t>X004ZDWL0L</t>
  </si>
  <si>
    <t>B0GHQYNZS6</t>
  </si>
  <si>
    <t>【DX06013】-玫瑰金60岁流苏花球套装-定行（点胶固定）</t>
  </si>
  <si>
    <t>2026-03-19 | 100</t>
  </si>
  <si>
    <t>FEA-3.11-SX-空派-1-12.85-HGR6</t>
  </si>
  <si>
    <t>1Z64T0T60303817478</t>
  </si>
  <si>
    <t>2026-03-11 17:30</t>
  </si>
  <si>
    <t>2026-03-18 20:12</t>
  </si>
  <si>
    <t>2026-04-11 08:37</t>
  </si>
  <si>
    <t>7345IYIH</t>
  </si>
  <si>
    <t>2026-05-11 11:43</t>
  </si>
  <si>
    <t>SP260311021</t>
  </si>
  <si>
    <t>SX00435</t>
  </si>
  <si>
    <t>X004WYCVKD</t>
  </si>
  <si>
    <t>B0G2C1YVBS</t>
  </si>
  <si>
    <t>2026-【SX00435】-渐变色18岁年份吊坠8件套-势兴</t>
  </si>
  <si>
    <t>2026-03-18 | 160
2026-04-01 | -1
2026-04-16 | -1</t>
  </si>
  <si>
    <t>PRH-3.11-JY-空派-2-25.9-HGR6</t>
  </si>
  <si>
    <t>1Z64T0T60304890502</t>
  </si>
  <si>
    <t>2026-03-11 21:57</t>
  </si>
  <si>
    <t>2026-03-18 20:16</t>
  </si>
  <si>
    <t>2026-04-12 04:23</t>
  </si>
  <si>
    <t>6HJL7TSR</t>
  </si>
  <si>
    <t>SP260311022</t>
  </si>
  <si>
    <t>2026-03-18 | 200</t>
  </si>
  <si>
    <t>ZGE-3.11-CQ-空派-2-39.5-HGR6</t>
  </si>
  <si>
    <t>1Z64T0T60315290489</t>
  </si>
  <si>
    <t>2026-03-11 16:48</t>
  </si>
  <si>
    <t>2026-03-18 20:09</t>
  </si>
  <si>
    <t>2026-04-09 22:55</t>
  </si>
  <si>
    <t>5PQ26ROX</t>
  </si>
  <si>
    <t>SP260311023</t>
  </si>
  <si>
    <t>CQ11608</t>
  </si>
  <si>
    <t>X004QZEWAZ</t>
  </si>
  <si>
    <t>B0CW37LC77</t>
  </si>
  <si>
    <t>B0GY8HW1HQ</t>
  </si>
  <si>
    <t>【CQ11608】-黑金16岁生日盒子3件套-创奇</t>
  </si>
  <si>
    <t>2026-03-18 | 10</t>
  </si>
  <si>
    <t>CQ11758</t>
  </si>
  <si>
    <t>X004ZHX3AJ</t>
  </si>
  <si>
    <t>B0GJ56D2VM</t>
  </si>
  <si>
    <t>B0GSTPDVLC</t>
  </si>
  <si>
    <t>2026-【CQ11758】-蓝银16岁照片横幅-创奇</t>
  </si>
  <si>
    <t>2026-03-18 | 100
2026-03-21 | 1
2026-03-25 | -1
2026-03-31 | -1</t>
  </si>
  <si>
    <t>CQ11759</t>
  </si>
  <si>
    <t>X004ZHZL5T</t>
  </si>
  <si>
    <t>B0GJ4V7QZL</t>
  </si>
  <si>
    <t>2026-【CQ11759】-蓝银18岁照片横幅-创奇</t>
  </si>
  <si>
    <t>2026-03-18 | 100
2026-03-29 | -1
2026-04-11 | 1</t>
  </si>
  <si>
    <t>UOP-3.10-ZY-空派-2-33.95-LBE1</t>
  </si>
  <si>
    <t>1Z64T0T60312958460</t>
  </si>
  <si>
    <t>2026-03-10 17:32</t>
  </si>
  <si>
    <t>2026-03-10 22:17</t>
  </si>
  <si>
    <t>2026-03-20 08:00</t>
  </si>
  <si>
    <t>2026-04-17 18:06</t>
  </si>
  <si>
    <t>4KF7AIFT</t>
  </si>
  <si>
    <t>SP260310040</t>
  </si>
  <si>
    <t>2026-03-19 | 230
2026-03-28 | -1
2026-04-09 | -1</t>
  </si>
  <si>
    <t>ZY02299</t>
  </si>
  <si>
    <t>X0050KC2LV</t>
  </si>
  <si>
    <t>B0C1BM81HP</t>
  </si>
  <si>
    <t>B0C3GXNSLZ</t>
  </si>
  <si>
    <t>New4-【ZY02299】-建筑1岁生日海报-争艳</t>
  </si>
  <si>
    <t>2026-03-19 | 50</t>
  </si>
  <si>
    <t>2026-03-19 | 21
2026-03-24 | -1
2026-03-26 | 1</t>
  </si>
  <si>
    <t>WCM-3.10-DX-空派-3-60.7-LBE1</t>
  </si>
  <si>
    <t>1Z64T0T60317686503</t>
  </si>
  <si>
    <t>2026-03-10 22:12</t>
  </si>
  <si>
    <t>2026-03-20 08:44</t>
  </si>
  <si>
    <t>2026-04-09 10:17</t>
  </si>
  <si>
    <t>581M1LRV</t>
  </si>
  <si>
    <t>2026-04-10 09:55</t>
  </si>
  <si>
    <t>SP260310039</t>
  </si>
  <si>
    <t>DX06002</t>
  </si>
  <si>
    <t>X004X0LNKZ</t>
  </si>
  <si>
    <t>B0G2KY2D7V</t>
  </si>
  <si>
    <t>2026-【DX06002】-蓝银15岁年份双横幅套装（点胶固定）-定行</t>
  </si>
  <si>
    <t>2026-03-19 | 20</t>
  </si>
  <si>
    <t>DX05966</t>
  </si>
  <si>
    <t>X004VLTZ7T</t>
  </si>
  <si>
    <t>B0CXS63K7K</t>
  </si>
  <si>
    <t>2026-【DX05966】-金粉16岁年份照片道具30件套-定行</t>
  </si>
  <si>
    <t>2026-03-19 | 30</t>
  </si>
  <si>
    <t>YHR-3.10-CQ-空派-2-30-LBE1</t>
  </si>
  <si>
    <t>1Z64T0T60309902445</t>
  </si>
  <si>
    <t>2026-03-20 08:29</t>
  </si>
  <si>
    <t>2026-04-04 09:13</t>
  </si>
  <si>
    <t>2MRUJMOK</t>
  </si>
  <si>
    <t>2026-04-05 08:15</t>
  </si>
  <si>
    <t>SP260310038</t>
  </si>
  <si>
    <t>CQ11784</t>
  </si>
  <si>
    <t>X004ZI4XRZ</t>
  </si>
  <si>
    <t>B0GJ5GQB8D</t>
  </si>
  <si>
    <t>2026-【CQ11784】-黑色15岁照片横幅-创奇</t>
  </si>
  <si>
    <t>2026-03-19 | 100
2026-04-02 | -1</t>
  </si>
  <si>
    <t>HHZ-3.10-SYC-红单-1-9.8-HGR6</t>
  </si>
  <si>
    <t>1Z64V46Y0421230061</t>
  </si>
  <si>
    <t>2026-03-10 11:56</t>
  </si>
  <si>
    <t>2026-03-10 22:08</t>
  </si>
  <si>
    <t>2026-03-16 21:06</t>
  </si>
  <si>
    <t>2026-04-06 16:39</t>
  </si>
  <si>
    <t>4LMZMYVX</t>
  </si>
  <si>
    <t>2026-05-11 11:58</t>
  </si>
  <si>
    <t>SP260310030</t>
  </si>
  <si>
    <t>2026-03-20</t>
  </si>
  <si>
    <t>SYC498</t>
  </si>
  <si>
    <t>X004SSBYWJ</t>
  </si>
  <si>
    <t>B0FM7NJF26</t>
  </si>
  <si>
    <t>【SYC498】-金粉90岁生日音乐贺卡-思业成</t>
  </si>
  <si>
    <t>2026-03-16 | 30</t>
  </si>
  <si>
    <t>2026-03-16 | 55
2026-03-23 | -1
2026-03-30 | -1
2026-04-04 | 1</t>
  </si>
  <si>
    <t>ASG-3.10-JY-红单-1-12.85-HGR6</t>
  </si>
  <si>
    <t>1Z64V46Y0426712657</t>
  </si>
  <si>
    <t>2026-03-10 11:52</t>
  </si>
  <si>
    <t>2026-03-10 21:59</t>
  </si>
  <si>
    <t>2026-03-16 20:12</t>
  </si>
  <si>
    <t>2026-04-07 09:16</t>
  </si>
  <si>
    <t>53K599TU</t>
  </si>
  <si>
    <t>2026-04-22 12:00</t>
  </si>
  <si>
    <t>SP260310028</t>
  </si>
  <si>
    <t>2026-03-16 | 100
2026-03-30 | -1
2026-04-21 | 1</t>
  </si>
  <si>
    <t>RZI-3.10-SX-红单-1-17.85-HGR6</t>
  </si>
  <si>
    <t>1Z64V46Y0433951671</t>
  </si>
  <si>
    <t>2026-03-10 22:10</t>
  </si>
  <si>
    <t>2026-03-17 00:05</t>
  </si>
  <si>
    <t>2026-04-07 10:31</t>
  </si>
  <si>
    <t>5NGAALIA</t>
  </si>
  <si>
    <t>SP260310029</t>
  </si>
  <si>
    <t>SX00428</t>
  </si>
  <si>
    <t>X004WIWA7D</t>
  </si>
  <si>
    <t>B0FNCZLV93</t>
  </si>
  <si>
    <t>B0GCMLL1H8</t>
  </si>
  <si>
    <t>2026-【SX00428】-黑金50岁年份吊坠8件套-势兴</t>
  </si>
  <si>
    <t>2026-03-16 | 105
2026-03-20 | -17
2026-03-24 | 1
2026-04-11 | -1</t>
  </si>
  <si>
    <t>SX00436</t>
  </si>
  <si>
    <t>X004WYA5GZ</t>
  </si>
  <si>
    <t>B0G2C49SRC</t>
  </si>
  <si>
    <t>2026-【SX00436】-渐变色30岁年份吊坠8件套-势兴</t>
  </si>
  <si>
    <t>2026-03-16 | 120
2026-04-07 | -7
2026-04-08 | -1
2026-04-11 | 7
2026-04-14 | 1
2026-04-24 | -40</t>
  </si>
  <si>
    <t>OYW-3.6-CR-红单-1-21.7-LBE1</t>
  </si>
  <si>
    <t>1Z6075X66631793634</t>
  </si>
  <si>
    <t>2026-03-06 18:32</t>
  </si>
  <si>
    <t>2026-03-07 15:24</t>
  </si>
  <si>
    <t>2026-03-11 14:01</t>
  </si>
  <si>
    <t>2026-04-05 01:25</t>
  </si>
  <si>
    <t>3BF2OF8C</t>
  </si>
  <si>
    <t>2026-04-06 01:13</t>
  </si>
  <si>
    <t>SP260306097</t>
  </si>
  <si>
    <t>2026-03-14</t>
  </si>
  <si>
    <t>2026-03-08</t>
  </si>
  <si>
    <t>CR32539</t>
  </si>
  <si>
    <t>X004Y6X6NZ</t>
  </si>
  <si>
    <t>B0G7YT3MG3</t>
  </si>
  <si>
    <t>【CR32539】-黑金60岁气球雨帘2件套-辰瑞</t>
  </si>
  <si>
    <t>2026-03-10 | 130</t>
  </si>
  <si>
    <t>VBU-3.6-CR-空派-1-13.4-LBE1</t>
  </si>
  <si>
    <t>1Z9X02R50328937155</t>
  </si>
  <si>
    <t>2026-03-06 17:00</t>
  </si>
  <si>
    <t>2026-03-07 15:26</t>
  </si>
  <si>
    <t>2026-03-16 22:18</t>
  </si>
  <si>
    <t>2026-04-07 01:44</t>
  </si>
  <si>
    <t>8WDJGL4D</t>
  </si>
  <si>
    <t>SP260306071</t>
  </si>
  <si>
    <t>2026-03-19</t>
  </si>
  <si>
    <t>2026-03-16 | 20</t>
  </si>
  <si>
    <t>CR32548</t>
  </si>
  <si>
    <t>X004ZKZFHF</t>
  </si>
  <si>
    <t>B0GJK16Y9Z</t>
  </si>
  <si>
    <t>2026-【CR32548】-粉白50岁年份签名本-辰瑞</t>
  </si>
  <si>
    <t>2026-03-16 | 70
2026-04-05 | -1</t>
  </si>
  <si>
    <t>CR32551</t>
  </si>
  <si>
    <t>X004ZKZFM5</t>
  </si>
  <si>
    <t>B0GJK2TXFG</t>
  </si>
  <si>
    <t>2026-【CR32551】-粉白30岁年份签名本-辰瑞</t>
  </si>
  <si>
    <t>2026-03-16 | 20
2026-03-31 | -1
2026-04-10 | 1</t>
  </si>
  <si>
    <t>ZYN-3.6-SYC-空派-3-48.4-LBE1</t>
  </si>
  <si>
    <t>1Z9X02R50322480373</t>
  </si>
  <si>
    <t>2026-03-16 15:48</t>
  </si>
  <si>
    <t>2026-04-08 19:57</t>
  </si>
  <si>
    <t>5DB3ITHY</t>
  </si>
  <si>
    <t>2026-04-09 19:38</t>
  </si>
  <si>
    <t>SP260306072</t>
  </si>
  <si>
    <t>2026-03-16 | 150
2026-03-27 | -2
2026-03-28 | -1
2026-04-03 | 2</t>
  </si>
  <si>
    <t>SYC636</t>
  </si>
  <si>
    <t>X0050RVO27</t>
  </si>
  <si>
    <t>B0GQS8K2QK</t>
  </si>
  <si>
    <t>2026-【SYC636】-报纸色1926年份签名本-思业成</t>
  </si>
  <si>
    <t>2026-03-16 | 150
2026-03-25 | -1
2026-04-01 | 1
2026-04-20 | -1</t>
  </si>
  <si>
    <t>SYC637</t>
  </si>
  <si>
    <t>X0050T1OGV</t>
  </si>
  <si>
    <t>B0GQXJJYWL</t>
  </si>
  <si>
    <t>2026-【SYC637】-玫粉13岁年份签名本-思业成</t>
  </si>
  <si>
    <t>2026-03-16 | 120
2026-03-22 | 120
2026-04-02 | -9
2026-04-04 | -7
2026-04-08 | -6
2026-04-10 | -60
2026-04-12 | -5
2026-04-14 | -4
2026-04-15 | -4
2026-04-17 | -4
2026-04-20 | -3
2026-04-23 | -3
2026-04-25 | -3
2026-04-28 | -3
2026-04-30 | -2
2026-05-02 | -2
2026-05-04 | -2
2026-05-06 | -1
2026-05-08 | -1</t>
  </si>
  <si>
    <t>BIN-3.36-CQ-空派-3-59.3-LBE1</t>
  </si>
  <si>
    <t>1Z9X02R50327008106</t>
  </si>
  <si>
    <t>2026-03-07 15:27</t>
  </si>
  <si>
    <t>2026-03-16 15:51</t>
  </si>
  <si>
    <t>2026-04-06 20:19</t>
  </si>
  <si>
    <t>1O3JSVFB</t>
  </si>
  <si>
    <t>SP260306073</t>
  </si>
  <si>
    <t>2026-03-16 | 100
2026-03-18 | 3
2026-04-04 | -3</t>
  </si>
  <si>
    <t>CQ11773</t>
  </si>
  <si>
    <t>X004ZI4PR3</t>
  </si>
  <si>
    <t>B0GJ54L655</t>
  </si>
  <si>
    <t>2026-【CQ11773】-金粉21岁照片横幅-创奇</t>
  </si>
  <si>
    <t>2026-03-16 | 100
2026-03-29 | -1
2026-04-04 | 1</t>
  </si>
  <si>
    <t>2026-03-16 | 100
2026-03-29 | -1
2026-04-06 | 1</t>
  </si>
  <si>
    <t>2026-03-16 | 100
2026-04-02 | 1
2026-04-07 | -1</t>
  </si>
  <si>
    <t>SNU-3.6-CQ-空派-2-30.6-LBE1</t>
  </si>
  <si>
    <t>1Z9X02R50329883327</t>
  </si>
  <si>
    <t>2026-03-16 22:20</t>
  </si>
  <si>
    <t>2026-03-31 20:57</t>
  </si>
  <si>
    <t>48DANYVT</t>
  </si>
  <si>
    <t>2026-04-01 20:34</t>
  </si>
  <si>
    <t>SP260306074</t>
  </si>
  <si>
    <t>2026-03-18</t>
  </si>
  <si>
    <t>CQ11751</t>
  </si>
  <si>
    <t>X004Z9TFGN</t>
  </si>
  <si>
    <t>B0GH7SLVCD</t>
  </si>
  <si>
    <t>【CQ11751】-蓝银11岁兄弟海报套装-创奇（整体真空+外面套opp袋）</t>
  </si>
  <si>
    <t>2026-03-16 | 80</t>
  </si>
  <si>
    <t>MWF&amp;LAC-3.6-DX-空派-4-48.35-LBE1</t>
  </si>
  <si>
    <t>1Z9X02R50321075367</t>
  </si>
  <si>
    <t>2026-03-06 16:59</t>
  </si>
  <si>
    <t>2026-03-16 15:46</t>
  </si>
  <si>
    <t>2026-04-09 19:39</t>
  </si>
  <si>
    <t>11FBR3IX</t>
  </si>
  <si>
    <t>2026-05-11 14:15</t>
  </si>
  <si>
    <t>SP260306095</t>
  </si>
  <si>
    <t>2026-03-16 | 100</t>
  </si>
  <si>
    <t>DX06025</t>
  </si>
  <si>
    <t>X004ZYO275</t>
  </si>
  <si>
    <t>B0GL6D2W9S</t>
  </si>
  <si>
    <t>B0GSZF2ZQF</t>
  </si>
  <si>
    <t>2026-【DX06025】-怀旧1956年份签名本-定行</t>
  </si>
  <si>
    <t>2026-03-16 | 104
2026-04-02 | 1</t>
  </si>
  <si>
    <t>DX06026</t>
  </si>
  <si>
    <t>X004ZYRH2H</t>
  </si>
  <si>
    <t>B0GL5V2Z3H</t>
  </si>
  <si>
    <t>2026-【DX06026】-怀旧1946年份签名本-定行</t>
  </si>
  <si>
    <t>2026-03-16 | 105</t>
  </si>
  <si>
    <t>BZP-3.6-SX-空派-1-15.3-LBE1</t>
  </si>
  <si>
    <t>1Z9X02R50322966698</t>
  </si>
  <si>
    <t>2026-03-16 15:53</t>
  </si>
  <si>
    <t>2026-03-30 09:00</t>
  </si>
  <si>
    <t>2SUIDXUM</t>
  </si>
  <si>
    <t>2026-03-31 08:50</t>
  </si>
  <si>
    <t>SP260306096</t>
  </si>
  <si>
    <t>SX00233</t>
  </si>
  <si>
    <t>X003KQZH7D</t>
  </si>
  <si>
    <t>B0BQM6MSQG</t>
  </si>
  <si>
    <t>New1-【SX00233】-紫金无岁数生日门联-势兴</t>
  </si>
  <si>
    <t>2026-03-16 | 37
2026-03-24 | 0</t>
  </si>
  <si>
    <t>QUI-3.5-SYC-空派-2-40.75-HGR6</t>
  </si>
  <si>
    <t>1Z9X02R50394139803</t>
  </si>
  <si>
    <t>2026-03-05 17:13</t>
  </si>
  <si>
    <t>2026-03-06 09:18</t>
  </si>
  <si>
    <t>2026-03-23 13:55</t>
  </si>
  <si>
    <t>2026-04-15 10:25</t>
  </si>
  <si>
    <t>58QBMOCT</t>
  </si>
  <si>
    <t>SP260305037</t>
  </si>
  <si>
    <t>2026-03-25</t>
  </si>
  <si>
    <t>2026-03-22 | 65</t>
  </si>
  <si>
    <t>SYC585</t>
  </si>
  <si>
    <t>X004XDGCTT</t>
  </si>
  <si>
    <t>B0G41NVHST</t>
  </si>
  <si>
    <t>2026-【SYC585】-黑金复古1926年份签名本-思业成</t>
  </si>
  <si>
    <t>2026-03-22 | 220
2026-03-24 | 1
2026-03-26 | -3
2026-04-02 | -1
2026-04-04 | 2
2026-04-11 | 1</t>
  </si>
  <si>
    <t>SYC584</t>
  </si>
  <si>
    <t>X004WW7H7R</t>
  </si>
  <si>
    <t>B0G25GV4F7</t>
  </si>
  <si>
    <t>B0GQ391M7S</t>
  </si>
  <si>
    <t>2026-【SYC584】-黑金65岁眼镜24件套-思业成</t>
  </si>
  <si>
    <t>2026-03-22 | 20</t>
  </si>
  <si>
    <t>SYC614</t>
  </si>
  <si>
    <t>X004ZOSR21</t>
  </si>
  <si>
    <t>B0GK1RGP8W</t>
  </si>
  <si>
    <t>2026-【SYC614】-黑金复古1981年份签名本-思业成</t>
  </si>
  <si>
    <t>2026-03-22 | 30
2026-03-29 | -1
2026-04-10 | 1</t>
  </si>
  <si>
    <t>LYV-3.5-DM-空派-3-56.6-HGR6</t>
  </si>
  <si>
    <t>1Z9X02R50393877633</t>
  </si>
  <si>
    <t>2026-03-06 09:06</t>
  </si>
  <si>
    <t>2026-03-23 13:44</t>
  </si>
  <si>
    <t>2026-04-17 02:07</t>
  </si>
  <si>
    <t>49OYW79X</t>
  </si>
  <si>
    <t>SP260305038</t>
  </si>
  <si>
    <t>DM21442</t>
  </si>
  <si>
    <t>X004VEF1OR</t>
  </si>
  <si>
    <t>B0CVWYDBCK</t>
  </si>
  <si>
    <t>2026-【DM21442】-黑金90岁年份海报套装-大卖</t>
  </si>
  <si>
    <t>2026-03-22 | 90
2026-03-28 | -1
2026-03-30 | 1
2026-04-08 | -1</t>
  </si>
  <si>
    <t>2026-03-22 | 90</t>
  </si>
  <si>
    <t>WXH-3.5-CQ-空派-10-150.5-HGR6</t>
  </si>
  <si>
    <t>1Z9X02R50393279771</t>
  </si>
  <si>
    <t>2026-03-05 17:12</t>
  </si>
  <si>
    <t>2026-03-06 09:02</t>
  </si>
  <si>
    <t>2026-03-23 13:54</t>
  </si>
  <si>
    <t>2026-04-20 04:34</t>
  </si>
  <si>
    <t>2U68KJ7R</t>
  </si>
  <si>
    <t>SP260305039</t>
  </si>
  <si>
    <t>2026-03-22 | 60
2026-04-05 | 1
2026-04-07 | -1</t>
  </si>
  <si>
    <t>2026-03-22 | 60
2026-04-07 | -1
2026-04-16 | 1</t>
  </si>
  <si>
    <t>CQ11771</t>
  </si>
  <si>
    <t>X004ZI0XSD</t>
  </si>
  <si>
    <t>B0GJ5H2WTB</t>
  </si>
  <si>
    <t>2026-【CQ11771】-金色90岁照片横幅-创奇</t>
  </si>
  <si>
    <t>2026-03-22 | 100
2026-03-24 | 1
2026-03-26 | -1
2026-04-05 | 1
2026-04-06 | 1
2026-04-07 | -1
2026-04-08 | -1
2026-04-11 | -1
2026-05-01 | 1</t>
  </si>
  <si>
    <t>2026-03-22 | 100
2026-04-07 | -1
2026-04-19 | 1</t>
  </si>
  <si>
    <t>CQ11777</t>
  </si>
  <si>
    <t>X004ZI73E5</t>
  </si>
  <si>
    <t>B0GJ5KC53J</t>
  </si>
  <si>
    <t>2026-【CQ11777】-金粉40岁照片横幅-创奇</t>
  </si>
  <si>
    <t>2026-03-22 | 100
2026-03-27 | -1
2026-03-30 | 1
2026-04-04 | -1
2026-04-05 | 1
2026-04-07 | -1
2026-04-11 | 1
2026-05-01 | -1</t>
  </si>
  <si>
    <t>CQ11778</t>
  </si>
  <si>
    <t>X004ZI71XN</t>
  </si>
  <si>
    <t>B0GJ5F2XPZ</t>
  </si>
  <si>
    <t>2026-【CQ11778】-金粉30岁照片横幅-创奇</t>
  </si>
  <si>
    <t>2026-03-22 | 100
2026-04-05 | -1
2026-04-08 | 1</t>
  </si>
  <si>
    <t>CQ11779</t>
  </si>
  <si>
    <t>X004ZI2Y0D</t>
  </si>
  <si>
    <t>B0GJ5GQSC3</t>
  </si>
  <si>
    <t>2026-【CQ11779】-金粉70岁照片横幅-创奇</t>
  </si>
  <si>
    <t>2026-03-22 | 100
2026-04-05 | -1
2026-04-05 | 1</t>
  </si>
  <si>
    <t>CQ11780</t>
  </si>
  <si>
    <t>X004ZI33IP</t>
  </si>
  <si>
    <t>B0GJ55XZZP</t>
  </si>
  <si>
    <t>2026-【CQ11780】-金粉75岁照片横幅-创奇</t>
  </si>
  <si>
    <t>2026-03-22 | 100
2026-03-27 | -1
2026-04-20 | 1
2026-04-22 | 1</t>
  </si>
  <si>
    <t>CQ11781</t>
  </si>
  <si>
    <t>X004ZI5YH3</t>
  </si>
  <si>
    <t>B0GJ4ZYY1T</t>
  </si>
  <si>
    <t>2026-【CQ11781】-金粉80岁照片横幅-创奇</t>
  </si>
  <si>
    <t>2026-03-22 | 100
2026-03-27 | -1
2026-04-10 | 1
2026-04-20 | -1</t>
  </si>
  <si>
    <t>CQ11782</t>
  </si>
  <si>
    <t>X004ZI32HR</t>
  </si>
  <si>
    <t>B0GJ5HNDP9</t>
  </si>
  <si>
    <t>2026-【CQ11782】-金粉90岁照片横幅-创奇</t>
  </si>
  <si>
    <t>2026-03-22 | 100</t>
  </si>
  <si>
    <t>CQ11783</t>
  </si>
  <si>
    <t>X004ZI1H01</t>
  </si>
  <si>
    <t>B0GJ5CXD3G</t>
  </si>
  <si>
    <t>2026-【CQ11783】-金粉50岁照片横幅-创奇</t>
  </si>
  <si>
    <t>HSS-3.5-ZY-空派-3-40.4-HGR6</t>
  </si>
  <si>
    <t>1Z9X02R50391978699</t>
  </si>
  <si>
    <t>2026-03-06 09:10</t>
  </si>
  <si>
    <t>2026-03-23 13:51</t>
  </si>
  <si>
    <t>2026-04-16 02:56</t>
  </si>
  <si>
    <t>1YL4WQZF</t>
  </si>
  <si>
    <t>2026-04-17 01:52</t>
  </si>
  <si>
    <t>SP260305040</t>
  </si>
  <si>
    <t>2026-03-22 | 70</t>
  </si>
  <si>
    <t>ZY02282</t>
  </si>
  <si>
    <t>X004WTP5CJ</t>
  </si>
  <si>
    <t>B0FPMCX4NP</t>
  </si>
  <si>
    <t>2026-【ZY02282】-黑金1966纸巾50件套-争艳</t>
  </si>
  <si>
    <t>2026-03-22 | 30</t>
  </si>
  <si>
    <t>AIX-3.5-DX-空派-1-12.4-HGR6</t>
  </si>
  <si>
    <t>1Z9X02R50390660827</t>
  </si>
  <si>
    <t>2026-03-06 09:08</t>
  </si>
  <si>
    <t>2026-03-23 13:49</t>
  </si>
  <si>
    <t>2026-04-16 05:14</t>
  </si>
  <si>
    <t>6HF9VY6Q</t>
  </si>
  <si>
    <t>SP260305041</t>
  </si>
  <si>
    <t>2026-03-22 | 50</t>
  </si>
  <si>
    <t>SQT-3.5-PT-红单-1-20.8-HGR6</t>
  </si>
  <si>
    <t>2026-03-05 15:46</t>
  </si>
  <si>
    <t>2026-03-13 01:53</t>
  </si>
  <si>
    <t>2026-04-04 16:45</t>
  </si>
  <si>
    <t>2B57YK1I</t>
  </si>
  <si>
    <t>SP260305042</t>
  </si>
  <si>
    <t>2026-03-16</t>
  </si>
  <si>
    <t>PT53595</t>
  </si>
  <si>
    <t>X004VLEL0F</t>
  </si>
  <si>
    <t>B0DSZGP2VZ</t>
  </si>
  <si>
    <t>2026-【PT53595】-粉金30岁木摆件4件套-拼途</t>
  </si>
  <si>
    <t>2026-03-12 | 30</t>
  </si>
  <si>
    <t>PT53592</t>
  </si>
  <si>
    <t>X004VLEEKH</t>
  </si>
  <si>
    <t>B0CSF893SF</t>
  </si>
  <si>
    <t>2026-【PT53592】-粉金60岁木摆件4件套-拼途</t>
  </si>
  <si>
    <t>2026-03-12 | 90</t>
  </si>
  <si>
    <t>PSJ-3.4-DX-红单-1-9.75-HGR6</t>
  </si>
  <si>
    <t>2026-03-04 17:43</t>
  </si>
  <si>
    <t>2026-03-05 09:55</t>
  </si>
  <si>
    <t>2026-03-10 07:51</t>
  </si>
  <si>
    <t>2026-03-19 19:40</t>
  </si>
  <si>
    <t>4Z948C6L</t>
  </si>
  <si>
    <t>2026-03-30 09:35</t>
  </si>
  <si>
    <t>SP260304017</t>
  </si>
  <si>
    <t>2026-03-12</t>
  </si>
  <si>
    <t>DX05920</t>
  </si>
  <si>
    <t>X004U947IJ</t>
  </si>
  <si>
    <t>B0FR8LHG6S</t>
  </si>
  <si>
    <t>【DX05920】-玫瑰金16岁流苏花球套装-定行（点胶固定）</t>
  </si>
  <si>
    <t>2026-03-09 | 39</t>
  </si>
  <si>
    <t>YZT-3.4-SYC-红单-1-8.8-HGR6</t>
  </si>
  <si>
    <t>1Z62AV226611422274</t>
  </si>
  <si>
    <t>2026-03-05 09:48</t>
  </si>
  <si>
    <t>2026-03-09 23:23</t>
  </si>
  <si>
    <t>2026-04-01 02:26</t>
  </si>
  <si>
    <t>5QE7VV2X</t>
  </si>
  <si>
    <t>SP260304015</t>
  </si>
  <si>
    <t>SYC486</t>
  </si>
  <si>
    <t>X004PA3VUN</t>
  </si>
  <si>
    <t>B0FB31GLN3</t>
  </si>
  <si>
    <t>【SYC486】-亮粉色生日桌布2件套-思业成</t>
  </si>
  <si>
    <t>2026-03-09 | 5</t>
  </si>
  <si>
    <t>SYC588</t>
  </si>
  <si>
    <t>X004XDS1A7</t>
  </si>
  <si>
    <t>B0G437PHM4</t>
  </si>
  <si>
    <t>【SYC588】-蓝银18岁抽钱盒子-思业成</t>
  </si>
  <si>
    <t>2026-03-09 | 20</t>
  </si>
  <si>
    <t>2026-03-09 | 40
2026-03-17 | -1
2026-04-03 | 1</t>
  </si>
  <si>
    <t>IYK-3.4-SYC-红单-1-18.75-HGR6</t>
  </si>
  <si>
    <t>2026-03-31 14:02</t>
  </si>
  <si>
    <t>6QLGNNWA</t>
  </si>
  <si>
    <t>2026-05-11 11:59</t>
  </si>
  <si>
    <t>SP260304016</t>
  </si>
  <si>
    <t>2026-03-09 | 10</t>
  </si>
  <si>
    <t>SYC586</t>
  </si>
  <si>
    <t>X004XDLD0H</t>
  </si>
  <si>
    <t>B0G42D6K43</t>
  </si>
  <si>
    <t>【SYC586】-蓝银10岁抽钱盒子-思业成</t>
  </si>
  <si>
    <t>2026-03-09 | 90</t>
  </si>
  <si>
    <t>2026-03-09 | 20
2026-04-03 | -1</t>
  </si>
  <si>
    <t>NDF-3.3-YS-红单-1-9.75-HGR6</t>
  </si>
  <si>
    <t>1Z64W3460491885593</t>
  </si>
  <si>
    <t>2026-03-03 18:00</t>
  </si>
  <si>
    <t>2026-03-04 09:24</t>
  </si>
  <si>
    <t>2026-03-07 10:42</t>
  </si>
  <si>
    <t>2026-03-30 20:45</t>
  </si>
  <si>
    <t>67RFC7EO</t>
  </si>
  <si>
    <t>SP260303008</t>
  </si>
  <si>
    <t>2026-03-13</t>
  </si>
  <si>
    <t>2026-03-06 | 70
2026-03-10 | 1
2026-04-04 | -1</t>
  </si>
  <si>
    <t>2026-03-06 | 44</t>
  </si>
  <si>
    <t>GWL-3.3-PT-红单-1-11.9-HGR6</t>
  </si>
  <si>
    <t>1Z64W3460490786988</t>
  </si>
  <si>
    <t>2026-03-07 02:43</t>
  </si>
  <si>
    <t>2026-03-23 05:07</t>
  </si>
  <si>
    <t>3OS5XC3Y</t>
  </si>
  <si>
    <t>SP260303009</t>
  </si>
  <si>
    <t>PT53603</t>
  </si>
  <si>
    <t>X00508SPAF</t>
  </si>
  <si>
    <t>B0GMJVCZKL</t>
  </si>
  <si>
    <t>B0GQ46Y7GN</t>
  </si>
  <si>
    <t>【PT53603】-玫瑰金16岁灯饰横幅-拼途（点胶固定）</t>
  </si>
  <si>
    <t>2026-03-06 | 80
2026-03-14 | -1</t>
  </si>
  <si>
    <t>PT53605</t>
  </si>
  <si>
    <t>X00508SPA5</t>
  </si>
  <si>
    <t>B0GMJHJ1WK</t>
  </si>
  <si>
    <t>【PT53605】-玫瑰金21岁灯饰横幅-拼途（点胶固定）</t>
  </si>
  <si>
    <t>2026-03-06 | 70</t>
  </si>
  <si>
    <t>PT53606</t>
  </si>
  <si>
    <t>X00508ZD4B</t>
  </si>
  <si>
    <t>B0GMJLD15H</t>
  </si>
  <si>
    <t>【PT53606】-玫瑰金40岁灯饰横幅-拼途（点胶固定）</t>
  </si>
  <si>
    <t>UII-3.3-CQ-红单-2-30.45-HGR6</t>
  </si>
  <si>
    <t>1Z64W3460492731818</t>
  </si>
  <si>
    <t>2026-03-04 09:23</t>
  </si>
  <si>
    <t>2026-03-08 21:03</t>
  </si>
  <si>
    <t>2026-03-30 13:18</t>
  </si>
  <si>
    <t>3OHDSJMV</t>
  </si>
  <si>
    <t>SP260303010</t>
  </si>
  <si>
    <t>CQ11752</t>
  </si>
  <si>
    <t>X004ZHMK5D</t>
  </si>
  <si>
    <t>B0GJ49GFS9</t>
  </si>
  <si>
    <t>B0GS5KKW6X</t>
  </si>
  <si>
    <t>2026-【CQ11752】-多彩复古40岁灯饰年份门联-创奇</t>
  </si>
  <si>
    <t>2026-03-07 | 40</t>
  </si>
  <si>
    <t>CQ11753</t>
  </si>
  <si>
    <t>X004ZHUJVZ</t>
  </si>
  <si>
    <t>B0GJ4RZST2</t>
  </si>
  <si>
    <t>2026-【CQ11753】-多彩复古60岁灯饰年份门联-创奇</t>
  </si>
  <si>
    <t>CQ11754</t>
  </si>
  <si>
    <t>X004ZHQ5G3</t>
  </si>
  <si>
    <t>B0GJ4BB5FB</t>
  </si>
  <si>
    <t>2026-【CQ11754】-多彩复古70岁灯饰年份门联-创奇</t>
  </si>
  <si>
    <t>2026-03-07 | 40
2026-03-09 | 2
2026-03-21 | -2</t>
  </si>
  <si>
    <t>CQ11755</t>
  </si>
  <si>
    <t>X004ZHXBZ1</t>
  </si>
  <si>
    <t>B0GJ4P3HH2</t>
  </si>
  <si>
    <t>2026-【CQ11755】-多彩复古80岁灯饰年份门联-创奇</t>
  </si>
  <si>
    <t>2026-03-07 | 42
2026-03-12 | -2</t>
  </si>
  <si>
    <t>CQ11705</t>
  </si>
  <si>
    <t>X004UKBY2F</t>
  </si>
  <si>
    <t>B0FS1LGYLG</t>
  </si>
  <si>
    <t>【CQ11705】-蓝银10岁兄弟海报套装-创奇（整套真空+外面套opp袋子）</t>
  </si>
  <si>
    <t>2026-03-07 | 5</t>
  </si>
  <si>
    <t>CQ11622</t>
  </si>
  <si>
    <t>X004QZEWHN</t>
  </si>
  <si>
    <t>B0C1YXWM5Y</t>
  </si>
  <si>
    <t>【CQ11622】-粉色奶牛1岁生日漩涡16件套-创奇</t>
  </si>
  <si>
    <t>ZLC-3.2-DX-空派-4-79.8-RYY2</t>
  </si>
  <si>
    <t>1ZG2C1210321981799</t>
  </si>
  <si>
    <t>2026-03-02 17:47</t>
  </si>
  <si>
    <t>2026-03-03 09:25</t>
  </si>
  <si>
    <t>2026-03-12 01:35</t>
  </si>
  <si>
    <t>2026-04-07 05:49</t>
  </si>
  <si>
    <t>2KL9DK5L</t>
  </si>
  <si>
    <t>SP260303007</t>
  </si>
  <si>
    <t>DX05804</t>
  </si>
  <si>
    <t>X0048F3SSZ</t>
  </si>
  <si>
    <t>B0D3PWYB8Z</t>
  </si>
  <si>
    <t>2405-【DX05804】-黑金50周年拍照道具30件套-定行</t>
  </si>
  <si>
    <t>2026-03-11 | 20</t>
  </si>
  <si>
    <t>DX05903</t>
  </si>
  <si>
    <t>X004QZJ1ZB</t>
  </si>
  <si>
    <t>B0FGN7D3P8</t>
  </si>
  <si>
    <t>【DX05903】-玫瑰金13岁流苏花球套装-定行（点胶固定）</t>
  </si>
  <si>
    <t>2026-03-11 | 100
2026-03-25 | -1</t>
  </si>
  <si>
    <t>2026-03-11 | 100
2026-03-14 | 78</t>
  </si>
  <si>
    <t>DX06014</t>
  </si>
  <si>
    <t>X004ZDWMUF</t>
  </si>
  <si>
    <t>B0GHQR7H57</t>
  </si>
  <si>
    <t>【DX06014】-玫瑰金70岁流苏花球套装-定行（点胶固定）</t>
  </si>
  <si>
    <t>2026-03-11 | 100</t>
  </si>
  <si>
    <t>SPG-3.2-CQ-空派-10-165.75-RYY2</t>
  </si>
  <si>
    <t>1ZG2C1210335224901</t>
  </si>
  <si>
    <t>2026-03-02 17:46</t>
  </si>
  <si>
    <t>2026-03-03 09:26</t>
  </si>
  <si>
    <t>2026-03-12 01:06</t>
  </si>
  <si>
    <t>2026-04-06 09:26</t>
  </si>
  <si>
    <t>2BY4EYVR</t>
  </si>
  <si>
    <t>SP260302008</t>
  </si>
  <si>
    <t>2026-03-11 | 10
2026-03-29 | 1
2026-04-05 | -1</t>
  </si>
  <si>
    <t>CQ11722</t>
  </si>
  <si>
    <t>X004WALLFD</t>
  </si>
  <si>
    <t>B0FYFC51MV</t>
  </si>
  <si>
    <t>2026-【CQ11722】-金色40岁照片横幅-创奇</t>
  </si>
  <si>
    <t>2026-03-11 | 30</t>
  </si>
  <si>
    <t>CQ11762</t>
  </si>
  <si>
    <t>X004ZHU7ZX</t>
  </si>
  <si>
    <t>B0GJ4XS8J9</t>
  </si>
  <si>
    <t>2026-【CQ11762】-金色16岁照片横幅-创奇</t>
  </si>
  <si>
    <t>2026-03-11 | 100
2026-03-30 | -1
2026-04-08 | 1</t>
  </si>
  <si>
    <t>CQ11763</t>
  </si>
  <si>
    <t>X004ZHZVJZ</t>
  </si>
  <si>
    <t>B0GJ54DF6R</t>
  </si>
  <si>
    <t>2026-【CQ11763】-金色15岁照片横幅-创奇</t>
  </si>
  <si>
    <t>2026-03-11 | 100
2026-03-30 | -1
2026-04-09 | 1
2026-04-24 | -1
2026-05-12 | 1</t>
  </si>
  <si>
    <t>CQ11764</t>
  </si>
  <si>
    <t>X004ZHVF31</t>
  </si>
  <si>
    <t>B0GJ51CTXG</t>
  </si>
  <si>
    <t>2026-【CQ11764】-金色13岁照片横幅-创奇</t>
  </si>
  <si>
    <t>2026-03-11 | 100
2026-03-30 | -1
2026-04-09 | 1
2026-04-24 | 1
2026-05-12 | -1</t>
  </si>
  <si>
    <t>CQ11765</t>
  </si>
  <si>
    <t>X004ZHVHKR</t>
  </si>
  <si>
    <t>B0GJ4M35YG</t>
  </si>
  <si>
    <t>2026-【CQ11765】-金色10岁照片横幅-创奇</t>
  </si>
  <si>
    <t>2026-03-11 | 100
2026-03-30 | -1
2026-04-09 | 1
2026-04-13 | 1</t>
  </si>
  <si>
    <t>2026-03-11 | 100
2026-04-13 | -1</t>
  </si>
  <si>
    <t>CQ11768</t>
  </si>
  <si>
    <t>X004ZHVLP3</t>
  </si>
  <si>
    <t>B0GJ51FD73</t>
  </si>
  <si>
    <t>2026-【CQ11768】-金色70岁照片横幅-创奇</t>
  </si>
  <si>
    <t>CQ11769</t>
  </si>
  <si>
    <t>X004ZI4CEJ</t>
  </si>
  <si>
    <t>B0GJ4VC752</t>
  </si>
  <si>
    <t>2026-【CQ11769】-金色75岁照片横幅-创奇</t>
  </si>
  <si>
    <t>2026-03-11 | 100
2026-03-29 | 1
2026-04-10 | -1
2026-05-17 | 1</t>
  </si>
  <si>
    <t>CQ11770</t>
  </si>
  <si>
    <t>X004ZI6R29</t>
  </si>
  <si>
    <t>B0GJ4S85XR</t>
  </si>
  <si>
    <t>2026-【CQ11770】-金色80岁照片横幅-创奇</t>
  </si>
  <si>
    <t>2026-03-11 | 100
2026-03-27 | -1
2026-03-29 | 2
2026-04-05 | -1
2026-04-06 | -1</t>
  </si>
  <si>
    <t>CQ11787</t>
  </si>
  <si>
    <t>X00500BQPJ</t>
  </si>
  <si>
    <t>B0GL8KDG81</t>
  </si>
  <si>
    <t>2026-【CQ11787】-黑金18岁制造照片横幅-创奇</t>
  </si>
  <si>
    <t>2026-03-11 | 100
2026-03-26 | -1
2026-05-01 | -1</t>
  </si>
  <si>
    <t>2026-03-11 | 95
2026-03-28 | -2
2026-04-07 | 2</t>
  </si>
  <si>
    <t>CQ11789</t>
  </si>
  <si>
    <t>X005009V8X</t>
  </si>
  <si>
    <t>B0GL8F2NB9</t>
  </si>
  <si>
    <t>【CQ11789】-金色50岁干杯照片横幅-创奇</t>
  </si>
  <si>
    <t>2026-03-11 | 100
2026-03-28 | -2
2026-04-06 | 2</t>
  </si>
  <si>
    <t>BBE-2.27-CQ-空派-2-30.15-TMB8</t>
  </si>
  <si>
    <t>1ZG2C1210329040166</t>
  </si>
  <si>
    <t>2026-02-27 17:13</t>
  </si>
  <si>
    <t>2026-02-28 18:34</t>
  </si>
  <si>
    <t>2026-03-14 08:00</t>
  </si>
  <si>
    <t>2026-04-10 21:09</t>
  </si>
  <si>
    <t>63NVA5DH</t>
  </si>
  <si>
    <t>2026-04-11 20:17</t>
  </si>
  <si>
    <t>SP260227012</t>
  </si>
  <si>
    <t>2026-03-01</t>
  </si>
  <si>
    <t>2026-03-13 | 100
2026-03-23 | 1
2026-03-26 | 1
2026-03-31 | 2
2026-04-03 | -3</t>
  </si>
  <si>
    <t>2026-03-15 | 100
2026-04-02 | -1
2026-04-18 | -3</t>
  </si>
  <si>
    <t>VSV-2.27-争艳空派-1-17.1-TMB8</t>
  </si>
  <si>
    <t>1ZG2C1210333145170</t>
  </si>
  <si>
    <t>2026-02-28 18:09</t>
  </si>
  <si>
    <t>2026-03-15 16:45</t>
  </si>
  <si>
    <t>2026-04-09 04:18</t>
  </si>
  <si>
    <t>6T4B4SMG</t>
  </si>
  <si>
    <t>2026-04-10 03:22</t>
  </si>
  <si>
    <t>SP260227013</t>
  </si>
  <si>
    <t>ZY02252</t>
  </si>
  <si>
    <t>X004VP8XBJ</t>
  </si>
  <si>
    <t>B0FB3WBM6Z</t>
  </si>
  <si>
    <t>B0GCZN1RFQ</t>
  </si>
  <si>
    <t>2026-【ZY02252】-玫瑰金1996年份三角拉旗套装-争艳（点胶固定）</t>
  </si>
  <si>
    <t>2026-03-15 | 160
2026-03-18 | -9
2026-03-27 | -4
2026-03-30 | 4
2026-04-05 | 8</t>
  </si>
  <si>
    <t>WRG-2.26-CQ-空派-4-70.55-TMB8</t>
  </si>
  <si>
    <t>1Z9X02R50328056464</t>
  </si>
  <si>
    <t>2026-02-26 17:25</t>
  </si>
  <si>
    <t>2026-02-28 13:54</t>
  </si>
  <si>
    <t>2026-03-27 05:06</t>
  </si>
  <si>
    <t>2026-04-26 13:56</t>
  </si>
  <si>
    <t>3M49KB3M</t>
  </si>
  <si>
    <t>SP260226019</t>
  </si>
  <si>
    <t>2026-03-31</t>
  </si>
  <si>
    <t>2026-03-27 | 55
2026-03-28 | 15</t>
  </si>
  <si>
    <t>CQ11760</t>
  </si>
  <si>
    <t>X004ZHV5GN</t>
  </si>
  <si>
    <t>B0GJ4X2RN6</t>
  </si>
  <si>
    <t>2026-【CQ11760】-金色21岁照片横幅-创奇</t>
  </si>
  <si>
    <t>2026-03-28 | 100</t>
  </si>
  <si>
    <t>CQ11761</t>
  </si>
  <si>
    <t>X004ZHV94V</t>
  </si>
  <si>
    <t>B0GJ4ZJMHL</t>
  </si>
  <si>
    <t>2026-【CQ11761】-金色18岁照片横幅-创奇</t>
  </si>
  <si>
    <t>CQ11767</t>
  </si>
  <si>
    <t>X004ZHVPAT</t>
  </si>
  <si>
    <t>B0GJ59C3QM</t>
  </si>
  <si>
    <t>2026-【CQ11767】-金色60岁照片横幅-创奇</t>
  </si>
  <si>
    <t>2026-03-26 | 100</t>
  </si>
  <si>
    <t>QPG-2.26-DX-空派-1-12.9-TMB8</t>
  </si>
  <si>
    <t>1Z9X02R50329049470</t>
  </si>
  <si>
    <t>2026-02-28 13:57</t>
  </si>
  <si>
    <t>2026-03-28 21:43</t>
  </si>
  <si>
    <t>2026-04-10 17:30</t>
  </si>
  <si>
    <t>7DN2IIIY</t>
  </si>
  <si>
    <t>2026-05-11 14:17</t>
  </si>
  <si>
    <t>SP260226018</t>
  </si>
  <si>
    <t>2026-03-28 | 51</t>
  </si>
  <si>
    <t>VSJ-2.26-PT-红单-1-21.7-LBE1-64</t>
  </si>
  <si>
    <t>1Z64W3460491294767</t>
  </si>
  <si>
    <t>2026-02-26 10:23</t>
  </si>
  <si>
    <t>2026-02-26 17:49</t>
  </si>
  <si>
    <t>2026-03-04 02:05</t>
  </si>
  <si>
    <t>2026-03-25 15:29</t>
  </si>
  <si>
    <t>63U7OTQL</t>
  </si>
  <si>
    <t>SP260226017</t>
  </si>
  <si>
    <t>PT53609</t>
  </si>
  <si>
    <t>X0050KLKDR</t>
  </si>
  <si>
    <t>B0GMMS3HSQ</t>
  </si>
  <si>
    <t>【PT53609】-玫瑰金10岁灯饰横幅-拼途（点胶固定）</t>
  </si>
  <si>
    <t>2026-03-03 | 120
2026-03-10 | -2
2026-03-12 | 1
2026-03-15 | 1</t>
  </si>
  <si>
    <t>2026-03-03 | 140
2026-03-10 | -1
2026-03-13 | 1
2026-04-11 | 1</t>
  </si>
  <si>
    <t>2026-03-03 | 140</t>
  </si>
  <si>
    <t>ZCY-2.25-DX-空派-10-171.25-TMB8</t>
  </si>
  <si>
    <t>2026-02-25 18:02</t>
  </si>
  <si>
    <t>2026-02-25 19:58</t>
  </si>
  <si>
    <t>2026-03-24 03:37</t>
  </si>
  <si>
    <t>2026-04-26 15:25</t>
  </si>
  <si>
    <t>5OED7AKG</t>
  </si>
  <si>
    <t>SP260225018</t>
  </si>
  <si>
    <t>2026-03-23 | 10
2026-03-25 | 10
2026-03-27 | 30</t>
  </si>
  <si>
    <t>2026-03-23 | 20
2026-03-24 | 20
2026-03-27 | 60</t>
  </si>
  <si>
    <t>2026-03-23 | 6
2026-03-25 | 6
2026-03-27 | 18</t>
  </si>
  <si>
    <t>2026-03-23 | 24
2026-03-24 | 24
2026-03-27 | 72
2026-04-05 | 1
2026-04-10 | -1
2026-04-15 | -1
2026-04-19 | 1</t>
  </si>
  <si>
    <t>DX06020</t>
  </si>
  <si>
    <t>X004ZFPP6V</t>
  </si>
  <si>
    <t>B0GHWYDFH1</t>
  </si>
  <si>
    <t>【DX06020】-玫瑰金40岁皇冠小套装-定行</t>
  </si>
  <si>
    <t>2026-03-23 | 32
2026-03-25 | 32
2026-03-27 | 96
2026-04-06 | -1
2026-04-09 | 1
2026-04-16 | -1
2026-04-24 | 1</t>
  </si>
  <si>
    <t>DX06022</t>
  </si>
  <si>
    <t>X004ZHWZPD</t>
  </si>
  <si>
    <t>B0GJ4LZ9DH</t>
  </si>
  <si>
    <t>【DX06022】-金粉16岁横幅发箍套装-定行（整套真空+外面套opp袋子）</t>
  </si>
  <si>
    <t>2026-03-23 | 28
2026-03-25 | 28
2026-03-27 | 84
2026-04-07 | -1</t>
  </si>
  <si>
    <t>2026-03-23 | 24
2026-03-24 | 24
2026-03-27 | 72</t>
  </si>
  <si>
    <t>DRK-2.25-DM-空派-1-19.15-TMB8</t>
  </si>
  <si>
    <t>2026-02-25 20:00</t>
  </si>
  <si>
    <t>2026-03-28 10:16</t>
  </si>
  <si>
    <t>2026-04-09 20:17</t>
  </si>
  <si>
    <t>2LHCBT2Z</t>
  </si>
  <si>
    <t>2026-04-10 19:23</t>
  </si>
  <si>
    <t>SP260225019</t>
  </si>
  <si>
    <t>DM21451</t>
  </si>
  <si>
    <t>X004VE9AHV</t>
  </si>
  <si>
    <t>B0D6WJ6632</t>
  </si>
  <si>
    <t>2026-【DM21451】-黑金21岁年份海报套装-大卖</t>
  </si>
  <si>
    <t>2026-03-27 | 40</t>
  </si>
  <si>
    <t>ZSK-2.25-CQ-空派-1-14.8-PSC2-23.4</t>
  </si>
  <si>
    <t>2026-02-25 17:08</t>
  </si>
  <si>
    <t>2026-02-25 19:35</t>
  </si>
  <si>
    <t>2026-03-19 05:53</t>
  </si>
  <si>
    <t>2026-04-12 03:46</t>
  </si>
  <si>
    <t>8E73BHMQ</t>
  </si>
  <si>
    <t>SP260225015</t>
  </si>
  <si>
    <t>2026-03-21</t>
  </si>
  <si>
    <t>2026-03-18 | 50
2026-04-02 | -1</t>
  </si>
  <si>
    <t>2026-03-18 | 15</t>
  </si>
  <si>
    <t>MNF-2.25-SYC-空派-1-15.4-PSC2-27.9</t>
  </si>
  <si>
    <t>2026-02-25 19:41</t>
  </si>
  <si>
    <t>2026-03-19 18:45</t>
  </si>
  <si>
    <t>2026-04-17 04:39</t>
  </si>
  <si>
    <t>2S5S6TRO</t>
  </si>
  <si>
    <t>SP260225016</t>
  </si>
  <si>
    <t>SYC233</t>
  </si>
  <si>
    <t>X003WL9AKB</t>
  </si>
  <si>
    <t>B0CCP4WPPD</t>
  </si>
  <si>
    <t>B0BY2BGT29</t>
  </si>
  <si>
    <t>New8-【SYC233】-蓝银90岁生日3件套桌布-思业成</t>
  </si>
  <si>
    <t>2026-03-19 | 12</t>
  </si>
  <si>
    <t>hj 70n jb hb</t>
  </si>
  <si>
    <t>X0034UEOWJ</t>
  </si>
  <si>
    <t>B09QYJ4YDQ</t>
  </si>
  <si>
    <t>B0B3XS7YJZ</t>
  </si>
  <si>
    <t>【SYC103】-黑金70年酒杯海报-思业成</t>
  </si>
  <si>
    <t>2026-03-19 | 10</t>
  </si>
  <si>
    <t>2026-03-19 | 11</t>
  </si>
  <si>
    <t>2026-03-19 | 50
2026-03-22 | -1</t>
  </si>
  <si>
    <t>RCY-2.25-ZY-空派-1-14-PSC2</t>
  </si>
  <si>
    <t>2026-02-25 17:02</t>
  </si>
  <si>
    <t>2026-02-25 19:42</t>
  </si>
  <si>
    <t>2026-03-19 05:58</t>
  </si>
  <si>
    <t>2026-04-15 23:13</t>
  </si>
  <si>
    <t>62VGSGOT</t>
  </si>
  <si>
    <t>SP260225017</t>
  </si>
  <si>
    <t>2026-03-18 | 150
2026-04-09 | -1
2026-04-13 | 1</t>
  </si>
  <si>
    <t>ZZU-2.24-YS-红单-1-21.95-LBE1-25.28</t>
  </si>
  <si>
    <t>1Z6075X66639699428</t>
  </si>
  <si>
    <t>2026-02-24 17:55</t>
  </si>
  <si>
    <t>2026-02-25 16:55</t>
  </si>
  <si>
    <t>2026-02-28 21:56</t>
  </si>
  <si>
    <t>2026-03-26 05:14</t>
  </si>
  <si>
    <t>7F366WRU</t>
  </si>
  <si>
    <t>2026-04-13 13:00</t>
  </si>
  <si>
    <t>SP260224011</t>
  </si>
  <si>
    <t>2026-03-05</t>
  </si>
  <si>
    <t>YS06707</t>
  </si>
  <si>
    <t>X004YQBX49</t>
  </si>
  <si>
    <t>B0GD7VNL3W</t>
  </si>
  <si>
    <t>【YS06707】-玫瑰金13岁青少年套装-艺胜（铝箔气球+乳胶气球一起抽真空）</t>
  </si>
  <si>
    <t>2026-02-28 | 157
2026-03-06 | -1
2026-03-19 | -1
2026-03-25 | -1
2026-04-12 | 1
2026-04-12 | 2</t>
  </si>
  <si>
    <t>IFW-2.10-SYC-红单-1-15.3-LBE1-20.8</t>
  </si>
  <si>
    <t>1Z6A68T76600476510</t>
  </si>
  <si>
    <t>2026-02-10 16:38</t>
  </si>
  <si>
    <t>2026-02-15 10:09</t>
  </si>
  <si>
    <t>2026-03-10 07:36</t>
  </si>
  <si>
    <t>6ICC5KDQ</t>
  </si>
  <si>
    <t>SP260210026</t>
  </si>
  <si>
    <t>2026-02-18</t>
  </si>
  <si>
    <t>2026-02-15</t>
  </si>
  <si>
    <t>2026-02-22</t>
  </si>
  <si>
    <t>2026-02-14 | 130</t>
  </si>
  <si>
    <t>IVO-2.10-CQ-红单-3-61.7-LBE1-57.6</t>
  </si>
  <si>
    <t>1Z6A68T76607645931</t>
  </si>
  <si>
    <t>2026-02-10 14:37</t>
  </si>
  <si>
    <t>2026-04-18 23:33</t>
  </si>
  <si>
    <t>5XD5V6AT</t>
  </si>
  <si>
    <t>2026-05-19 13:01</t>
  </si>
  <si>
    <t>SP260210004</t>
  </si>
  <si>
    <t>2026-12-31</t>
  </si>
  <si>
    <t>2026-05-13 | 90</t>
  </si>
  <si>
    <t>2026-05-13 | 30
2026-05-14 | 60</t>
  </si>
  <si>
    <t>2026-05-14 | 90</t>
  </si>
  <si>
    <t>2026-05-14 | 90
2026-05-18 | -1</t>
  </si>
  <si>
    <t>ESA-2.10-CQ-空派-3-45-LBE1-48</t>
  </si>
  <si>
    <t>2026-02-10 14:21</t>
  </si>
  <si>
    <t>2026-02-10 17:35</t>
  </si>
  <si>
    <t>2026-02-19 11:07</t>
  </si>
  <si>
    <t>2026-03-16 14:20</t>
  </si>
  <si>
    <t>3BRD783W</t>
  </si>
  <si>
    <t>2026-03-24 11:06</t>
  </si>
  <si>
    <t>SP260210024</t>
  </si>
  <si>
    <t>2026-02-23</t>
  </si>
  <si>
    <t>2026-02-19 | 200
2026-02-28 | -2
2026-03-06 | -1
2026-03-07 | -1
2026-03-15 | 1</t>
  </si>
  <si>
    <t>2026-02-18 | 100</t>
  </si>
  <si>
    <t>WNP-2.10-SYC-空派-1-14.95-LBE1-19.2</t>
  </si>
  <si>
    <t>2026-02-10 14:19</t>
  </si>
  <si>
    <t>2026-02-10 17:34</t>
  </si>
  <si>
    <t>2026-02-20 06:15</t>
  </si>
  <si>
    <t>2026-03-06 03:32</t>
  </si>
  <si>
    <t>5ULTCIUA</t>
  </si>
  <si>
    <t>2026-03-30 09:36</t>
  </si>
  <si>
    <t>SP260210025</t>
  </si>
  <si>
    <t>2026-02-19 | 30</t>
  </si>
  <si>
    <t>SYC613</t>
  </si>
  <si>
    <t>X004ZOXJF1</t>
  </si>
  <si>
    <t>B0GK18M71P</t>
  </si>
  <si>
    <t>2026-【SYC613】-黑金复古2006年份签名本-思业成</t>
  </si>
  <si>
    <t>2026-02-19 | 20</t>
  </si>
  <si>
    <t>TGM-2.10-SX-空派-3-60.75-LBE1</t>
  </si>
  <si>
    <t>2026-02-10 14:12</t>
  </si>
  <si>
    <t>2026-02-19 11:11</t>
  </si>
  <si>
    <t>2026-03-18 02:20</t>
  </si>
  <si>
    <t>2V8MCFYJ</t>
  </si>
  <si>
    <t>2026-03-24 13:38</t>
  </si>
  <si>
    <t>SP260210017</t>
  </si>
  <si>
    <t>SX00230</t>
  </si>
  <si>
    <t>X003KSGFJZ</t>
  </si>
  <si>
    <t>B0BQQVBC6V</t>
  </si>
  <si>
    <t>B0F2959MWP</t>
  </si>
  <si>
    <t>New1-【SX00230】-金粉60岁生日3件套桌布-势兴</t>
  </si>
  <si>
    <t>SX00440</t>
  </si>
  <si>
    <t>X004YQPBZB</t>
  </si>
  <si>
    <t>B0GBRG2YG8</t>
  </si>
  <si>
    <t>2026-【SX00440】-香槟金40岁横幅套装-势兴（点胶固定）</t>
  </si>
  <si>
    <t>2026-02-19 | 100
2026-03-01 | -1
2026-03-04 | -1
2026-03-05 | 1</t>
  </si>
  <si>
    <t>2026-02-18 | 63
2026-02-19 | 17
2026-02-24 | -1
2026-02-26 | 1
2026-03-17 | -1
2026-03-21 | 1</t>
  </si>
  <si>
    <t>SX00447</t>
  </si>
  <si>
    <t>X004ZFVSUD</t>
  </si>
  <si>
    <t>B0GHXRNFXN</t>
  </si>
  <si>
    <t>2602-【SX00447】-黑金想你照片横幅三件套-势兴</t>
  </si>
  <si>
    <t>2026-02-19 | 80</t>
  </si>
  <si>
    <t>ZXS-2.10-JY-空派-3-55.75-LBE1</t>
  </si>
  <si>
    <t>AE260234264</t>
  </si>
  <si>
    <t>2026-02-10 17:27</t>
  </si>
  <si>
    <t>2026-02-20 06:16</t>
  </si>
  <si>
    <t>2026-03-15 21:22</t>
  </si>
  <si>
    <t>7EMD76SG</t>
  </si>
  <si>
    <t>2026-04-24 19:00</t>
  </si>
  <si>
    <t>SP260210016</t>
  </si>
  <si>
    <t>2026-02-19 | 103
2026-02-22 | -3
2026-02-23 | 2
2026-03-03 | -1
2026-03-11 | -1</t>
  </si>
  <si>
    <t>JY01314</t>
  </si>
  <si>
    <t>X004Z7NWMN</t>
  </si>
  <si>
    <t>B0GGZ5BYR7</t>
  </si>
  <si>
    <t>2602-【JY01314】-金粉65岁眼镜24件套-进益</t>
  </si>
  <si>
    <t>JY01315</t>
  </si>
  <si>
    <t>X004Z7PFJL</t>
  </si>
  <si>
    <t>B0GGYZ54DR</t>
  </si>
  <si>
    <t>2602-【JY01315】-金粉无岁数眼镜24件套-进益</t>
  </si>
  <si>
    <t>JY01317</t>
  </si>
  <si>
    <t>X004ZRZCTT</t>
  </si>
  <si>
    <t>B0GKF9Z1ZP</t>
  </si>
  <si>
    <t>2026-【JY01317】-金粉18年份气球小木板-进益</t>
  </si>
  <si>
    <t>2026-02-19 | 172
2026-03-07 | -1
2026-03-09 | -1
2026-03-11 | -1
2026-03-13 | -1
2026-03-15 | -1
2026-03-17 | -1
2026-03-19 | -1
2026-03-20 | -1
2026-03-25 | -1
2026-03-27 | -1
2026-03-28 | -1
2026-04-01 | -1
2026-04-03 | -1
2026-04-05 | -1
2026-04-07 | -1
2026-04-09 | -1
2026-04-11 | -1
2026-04-13 | -1
2026-04-15 | -1
2026-04-17 | -1
2026-04-18 | -1
2026-04-21 | -1
2026-04-24 | -35</t>
  </si>
  <si>
    <t>JY01318</t>
  </si>
  <si>
    <t>X004ZS3P8X</t>
  </si>
  <si>
    <t>B0GKF9SSBV</t>
  </si>
  <si>
    <t>2026【JY01318】-金粉60年份气球小木板-进益</t>
  </si>
  <si>
    <t>2026-02-19 | 120
2026-02-24 | -1
2026-02-28 | 1</t>
  </si>
  <si>
    <t>LYD-2.10-DX-空派-4-74.1-LBE1</t>
  </si>
  <si>
    <t>2026-02-19 10:54</t>
  </si>
  <si>
    <t>2026-03-13 13:10</t>
  </si>
  <si>
    <t>8R6IZIFV</t>
  </si>
  <si>
    <t>SP260210015</t>
  </si>
  <si>
    <t>DX05921</t>
  </si>
  <si>
    <t>X004UR9A8X</t>
  </si>
  <si>
    <t>B0FR8R7ZN3</t>
  </si>
  <si>
    <t>【DX05921】-玫瑰金40岁流苏花球套装-定行（点胶固定）</t>
  </si>
  <si>
    <t>2026-02-18 | 110</t>
  </si>
  <si>
    <t>2026-02-18 | 60</t>
  </si>
  <si>
    <t>DX06007</t>
  </si>
  <si>
    <t>X004YFD90V</t>
  </si>
  <si>
    <t>B0GCCFNDJG</t>
  </si>
  <si>
    <t>2026-【DX06007】-复古多彩50年份气球亚克力板-定行</t>
  </si>
  <si>
    <t>2026-02-18 | 100
2026-02-25 | -2
2026-02-26 | -1
2026-03-14 | 1</t>
  </si>
  <si>
    <t>2026-02-18 | 140</t>
  </si>
  <si>
    <t>RAB-2.9-SYC-空派-2-26-FWA4</t>
  </si>
  <si>
    <t>2026-02-09 17:36</t>
  </si>
  <si>
    <t>2026-02-27 10:39</t>
  </si>
  <si>
    <t>2026-03-25 15:13</t>
  </si>
  <si>
    <t>39Z4G5MD</t>
  </si>
  <si>
    <t>2026-03-30 09:37</t>
  </si>
  <si>
    <t>SP260209002</t>
  </si>
  <si>
    <t>2026-03-03</t>
  </si>
  <si>
    <t>SYC467</t>
  </si>
  <si>
    <t>X004MMSDMP</t>
  </si>
  <si>
    <t>B0F31ZG32N</t>
  </si>
  <si>
    <t>【SYC467】-蓝银13岁抽钱盒子-思业成</t>
  </si>
  <si>
    <t>2026-02-26 | 20
2026-03-04 | -1</t>
  </si>
  <si>
    <t>2026-02-26 | 4
2026-03-02 | -1
2026-03-04 | 1</t>
  </si>
  <si>
    <t>2026-02-26 | 16
2026-03-03 | -1
2026-03-07 | 1</t>
  </si>
  <si>
    <t>2026-02-26 | 18
2026-03-06 | -1
2026-03-31 | 1</t>
  </si>
  <si>
    <t>SYC616</t>
  </si>
  <si>
    <t>X004ZTH9LB</t>
  </si>
  <si>
    <t>B0GKG51DYS</t>
  </si>
  <si>
    <t>【SYC616】-金粉12岁抽钱盒子-思业成</t>
  </si>
  <si>
    <t>2026-02-26 | 24
2026-02-27 | 1
2026-03-04 | -1</t>
  </si>
  <si>
    <t>SYC630</t>
  </si>
  <si>
    <t>X00504QE8T</t>
  </si>
  <si>
    <t>B0GLZ7P418</t>
  </si>
  <si>
    <t>B0GQ3WY58N</t>
  </si>
  <si>
    <t>2026-【SYC630】-玫瑰金40岁眼镜12件套-思业成</t>
  </si>
  <si>
    <t>2026-02-26 | 22
2026-02-28 | 1
2026-03-11 | -1</t>
  </si>
  <si>
    <t>SYC631</t>
  </si>
  <si>
    <t>X00504PYWL</t>
  </si>
  <si>
    <t>B0GLYV9L17</t>
  </si>
  <si>
    <t>2026-【SYC631】-玫瑰金50岁眼镜12件套-思业成</t>
  </si>
  <si>
    <t>2026-02-26 | 22
2026-02-28 | 1
2026-03-03 | -1
2026-03-04 | -1
2026-03-06 | 1
2026-03-09 | 1
2026-03-11 | -1</t>
  </si>
  <si>
    <t>SYC632</t>
  </si>
  <si>
    <t>X00504L3LH</t>
  </si>
  <si>
    <t>B0GLYYKB2T</t>
  </si>
  <si>
    <t>2026-【SYC632】-玫瑰金80岁眼镜12件套-思业成</t>
  </si>
  <si>
    <t>2026-02-26 | 22
2026-02-27 | 5
2026-03-03 | -1
2026-03-05 | -5
2026-03-05 | 1</t>
  </si>
  <si>
    <t>SYC633</t>
  </si>
  <si>
    <t>X00504PN2H</t>
  </si>
  <si>
    <t>B0GLZ7X777</t>
  </si>
  <si>
    <t>2026-【SYC633】-玫瑰金90岁眼镜12件套-思业成</t>
  </si>
  <si>
    <t>2026-02-26 | 22
2026-02-27 | 3
2026-03-03 | -2
2026-03-06 | -1</t>
  </si>
  <si>
    <t>SYC634</t>
  </si>
  <si>
    <t>X00505IJ2R</t>
  </si>
  <si>
    <t>B0GJCNJ8LM</t>
  </si>
  <si>
    <t>【SYC634】-香槟金21岁雨帘皇冠套装-思业成（淘汰）</t>
  </si>
  <si>
    <t>2026-02-26 | 24</t>
  </si>
  <si>
    <t>RAB-2.9-SYC-空派-2-26-GYR2</t>
  </si>
  <si>
    <t>2026-02-23 00:00</t>
  </si>
  <si>
    <t>2026-03-22 13:58</t>
  </si>
  <si>
    <t>78A45E7B</t>
  </si>
  <si>
    <t>SP260209003</t>
  </si>
  <si>
    <t>2026-02-22 | 20</t>
  </si>
  <si>
    <t>2026-02-22 | 4</t>
  </si>
  <si>
    <t>2026-02-22 | 16</t>
  </si>
  <si>
    <t>2026-02-22 | 18</t>
  </si>
  <si>
    <t>2026-02-22 | 24
2026-03-07 | -1
2026-03-24 | 1</t>
  </si>
  <si>
    <t>2026-02-22 | 23
2026-02-28 | -1</t>
  </si>
  <si>
    <t>2026-02-22 | 22</t>
  </si>
  <si>
    <t>2026-02-22 | 24
2026-02-28 | 1
2026-03-01 | -1</t>
  </si>
  <si>
    <t>RAB-2.9-SYC-空派-2-26-ABE8</t>
  </si>
  <si>
    <t>2026-02-22 10:42</t>
  </si>
  <si>
    <t>2026-03-24 19:48</t>
  </si>
  <si>
    <t>7TZZRTQW</t>
  </si>
  <si>
    <t>SP260209004</t>
  </si>
  <si>
    <t>2026-02-28</t>
  </si>
  <si>
    <t>2026-02-25 | 20</t>
  </si>
  <si>
    <t>2026-02-25 | 4</t>
  </si>
  <si>
    <t>2026-02-25 | 16</t>
  </si>
  <si>
    <t>2026-02-25 | 17
2026-02-28 | -1</t>
  </si>
  <si>
    <t>2026-02-25 | 23
2026-03-10 | 1</t>
  </si>
  <si>
    <t>2026-02-25 | 22</t>
  </si>
  <si>
    <t>2026-02-25 | 22
2026-03-04 | -1
2026-03-15 | 1</t>
  </si>
  <si>
    <t>2026-02-21 | 24</t>
  </si>
  <si>
    <t>RAB-2.9-SYC-空派-2-26-SBD1</t>
  </si>
  <si>
    <t>2026-02-18 13:41</t>
  </si>
  <si>
    <t>2026-03-21 02:40</t>
  </si>
  <si>
    <t>8AVQZJCV</t>
  </si>
  <si>
    <t>SP260209005</t>
  </si>
  <si>
    <t>2026-02-17 | 20</t>
  </si>
  <si>
    <t>2026-02-17 | 4</t>
  </si>
  <si>
    <t>2026-02-17 | 16</t>
  </si>
  <si>
    <t>2026-02-17 | 18</t>
  </si>
  <si>
    <t>2026-02-17 | 24</t>
  </si>
  <si>
    <t>2026-02-17 | 22</t>
  </si>
  <si>
    <t>2026-02-17 | 22
2026-02-24 | -1</t>
  </si>
  <si>
    <t>2026-02-17 | 22
2026-02-24 | 2
2026-03-21 | -1</t>
  </si>
  <si>
    <t>2026-02-20 | 24</t>
  </si>
  <si>
    <t>RAB-2.9-SYC-空派-2-26-CLT2</t>
  </si>
  <si>
    <t>2026-02-20 04:51</t>
  </si>
  <si>
    <t>2026-03-16 22:54</t>
  </si>
  <si>
    <t>87Y8IYTX</t>
  </si>
  <si>
    <t>SP260209006</t>
  </si>
  <si>
    <t>2026-02-19 | 4</t>
  </si>
  <si>
    <t>2026-02-19 | 16</t>
  </si>
  <si>
    <t>2026-02-19 | 18</t>
  </si>
  <si>
    <t>2026-02-19 | 24</t>
  </si>
  <si>
    <t>2026-02-19 | 22
2026-02-25 | -1
2026-02-25 | 1
2026-03-02 | -1
2026-03-16 | 1</t>
  </si>
  <si>
    <t>2026-02-19 | 22
2026-03-02 | -1
2026-03-16 | 1</t>
  </si>
  <si>
    <t>ZSQ-2.9-PT-空派-1-13.44-LBE1-17.6</t>
  </si>
  <si>
    <t>2026-02-09 16:03</t>
  </si>
  <si>
    <t>2026-03-15 12:55</t>
  </si>
  <si>
    <t>2SOROE7E</t>
  </si>
  <si>
    <t>SP260209007</t>
  </si>
  <si>
    <t>PT53303</t>
  </si>
  <si>
    <t>X002ZIMMD9</t>
  </si>
  <si>
    <t>B09CM4SD8P</t>
  </si>
  <si>
    <t>【PT53303】-黑金欢迎回家门联-拼途</t>
  </si>
  <si>
    <t>2026-02-18 | 50</t>
  </si>
  <si>
    <t>PT53587</t>
  </si>
  <si>
    <t>X004VLZCDP</t>
  </si>
  <si>
    <t>B0CZ6HNPRL</t>
  </si>
  <si>
    <t>B0D2L5Z2B3</t>
  </si>
  <si>
    <t>2026-【PT53587】-蓝银复古年份2008签名本-拼途</t>
  </si>
  <si>
    <t>JGW-2.9-CQ-空派-4-63.85-LBE1-45.6</t>
  </si>
  <si>
    <t>2026-02-09 16:02</t>
  </si>
  <si>
    <t>2026-03-15 19:09</t>
  </si>
  <si>
    <t>4YZ5XZOD</t>
  </si>
  <si>
    <t>2026-03-25 14:00</t>
  </si>
  <si>
    <t>SP260209008</t>
  </si>
  <si>
    <t>2026-02-18 | 20</t>
  </si>
  <si>
    <t>2026-02-18 | 20
2026-02-19 | 20</t>
  </si>
  <si>
    <t>CQ11749</t>
  </si>
  <si>
    <t>X004YUC0UB</t>
  </si>
  <si>
    <t>B0GF83MGT9</t>
  </si>
  <si>
    <t>【CQ11749】-多彩10岁蜂窝套装-创奇（点胶固定）（淘汰）</t>
  </si>
  <si>
    <t>2026-02-18 | 112
2026-02-19 | 8
2026-02-21 | 3
2026-02-25 | -3
2026-03-11 | -1
2026-03-24 | 1</t>
  </si>
  <si>
    <t>WVN-2.9-JY-空派-1-12-LBE1-9.84</t>
  </si>
  <si>
    <t>2026-02-09 16:01</t>
  </si>
  <si>
    <t>2026-02-20 06:23</t>
  </si>
  <si>
    <t>2026-02-27 06:43</t>
  </si>
  <si>
    <t>8GESVI3B</t>
  </si>
  <si>
    <t>SP260209009</t>
  </si>
  <si>
    <t>PT53460</t>
  </si>
  <si>
    <t>X003RBC1J3</t>
  </si>
  <si>
    <t>B0BZ7GSDSH</t>
  </si>
  <si>
    <t>【PT53460】-蓝金15岁生日小海报拱圈-拼途</t>
  </si>
  <si>
    <t>2026-02-19 | 41</t>
  </si>
  <si>
    <t>IEB-2.9-YS-空派-5-97-LBE1-54.5</t>
  </si>
  <si>
    <t>2026-02-09 16:00</t>
  </si>
  <si>
    <t>2026-02-10 17:47</t>
  </si>
  <si>
    <t>2026-02-19 11:01</t>
  </si>
  <si>
    <t>2026-03-15 13:37</t>
  </si>
  <si>
    <t>67L4MN1N</t>
  </si>
  <si>
    <t>SP260209010</t>
  </si>
  <si>
    <t>2026-02-18 | 24
2026-02-19 | 16</t>
  </si>
  <si>
    <t>YS06704</t>
  </si>
  <si>
    <t>X004VE8R4X</t>
  </si>
  <si>
    <t>B0FVX88YYX</t>
  </si>
  <si>
    <t>【YS06704】-粉色鲜花女孩海报套装-艺胜（气球真空）</t>
  </si>
  <si>
    <t>2026-02-18 | 18
2026-02-19 | 12</t>
  </si>
  <si>
    <t>YS06705</t>
  </si>
  <si>
    <t>X004WS4BFR</t>
  </si>
  <si>
    <t>B0G1SLV5H6</t>
  </si>
  <si>
    <t>2026-【YS06705】-玫瑰金40岁年份皇冠套装-艺胜</t>
  </si>
  <si>
    <t>2026-02-18 | 93
2026-02-19 | 62</t>
  </si>
  <si>
    <t>OJJ-2.9-CR-空派-2-24.85-LBE1-33</t>
  </si>
  <si>
    <t>2026-02-09 15:58</t>
  </si>
  <si>
    <t>2026-02-20 06:29</t>
  </si>
  <si>
    <t>2026-03-08 17:37</t>
  </si>
  <si>
    <t>8NCU9UZA</t>
  </si>
  <si>
    <t>2026-03-30 09:41</t>
  </si>
  <si>
    <t>SP260209011</t>
  </si>
  <si>
    <t>CR32553</t>
  </si>
  <si>
    <t>X004ZKTK7V</t>
  </si>
  <si>
    <t>B0GJK98CFY</t>
  </si>
  <si>
    <t>2026-【CR32553】-粉白65岁年份签名本-辰瑞</t>
  </si>
  <si>
    <t>CR32552</t>
  </si>
  <si>
    <t>X004ZKX69J</t>
  </si>
  <si>
    <t>B0GJJQNCVV</t>
  </si>
  <si>
    <t>2026-【CR32552】-粉白60岁年份签名本-辰瑞</t>
  </si>
  <si>
    <t>CR32547</t>
  </si>
  <si>
    <t>X004ZKX5FJ</t>
  </si>
  <si>
    <t>B0GJK25LHZ</t>
  </si>
  <si>
    <t>2026-【CR32547】-粉白40岁年份签名本-辰瑞</t>
  </si>
  <si>
    <t>CR32537</t>
  </si>
  <si>
    <t>X004XXHH4D</t>
  </si>
  <si>
    <t>B0G64X27R6</t>
  </si>
  <si>
    <t>2026-【CR32537】-黑金40岁钻石海报-辰瑞</t>
  </si>
  <si>
    <t>2026-02-19 | 40</t>
  </si>
  <si>
    <t>CR32484</t>
  </si>
  <si>
    <t>X004P3G5KD</t>
  </si>
  <si>
    <t>B0F9NPCGS1</t>
  </si>
  <si>
    <t>【CR32484】-黑金40岁皇冠肩带-辰瑞</t>
  </si>
  <si>
    <t>2026-02-19 | 10</t>
  </si>
  <si>
    <t>CNS-2.7-DM-空派-1-17.25-LBE1</t>
  </si>
  <si>
    <t>1Z9X02R50391015148</t>
  </si>
  <si>
    <t>2026-02-07 10:37</t>
  </si>
  <si>
    <t>2026-02-07 19:05</t>
  </si>
  <si>
    <t>2026-02-14 14:30</t>
  </si>
  <si>
    <t>2026-03-09 16:01</t>
  </si>
  <si>
    <t>7HINYKUM</t>
  </si>
  <si>
    <t>SP260207014</t>
  </si>
  <si>
    <t>2026-02-20</t>
  </si>
  <si>
    <t>2026-02-13 | 10</t>
  </si>
  <si>
    <t>2026-02-13 | 110
2026-02-28 | -2
2026-03-15 | 1
2026-03-15 | 1</t>
  </si>
  <si>
    <t>HTC-2.7-JY-空派-2-25.6-LBE1</t>
  </si>
  <si>
    <t>1Z9X02R50394193932</t>
  </si>
  <si>
    <t>2026-02-07 18:51</t>
  </si>
  <si>
    <t>2026-02-14 14:11</t>
  </si>
  <si>
    <t>2026-03-12 16:04</t>
  </si>
  <si>
    <t>4DBBVLHF</t>
  </si>
  <si>
    <t>SP260207013</t>
  </si>
  <si>
    <t>2026-02-13 | 100
2026-02-16 | 100
2026-03-03 | -1
2026-04-15 | 1</t>
  </si>
  <si>
    <t>X6-3-YAS-YS-空派-3-53.7-0.2-LBE1-57.6</t>
  </si>
  <si>
    <t>1Z9X02R50394532155</t>
  </si>
  <si>
    <t>2026-02-07 10:23</t>
  </si>
  <si>
    <t>2026-02-07 18:58</t>
  </si>
  <si>
    <t>2026-02-14 01:49</t>
  </si>
  <si>
    <t>2026-03-12 15:41</t>
  </si>
  <si>
    <t>5JJMTDZC</t>
  </si>
  <si>
    <t>SP260207006</t>
  </si>
  <si>
    <t>2026-02-14 | 40
2026-02-16 | 120
2026-03-03 | 1
2026-03-12 | -1
2026-03-18 | -2
2026-03-21 | 2</t>
  </si>
  <si>
    <t>2026-02-13 | 120
2026-02-14 | 80</t>
  </si>
  <si>
    <t>X6-3-MXK-CR-空派-3-64.4-0.24-LBE1-87.2</t>
  </si>
  <si>
    <t>1Z9X02R50391573036</t>
  </si>
  <si>
    <t>2026-02-07 10:21</t>
  </si>
  <si>
    <t>2026-02-07 19:10</t>
  </si>
  <si>
    <t>2026-02-14 20:46</t>
  </si>
  <si>
    <t>2026-03-09 16:04</t>
  </si>
  <si>
    <t>74VNSLVZ</t>
  </si>
  <si>
    <t>2026-04-18 13:00</t>
  </si>
  <si>
    <t>SP260207009</t>
  </si>
  <si>
    <t>2026-02-16 | 60</t>
  </si>
  <si>
    <t>2026-02-16 | 100</t>
  </si>
  <si>
    <t>2026-02-14 | 100
2026-02-18 | -3
2026-02-23 | 1
2026-02-26 | -1
2026-02-26 | 1
2026-03-01 | 1
2026-04-17 | 1</t>
  </si>
  <si>
    <t>2026-02-14 | 60
2026-02-16 | 20</t>
  </si>
  <si>
    <t>2026-02-14 | 100</t>
  </si>
  <si>
    <t>2026-02-14 | 60
2026-03-11 | -2
2026-04-05 | 2</t>
  </si>
  <si>
    <t>CR32520</t>
  </si>
  <si>
    <t>X004VEBXTT</t>
  </si>
  <si>
    <t>B0FVXGTBZK</t>
  </si>
  <si>
    <t>B0FXLXNQ8T</t>
  </si>
  <si>
    <t>【CR32520】-黑金70岁皇冠肩带-辰瑞</t>
  </si>
  <si>
    <t>2026-02-14 | 30</t>
  </si>
  <si>
    <t>X6-3-XCV-SYC-空派-5-93.75-0.23-LBE1-129.6</t>
  </si>
  <si>
    <t>1Z9X02R50394964304</t>
  </si>
  <si>
    <t>2026-02-07 10:20</t>
  </si>
  <si>
    <t>2026-02-07 18:57</t>
  </si>
  <si>
    <t>2026-02-14 01:52</t>
  </si>
  <si>
    <t>2026-03-15 13:59</t>
  </si>
  <si>
    <t>8GDPFWJN</t>
  </si>
  <si>
    <t>2026-03-30 09:48</t>
  </si>
  <si>
    <t>SP260207008</t>
  </si>
  <si>
    <t>2026-02-13 | 34
2026-02-14 | 34
2026-02-16 | 17
2026-02-17 | -1
2026-02-17 | 1
2026-02-28 | -1
2026-03-05 | 1
2026-03-06 | 2</t>
  </si>
  <si>
    <t>SYC599</t>
  </si>
  <si>
    <t>X004Z7GOC3</t>
  </si>
  <si>
    <t>B0GGXZ6YNR</t>
  </si>
  <si>
    <t>2026-【SYC599】-报纸色2005年份签名本-思业成</t>
  </si>
  <si>
    <t>2026-02-13 | 30
2026-02-14 | 30
2026-02-16 | 15
2026-02-28 | -1
2026-03-06 | 2
2026-03-15 | -1</t>
  </si>
  <si>
    <t>SYC600</t>
  </si>
  <si>
    <t>X004Z75EAB</t>
  </si>
  <si>
    <t>B0GGY3TWLX</t>
  </si>
  <si>
    <t>2026-【SYC600】-报纸色1996年份签名本-思业成</t>
  </si>
  <si>
    <t>2026-02-13 | 30
2026-02-14 | 30
2026-02-16 | 15
2026-02-17 | -2
2026-02-17 | 2
2026-02-28 | -1
2026-03-14 | 1</t>
  </si>
  <si>
    <t>SYC601</t>
  </si>
  <si>
    <t>X004Z7ECSB</t>
  </si>
  <si>
    <t>B0GGY9ZHP8</t>
  </si>
  <si>
    <t>2026-【SYC601】-报纸色1976年份签名本-思业成</t>
  </si>
  <si>
    <t>2026-02-13 | 40
2026-02-14 | 41
2026-02-16 | 20
2026-02-28 | -1
2026-03-01 | -1
2026-03-06 | 1</t>
  </si>
  <si>
    <t>2026-02-13 | 40
2026-02-14 | 40
2026-02-16 | 20
2026-02-28 | -1
2026-03-06 | 1</t>
  </si>
  <si>
    <t>SYC603</t>
  </si>
  <si>
    <t>X004Z7PC7B</t>
  </si>
  <si>
    <t>B0GGZ3FDDX</t>
  </si>
  <si>
    <t>2026-【SYC603】-报纸色1951年份签名本-思业成</t>
  </si>
  <si>
    <t>2026-02-13 | 30
2026-02-14 | 30
2026-02-16 | 15
2026-02-17 | -2
2026-02-17 | 2
2026-02-21 | -1
2026-02-21 | -1
2026-02-28 | -1
2026-03-02 | -1
2026-03-04 | 1
2026-03-16 | 1
2026-03-16 | 1
2026-04-27 | 1</t>
  </si>
  <si>
    <t>2026-02-13 | 40
2026-02-14 | 40
2026-02-16 | 20
2026-02-17 | -2
2026-02-17 | 2
2026-02-20 | -1
2026-02-27 | 1
2026-03-13 | -1</t>
  </si>
  <si>
    <t>2026-02-13 | 40
2026-02-14 | 40
2026-02-16 | 20
2026-02-17 | -9
2026-02-17 | 10
2026-02-22 | -1
2026-02-27 | -1
2026-03-13 | 1
2026-03-15 | 1</t>
  </si>
  <si>
    <t>X6-3-TVS-PT-空派-1-13.7-0.07-LBE1-19.36</t>
  </si>
  <si>
    <t>1Z9X02R50394250718</t>
  </si>
  <si>
    <t>2026-02-07 10:18</t>
  </si>
  <si>
    <t>2026-02-07 18:59</t>
  </si>
  <si>
    <t>2026-02-14 20:55</t>
  </si>
  <si>
    <t>2026-02-28 01:19</t>
  </si>
  <si>
    <t>5HJR4E7E</t>
  </si>
  <si>
    <t>SP260207007</t>
  </si>
  <si>
    <t>PT53598</t>
  </si>
  <si>
    <t>X004WRXMSZ</t>
  </si>
  <si>
    <t>B0G1SG7X83</t>
  </si>
  <si>
    <t>B0GH7QDMDD</t>
  </si>
  <si>
    <t>【PT53598】-玫瑰金60岁很好铝箔气球套装-拼途（气球真空+点胶固定）</t>
  </si>
  <si>
    <t>2026-02-14 | 50
2026-02-24 | 1
2026-02-26 | -1</t>
  </si>
  <si>
    <t>PT53573</t>
  </si>
  <si>
    <t>X004TW9KED</t>
  </si>
  <si>
    <t>B0FQ5G1XVX</t>
  </si>
  <si>
    <t>【PT53573】-玫瑰金50岁很好铝箔气球套装-拼途（气球抽真空，包装点胶固定）</t>
  </si>
  <si>
    <t>2026-02-14 | 75</t>
  </si>
  <si>
    <t>PT53599</t>
  </si>
  <si>
    <t>X004WS5M41</t>
  </si>
  <si>
    <t>B0G1SG66X4</t>
  </si>
  <si>
    <t>【PT53599】-黑金40岁很好铝箔气球套装-拼途（气球真空+点胶固定）</t>
  </si>
  <si>
    <t>2026-02-14 | 1</t>
  </si>
  <si>
    <t>SWG-2.7-DX-空派-2-26.55-LBE1</t>
  </si>
  <si>
    <t>1Z9X02R50393495617</t>
  </si>
  <si>
    <t>2026-02-07 10:12</t>
  </si>
  <si>
    <t>2026-02-07 18:50</t>
  </si>
  <si>
    <t>2026-02-16 23:38</t>
  </si>
  <si>
    <t>2026-03-11 09:04</t>
  </si>
  <si>
    <t>5EBO2UGX</t>
  </si>
  <si>
    <t>2026-05-11 14:18</t>
  </si>
  <si>
    <t>SP260207010</t>
  </si>
  <si>
    <t>2026-02-16 | 32</t>
  </si>
  <si>
    <t>DX05979</t>
  </si>
  <si>
    <t>X004W3RQYF</t>
  </si>
  <si>
    <t>B0FXWKXQTH</t>
  </si>
  <si>
    <t>【DX05979】-绿金16岁流苏花球套装-定行（点胶固定）</t>
  </si>
  <si>
    <t>2026-02-16 | 70
2026-03-07 | -1
2026-03-13 | 1</t>
  </si>
  <si>
    <t>HCA-2.7-ZY-空派-2-35.1-LBE1</t>
  </si>
  <si>
    <t>1Z9X02R50392120086</t>
  </si>
  <si>
    <t>2026-02-07 18:44</t>
  </si>
  <si>
    <t>2026-02-14 20:57</t>
  </si>
  <si>
    <t>2026-03-09 21:01</t>
  </si>
  <si>
    <t>5ON8XUED</t>
  </si>
  <si>
    <t>SP260207011</t>
  </si>
  <si>
    <t>2026-02-14 | 59</t>
  </si>
  <si>
    <t>ZY02296</t>
  </si>
  <si>
    <t>X004ZMVKRH</t>
  </si>
  <si>
    <t>B0GJSCDLWG</t>
  </si>
  <si>
    <t>2026-【ZY02296】-金粉1961异形签名本-争艳</t>
  </si>
  <si>
    <t>2026-02-14 | 49
2026-02-24 | 1
2026-03-25 | -1</t>
  </si>
  <si>
    <t>2026-02-14 | 49</t>
  </si>
  <si>
    <t>2026-02-14 | 79</t>
  </si>
  <si>
    <t>QZZ-2.7-JY-空派-1-20.85-LBE1</t>
  </si>
  <si>
    <t>1Z9X02R50393715254</t>
  </si>
  <si>
    <t>2026-02-14 14:19</t>
  </si>
  <si>
    <t>2026-02-25 07:52</t>
  </si>
  <si>
    <t>87VZXFKT</t>
  </si>
  <si>
    <t>SP260207012</t>
  </si>
  <si>
    <t>JY01316</t>
  </si>
  <si>
    <t>X004ZWVRWF</t>
  </si>
  <si>
    <t>B0GKFMDYHD</t>
  </si>
  <si>
    <t>B0GPVZX1GQ</t>
  </si>
  <si>
    <t>2602-【JY01316】-绿金色40岁生日桌布-进益</t>
  </si>
  <si>
    <t>2026-02-13 | 99</t>
  </si>
  <si>
    <t>BKU-2.7-SX-空派-2-36.3-LBE1</t>
  </si>
  <si>
    <t>1Z9X02R50393034043</t>
  </si>
  <si>
    <t>2026-02-14 14:24</t>
  </si>
  <si>
    <t>2026-03-11 05:13</t>
  </si>
  <si>
    <t>7SC7XACA</t>
  </si>
  <si>
    <t>SP260207026</t>
  </si>
  <si>
    <t>SX00444</t>
  </si>
  <si>
    <t>X004Z7MMFV</t>
  </si>
  <si>
    <t>B0GGZ722BS</t>
  </si>
  <si>
    <t>B0GDG52JD8</t>
  </si>
  <si>
    <t>2026-【SX00444】-黑金65岁1961照片蜂窝-势兴</t>
  </si>
  <si>
    <t>SX00446</t>
  </si>
  <si>
    <t>X004ZFZS59</t>
  </si>
  <si>
    <t>B0GHX7Z317</t>
  </si>
  <si>
    <t>2602-【SX00446】-黑红欢迎回家照片横幅两件套-势兴</t>
  </si>
  <si>
    <t>2026-02-13 | 80</t>
  </si>
  <si>
    <t>2026-02-13 | 100
2026-03-01 | -1
2026-03-18 | 1</t>
  </si>
  <si>
    <t>38-EHN-2.7-DX-红单-1-7.75-0.07-LBE1-5.4</t>
  </si>
  <si>
    <t>2026-02-07 09:50</t>
  </si>
  <si>
    <t>2026-02-07 19:16</t>
  </si>
  <si>
    <t>2026-02-12 02:48</t>
  </si>
  <si>
    <t>2026-03-05 14:33</t>
  </si>
  <si>
    <t>8BWXYUFI</t>
  </si>
  <si>
    <t>2026-03-06 14:29</t>
  </si>
  <si>
    <t>SP260207003</t>
  </si>
  <si>
    <t>2026-02-08</t>
  </si>
  <si>
    <t>2026-02-11 | 30</t>
  </si>
  <si>
    <t>X6-5-BJH-2.7-CR-红单-1-17.35-0.07-LBE1-25.6</t>
  </si>
  <si>
    <t>2026-02-07 09:49</t>
  </si>
  <si>
    <t>2026-02-07 19:06</t>
  </si>
  <si>
    <t>2026-02-12 02:46</t>
  </si>
  <si>
    <t>2026-03-06 16:40</t>
  </si>
  <si>
    <t>7FPMVWTB</t>
  </si>
  <si>
    <t>SP260207004</t>
  </si>
  <si>
    <t>CR32541</t>
  </si>
  <si>
    <t>X004YP7EKH</t>
  </si>
  <si>
    <t>B0GDFTQTQ8</t>
  </si>
  <si>
    <t>【CR32541】-粉紫16岁蛋糕气球贺卡-辰瑞</t>
  </si>
  <si>
    <t>2026-02-11 | 80
2026-02-18 | -2
2026-02-20 | 1
2026-03-06 | 1</t>
  </si>
  <si>
    <t>CR32531</t>
  </si>
  <si>
    <t>X004WU34KN</t>
  </si>
  <si>
    <t>B0G1YHC19Y</t>
  </si>
  <si>
    <t>2026-【CR32531】报纸色60岁气球签名本加丝带-辰瑞</t>
  </si>
  <si>
    <t>2026-02-11 | 80</t>
  </si>
  <si>
    <t>X6-5-AJT-2.7-SYC-红单-1-21.4-0.1-LBE1-36.8</t>
  </si>
  <si>
    <t>2026-02-07 09:48</t>
  </si>
  <si>
    <t>2026-02-12 03:10</t>
  </si>
  <si>
    <t>2026-03-06 19:19</t>
  </si>
  <si>
    <t>1FNBG5OQ</t>
  </si>
  <si>
    <t>SP260207005</t>
  </si>
  <si>
    <t>SYC595</t>
  </si>
  <si>
    <t>X004Z2EFAL</t>
  </si>
  <si>
    <t>B0GG9H7RFT</t>
  </si>
  <si>
    <t>【SYC595】-多彩无岁数灯饰横幅-思业成（点胶固定）</t>
  </si>
  <si>
    <t>2026-02-11 | 80
2026-02-15 | -1
2026-02-15 | 1
2026-02-20 | -2
2026-02-22 | -1
2026-02-24 | -1
2026-02-25 | -2
2026-02-25 | -21
2026-03-11 | 1
2026-03-11 | 2</t>
  </si>
  <si>
    <t>SYC597</t>
  </si>
  <si>
    <t>X004YWZJGV</t>
  </si>
  <si>
    <t>B0GF264TXJ</t>
  </si>
  <si>
    <t>【SYC597】-金粉无岁数生日音乐贺卡-思业成</t>
  </si>
  <si>
    <t>2026-02-11 | 150</t>
  </si>
  <si>
    <t>YEV-2.5-CR-空派-4-71-PSC2</t>
  </si>
  <si>
    <t>1ZK6B4420309701836</t>
  </si>
  <si>
    <t>2026-02-05 11:51</t>
  </si>
  <si>
    <t>2026-02-06 11:34</t>
  </si>
  <si>
    <t>2026-02-28 08:18</t>
  </si>
  <si>
    <t>2026-03-27 06:21</t>
  </si>
  <si>
    <t>7OLTUFOA</t>
  </si>
  <si>
    <t>SP260205015</t>
  </si>
  <si>
    <t>2026-03-02</t>
  </si>
  <si>
    <t>2026-02-27 | 15
2026-02-28 | 45
2026-03-10 | -2
2026-03-13 | -1
2026-03-20 | 1
2026-03-20 | 1
2026-03-24 | -1</t>
  </si>
  <si>
    <t>2026-02-27 | 25
2026-02-28 | 75
2026-03-07 | -1
2026-03-15 | -4
2026-03-16 | 4
2026-04-01 | 1</t>
  </si>
  <si>
    <t>2026-02-27 | 15
2026-02-28 | 45
2026-03-10 | -2</t>
  </si>
  <si>
    <t>CR32550</t>
  </si>
  <si>
    <t>X004ZKTFQH</t>
  </si>
  <si>
    <t>B0GJK139GF</t>
  </si>
  <si>
    <t>2026-【CR32550】-粉白21岁年份签名本-辰瑞</t>
  </si>
  <si>
    <t>2026-02-27 | 20
2026-02-28 | 60
2026-03-10 | -4
2026-03-19 | -1</t>
  </si>
  <si>
    <t>2026-02-27 | 25
2026-02-28 | 75
2026-03-10 | -1
2026-03-20 | 2
2026-03-24 | -2
2026-03-27 | 1</t>
  </si>
  <si>
    <t>CR32543</t>
  </si>
  <si>
    <t>X004ZKO5HL</t>
  </si>
  <si>
    <t>B0GJBLXM9J</t>
  </si>
  <si>
    <t>【CR32543】-黑金18岁皇冠肩带-辰瑞</t>
  </si>
  <si>
    <t>2026-02-27 | 20
2026-02-28 | 60
2026-03-10 | -3
2026-03-13 | -1
2026-03-15 | 1</t>
  </si>
  <si>
    <t>CR32542</t>
  </si>
  <si>
    <t>X004ZICN6X</t>
  </si>
  <si>
    <t>B0GJ5XV6C3</t>
  </si>
  <si>
    <t>【CR32542】-黑金16岁皇冠肩带-辰瑞</t>
  </si>
  <si>
    <t>2026-02-27 | 20
2026-02-28 | 60
2026-03-13 | -1
2026-04-01 | 1</t>
  </si>
  <si>
    <t>NMH-2.5-CR-空派-3-62.4-PSC2</t>
  </si>
  <si>
    <t>1ZK6B4420304710166</t>
  </si>
  <si>
    <t>2026-02-06 11:59</t>
  </si>
  <si>
    <t>2026-02-28 08:31</t>
  </si>
  <si>
    <t>2026-03-26 09:46</t>
  </si>
  <si>
    <t>73C5SUVI</t>
  </si>
  <si>
    <t>SP260205016</t>
  </si>
  <si>
    <t>CR32554</t>
  </si>
  <si>
    <t>X004ZME53D</t>
  </si>
  <si>
    <t>B0GJRM3Y4B</t>
  </si>
  <si>
    <t>2026-【CR32554】-报纸色13岁气球签名本加丝带-辰瑞</t>
  </si>
  <si>
    <t>2026-02-27 | 59</t>
  </si>
  <si>
    <t>2026-02-27 | 59
2026-03-09 | -1
2026-03-10 | -1
2026-03-17 | -1
2026-03-27 | 1
2026-03-29 | 1
2026-05-01 | 1</t>
  </si>
  <si>
    <t>CR32556</t>
  </si>
  <si>
    <t>X004ZME6H3</t>
  </si>
  <si>
    <t>B0GJRM6CD2</t>
  </si>
  <si>
    <t>2026-【CR32556】-报纸色18岁气球签名本加丝带-辰瑞</t>
  </si>
  <si>
    <t>2026-02-27 | 59
2026-03-09 | -1
2026-03-29 | 1</t>
  </si>
  <si>
    <t>CR32557</t>
  </si>
  <si>
    <t>X004ZMJ1YB</t>
  </si>
  <si>
    <t>B0GJRTZKWB</t>
  </si>
  <si>
    <t>2026-【CR32557】-报纸色75岁气球签名本加丝带-辰瑞</t>
  </si>
  <si>
    <t>2026-02-28 | 59
2026-03-10 | -1
2026-03-10 | 1
2026-03-11 | -1
2026-03-12 | -11</t>
  </si>
  <si>
    <t>2026-02-28 | 60
2026-03-10 | -1
2026-03-10 | 1
2026-03-11 | -1
2026-03-12 | -12
2026-03-16 | -1
2026-03-17 | -1
2026-03-21 | 1</t>
  </si>
  <si>
    <t>2026-02-28 | 79
2026-03-10 | -1
2026-03-11 | -1
2026-03-12 | -17
2026-03-14 | -1
2026-03-25 | 1</t>
  </si>
  <si>
    <t>CR32560</t>
  </si>
  <si>
    <t>X004ZMQ5LD</t>
  </si>
  <si>
    <t>B0GJRTVTRM</t>
  </si>
  <si>
    <t>2026-【CR32560】-复古彩色60岁年份签名本-辰瑞</t>
  </si>
  <si>
    <t>2026-02-28 | 79
2026-03-21 | 1
2026-05-09 | -1</t>
  </si>
  <si>
    <t>CR32561</t>
  </si>
  <si>
    <t>X004ZMONW1</t>
  </si>
  <si>
    <t>B0GJRQDF6W</t>
  </si>
  <si>
    <t>2026-【CR32561】-复古彩色70岁年份签名本-辰瑞</t>
  </si>
  <si>
    <t>2026-02-28 | 79
2026-03-03 | -1
2026-03-12 | -17
2026-03-25 | 1</t>
  </si>
  <si>
    <t>UBP-2.5-CQ-空派-1-14.8-PSC2</t>
  </si>
  <si>
    <t>1ZK6B4420316079783</t>
  </si>
  <si>
    <t>2026-02-06 12:15</t>
  </si>
  <si>
    <t>2026-03-04 00:54</t>
  </si>
  <si>
    <t>2026-03-31 02:43</t>
  </si>
  <si>
    <t>13ZMHBOK</t>
  </si>
  <si>
    <t>SP260205017</t>
  </si>
  <si>
    <t>2026-03-03 | 96
2026-03-12 | -1</t>
  </si>
  <si>
    <t>JSY-2.5-YS-空派-2-43.55-PSC2</t>
  </si>
  <si>
    <t>1ZK6B4420310548170</t>
  </si>
  <si>
    <t>2026-02-06 12:17</t>
  </si>
  <si>
    <t>2026-03-01 01:19</t>
  </si>
  <si>
    <t>2026-03-26 09:14</t>
  </si>
  <si>
    <t>73MWXNCL</t>
  </si>
  <si>
    <t>SP260205018</t>
  </si>
  <si>
    <t>2026-02-28 | 241
2026-03-10 | -8
2026-03-12 | -9
2026-03-20 | 2
2026-03-21 | 1
2026-03-24 | -1
2026-03-28 | -1</t>
  </si>
  <si>
    <t>YS06703</t>
  </si>
  <si>
    <t>X004T2O205</t>
  </si>
  <si>
    <t>B0FN324FXW</t>
  </si>
  <si>
    <t>【YS06703】-彩色1岁横幅套装-艺胜（整套真空+外面套opp袋子）</t>
  </si>
  <si>
    <t>2026-02-28 | 50
2026-03-07 | -3
2026-03-07 | 12
2026-03-12 | -4
2026-03-26 | 2
2026-03-30 | -6</t>
  </si>
  <si>
    <t>EFR-2.4-JY-空派-1-12.75-PSC2</t>
  </si>
  <si>
    <t>1ZK6B4420308858876</t>
  </si>
  <si>
    <t>2026-02-04 18:01</t>
  </si>
  <si>
    <t>2026-02-06 12:26</t>
  </si>
  <si>
    <t>2026-02-18 00:48</t>
  </si>
  <si>
    <t>2026-03-16 03:20</t>
  </si>
  <si>
    <t>5FZVIAOZ</t>
  </si>
  <si>
    <t>SP260204024</t>
  </si>
  <si>
    <t>2026-02-17 | 110
2026-03-09 | -10</t>
  </si>
  <si>
    <t>NAS-2.3-PT-红单-1-10.9-0.07-LBE1</t>
  </si>
  <si>
    <t>2026-02-03 17:47</t>
  </si>
  <si>
    <t>2026-02-04 09:14</t>
  </si>
  <si>
    <t>2026-02-10 15:06</t>
  </si>
  <si>
    <t>2026-02-20 20:22</t>
  </si>
  <si>
    <t>1MYWXFZV</t>
  </si>
  <si>
    <t>2026-02-24 16:55</t>
  </si>
  <si>
    <t>SP260203011</t>
  </si>
  <si>
    <t>2026-02-13</t>
  </si>
  <si>
    <t>2026-02-09 | 99</t>
  </si>
  <si>
    <t>JOC-2.3-SX-红单-1-21.7-0.09-LBE1</t>
  </si>
  <si>
    <t>2026-02-04 09:18</t>
  </si>
  <si>
    <t>2026-02-10 15:02</t>
  </si>
  <si>
    <t>2026-02-20 14:51</t>
  </si>
  <si>
    <t>1CY578IS</t>
  </si>
  <si>
    <t>2026-02-24 16:54</t>
  </si>
  <si>
    <t>SP260203012</t>
  </si>
  <si>
    <t>SX00442</t>
  </si>
  <si>
    <t>X004YS6H4D</t>
  </si>
  <si>
    <t>B0GF1ZF8N2</t>
  </si>
  <si>
    <t>2026-【SX00442】-鲜花风格1946年份小套装-势兴（整套真空+外面套opp袋子）</t>
  </si>
  <si>
    <t>2026-02-09 | 102</t>
  </si>
  <si>
    <t>LPC-2.3-YS-红单-1-13.9-0.07-LBE1</t>
  </si>
  <si>
    <t>2026-02-04 09:31</t>
  </si>
  <si>
    <t>2026-02-26 06:57</t>
  </si>
  <si>
    <t>8FVH456U</t>
  </si>
  <si>
    <t>SP260203013</t>
  </si>
  <si>
    <t>2026-02-09 | 99
2026-02-14 | -1
2026-02-28 | 1</t>
  </si>
  <si>
    <t>ZAT-1.30-CQ-红单-1-21.7-0.07-POC2-52.2</t>
  </si>
  <si>
    <t>2026-01-30 16:06</t>
  </si>
  <si>
    <t>2026-02-01 21:33</t>
  </si>
  <si>
    <t>2026-02-07 00:00</t>
  </si>
  <si>
    <t>2026-02-28 09:51</t>
  </si>
  <si>
    <t>5DVYYUTE</t>
  </si>
  <si>
    <t>2026-03-24 11:08</t>
  </si>
  <si>
    <t>SP260130011</t>
  </si>
  <si>
    <t>2026-02-10</t>
  </si>
  <si>
    <t>2026-02-01</t>
  </si>
  <si>
    <t>2026-02-06 | 145</t>
  </si>
  <si>
    <t>RZA-1.29-JY-空派-1-12.8-PSC2</t>
  </si>
  <si>
    <t>2026-01-29 16:16</t>
  </si>
  <si>
    <t>2026-01-29 19:57</t>
  </si>
  <si>
    <t>2026-02-07 12:02</t>
  </si>
  <si>
    <t>2026-03-06 14:20</t>
  </si>
  <si>
    <t>81SRQAJT</t>
  </si>
  <si>
    <t>2026-03-07 14:16</t>
  </si>
  <si>
    <t>SP260129007</t>
  </si>
  <si>
    <t>2026-02-11</t>
  </si>
  <si>
    <t>2026-02-06 | 100</t>
  </si>
  <si>
    <t>JBP-1.29-PT-空派-1-13.1-PSC2</t>
  </si>
  <si>
    <t>2026-01-29 19:58</t>
  </si>
  <si>
    <t>2026-02-08 07:41</t>
  </si>
  <si>
    <t>2026-03-08 08:39</t>
  </si>
  <si>
    <t>4XU5FJIA</t>
  </si>
  <si>
    <t>2026-03-30 09:38</t>
  </si>
  <si>
    <t>SP260129006</t>
  </si>
  <si>
    <t>2026-02-07 | 20</t>
  </si>
  <si>
    <t>PT53601</t>
  </si>
  <si>
    <t>X004XYLKSL</t>
  </si>
  <si>
    <t>B0G6CQFDX8</t>
  </si>
  <si>
    <t>【PT53601】-黑金21岁身份证套装-拼途（点胶固定）</t>
  </si>
  <si>
    <t>2026-02-07 | 65</t>
  </si>
  <si>
    <t>FPY-1.29-DX-空派-1-13.1-PSC2</t>
  </si>
  <si>
    <t>2026-02-08 06:59</t>
  </si>
  <si>
    <t>2026-03-06 21:31</t>
  </si>
  <si>
    <t>8OMG96QX</t>
  </si>
  <si>
    <t>SP260129005</t>
  </si>
  <si>
    <t>DX05688</t>
  </si>
  <si>
    <t>X003L3BW2J</t>
  </si>
  <si>
    <t>B0BRJ2LP35</t>
  </si>
  <si>
    <t>New 1-【DX05688】-金粉小号80岁海报加拱圈-定行</t>
  </si>
  <si>
    <t>2026-02-07 | 15</t>
  </si>
  <si>
    <t>2026-02-07 | 30</t>
  </si>
  <si>
    <t>XFH-1.28-CR-空派-2-32.43-PSC2</t>
  </si>
  <si>
    <t>2026-01-28 16:18</t>
  </si>
  <si>
    <t>2026-01-28 20:08</t>
  </si>
  <si>
    <t>2026-02-04 05:23</t>
  </si>
  <si>
    <t>2026-03-03 22:41</t>
  </si>
  <si>
    <t>4KBNNAAZ</t>
  </si>
  <si>
    <t>2026-03-30 09:45</t>
  </si>
  <si>
    <t>SP260128051</t>
  </si>
  <si>
    <t>CR32459</t>
  </si>
  <si>
    <t>X004IQRN67</t>
  </si>
  <si>
    <t>B0DS2D3Y4D</t>
  </si>
  <si>
    <t>B0DSVKDW4M</t>
  </si>
  <si>
    <t>【CR32459】-玫瑰金30岁极好皇冠套装-辰瑞</t>
  </si>
  <si>
    <t>2026-02-03 | 50</t>
  </si>
  <si>
    <t>CR32507</t>
  </si>
  <si>
    <t>X004VPHM5H</t>
  </si>
  <si>
    <t>B0FWRRTMFB</t>
  </si>
  <si>
    <t>B0GCZHSQGH</t>
  </si>
  <si>
    <t>2026-【CR32507】-金粉16岁年份双横幅套装-辰瑞（点胶固定）</t>
  </si>
  <si>
    <t>2026-02-03 | 53
2026-02-13 | -3</t>
  </si>
  <si>
    <t>DTL-1.28-PT-空派-1-15.15-PSC2</t>
  </si>
  <si>
    <t>2026-01-28 20:17</t>
  </si>
  <si>
    <t>2026-02-04 05:10</t>
  </si>
  <si>
    <t>2026-03-04 07:08</t>
  </si>
  <si>
    <t>2NUOROXN</t>
  </si>
  <si>
    <t>SP260128050</t>
  </si>
  <si>
    <t>PT53368</t>
  </si>
  <si>
    <t>X0037JU6JR</t>
  </si>
  <si>
    <t>B09X2K45MW</t>
  </si>
  <si>
    <t>B0DT6SN7NW</t>
  </si>
  <si>
    <t>【PT53368】-蓝金90岁生日快乐海报-拼途</t>
  </si>
  <si>
    <t>2026-02-03 | 50
2026-02-18 | -1
2026-03-04 | 1</t>
  </si>
  <si>
    <t>PT53357</t>
  </si>
  <si>
    <t>X0034QIVJF</t>
  </si>
  <si>
    <t>B09QPMKJTK</t>
  </si>
  <si>
    <t>【PT53357】-蓝金70岁生日快乐海报-拼途</t>
  </si>
  <si>
    <t>2026-02-03 | 50
2026-02-04 | 1
2026-02-10 | -1
2026-02-10 | 7
2026-02-20 | -7
2026-03-03 | -1</t>
  </si>
  <si>
    <t>HJG-1.28-SX-空派-1-13.7-PSC2</t>
  </si>
  <si>
    <t>2026-01-28 20:22</t>
  </si>
  <si>
    <t>2026-02-04 05:20</t>
  </si>
  <si>
    <t>2026-03-03 10:04</t>
  </si>
  <si>
    <t>187E1TNZ</t>
  </si>
  <si>
    <t>SP260128052</t>
  </si>
  <si>
    <t>SX00434</t>
  </si>
  <si>
    <t>X004WY8L43</t>
  </si>
  <si>
    <t>B0G2BWX1VK</t>
  </si>
  <si>
    <t>2026-【SX00434】-渐变色15岁年份吊坠8件套-势兴</t>
  </si>
  <si>
    <t>2026-02-03 | 20</t>
  </si>
  <si>
    <t>2026-02-03 | 120
2026-02-04 | 9
2026-02-11 | 1
2026-02-17 | -11</t>
  </si>
  <si>
    <t>2026-02-03 | 30</t>
  </si>
  <si>
    <t>INL-1.26-SYC-红单-15.7-0.09-GEU2-45</t>
  </si>
  <si>
    <t>2026-01-26 17:40</t>
  </si>
  <si>
    <t>2026-01-27 10:52</t>
  </si>
  <si>
    <t>2026-02-03 02:27</t>
  </si>
  <si>
    <t>2026-03-03 07:55</t>
  </si>
  <si>
    <t>21W9V6CJ</t>
  </si>
  <si>
    <t>SP260126007</t>
  </si>
  <si>
    <t>2026-02-05</t>
  </si>
  <si>
    <t>SYC477</t>
  </si>
  <si>
    <t>X004O30P0P</t>
  </si>
  <si>
    <t>B0F6V31MQ1</t>
  </si>
  <si>
    <t>【SYC477】-金粉13岁生日音乐贺卡-思业成</t>
  </si>
  <si>
    <t>2026-02-02 | 31
2026-03-02 | -1</t>
  </si>
  <si>
    <t>SYC445</t>
  </si>
  <si>
    <t>X004KE1Q4H</t>
  </si>
  <si>
    <t>B0DWMNCWRJ</t>
  </si>
  <si>
    <t>【SYC445】-黑金70岁生日音乐贺卡-思业成</t>
  </si>
  <si>
    <t>2026-02-02 | 60
2026-03-11 | -4</t>
  </si>
  <si>
    <t>SYC428</t>
  </si>
  <si>
    <t>X004G6ZSP7</t>
  </si>
  <si>
    <t>B0DLGC9MFF</t>
  </si>
  <si>
    <t>【SYC428】-黑金40岁生日音乐贺卡-思业成</t>
  </si>
  <si>
    <t>2026-02-02 | 60
2026-03-04 | -1
2026-03-14 | 1</t>
  </si>
  <si>
    <t>GOE-1.26-DX-红单-21.7-0.07-GEU2-21</t>
  </si>
  <si>
    <t>2026-01-26 17:38</t>
  </si>
  <si>
    <t>2026-02-10 03:23</t>
  </si>
  <si>
    <t>2026-03-10 19:12</t>
  </si>
  <si>
    <t>15MSQPUC</t>
  </si>
  <si>
    <t>SP260126008</t>
  </si>
  <si>
    <t>2026-02-09 | 70
2026-02-14 | -1
2026-03-07 | 1</t>
  </si>
  <si>
    <t>PFA-1.23-JY-红单-1-17.4-0.07-HGR6-24</t>
  </si>
  <si>
    <t>2026-01-23 19:55</t>
  </si>
  <si>
    <t>2026-01-25 12:48</t>
  </si>
  <si>
    <t>2026-01-30 15:12</t>
  </si>
  <si>
    <t>2026-02-25 08:33</t>
  </si>
  <si>
    <t>542FCDCY</t>
  </si>
  <si>
    <t>SP260124007</t>
  </si>
  <si>
    <t>2026-02-02</t>
  </si>
  <si>
    <t>2026-01-25</t>
  </si>
  <si>
    <t>JY01265</t>
  </si>
  <si>
    <t>X004UELPUR</t>
  </si>
  <si>
    <t>B0D7387V9B</t>
  </si>
  <si>
    <t>B0GF1QP4L4</t>
  </si>
  <si>
    <t>2026-【JY01265】-黑金60岁年份灯饰门联-进益</t>
  </si>
  <si>
    <t>2026-01-29 | 20
2026-01-30 | 20
2026-02-02 | -20</t>
  </si>
  <si>
    <t>2026-01-29 | 130
2026-01-30 | 131
2026-02-02 | -130
2026-02-03 | -1
2026-02-13 | -1</t>
  </si>
  <si>
    <t>TZH-1.23-SX-红单-1-18.8-0.07-HGR6-11.7</t>
  </si>
  <si>
    <t>1Z62AV226630176175</t>
  </si>
  <si>
    <t>2026-01-25 12:59</t>
  </si>
  <si>
    <t>2026-01-29 08:52</t>
  </si>
  <si>
    <t>2026-02-15 05:38</t>
  </si>
  <si>
    <t>2CTCW8LZ</t>
  </si>
  <si>
    <t>SP260124006</t>
  </si>
  <si>
    <t>2026-01-31</t>
  </si>
  <si>
    <t>SX00320</t>
  </si>
  <si>
    <t>X0047NSVJ9</t>
  </si>
  <si>
    <t>B0D2CVTJPJ</t>
  </si>
  <si>
    <t>B0DF2G6Q9N</t>
  </si>
  <si>
    <t>2405-【SX00320】-黑金40岁蜂窝海报套装-势兴</t>
  </si>
  <si>
    <t>2026-01-28 | 45</t>
  </si>
  <si>
    <t>OPB-1.23-DX-红单-1-7.75-0.04-HGR6-5.4</t>
  </si>
  <si>
    <t>1Z62AV226630480194</t>
  </si>
  <si>
    <t>2026-01-25 12:38</t>
  </si>
  <si>
    <t>2026-01-29 06:34</t>
  </si>
  <si>
    <t>2026-02-14 18:46</t>
  </si>
  <si>
    <t>2IOEUCMV</t>
  </si>
  <si>
    <t>2026-02-24 16:57</t>
  </si>
  <si>
    <t>SP260124005</t>
  </si>
  <si>
    <t>2026-01-28 | 30
2026-02-18 | 1
2026-02-21 | -1</t>
  </si>
  <si>
    <t>JBK-1.23-DX-空派-1-16.49-HGR6</t>
  </si>
  <si>
    <t>2026-01-23 19:54</t>
  </si>
  <si>
    <t>2026-01-24 21:07</t>
  </si>
  <si>
    <t>2026-02-21 10:12</t>
  </si>
  <si>
    <t>2026-03-10 07:28</t>
  </si>
  <si>
    <t>36E5US5K</t>
  </si>
  <si>
    <t>2026-03-30 09:46</t>
  </si>
  <si>
    <t>SP260124012</t>
  </si>
  <si>
    <t>DX05955</t>
  </si>
  <si>
    <t>X004VM0F4Z</t>
  </si>
  <si>
    <t>B0D736VY9B</t>
  </si>
  <si>
    <t>2026-【DX05955】-黑金18岁年份气球签名本-定行</t>
  </si>
  <si>
    <t>2026-02-20 | 50</t>
  </si>
  <si>
    <t>DX05983</t>
  </si>
  <si>
    <t>X004VSHGCN</t>
  </si>
  <si>
    <t>B0FPF5JRZ7</t>
  </si>
  <si>
    <t>B0GXJMNYC2</t>
  </si>
  <si>
    <t>2026-【DX05983】-黑金21岁年份双横幅套装-定行（点胶固定）</t>
  </si>
  <si>
    <t>2026-02-20 | 60
2026-03-12 | 1
2026-03-20 | -1</t>
  </si>
  <si>
    <t>VUB-1.23-ZY-空派-1-13.35-HGR6</t>
  </si>
  <si>
    <t>2026-01-24 21:17</t>
  </si>
  <si>
    <t>2026-02-21 10:28</t>
  </si>
  <si>
    <t>2026-03-19 23:06</t>
  </si>
  <si>
    <t>7WKJX6EL</t>
  </si>
  <si>
    <t>2026-05-15 15:01</t>
  </si>
  <si>
    <t>SP260124014</t>
  </si>
  <si>
    <t>ZY02286</t>
  </si>
  <si>
    <t>X004X9Z1W7</t>
  </si>
  <si>
    <t>B0G3NRD3B1</t>
  </si>
  <si>
    <t>2026-【ZY02286】-玫瑰金1976纸巾50件套-争艳</t>
  </si>
  <si>
    <t>2026-02-20 | 65
2026-02-28 | -1
2026-05-14 | 1</t>
  </si>
  <si>
    <t>SXH-1.23-DX-空派-1-21.17-HGR6</t>
  </si>
  <si>
    <t>2026-03-11 07:52</t>
  </si>
  <si>
    <t>1KFI5ISE</t>
  </si>
  <si>
    <t>SP260124015</t>
  </si>
  <si>
    <t>DX05981</t>
  </si>
  <si>
    <t>X004VSHEB1</t>
  </si>
  <si>
    <t>B0FPF6Q2LL</t>
  </si>
  <si>
    <t>2026-【DX05981】-玫瑰金18岁年份双横幅套装-定行（点胶固定）</t>
  </si>
  <si>
    <t>2026-02-20 | 15</t>
  </si>
  <si>
    <t>2026-02-20 | 85</t>
  </si>
  <si>
    <t>DX05987</t>
  </si>
  <si>
    <t>X004VSOE5F</t>
  </si>
  <si>
    <t>B0FDQLK75B</t>
  </si>
  <si>
    <t>2026-【DX05987】-黑金16岁年份双横幅套装-定行（点胶固定）</t>
  </si>
  <si>
    <t>2026-02-20 | 25</t>
  </si>
  <si>
    <t>XRB-1.23-DX-空派-2-32.5-HGR6</t>
  </si>
  <si>
    <t>2026-03-08 19:38</t>
  </si>
  <si>
    <t>6LT5X61N</t>
  </si>
  <si>
    <t>SP260124008</t>
  </si>
  <si>
    <t>DX05704</t>
  </si>
  <si>
    <t>X003QBZVU5</t>
  </si>
  <si>
    <t>B0BWXXWS33</t>
  </si>
  <si>
    <t>New3-【DX05704】-粉色闪光水晶8岁海报-定行</t>
  </si>
  <si>
    <t>2026-02-20 | 30</t>
  </si>
  <si>
    <t>2026-02-20 | 45</t>
  </si>
  <si>
    <t>DX06004</t>
  </si>
  <si>
    <t>X004X1ZPKN</t>
  </si>
  <si>
    <t>B0G2P8JPNL</t>
  </si>
  <si>
    <t>【DX06004】-玫瑰金18岁流苏花球套装-定行（点胶固定）</t>
  </si>
  <si>
    <t>2026-02-20 | 65</t>
  </si>
  <si>
    <t>FIE-1.23-PT-红单-1-16.46-0.07-HGR6-21.6</t>
  </si>
  <si>
    <t>2026-01-25 12:51</t>
  </si>
  <si>
    <t>2026-01-31 00:12</t>
  </si>
  <si>
    <t>2026-02-24 14:35</t>
  </si>
  <si>
    <t>1AUWZ72E</t>
  </si>
  <si>
    <t>2026-03-05 17:00</t>
  </si>
  <si>
    <t>SP260123012</t>
  </si>
  <si>
    <t>PT53569</t>
  </si>
  <si>
    <t>X004QYAZIJ</t>
  </si>
  <si>
    <t>B0FGJBXVNB</t>
  </si>
  <si>
    <t>【PT53569】-玫瑰金13岁灯饰横幅-拼途</t>
  </si>
  <si>
    <t>2026-01-30 | 40</t>
  </si>
  <si>
    <t>PT53358</t>
  </si>
  <si>
    <t>X0034QCN8P</t>
  </si>
  <si>
    <t>B09QPKY4GX</t>
  </si>
  <si>
    <t>【PT53358】-蓝金80岁生日快乐海报-拼途</t>
  </si>
  <si>
    <t>2026-01-30 | 30</t>
  </si>
  <si>
    <t>PT53582</t>
  </si>
  <si>
    <t>X004VLWF53</t>
  </si>
  <si>
    <t>B0DKTCJL1H</t>
  </si>
  <si>
    <t>B0BQQXLXPY</t>
  </si>
  <si>
    <t>2026-【PT53582】-玫瑰金90岁1936插牌-拼途</t>
  </si>
  <si>
    <t>2026-01-30 | 40
2026-02-14 | -1
2026-03-04 | 1</t>
  </si>
  <si>
    <t>MSZ-1.23-SX-空派-2-23.42-HGR6</t>
  </si>
  <si>
    <t>2026-01-24 20:57</t>
  </si>
  <si>
    <t>2026-02-13 00:28</t>
  </si>
  <si>
    <t>2026-03-05 18:24</t>
  </si>
  <si>
    <t>17MMDU3D</t>
  </si>
  <si>
    <t>2026-03-24 13:53</t>
  </si>
  <si>
    <t>SP260124009</t>
  </si>
  <si>
    <t>2026-02-17</t>
  </si>
  <si>
    <t>2026-02-12 | 55</t>
  </si>
  <si>
    <t>EAY-1.24-DX-空派-3-58.6-HGR6</t>
  </si>
  <si>
    <t>2026-02-13 04:55</t>
  </si>
  <si>
    <t>2026-03-18 01:44</t>
  </si>
  <si>
    <t>3LHZTGGD</t>
  </si>
  <si>
    <t>SP260124101</t>
  </si>
  <si>
    <t>DX05944</t>
  </si>
  <si>
    <t>X004VJZVKB</t>
  </si>
  <si>
    <t>B0DMW44TD8</t>
  </si>
  <si>
    <t>2026-【DX05944】-黑金80岁年份双横幅套装-定行（点胶固定）</t>
  </si>
  <si>
    <t>2026-02-12 | 55
2026-02-13 | 115
2026-02-16 | 1
2026-02-22 | -1</t>
  </si>
  <si>
    <t>DX05946</t>
  </si>
  <si>
    <t>X004VJZR69</t>
  </si>
  <si>
    <t>B0DMW33GHG</t>
  </si>
  <si>
    <t>2026-【DX05946】-黑金60岁年份双横幅套装-定行（点胶固定）</t>
  </si>
  <si>
    <t>2026-02-12 | 60
2026-03-07 | -1</t>
  </si>
  <si>
    <t>DX05948</t>
  </si>
  <si>
    <t>X004VK5M63</t>
  </si>
  <si>
    <t>B0DMW2K5TV</t>
  </si>
  <si>
    <t>2026-【DX05948】-黑金70岁年份双横幅套装-定行（点胶固定）</t>
  </si>
  <si>
    <t>2026-02-20 | 50
2026-02-28 | -1</t>
  </si>
  <si>
    <t>2026-02-20 | 60</t>
  </si>
  <si>
    <t>VQC-1.23-CQ-红单-2-42.35-0.2-HGR6-54.4</t>
  </si>
  <si>
    <t>2026-01-23 19:53</t>
  </si>
  <si>
    <t>2026-01-31 00:17</t>
  </si>
  <si>
    <t>2026-02-23 16:07</t>
  </si>
  <si>
    <t>7P6IIPYD</t>
  </si>
  <si>
    <t>SP260123013</t>
  </si>
  <si>
    <t>CQ11708</t>
  </si>
  <si>
    <t>X004UKAGO7</t>
  </si>
  <si>
    <t>B0FS1Q7V9Y</t>
  </si>
  <si>
    <t>B0H25T89S1</t>
  </si>
  <si>
    <t>【CQ11708】-黑金80岁灯光音乐贺卡-创奇</t>
  </si>
  <si>
    <t>2026-01-30 | 70
2026-02-08 | 1
2026-03-11 | -1</t>
  </si>
  <si>
    <t>2026-01-30 | 80</t>
  </si>
  <si>
    <t>CQ11739</t>
  </si>
  <si>
    <t>X004X7Q4SJ</t>
  </si>
  <si>
    <t>B0G39FG7XY</t>
  </si>
  <si>
    <t>2026-【CQ11739】-多彩复古50岁灯饰年份门联-创奇</t>
  </si>
  <si>
    <t>2026-01-30 | 100
2026-02-21 | -1</t>
  </si>
  <si>
    <t>NFO-1.23-SYC-红单-3-56.67-0.28-HGR6-89.6</t>
  </si>
  <si>
    <t>2026-01-23 19:52</t>
  </si>
  <si>
    <t>2026-01-25 13:18</t>
  </si>
  <si>
    <t>2026-01-30 22:28</t>
  </si>
  <si>
    <t>2026-02-25 01:57</t>
  </si>
  <si>
    <t>7IOWB21B</t>
  </si>
  <si>
    <t>2026-05-19 23:01</t>
  </si>
  <si>
    <t>SP260123014</t>
  </si>
  <si>
    <t>SYC589</t>
  </si>
  <si>
    <t>X004XG9ETL</t>
  </si>
  <si>
    <t>B0G4C91891</t>
  </si>
  <si>
    <t>【SYC589】-金粉15岁生日音乐贺卡-思业成</t>
  </si>
  <si>
    <t>2026-01-30 | 140
2026-02-02 | -5
2026-02-11 | 1
2026-02-12 | 2
2026-02-15 | 1
2026-02-16 | 1
2026-02-19 | -1
2026-05-19 | 1</t>
  </si>
  <si>
    <t>SYC590</t>
  </si>
  <si>
    <t>X004XGEJMX</t>
  </si>
  <si>
    <t>B0G4C7BLX7</t>
  </si>
  <si>
    <t>【SYC590】-金粉21岁生日音乐贺卡-思业成</t>
  </si>
  <si>
    <t>2026-01-30 | 91
2026-01-31 | 2
2026-02-01 | 1
2026-02-02 | 50
2026-02-14 | -4</t>
  </si>
  <si>
    <t>SYC591</t>
  </si>
  <si>
    <t>X004XGS3Q1</t>
  </si>
  <si>
    <t>B0G4CGK5B7</t>
  </si>
  <si>
    <t>【SYC591】-金粉30岁生日音乐贺卡-思业成</t>
  </si>
  <si>
    <t>2026-01-30 | 140
2026-01-31 | 5
2026-02-04 | 10
2026-02-16 | -7
2026-02-17 | 2
2026-03-05 | -10</t>
  </si>
  <si>
    <t>SYC592</t>
  </si>
  <si>
    <t>X004XGS3VB</t>
  </si>
  <si>
    <t>B0G4CFXWH9</t>
  </si>
  <si>
    <t>【SYC592】-金粉75岁生日音乐贺卡-思业成</t>
  </si>
  <si>
    <t>2026-01-30 | 142
2026-02-06 | -2</t>
  </si>
  <si>
    <t>XLO-1.23-SYC-红单-1-14-0.07-HGR6-24</t>
  </si>
  <si>
    <t>2026-01-23 19:50</t>
  </si>
  <si>
    <t>2026-02-01 01:35</t>
  </si>
  <si>
    <t>2026-02-23 20:06</t>
  </si>
  <si>
    <t>643NF4RW</t>
  </si>
  <si>
    <t>2026-03-03 13:00</t>
  </si>
  <si>
    <t>SP260123015</t>
  </si>
  <si>
    <t>2026-01-31 | 150
2026-02-13 | -2
2026-03-02 | 2</t>
  </si>
  <si>
    <t>GUT-1.23-YS-红单-1-22-0.09-HGR6-15.6</t>
  </si>
  <si>
    <t>1Z62AV226631124184</t>
  </si>
  <si>
    <t>2026-01-23 19:49</t>
  </si>
  <si>
    <t>2026-01-25 13:01</t>
  </si>
  <si>
    <t>2026-01-29 04:17</t>
  </si>
  <si>
    <t>2026-02-21 18:18</t>
  </si>
  <si>
    <t>241RHK2F</t>
  </si>
  <si>
    <t>SP260123011</t>
  </si>
  <si>
    <t>2026-01-28 | 60</t>
  </si>
  <si>
    <t>QDN-1.23-YS-空派-2-33.34-0.11-HGR6-23.4</t>
  </si>
  <si>
    <t>2026-01-23 19:47</t>
  </si>
  <si>
    <t>2026-01-24 21:04</t>
  </si>
  <si>
    <t>2026-02-21 10:22</t>
  </si>
  <si>
    <t>2026-03-19 23:40</t>
  </si>
  <si>
    <t>2AD21JTE</t>
  </si>
  <si>
    <t>SP260124010</t>
  </si>
  <si>
    <t>2026-02-20 | 90</t>
  </si>
  <si>
    <t>ETH-1.23-CR-空派-1-16.3-0.06-HGR6-23.2</t>
  </si>
  <si>
    <t>2026-01-23 19:46</t>
  </si>
  <si>
    <t>2026-02-21 10:17</t>
  </si>
  <si>
    <t>2026-03-17 01:07</t>
  </si>
  <si>
    <t>7VHVU4UZ</t>
  </si>
  <si>
    <t>2026-04-14 15:00</t>
  </si>
  <si>
    <t>SP260124011</t>
  </si>
  <si>
    <t>CR32532</t>
  </si>
  <si>
    <t>X004WU3YTJ</t>
  </si>
  <si>
    <t>B0G1YNX247</t>
  </si>
  <si>
    <t>2026-【CR32532】报纸色80岁气球签名本加丝带-辰瑞</t>
  </si>
  <si>
    <t>2026-02-20 | 45
2026-03-30 | -1
2026-04-03 | 1</t>
  </si>
  <si>
    <t>CR32528</t>
  </si>
  <si>
    <t>X004WUB61H</t>
  </si>
  <si>
    <t>B0G1YPR33K</t>
  </si>
  <si>
    <t>2026-【CR32528】报纸色30岁气球签名本加丝带-辰瑞</t>
  </si>
  <si>
    <t>2026-02-20 | 20</t>
  </si>
  <si>
    <t>CR32527</t>
  </si>
  <si>
    <t>X004WU3TOT</t>
  </si>
  <si>
    <t>B0G1YPTJHC</t>
  </si>
  <si>
    <t>2026-【CR32527】报纸色21岁气球签名本加丝带-辰瑞</t>
  </si>
  <si>
    <t>CR32522</t>
  </si>
  <si>
    <t>X004VSN0WD</t>
  </si>
  <si>
    <t>B0FPC9GN3M</t>
  </si>
  <si>
    <t>2026-【CR32522】-报纸色70岁气球签名本-辰瑞</t>
  </si>
  <si>
    <t>2026-02-20 | 60
2026-03-24 | -1
2026-04-13 | 1</t>
  </si>
  <si>
    <t>SKK-1.23-CR-空派-1-12.9-0.07-HGR6-14</t>
  </si>
  <si>
    <t>2026-01-23 19:45</t>
  </si>
  <si>
    <t>2026-02-21 09:57</t>
  </si>
  <si>
    <t>2026-03-09 18:56</t>
  </si>
  <si>
    <t>7U9SAZ1N</t>
  </si>
  <si>
    <t>SP260124013</t>
  </si>
  <si>
    <t>CR32518</t>
  </si>
  <si>
    <t>X004UQ20WR</t>
  </si>
  <si>
    <t>B0FSL4P8RH</t>
  </si>
  <si>
    <t>【CR32518】-黑金60岁皇冠肩带-辰瑞</t>
  </si>
  <si>
    <t>2026-02-20 | 35
2026-03-03 | -2
2026-03-13 | 2</t>
  </si>
  <si>
    <t>CR32497</t>
  </si>
  <si>
    <t>X004VPG5S7</t>
  </si>
  <si>
    <t>B0DZX6H95N</t>
  </si>
  <si>
    <t>B0F31VPD4M</t>
  </si>
  <si>
    <t>2026-【CR32497】-黑金1976年份桌布2件套-辰瑞</t>
  </si>
  <si>
    <t>2026-02-20 | 35</t>
  </si>
  <si>
    <t>UWE-1.23-CQ-空派-1-20.9-0.09-GYR3</t>
  </si>
  <si>
    <t>AE260195041</t>
  </si>
  <si>
    <t>2026-01-23 14:38</t>
  </si>
  <si>
    <t>2026-01-23 20:47</t>
  </si>
  <si>
    <t>2026-02-06 00:29</t>
  </si>
  <si>
    <t>2026-03-06 18:27</t>
  </si>
  <si>
    <t>526TMKJQ</t>
  </si>
  <si>
    <t>SP260124102</t>
  </si>
  <si>
    <t>2026-02-09</t>
  </si>
  <si>
    <t>CQ11688</t>
  </si>
  <si>
    <t>X004VMHCB9</t>
  </si>
  <si>
    <t>B0CLXQBBY2</t>
  </si>
  <si>
    <t>B0GD6B8WBY</t>
  </si>
  <si>
    <t>2026-【CQ11688】-黑金2008小海报木板-创奇</t>
  </si>
  <si>
    <t>2026-02-05 | 4</t>
  </si>
  <si>
    <t>CQ11591</t>
  </si>
  <si>
    <t>X004QZEWBJ</t>
  </si>
  <si>
    <t>B0CPF1JTNY</t>
  </si>
  <si>
    <t>【CQ11591】-黑金90岁生日盒子3件套-创奇</t>
  </si>
  <si>
    <t>2026-02-05 | 6</t>
  </si>
  <si>
    <t>1987Y11296</t>
  </si>
  <si>
    <t>X0038VM5FR</t>
  </si>
  <si>
    <t>B09ZTTSZRX</t>
  </si>
  <si>
    <t>【CQ11296】-粉色奶牛1岁生日蜂窝-创奇</t>
  </si>
  <si>
    <t>2026-02-05 | 12</t>
  </si>
  <si>
    <t>2026-02-05 | 30</t>
  </si>
  <si>
    <t>2026-02-05 | 20</t>
  </si>
  <si>
    <t>UWE-1.23-CQ-空派-1-20.9-0.09-CLT2</t>
  </si>
  <si>
    <t>AE260195040</t>
  </si>
  <si>
    <t>2026-02-06 21:58</t>
  </si>
  <si>
    <t>2026-02-19 03:09</t>
  </si>
  <si>
    <t>8A6WK4AC</t>
  </si>
  <si>
    <t>SP260124103</t>
  </si>
  <si>
    <t>2026-02-06 | 4</t>
  </si>
  <si>
    <t>2026-02-06 | 6
2026-02-11 | 1
2026-02-18 | -1</t>
  </si>
  <si>
    <t>2026-02-06 | 12
2026-02-22 | 2</t>
  </si>
  <si>
    <t>2026-02-06 | 30</t>
  </si>
  <si>
    <t>2026-02-06 | 30
2026-02-21 | 1
2026-02-26 | -1</t>
  </si>
  <si>
    <t>2026-02-06 | 20
2026-02-21 | 1
2026-02-25 | -1</t>
  </si>
  <si>
    <t>2026-02-06 | 20</t>
  </si>
  <si>
    <t>UWE-1.23-CQ-空派-1-20.9-0.09-LGB8</t>
  </si>
  <si>
    <t>AE260195042</t>
  </si>
  <si>
    <t>2026-02-03 06:13</t>
  </si>
  <si>
    <t>2026-02-28 01:13</t>
  </si>
  <si>
    <t>5OU6GRKR</t>
  </si>
  <si>
    <t>SP260124104</t>
  </si>
  <si>
    <t>2026-02-02 | 4</t>
  </si>
  <si>
    <t>2026-02-02 | 6</t>
  </si>
  <si>
    <t>2026-02-02 | 12</t>
  </si>
  <si>
    <t>2026-02-02 | 30</t>
  </si>
  <si>
    <t>2026-02-02 | 30
2026-02-03 | -1
2026-03-07 | 1</t>
  </si>
  <si>
    <t>2026-02-02 | 20</t>
  </si>
  <si>
    <t>UWE-1.23-CQ-空派-1-20.9-0.09-VGT2</t>
  </si>
  <si>
    <t>1Z0H90X50323412748</t>
  </si>
  <si>
    <t>2026-03-13 14:27</t>
  </si>
  <si>
    <t>5ETDPK3O</t>
  </si>
  <si>
    <t>SP260124105</t>
  </si>
  <si>
    <t>2026-03-24 | 4</t>
  </si>
  <si>
    <t>2026-03-24 | 6</t>
  </si>
  <si>
    <t>2026-03-24 | 12</t>
  </si>
  <si>
    <t>2026-03-24 | 30
2026-04-01 | 1</t>
  </si>
  <si>
    <t>2026-03-24 | 30</t>
  </si>
  <si>
    <t>2026-03-24 | 20</t>
  </si>
  <si>
    <t>UWE-1.23-CQ-空派-1-20.9-0.09-ORF2</t>
  </si>
  <si>
    <t>AE260195043</t>
  </si>
  <si>
    <t>2026-02-14 09:21</t>
  </si>
  <si>
    <t>2026-03-13 18:45</t>
  </si>
  <si>
    <t>148DJX8A</t>
  </si>
  <si>
    <t>SP260124106</t>
  </si>
  <si>
    <t>2026-02-13 | 4
2026-02-17 | -1
2026-02-25 | 1</t>
  </si>
  <si>
    <t>2026-02-13 | 6
2026-02-17 | -1
2026-02-25 | 1</t>
  </si>
  <si>
    <t>2026-02-13 | 4</t>
  </si>
  <si>
    <t>2026-02-13 | 12</t>
  </si>
  <si>
    <t>2026-02-13 | 30</t>
  </si>
  <si>
    <t>2026-02-13 | 20
2026-02-17 | -1
2026-02-25 | 1</t>
  </si>
  <si>
    <t>2026-02-13 | 20
2026-02-17 | -2
2026-02-25 | 2</t>
  </si>
  <si>
    <t>VYO-1.23-PT-红单-1-22-0.1-HGR6-32</t>
  </si>
  <si>
    <t>1Z6075X66635885108</t>
  </si>
  <si>
    <t>2026-01-23 10:36</t>
  </si>
  <si>
    <t>2026-01-29 09:33</t>
  </si>
  <si>
    <t>2026-02-22 13:40</t>
  </si>
  <si>
    <t>4IJDIPFL</t>
  </si>
  <si>
    <t>2026-02-24 16:58</t>
  </si>
  <si>
    <t>SP260123009</t>
  </si>
  <si>
    <t>2026-01-28 | 80</t>
  </si>
  <si>
    <t>2026-01-28 | 120</t>
  </si>
  <si>
    <t>HOC-1.23-DM-红单-2-24.6-0.08-HGR6-28.8</t>
  </si>
  <si>
    <t>1Z6075X66622098911</t>
  </si>
  <si>
    <t>2026-01-23 10:35</t>
  </si>
  <si>
    <t>2026-01-25 13:00</t>
  </si>
  <si>
    <t>2026-01-29 09:31</t>
  </si>
  <si>
    <t>2026-02-16 15:38</t>
  </si>
  <si>
    <t>2WL1DPFT</t>
  </si>
  <si>
    <t>SP260123010</t>
  </si>
  <si>
    <t>DM21466</t>
  </si>
  <si>
    <t>X004XA9K0P</t>
  </si>
  <si>
    <t>B0G3PHH41P</t>
  </si>
  <si>
    <t>B0GFMRTBX5</t>
  </si>
  <si>
    <t>【DM21466】-蓝银工作周年纪念签名本-大卖</t>
  </si>
  <si>
    <t>2026-01-28 | 100</t>
  </si>
  <si>
    <t>DM21465</t>
  </si>
  <si>
    <t>X004XA6ILJ</t>
  </si>
  <si>
    <t>B0G3PBHMM1</t>
  </si>
  <si>
    <t>【DM21465】-玫瑰金工作周年纪念签名本-大卖</t>
  </si>
  <si>
    <t>UNI-1.22-SX-空派-1-14.5-HGR6</t>
  </si>
  <si>
    <t>2026-01-22 15:59</t>
  </si>
  <si>
    <t>2026-01-22 21:11</t>
  </si>
  <si>
    <t>2026-02-01 02:30</t>
  </si>
  <si>
    <t>2026-02-26 14:02</t>
  </si>
  <si>
    <t>8WFPP6MO</t>
  </si>
  <si>
    <t>2026-03-24 13:54</t>
  </si>
  <si>
    <t>SP260122008</t>
  </si>
  <si>
    <t>2026-02-04</t>
  </si>
  <si>
    <t>SX00441</t>
  </si>
  <si>
    <t>X004YS6KDV</t>
  </si>
  <si>
    <t>B0GF23M6K8</t>
  </si>
  <si>
    <t>2602-【SX00441】-黑色越老越智慧照片横幅-势兴</t>
  </si>
  <si>
    <t>2026-01-31 | 100
2026-02-12 | -1
2026-02-15 | 1</t>
  </si>
  <si>
    <t>ICY-1.22-ZY-空派-1-12.7-HGR6</t>
  </si>
  <si>
    <t>2026-01-22 21:15</t>
  </si>
  <si>
    <t>2026-02-01 02:13</t>
  </si>
  <si>
    <t>2026-02-26 09:07</t>
  </si>
  <si>
    <t>6ADM44DY</t>
  </si>
  <si>
    <t>2026-03-24 10:33</t>
  </si>
  <si>
    <t>SP260122007</t>
  </si>
  <si>
    <t>ZY02171</t>
  </si>
  <si>
    <t>X003QJ7G1T</t>
  </si>
  <si>
    <t>B0BXCTQXR5</t>
  </si>
  <si>
    <t>New3-【ZY02171】-银黑无岁数生日蜂窝-争艳</t>
  </si>
  <si>
    <t>2026-01-31 | 40
2026-02-10 | -1</t>
  </si>
  <si>
    <t>2026-01-31 | 80
2026-02-15 | -1
2026-02-15 | -1</t>
  </si>
  <si>
    <t>NBA-1.22-CR-空派-1-18.2-HGR6</t>
  </si>
  <si>
    <t>2026-01-22 21:17</t>
  </si>
  <si>
    <t>2026-02-01 02:25</t>
  </si>
  <si>
    <t>2026-02-16 12:37</t>
  </si>
  <si>
    <t>8UVQ8U8C</t>
  </si>
  <si>
    <t>2026-05-17 13:01</t>
  </si>
  <si>
    <t>SP260122006</t>
  </si>
  <si>
    <t>CR32540</t>
  </si>
  <si>
    <t>X004YP7GPZ</t>
  </si>
  <si>
    <t>B0GD7K99FB</t>
  </si>
  <si>
    <t>【CR32540】-金粉13岁三角拉旗套装-辰瑞</t>
  </si>
  <si>
    <t>2026-01-31 | 80
2026-02-08 | -1</t>
  </si>
  <si>
    <t>2026-01-31 | 60</t>
  </si>
  <si>
    <t>EDL-1.22-YS-空派-1-12.5-HGR6</t>
  </si>
  <si>
    <t>2026-02-01 02:22</t>
  </si>
  <si>
    <t>2026-02-16 08:26</t>
  </si>
  <si>
    <t>15679LEE</t>
  </si>
  <si>
    <t>2026-04-02 13:00</t>
  </si>
  <si>
    <t>SP260122005</t>
  </si>
  <si>
    <t>2026-01-31 | 50
2026-02-06 | -1
2026-02-06 | -1
2026-02-16 | 1
2026-04-01 | 1</t>
  </si>
  <si>
    <t>2026-01-31 | 90</t>
  </si>
  <si>
    <t>KWT-1.22-SYC-空派-1-14.2-HGR6</t>
  </si>
  <si>
    <t>2026-02-12 09:31</t>
  </si>
  <si>
    <t>2026-03-02 21:30</t>
  </si>
  <si>
    <t>37BGSYPM</t>
  </si>
  <si>
    <t>2026-03-30 09:49</t>
  </si>
  <si>
    <t>SP260122004</t>
  </si>
  <si>
    <t>2026-02-11 | 30
2026-02-19 | -2
2026-02-19 | 2
2026-02-20 | -1
2026-03-02 | 1</t>
  </si>
  <si>
    <t>SYC297</t>
  </si>
  <si>
    <t>X00427N14F</t>
  </si>
  <si>
    <t>B0CPHSBKDR</t>
  </si>
  <si>
    <t>B0CQZLZRT7</t>
  </si>
  <si>
    <t>2401-【SYC297】-蓝银80岁盒子3件套-思业成</t>
  </si>
  <si>
    <t>2026-02-11 | 10
2026-02-18 | -1
2026-02-23 | 1</t>
  </si>
  <si>
    <t>OGG-1.20-PT-红单-1-20.3-0.1-HGR6-24</t>
  </si>
  <si>
    <t xml:space="preserve">1Z62AV226631601908 </t>
  </si>
  <si>
    <t>2026-01-20 17:21</t>
  </si>
  <si>
    <t>2026-01-22 09:58</t>
  </si>
  <si>
    <t>2026-01-28 15:14</t>
  </si>
  <si>
    <t>2026-02-21 00:55</t>
  </si>
  <si>
    <t>67KX3QZS</t>
  </si>
  <si>
    <t>2026-05-22 01:01</t>
  </si>
  <si>
    <t>SP260121001</t>
  </si>
  <si>
    <t>PT53394</t>
  </si>
  <si>
    <t>X003CNRKRJ</t>
  </si>
  <si>
    <t>B0B9J4K41D</t>
  </si>
  <si>
    <t>【PT53394】-蓝银80岁圆圈海报-拼途</t>
  </si>
  <si>
    <t>2026-01-27 | 40
2026-02-01 | -8</t>
  </si>
  <si>
    <t>2026-01-27 | 40
2026-02-01 | -11</t>
  </si>
  <si>
    <t>PT53570</t>
  </si>
  <si>
    <t>X004RMNFM3</t>
  </si>
  <si>
    <t>B0FJ1NHMJ5</t>
  </si>
  <si>
    <t>【PT53570】-玫瑰金40岁很好铝箔气球套装-拼途（气球抽真空，包装点胶固定）</t>
  </si>
  <si>
    <t>2026-01-27 | 50
2026-02-01 | -40</t>
  </si>
  <si>
    <t>2026-01-27 | 20
2026-02-01 | -14</t>
  </si>
  <si>
    <t>WLR-1.19-CQ-空派-1-12.6-HGR6</t>
  </si>
  <si>
    <t>2026-01-19 17:58</t>
  </si>
  <si>
    <t>2026-01-19 21:11</t>
  </si>
  <si>
    <t>2026-01-29 21:38</t>
  </si>
  <si>
    <t>2026-02-24 02:08</t>
  </si>
  <si>
    <t>7QH2J9FS</t>
  </si>
  <si>
    <t>2026-02-25 01:21</t>
  </si>
  <si>
    <t>SP260119024</t>
  </si>
  <si>
    <t>2026-01-29 | 100
2026-02-11 | -1
2026-02-24 | 1</t>
  </si>
  <si>
    <t>CYJ-1.19-SX-空派-1-20-HGR6</t>
  </si>
  <si>
    <t>2026-01-19 17:57</t>
  </si>
  <si>
    <t>2026-01-19 21:07</t>
  </si>
  <si>
    <t>2026-01-29 21:50</t>
  </si>
  <si>
    <t>2026-02-14 08:10</t>
  </si>
  <si>
    <t>4A3RX8QV</t>
  </si>
  <si>
    <t>SP260119025</t>
  </si>
  <si>
    <t>SX00443</t>
  </si>
  <si>
    <t>X004YRYMTV</t>
  </si>
  <si>
    <t>B0GF1YSC36</t>
  </si>
  <si>
    <t>2026-【SX00443】-玫瑰金40岁花球横幅套装-势兴（点胶固定）（淘汰）</t>
  </si>
  <si>
    <t>2026-01-29 | 100</t>
  </si>
  <si>
    <t>IDY-1.19-DM-空派-2-36.3-HGR6</t>
  </si>
  <si>
    <t>2026-01-19 17:56</t>
  </si>
  <si>
    <t>2026-01-19 21:05</t>
  </si>
  <si>
    <t>2026-01-29 21:41</t>
  </si>
  <si>
    <t>2026-02-20 20:13</t>
  </si>
  <si>
    <t>1R8VH7RF</t>
  </si>
  <si>
    <t>2026-05-21 21:01</t>
  </si>
  <si>
    <t>SP260119023</t>
  </si>
  <si>
    <t>DM21436</t>
  </si>
  <si>
    <t>X004VEDP6D</t>
  </si>
  <si>
    <t>B0CQ7VLFVV</t>
  </si>
  <si>
    <t>2026-【DM21436】-黑金40岁年份海报套装-大卖</t>
  </si>
  <si>
    <t>2026-01-29 | 75
2026-02-14 | -1</t>
  </si>
  <si>
    <t>IUU-1.19-PT-红单-1-21.7-0.1-HIA1-19.2</t>
  </si>
  <si>
    <t>1Z6075X66636058643</t>
  </si>
  <si>
    <t>2026-01-19 17:46</t>
  </si>
  <si>
    <t>2026-01-20 09:24</t>
  </si>
  <si>
    <t>2026-02-24 00:40</t>
  </si>
  <si>
    <t>54E7GDDX</t>
  </si>
  <si>
    <t>2026-02-25 00:38</t>
  </si>
  <si>
    <t>SP260119020</t>
  </si>
  <si>
    <t>PT53600</t>
  </si>
  <si>
    <t>X004WS42KB</t>
  </si>
  <si>
    <t>B0G1SG9NKR</t>
  </si>
  <si>
    <t>【PT53600】-黑白30岁气球蜂窝套装-拼途（气球真空+点胶固定）</t>
  </si>
  <si>
    <t>2026-01-27 | 115
2026-02-05 | -9
2026-02-10 | 10
2026-02-13 | -1</t>
  </si>
  <si>
    <t>NWS-1.19-DM-红单-2-0.15-HGR6-28</t>
  </si>
  <si>
    <t>2026-01-19 17:29</t>
  </si>
  <si>
    <t>2026-01-21 09:58</t>
  </si>
  <si>
    <t>2026-01-23 08:52</t>
  </si>
  <si>
    <t>2026-02-15 14:41</t>
  </si>
  <si>
    <t>7M1MFENE</t>
  </si>
  <si>
    <t>2026-05-16 15:01</t>
  </si>
  <si>
    <t>SP260119021</t>
  </si>
  <si>
    <t>2026-01-28</t>
  </si>
  <si>
    <t>2026-01-18</t>
  </si>
  <si>
    <t>2026-01-22 | 70
2026-01-23 | 179
2026-01-24 | 2
2026-01-27 | -1
2026-02-12 | -1
2026-02-18 | -1
2026-02-21 | -90</t>
  </si>
  <si>
    <t>DM21289</t>
  </si>
  <si>
    <t>X003M2IJVV</t>
  </si>
  <si>
    <t>B0BSBHXVXL</t>
  </si>
  <si>
    <t>B0BTHPQ3GC</t>
  </si>
  <si>
    <t>New1-【DM21289】-黑金传奇无岁数海报-大卖</t>
  </si>
  <si>
    <t>2026-01-22 | 15</t>
  </si>
  <si>
    <t>LCT-1.19-JY-空派-1-14.7-HGR6</t>
  </si>
  <si>
    <t>2026-01-19 17:22</t>
  </si>
  <si>
    <t>2026-01-19 20:18</t>
  </si>
  <si>
    <t>2026-01-31 02:27</t>
  </si>
  <si>
    <t>2026-02-15 15:59</t>
  </si>
  <si>
    <t>7XWLWCGK</t>
  </si>
  <si>
    <t>2026-02-24 16:59</t>
  </si>
  <si>
    <t>SP260119019</t>
  </si>
  <si>
    <t>JY01155</t>
  </si>
  <si>
    <t>X0043U1SP5</t>
  </si>
  <si>
    <t>B0CSNPFDSP</t>
  </si>
  <si>
    <t>B0F7XJXVW6</t>
  </si>
  <si>
    <t>2402-【JY01155】-金粉21岁生日盒子3件套-进益</t>
  </si>
  <si>
    <t>2026-01-30 | 34</t>
  </si>
  <si>
    <t>EOK-1.19-SYC-红单-2-28.05-0.13-HGR6-43.2</t>
  </si>
  <si>
    <t>2026-01-19 17:12</t>
  </si>
  <si>
    <t>2026-01-23 08:59</t>
  </si>
  <si>
    <t>2026-02-18 23:36</t>
  </si>
  <si>
    <t>4IGVAHDQ</t>
  </si>
  <si>
    <t>2026-05-20 00:01</t>
  </si>
  <si>
    <t>SP260119022</t>
  </si>
  <si>
    <t>SYC480</t>
  </si>
  <si>
    <t>X004O57SQR</t>
  </si>
  <si>
    <t>B0F6Y4LCZF</t>
  </si>
  <si>
    <t>【SYC480】-黑金18岁生日音乐贺卡-思业成</t>
  </si>
  <si>
    <t>2026-01-22 | 30
2026-02-06 | 1
2026-02-12 | -3</t>
  </si>
  <si>
    <t>SYC157</t>
  </si>
  <si>
    <t>X003K9STJ3</t>
  </si>
  <si>
    <t>B0BP7GKWSF</t>
  </si>
  <si>
    <t>B0F23RRXMX</t>
  </si>
  <si>
    <t>New 1-【SYC157】-粉金80岁生日蜂窝九件套-思业成</t>
  </si>
  <si>
    <t>2026-01-22 | 20</t>
  </si>
  <si>
    <t>SYC494</t>
  </si>
  <si>
    <t>X004RW4L9T</t>
  </si>
  <si>
    <t>B0FJQZKRWM</t>
  </si>
  <si>
    <t>【SYC494】-黑金75岁生日音乐贺卡-思业成</t>
  </si>
  <si>
    <t>2026-01-22 | 50
2026-02-06 | 1
2026-02-09 | -1
2026-02-12 | -2
2026-02-18 | 2</t>
  </si>
  <si>
    <t>2026-01-23 | 51
2026-02-01 | -1</t>
  </si>
  <si>
    <t>2026-01-22 | 30
2026-01-27 | -15
2026-02-06 | 1
2026-02-12 | -1
2026-02-14 | -1
2026-02-23 | 1
2026-02-27 | -1
2026-03-21 | 1</t>
  </si>
  <si>
    <t>SYC441</t>
  </si>
  <si>
    <t>X004J37CM9</t>
  </si>
  <si>
    <t>B0DSMQF74V</t>
  </si>
  <si>
    <t>【SYC441】-黑金50岁生日音乐贺卡-思业成</t>
  </si>
  <si>
    <t>2026-01-23 | 20</t>
  </si>
  <si>
    <t>SYC565</t>
  </si>
  <si>
    <t>X004UUVEXJ</t>
  </si>
  <si>
    <t>B0FT2JXDC7</t>
  </si>
  <si>
    <t>【SYC565】-黑金13岁生日音乐贺卡-思业成</t>
  </si>
  <si>
    <t>2026-01-23 | 31
2026-01-31 | -1</t>
  </si>
  <si>
    <t>SYC567</t>
  </si>
  <si>
    <t>X004UURBIV</t>
  </si>
  <si>
    <t>B0FT2HLY2M</t>
  </si>
  <si>
    <t>【SYC567】-黑金16岁生日音乐贺卡-思业成</t>
  </si>
  <si>
    <t>2026-01-23 | 40
2026-02-01 | -1
2026-02-03 | 1</t>
  </si>
  <si>
    <t>CMH-1.17-PT-空派-1-9.7-HEA2</t>
  </si>
  <si>
    <t>2026-01-17 10:47</t>
  </si>
  <si>
    <t>2026-01-17 18:03</t>
  </si>
  <si>
    <t>2026-01-30 06:08</t>
  </si>
  <si>
    <t>2026-02-27 13:47</t>
  </si>
  <si>
    <t>7L8S4VPY</t>
  </si>
  <si>
    <t>SP260117054</t>
  </si>
  <si>
    <t>2026-02-03</t>
  </si>
  <si>
    <t>2026-01-29 | 65</t>
  </si>
  <si>
    <t>QUU-1.17-ZY-空派-1-14.9-HEA2</t>
  </si>
  <si>
    <t>2026-01-17 18:00</t>
  </si>
  <si>
    <t>2026-01-29 17:31</t>
  </si>
  <si>
    <t>2026-02-28 21:12</t>
  </si>
  <si>
    <t>7HDTGKPU</t>
  </si>
  <si>
    <t>SP260117055</t>
  </si>
  <si>
    <t>2026-01-29 | 80</t>
  </si>
  <si>
    <t>ZY02292</t>
  </si>
  <si>
    <t>X004YPCCO5</t>
  </si>
  <si>
    <t>B0GD7QDK3T</t>
  </si>
  <si>
    <t>【ZY02292】-天蓝色无岁数三角拉旗套装-争艳</t>
  </si>
  <si>
    <t>2026-01-29 | 80
2026-02-10 | -1
2026-03-14 | 1</t>
  </si>
  <si>
    <t>WXC-1.17-CR-空派-1-14.14-HEA2</t>
  </si>
  <si>
    <t>2026-01-17 18:04</t>
  </si>
  <si>
    <t>2026-01-29 17:03</t>
  </si>
  <si>
    <t>2026-02-28 05:01</t>
  </si>
  <si>
    <t>7VEWJSDE</t>
  </si>
  <si>
    <t>2026-03-30 09:47</t>
  </si>
  <si>
    <t>SP260117056</t>
  </si>
  <si>
    <t>CR32525</t>
  </si>
  <si>
    <t>X004WSPSWR</t>
  </si>
  <si>
    <t>B0G1TFFVZW</t>
  </si>
  <si>
    <t>2026-【CR32525】-粉白18岁年份签名本-辰瑞</t>
  </si>
  <si>
    <t>2026-01-29 | 70</t>
  </si>
  <si>
    <t>CR32529</t>
  </si>
  <si>
    <t>X004WU61X5</t>
  </si>
  <si>
    <t>B0G1YLG94Z</t>
  </si>
  <si>
    <t>2026-【CR32529】报纸色40岁气球签名本加丝带-辰瑞</t>
  </si>
  <si>
    <t>2026-01-29 | 30</t>
  </si>
  <si>
    <t>CR32530</t>
  </si>
  <si>
    <t>X004WU90HJ</t>
  </si>
  <si>
    <t>B0G1YPWD48</t>
  </si>
  <si>
    <t>2026-【CR32530】报纸色50岁气球签名本加丝带-辰瑞</t>
  </si>
  <si>
    <t>2026-01-29 | 20</t>
  </si>
  <si>
    <t>PIC-1.17-SYC-空派-5-62.7-HEA2</t>
  </si>
  <si>
    <t>2026-01-17 18:01</t>
  </si>
  <si>
    <t>2026-01-29 16:39</t>
  </si>
  <si>
    <t>2026-03-01 08:02</t>
  </si>
  <si>
    <t>3OMOG29B</t>
  </si>
  <si>
    <t>SP260117057</t>
  </si>
  <si>
    <t>SYC596</t>
  </si>
  <si>
    <t>X004YQP9HB</t>
  </si>
  <si>
    <t>B0GDXTHZ9K</t>
  </si>
  <si>
    <t>【SYC596】-白金70岁皇冠套装-思业成（淘汰）</t>
  </si>
  <si>
    <t>2026-01-29 | 110
2026-02-10 | -1
2026-02-11 | 1</t>
  </si>
  <si>
    <t>WUG-1.17-DX-红单-1-14.9-0.07-HGR6-10.8</t>
  </si>
  <si>
    <t>1Z6R42A46610095793</t>
  </si>
  <si>
    <t>2026-01-17 10:11</t>
  </si>
  <si>
    <t>2026-01-17 19:37</t>
  </si>
  <si>
    <t>2026-01-21 09:03</t>
  </si>
  <si>
    <t>2026-02-08 15:07</t>
  </si>
  <si>
    <t>4BCNNKJO</t>
  </si>
  <si>
    <t>2026-02-12 17:13</t>
  </si>
  <si>
    <t>SP260117012</t>
  </si>
  <si>
    <t>2026-01-20 | 60
2026-02-01 | -3
2026-02-06 | 3</t>
  </si>
  <si>
    <t>BZL-1.17-YS-红单-1-12.9-0.07-HGR6-14.4</t>
  </si>
  <si>
    <t>1Z6R42A46602544803</t>
  </si>
  <si>
    <t>2026-01-17 10:09</t>
  </si>
  <si>
    <t>2026-01-17 19:51</t>
  </si>
  <si>
    <t>2026-01-21 09:05</t>
  </si>
  <si>
    <t>2026-02-07 00:40</t>
  </si>
  <si>
    <t>52UK1MHE</t>
  </si>
  <si>
    <t>2026-02-08 10:58</t>
  </si>
  <si>
    <t>SP260117013</t>
  </si>
  <si>
    <t>2026-01-20 | 60
2026-01-26 | 1
2026-02-08 | -1
2026-02-13 | 1</t>
  </si>
  <si>
    <t>ARW-1.17-DX-空派-2-39.95-HGR6-30</t>
  </si>
  <si>
    <t>2026-01-17 09:40</t>
  </si>
  <si>
    <t>2026-01-28 12:46</t>
  </si>
  <si>
    <t>2026-02-23 07:52</t>
  </si>
  <si>
    <t>7ZWIBPFK</t>
  </si>
  <si>
    <t>SP260117011</t>
  </si>
  <si>
    <t>2026-01-30</t>
  </si>
  <si>
    <t>2026-01-27 | 140
2026-02-08 | -1
2026-02-10 | -42
2026-02-11 | -1
2026-02-12 | 1
2026-02-21 | -1
2026-02-23 | 42
2026-03-17 | 1</t>
  </si>
  <si>
    <t>2026-01-27 | 30
2026-02-11 | -1</t>
  </si>
  <si>
    <t>ZAK-1.17-CR-空派-1-12.65-0.1-HGR6-15.5</t>
  </si>
  <si>
    <t>2026-01-17 09:38</t>
  </si>
  <si>
    <t>2026-01-28 12:58</t>
  </si>
  <si>
    <t>2026-02-22 19:03</t>
  </si>
  <si>
    <t>6OBHHFJG</t>
  </si>
  <si>
    <t>SP260117010</t>
  </si>
  <si>
    <t>2026-01-27 | 35
2026-02-13 | -1
2026-02-22 | 1</t>
  </si>
  <si>
    <t>2026-01-27 | 40
2026-01-31 | -1</t>
  </si>
  <si>
    <t>OFZ-1.17-YS-空派-1-12.86-0.07-HGR6-14.4</t>
  </si>
  <si>
    <t>2026-01-17 09:34</t>
  </si>
  <si>
    <t>2026-01-17 17:53</t>
  </si>
  <si>
    <t>2026-02-18 19:21</t>
  </si>
  <si>
    <t>8SCCQLNW</t>
  </si>
  <si>
    <t>2026-05-19 20:01</t>
  </si>
  <si>
    <t>SP260117009</t>
  </si>
  <si>
    <t>2026-01-27 | 60
2026-02-10 | -2
2026-02-23 | 1
2026-02-26 | -1</t>
  </si>
  <si>
    <t>CXF-1.17-CQ-空派-1-12.57-0.07-HGR6-10.7</t>
  </si>
  <si>
    <t>2026-01-17 09:33</t>
  </si>
  <si>
    <t>2026-01-17 18:15</t>
  </si>
  <si>
    <t>2026-02-17 13:37</t>
  </si>
  <si>
    <t>417EHVSK</t>
  </si>
  <si>
    <t>SP260117008</t>
  </si>
  <si>
    <t>CQ11615</t>
  </si>
  <si>
    <t>X004QZESR7</t>
  </si>
  <si>
    <t>B0CW38D1JW</t>
  </si>
  <si>
    <t>B0GY7HCC3K</t>
  </si>
  <si>
    <t>【CQ11615】-玫瑰金21岁生日盒子3件套-创奇</t>
  </si>
  <si>
    <t>2026-01-27 | 15</t>
  </si>
  <si>
    <t>2026-01-27 | 50
2026-02-09 | -1
2026-02-12 | 1</t>
  </si>
  <si>
    <t>KMC-1.17-JY-空派-2-28-0.11-HGR6-28</t>
  </si>
  <si>
    <t>2026-01-17 09:32</t>
  </si>
  <si>
    <t>2026-01-28 17:25</t>
  </si>
  <si>
    <t>2026-02-16 10:15</t>
  </si>
  <si>
    <t>1UM4BZMX</t>
  </si>
  <si>
    <t>SP260117007</t>
  </si>
  <si>
    <t>2026-01-28 | 100
2026-02-07 | 4
2026-02-10 | 1
2026-02-12 | 35
2026-02-14 | 2
2026-02-17 | -34
2026-02-20 | -5
2026-02-22 | -3</t>
  </si>
  <si>
    <t>JY01219</t>
  </si>
  <si>
    <t>X004JJB567</t>
  </si>
  <si>
    <t>B0DTH3WSTP</t>
  </si>
  <si>
    <t>B0GD15FVV6</t>
  </si>
  <si>
    <t>2502-【JY01219】-玫瑰金1岁照片蜂窝-进益</t>
  </si>
  <si>
    <t>2026-01-28 | 75</t>
  </si>
  <si>
    <t>PQU-1.17-SX-空派-4-72.75-0.27-HGR6-59.2</t>
  </si>
  <si>
    <t>2026-01-17 09:25</t>
  </si>
  <si>
    <t>2026-01-17 18:34</t>
  </si>
  <si>
    <t>2026-01-28 12:56</t>
  </si>
  <si>
    <t>2026-02-21 19:28</t>
  </si>
  <si>
    <t>8BOM412O</t>
  </si>
  <si>
    <t>2026-02-24 16:56</t>
  </si>
  <si>
    <t>SP260117006</t>
  </si>
  <si>
    <t>SX00352</t>
  </si>
  <si>
    <t>X004IXRNLP</t>
  </si>
  <si>
    <t>B0DSFNYC9T</t>
  </si>
  <si>
    <t>B0F4R8RVQM</t>
  </si>
  <si>
    <t>2501-【SX00352】-金粉18岁蜂窝海报套装-势兴</t>
  </si>
  <si>
    <t>2026-01-27 | 40</t>
  </si>
  <si>
    <t>SX00325</t>
  </si>
  <si>
    <t>X004B9EHA1</t>
  </si>
  <si>
    <t>B0D91L4KX1</t>
  </si>
  <si>
    <t>B0DB199BZJ</t>
  </si>
  <si>
    <t>2407-【SX00325】-玫瑰金60岁蜂窝海报套装-势兴（淘汰）</t>
  </si>
  <si>
    <t>2026-01-27 | 40
2026-02-22 | -1</t>
  </si>
  <si>
    <t>SX00303</t>
  </si>
  <si>
    <t>X0042U62YN</t>
  </si>
  <si>
    <t>B0CQQ97BHB</t>
  </si>
  <si>
    <t>2401-【SX00303】-黑金50岁蜂窝海报套装-势兴</t>
  </si>
  <si>
    <t>2026-01-28 | 40
2026-02-12 | -2
2026-02-14 | -2
2026-02-22 | 2
2026-02-25 | 2</t>
  </si>
  <si>
    <t>SX00185</t>
  </si>
  <si>
    <t>X003AP3I4X</t>
  </si>
  <si>
    <t>B0B55YKZJF</t>
  </si>
  <si>
    <t>B0BFL11ZDF</t>
  </si>
  <si>
    <t>【SX00185】-金粉40岁干杯海报-势兴</t>
  </si>
  <si>
    <t>2026-01-27 | 40
2026-02-06 | 5
2026-02-08 | -1
2026-02-10 | -4</t>
  </si>
  <si>
    <t>SX00173</t>
  </si>
  <si>
    <t>X0033JIMLP</t>
  </si>
  <si>
    <t>B09NBF88G5</t>
  </si>
  <si>
    <t>B0BFKNZGWC</t>
  </si>
  <si>
    <t>【SX00173】-金粉80岁生日门联-势兴</t>
  </si>
  <si>
    <t>2026-01-27 | 70</t>
  </si>
  <si>
    <t>SX00142</t>
  </si>
  <si>
    <t>X002ZYKEIN</t>
  </si>
  <si>
    <t>B09DT2Y3VK</t>
  </si>
  <si>
    <t>【SX00142】-金粉16岁生日长方形海报-势兴</t>
  </si>
  <si>
    <t>2026-01-27 | 53
2026-02-06 | -9
2026-02-08 | -1
2026-02-08 | -3
2026-02-09 | -1
2026-02-10 | -3
2026-02-11 | -2
2026-02-13 | -4</t>
  </si>
  <si>
    <t>SX00125</t>
  </si>
  <si>
    <t>X002Z8W6Q7</t>
  </si>
  <si>
    <t>B09C1FS8BK</t>
  </si>
  <si>
    <t>B0C9M2TH45</t>
  </si>
  <si>
    <t>【SX00125】-金粉70岁生日长方形海报-势兴</t>
  </si>
  <si>
    <t>2026-01-27 | 20
2026-01-28 | 15
2026-02-06 | 3
2026-02-10 | -3</t>
  </si>
  <si>
    <t>QXZ-1.14-DX-红单-2-25.2-0.14-HGR6-16</t>
  </si>
  <si>
    <t>2026-01-14 19:53</t>
  </si>
  <si>
    <t>2026-01-15 09:57</t>
  </si>
  <si>
    <t>2026-01-21 10:26</t>
  </si>
  <si>
    <t>2026-02-15 15:24</t>
  </si>
  <si>
    <t>2KOQJYLD</t>
  </si>
  <si>
    <t>SP260114018</t>
  </si>
  <si>
    <t>2026-01-23</t>
  </si>
  <si>
    <t>2026-01-20 | 50
2026-01-21 | 50</t>
  </si>
  <si>
    <t>QZW-1.14-ZY-红单-1-17.1-0.1-HGR6-7.92</t>
  </si>
  <si>
    <t>2026-01-14 19:51</t>
  </si>
  <si>
    <t>2026-01-21 10:25</t>
  </si>
  <si>
    <t>2026-02-06 21:48</t>
  </si>
  <si>
    <t>7R1MC2VF</t>
  </si>
  <si>
    <t>2026-02-08 11:00</t>
  </si>
  <si>
    <t>SP260114019</t>
  </si>
  <si>
    <t>2026-01-20 | 36</t>
  </si>
  <si>
    <t>UNB-1.14-ZY-空派-2-30.6-0.19-HGR6-14.08</t>
  </si>
  <si>
    <t>1Z9X02R50390936897</t>
  </si>
  <si>
    <t>2026-01-14 17:58</t>
  </si>
  <si>
    <t>2026-01-15 10:00</t>
  </si>
  <si>
    <t>2026-01-23 10:11</t>
  </si>
  <si>
    <t>2026-02-10 13:16</t>
  </si>
  <si>
    <t>1QGIZTTN</t>
  </si>
  <si>
    <t>2026-02-12 17:15</t>
  </si>
  <si>
    <t>SP260114017</t>
  </si>
  <si>
    <t>2026-01-22 | 32
2026-01-23 | 32</t>
  </si>
  <si>
    <t>IBH-1.14-DX-空派-2-30.7-0.12-HGR6-24</t>
  </si>
  <si>
    <t>1Z9X02R50394675108</t>
  </si>
  <si>
    <t>2026-01-14 17:53</t>
  </si>
  <si>
    <t>2026-01-15 10:01</t>
  </si>
  <si>
    <t>2026-01-24 08:41</t>
  </si>
  <si>
    <t>2026-02-18 12:32</t>
  </si>
  <si>
    <t>8N5YY6TV</t>
  </si>
  <si>
    <t>SP260114016</t>
  </si>
  <si>
    <t>2026-01-23 | 100</t>
  </si>
  <si>
    <t>DX05961</t>
  </si>
  <si>
    <t>X004VLEDDZ</t>
  </si>
  <si>
    <t>B0CYLJM7XF</t>
  </si>
  <si>
    <t>2026-【DX05961】-黑金40岁年份气球签名本-定行</t>
  </si>
  <si>
    <t>2026-01-23 | 50</t>
  </si>
  <si>
    <t>RDK-1.14-DX-红单-1-21.8-0.09-LBE1-18.6</t>
  </si>
  <si>
    <t>1ZB6001K6615936546</t>
  </si>
  <si>
    <t>2026-01-14 09:46</t>
  </si>
  <si>
    <t>2026-01-14 10:00</t>
  </si>
  <si>
    <t>2026-01-18 09:51</t>
  </si>
  <si>
    <t>2026-02-07 20:37</t>
  </si>
  <si>
    <t>1EC1O7DI</t>
  </si>
  <si>
    <t>2026-05-08 21:01</t>
  </si>
  <si>
    <t>SP260114015</t>
  </si>
  <si>
    <t>2026-01-22</t>
  </si>
  <si>
    <t>DX05989</t>
  </si>
  <si>
    <t>X004WBZAOP</t>
  </si>
  <si>
    <t>B0FQJJ7B62</t>
  </si>
  <si>
    <t>2026-【DX05989】-绿金70岁气球漩涡套装-定行（气球真空）</t>
  </si>
  <si>
    <t>2026-01-17 | 70
2026-01-24 | -1
2026-01-27 | 1</t>
  </si>
  <si>
    <t>DX05996</t>
  </si>
  <si>
    <t>X004WBYHHV</t>
  </si>
  <si>
    <t>B0FKFVLTHS</t>
  </si>
  <si>
    <t>B0G8TC131J</t>
  </si>
  <si>
    <t>2026-【DX05996】-复古1956拉旗套装-定行（点胶固定）</t>
  </si>
  <si>
    <t>2026-01-17 | 20
2026-02-03 | -1
2026-05-19 | 1</t>
  </si>
  <si>
    <t>YTK-1.13-CQ-空派-2-32.2-0.13-HGR6-35.6</t>
  </si>
  <si>
    <t>1Z831A610338362752</t>
  </si>
  <si>
    <t>2026-01-13 14:58</t>
  </si>
  <si>
    <t>2026-01-13 22:15</t>
  </si>
  <si>
    <t>2026-01-22 17:20</t>
  </si>
  <si>
    <t>2026-02-18 22:27</t>
  </si>
  <si>
    <t>2IA72IFZ</t>
  </si>
  <si>
    <t>2026-03-19 13:00</t>
  </si>
  <si>
    <t>SP260113022</t>
  </si>
  <si>
    <t>2026-01-27</t>
  </si>
  <si>
    <t>2026-01-22 | 100
2026-02-02 | -1
2026-02-02 | -1
2026-02-04 | -1
2026-02-05 | 1
2026-02-21 | 1
2026-02-21 | 1
2026-03-02 | -1
2026-03-04 | 1</t>
  </si>
  <si>
    <t>2026-01-22 | 110
2026-02-01 | -1
2026-02-02 | -1
2026-02-02 | -1
2026-02-02 | 1
2026-02-05 | -1
2026-02-05 | 1
2026-02-21 | 2
2026-03-02 | -2
2026-03-06 | 1
2026-03-18 | 1</t>
  </si>
  <si>
    <t>ZCU-1.13-JY-空派-1-16.65-0.09-HGR6-17.64</t>
  </si>
  <si>
    <t>1Z831A610338159375</t>
  </si>
  <si>
    <t>2026-01-13 14:57</t>
  </si>
  <si>
    <t>2026-01-13 22:16</t>
  </si>
  <si>
    <t>2026-01-22 17:22</t>
  </si>
  <si>
    <t>2026-02-16 21:48</t>
  </si>
  <si>
    <t>1O8J4FNZ</t>
  </si>
  <si>
    <t>SP260113026</t>
  </si>
  <si>
    <t>JY01177</t>
  </si>
  <si>
    <t>X004DNJ9GR</t>
  </si>
  <si>
    <t>B0DFPBM3YC</t>
  </si>
  <si>
    <t>B0DRJG2D34</t>
  </si>
  <si>
    <t>2409-【JY01177】-黑金60岁拉花横幅套装-进益</t>
  </si>
  <si>
    <t>2026-01-22 | 98
2026-01-23 | 1
2026-02-24 | -1</t>
  </si>
  <si>
    <t>MRH-1.13-PT-空派-1-14.12-0.9-HGR6-19.2</t>
  </si>
  <si>
    <t>1Z831A610327438807</t>
  </si>
  <si>
    <t>2026-01-13 14:56</t>
  </si>
  <si>
    <t>2026-01-13 22:06</t>
  </si>
  <si>
    <t>2026-01-22 16:55</t>
  </si>
  <si>
    <t>2026-02-18 03:04</t>
  </si>
  <si>
    <t>5LJGUV1K</t>
  </si>
  <si>
    <t>2026-02-24 17:00</t>
  </si>
  <si>
    <t>SP260113023</t>
  </si>
  <si>
    <t>2026-01-22 | 90</t>
  </si>
  <si>
    <t>2026-01-22 | 30</t>
  </si>
  <si>
    <t>AOW-1.13-CR-空派-2-15.35-0.15-HGR6-17.46</t>
  </si>
  <si>
    <t>1Z831A610320552768</t>
  </si>
  <si>
    <t>2026-01-13 14:52</t>
  </si>
  <si>
    <t>2026-01-22 17:08</t>
  </si>
  <si>
    <t>2026-02-17 09:32</t>
  </si>
  <si>
    <t>2LYWTJDX</t>
  </si>
  <si>
    <t>2026-05-18 10:01</t>
  </si>
  <si>
    <t>SP260113027</t>
  </si>
  <si>
    <t>CR32519</t>
  </si>
  <si>
    <t>X004VFT1LZ</t>
  </si>
  <si>
    <t>B0FVXFX289</t>
  </si>
  <si>
    <t>【CR32519】-黑金21岁皇冠肩带-辰瑞</t>
  </si>
  <si>
    <t>2026-01-22 | 97
2026-02-02 | -1
2026-03-18 | -1
2026-03-20 | 1</t>
  </si>
  <si>
    <t>HBA-1.13-SX-红单-3-49.75-HGR6</t>
  </si>
  <si>
    <t>1Z35928A6625269518</t>
  </si>
  <si>
    <t>2026-01-13 14:09</t>
  </si>
  <si>
    <t>2026-01-13 22:13</t>
  </si>
  <si>
    <t>2026-01-31 04:05</t>
  </si>
  <si>
    <t>2026-02-27 02:19</t>
  </si>
  <si>
    <t>4W4KWI7J</t>
  </si>
  <si>
    <t>SP260113025</t>
  </si>
  <si>
    <t>2026-01-30 | 50</t>
  </si>
  <si>
    <t>2026-01-30 | 100</t>
  </si>
  <si>
    <t>ZYG-1.13-DX-红单-1-22.2-HGR6</t>
  </si>
  <si>
    <t>1Z35928A6625782945</t>
  </si>
  <si>
    <t>2026-01-13 22:05</t>
  </si>
  <si>
    <t>2026-02-10 17:36</t>
  </si>
  <si>
    <t>2026-02-21 20:54</t>
  </si>
  <si>
    <t>4S4AKI1C</t>
  </si>
  <si>
    <t>SP260113024</t>
  </si>
  <si>
    <t>2026-02-10 | 50</t>
  </si>
  <si>
    <t>DX05918</t>
  </si>
  <si>
    <t>X004SQ4W6L</t>
  </si>
  <si>
    <t>B0FM2MYT4Q</t>
  </si>
  <si>
    <t>【DX05918】-紫色60岁生日音乐贺卡-定行</t>
  </si>
  <si>
    <t>2026-02-10 | 70</t>
  </si>
  <si>
    <t>DX05927</t>
  </si>
  <si>
    <t>X004UB7AD1</t>
  </si>
  <si>
    <t>B0FRDKY8JB</t>
  </si>
  <si>
    <t>【DX05927】-蓝银9岁兄弟横幅套装-定行（气球真空+点胶固定）</t>
  </si>
  <si>
    <t>2026-02-10 | 80</t>
  </si>
  <si>
    <t>HWK-电-1.10-SYC-空派-1-17.75-0.09-RYY2-45.76</t>
  </si>
  <si>
    <t>2026-01-10 11:37</t>
  </si>
  <si>
    <t>2026-01-10 14:01</t>
  </si>
  <si>
    <t>2026-01-22 16:38</t>
  </si>
  <si>
    <t>2026-02-15 16:57</t>
  </si>
  <si>
    <t>1G43XFQP</t>
  </si>
  <si>
    <t>2026-05-16 17:01</t>
  </si>
  <si>
    <t>SP260110062</t>
  </si>
  <si>
    <t>2026-01-22 | 176
2026-01-26 | 2
2026-01-31 | -3
2026-02-09 | -1
2026-03-12 | 1</t>
  </si>
  <si>
    <t>QND-1.9-YS-空派-4-64.85-0.4-LBE1</t>
  </si>
  <si>
    <t>2026-01-09 19:23</t>
  </si>
  <si>
    <t>2026-01-09 21:51</t>
  </si>
  <si>
    <t>2026-01-16 02:52</t>
  </si>
  <si>
    <t>2026-02-13 00:15</t>
  </si>
  <si>
    <t>8TQ79JAV</t>
  </si>
  <si>
    <t>SP260109050</t>
  </si>
  <si>
    <t>2026-01-11</t>
  </si>
  <si>
    <t>YS06706</t>
  </si>
  <si>
    <t>X004XYQO69</t>
  </si>
  <si>
    <t>B0G6D4L8B9</t>
  </si>
  <si>
    <t>【YS06706】-黑金30岁酒杯海报套装-艺胜</t>
  </si>
  <si>
    <t>2026-01-15 | 20
2026-01-16 | 10
2026-01-18 | 10</t>
  </si>
  <si>
    <t>2026-01-15 | 50
2026-01-16 | 24
2026-01-18 | 1
2026-01-18 | 24
2026-01-19 | 1
2026-03-11 | -1</t>
  </si>
  <si>
    <t>SSE-1.9-CR-空派-1-20.7-0.1-LBE1</t>
  </si>
  <si>
    <t>2026-01-09 21:41</t>
  </si>
  <si>
    <t>2026-01-16 02:59</t>
  </si>
  <si>
    <t>2026-02-04 19:23</t>
  </si>
  <si>
    <t>16LTE4DN</t>
  </si>
  <si>
    <t>2026-05-05 20:01</t>
  </si>
  <si>
    <t>SP260109051</t>
  </si>
  <si>
    <t>2026-01-15 | 77
2026-01-31 | -5
2026-04-06 | 1</t>
  </si>
  <si>
    <t>CR32524</t>
  </si>
  <si>
    <t>X004WQ9PWX</t>
  </si>
  <si>
    <t>B0G1M2GVCX</t>
  </si>
  <si>
    <t>2026-【CR32524】-蓝黑70岁年份海报套装-辰瑞</t>
  </si>
  <si>
    <t>2026-01-15 | 19</t>
  </si>
  <si>
    <t>2026-01-15 | 20</t>
  </si>
  <si>
    <t>2026-01-15 | 6</t>
  </si>
  <si>
    <t>VTM-1.9-DX-空派-1-16.8-0.07-LBE1</t>
  </si>
  <si>
    <t>2026-01-09 21:43</t>
  </si>
  <si>
    <t>2026-01-16 05:48</t>
  </si>
  <si>
    <t>2026-02-05 07:41</t>
  </si>
  <si>
    <t>2M5113PS</t>
  </si>
  <si>
    <t>2026-02-08 10:59</t>
  </si>
  <si>
    <t>SP260109052</t>
  </si>
  <si>
    <t>2026-01-15 | 38</t>
  </si>
  <si>
    <t>2026-01-15 | 8</t>
  </si>
  <si>
    <t>DX05956</t>
  </si>
  <si>
    <t>X004VLVTIR</t>
  </si>
  <si>
    <t>B0D734WDF9</t>
  </si>
  <si>
    <t>2026-【DX05956】-黑金70岁年份气球签名本-定行</t>
  </si>
  <si>
    <t>2026-01-15 | 3</t>
  </si>
  <si>
    <t>DX05943</t>
  </si>
  <si>
    <t>X004VAV8WP</t>
  </si>
  <si>
    <t>B0DMW4QW3Z</t>
  </si>
  <si>
    <t>2026-【DX05943】-玫瑰金40岁年份双横幅套装-定行（点胶固定）</t>
  </si>
  <si>
    <t>2026-01-15 | 4</t>
  </si>
  <si>
    <t>DX05941</t>
  </si>
  <si>
    <t>X004VAU2EP</t>
  </si>
  <si>
    <t>B0DTDGX9XY</t>
  </si>
  <si>
    <t>2026-【DX05941】-玫瑰金60岁年份双横幅套装-定行（点胶固定）</t>
  </si>
  <si>
    <t>2026-01-15 | 2</t>
  </si>
  <si>
    <t>DX05933</t>
  </si>
  <si>
    <t>X004VJXK6X</t>
  </si>
  <si>
    <t>B0DXV52S9Y</t>
  </si>
  <si>
    <t>2026-【DX05933】-黑金30岁年份双横幅套装-定行（点胶固定）</t>
  </si>
  <si>
    <t>TOJ-1.9-YS-红单-2-29.48-0.18-LBE1</t>
  </si>
  <si>
    <t>1Z35928A6614619295</t>
  </si>
  <si>
    <t>2026-01-09 18:57</t>
  </si>
  <si>
    <t>2026-01-13 18:09</t>
  </si>
  <si>
    <t>2026-01-29 19:02</t>
  </si>
  <si>
    <t>2YX84YRK</t>
  </si>
  <si>
    <t>2026-04-29 20:01</t>
  </si>
  <si>
    <t>SP260109048</t>
  </si>
  <si>
    <t>2026-01-17</t>
  </si>
  <si>
    <t>2026-01-13 | 56
2026-01-21 | -1
2026-01-21 | -1
2026-01-23 | -1
2026-02-10 | 1
2026-02-10 | 1
2026-04-04 | -2</t>
  </si>
  <si>
    <t>YHX-1.9-DX-红单-1-21.8-0.1-LBE1</t>
  </si>
  <si>
    <t>1Z35928A6612975118</t>
  </si>
  <si>
    <t>2026-01-09 18:54</t>
  </si>
  <si>
    <t>2026-01-13 18:18</t>
  </si>
  <si>
    <t>2026-02-02 10:14</t>
  </si>
  <si>
    <t>15OPJK8Y</t>
  </si>
  <si>
    <t>2026-05-20 22:21</t>
  </si>
  <si>
    <t>SP260109047</t>
  </si>
  <si>
    <t>2026-01-13 | 83
2026-01-23 | -1
2026-01-24 | -1
2026-01-29 | 1
2026-05-19 | 1</t>
  </si>
  <si>
    <t>HHN 电-1.9-SYC-红单-2-27.6-0.15-LBE1-43.52</t>
  </si>
  <si>
    <t>1Z35928A6605622673</t>
  </si>
  <si>
    <t>2026-01-09 18:53</t>
  </si>
  <si>
    <t>2026-01-13 18:21</t>
  </si>
  <si>
    <t>2026-02-02 13:24</t>
  </si>
  <si>
    <t>4EIMNZPC</t>
  </si>
  <si>
    <t>2026-02-08 17:00</t>
  </si>
  <si>
    <t>SP260109049</t>
  </si>
  <si>
    <t>SYC576</t>
  </si>
  <si>
    <t>X004WJEEL7</t>
  </si>
  <si>
    <t>B0FZT9Y6XR</t>
  </si>
  <si>
    <t>【SYC576】-多彩18岁生日音乐贺卡-思业成</t>
  </si>
  <si>
    <t>2026-01-13 | 136
2026-01-30 | -1
2026-01-30 | -1
2026-02-07 | 1
2026-02-07 | 1</t>
  </si>
  <si>
    <t>SYC578</t>
  </si>
  <si>
    <t>X004WL0XER</t>
  </si>
  <si>
    <t>B0G11M8FPC</t>
  </si>
  <si>
    <t>【SYC578】-深蓝80岁生日音乐贺卡-思业成</t>
  </si>
  <si>
    <t>2026-01-13 | 272
2026-01-18 | -115</t>
  </si>
  <si>
    <t>NYG 木+电-1.9-CQ-空派-1-14.65-0.07-HGR6-17.36</t>
  </si>
  <si>
    <t>2026-01-09 18:45</t>
  </si>
  <si>
    <t>2026-01-09 21:27</t>
  </si>
  <si>
    <t>2026-01-29 21:58</t>
  </si>
  <si>
    <t>2026-02-03 05:54</t>
  </si>
  <si>
    <t>4CIJE7OK</t>
  </si>
  <si>
    <t>2026-02-04 09:09</t>
  </si>
  <si>
    <t>SP260109046</t>
  </si>
  <si>
    <t>CQ11695</t>
  </si>
  <si>
    <t>X004VMLL7P</t>
  </si>
  <si>
    <t>B0CLXRRDN6</t>
  </si>
  <si>
    <t>2026-【CQ11695】-黑金1926小海报木板-创奇</t>
  </si>
  <si>
    <t>2026-01-29 | 60</t>
  </si>
  <si>
    <t>2026-01-29 | 31</t>
  </si>
  <si>
    <t>2026-01-29 | 4</t>
  </si>
  <si>
    <t>CQ11704</t>
  </si>
  <si>
    <t>X004W0FG4F</t>
  </si>
  <si>
    <t>B0FX3TY7FD</t>
  </si>
  <si>
    <t>2026-【CQ11704】-玫瑰金16岁木摆件4件套-创奇</t>
  </si>
  <si>
    <t>2026-01-29 | 12</t>
  </si>
  <si>
    <t>WKG-1.8-DM-红单-2-23.5-LBE1</t>
  </si>
  <si>
    <t>2026-01-08 16:54</t>
  </si>
  <si>
    <t>2026-01-09 09:36</t>
  </si>
  <si>
    <t>2026-01-13 17:40</t>
  </si>
  <si>
    <t>2026-01-31 19:50</t>
  </si>
  <si>
    <t>2S3XTXNO</t>
  </si>
  <si>
    <t>2026-05-01 20:01</t>
  </si>
  <si>
    <t>SP260108012</t>
  </si>
  <si>
    <t>2026-01-20</t>
  </si>
  <si>
    <t>DM21342</t>
  </si>
  <si>
    <t>X00446ZCI7</t>
  </si>
  <si>
    <t>B0CTDVJ2RZ</t>
  </si>
  <si>
    <t>B0CVVLSWRF</t>
  </si>
  <si>
    <t>2401-【DM21342】-玫瑰金60岁眼镜24件套-大卖</t>
  </si>
  <si>
    <t>2026-01-13 | 30
2026-01-22 | -1
2026-01-23 | 1</t>
  </si>
  <si>
    <t>DM21324</t>
  </si>
  <si>
    <t>X003ZOHUY3</t>
  </si>
  <si>
    <t>B0CKLFYMS5</t>
  </si>
  <si>
    <t>New12-【DM21324】-黑金传奇60岁海报-大卖</t>
  </si>
  <si>
    <t>2026-01-13 | 3</t>
  </si>
  <si>
    <t>2026-01-13 | 4
2026-02-01 | -1
2026-02-23 | 1</t>
  </si>
  <si>
    <t>DM21438</t>
  </si>
  <si>
    <t>X004VEAVTH</t>
  </si>
  <si>
    <t>B0CTC7DR95</t>
  </si>
  <si>
    <t>2026-【DM21438】-黑金60岁年份海报套装-大卖</t>
  </si>
  <si>
    <t>DM21439</t>
  </si>
  <si>
    <t>X004VE7NE3</t>
  </si>
  <si>
    <t>B0CVXGX36N</t>
  </si>
  <si>
    <t>2026-【DM21439】-黑金30岁年份海报套装-大卖</t>
  </si>
  <si>
    <t>2026-01-13 | 4</t>
  </si>
  <si>
    <t>2026-01-13 | 9</t>
  </si>
  <si>
    <t>DM21443</t>
  </si>
  <si>
    <t>X004VDY77F</t>
  </si>
  <si>
    <t>B0CXHT32S9</t>
  </si>
  <si>
    <t>2026-【DM21443】-黑金18岁年份海报套装-大卖</t>
  </si>
  <si>
    <t>DM21449</t>
  </si>
  <si>
    <t>X004VE7V09</t>
  </si>
  <si>
    <t>B0D1XSS72N</t>
  </si>
  <si>
    <t>2026-【DM21449】-玫瑰金80岁年份海报套装-大卖</t>
  </si>
  <si>
    <t>DM21458</t>
  </si>
  <si>
    <t>X004VE8X3N</t>
  </si>
  <si>
    <t>B0CW11DS3D</t>
  </si>
  <si>
    <t>2026-【DM21458】-玫瑰金1946小海报木板-大卖</t>
  </si>
  <si>
    <t>2026-01-13 | 30
2026-01-31 | -1</t>
  </si>
  <si>
    <t>LMY-1.8-JY-红单-1-18.7-LBE1</t>
  </si>
  <si>
    <t>2026-01-08 16:03</t>
  </si>
  <si>
    <t>2026-01-09 09:25</t>
  </si>
  <si>
    <t>2026-01-13 17:52</t>
  </si>
  <si>
    <t>2026-02-02 02:17</t>
  </si>
  <si>
    <t>4M4TR82S</t>
  </si>
  <si>
    <t>2026-05-03 03:01</t>
  </si>
  <si>
    <t>SP260108011</t>
  </si>
  <si>
    <t>2026-01-13 | 47
2026-01-22 | -1
2026-01-25 | 2
2026-01-26 | -3
2026-01-26 | 1
2026-02-15 | 1
2026-02-18 | -1</t>
  </si>
  <si>
    <t>JY01287</t>
  </si>
  <si>
    <t>X004VUHGIZ</t>
  </si>
  <si>
    <t>B0FX4MK399</t>
  </si>
  <si>
    <t>2026-【JY01287】-金粉80年份气球小木板-进益</t>
  </si>
  <si>
    <t>2026-01-13 | 105
2026-01-18 | 1
2026-01-25 | 6
2026-01-26 | -8
2026-01-31 | -1
2026-02-06 | 1
2026-02-06 | 1</t>
  </si>
  <si>
    <t>JY01274</t>
  </si>
  <si>
    <t>X004UE23WB</t>
  </si>
  <si>
    <t>B0DP5YPW2S</t>
  </si>
  <si>
    <t>B0GD6Z45XW</t>
  </si>
  <si>
    <t>2026-【JY01274】-黑金70年份气球小木板-进益</t>
  </si>
  <si>
    <t>2026-01-13 | 20
2026-01-25 | 3
2026-01-26 | -3</t>
  </si>
  <si>
    <t>XBF-1.7-SX-空派-1-14.55-LBE1</t>
  </si>
  <si>
    <t>2026-01-07 16:26</t>
  </si>
  <si>
    <t>2026-01-07 18:41</t>
  </si>
  <si>
    <t>2026-01-17 16:22</t>
  </si>
  <si>
    <t>2026-01-31 19:15</t>
  </si>
  <si>
    <t>6LFVXZFE</t>
  </si>
  <si>
    <t>SP260107007</t>
  </si>
  <si>
    <t>2026-01-17 | 34</t>
  </si>
  <si>
    <t>HNA-1.7-YS-空派-4-63.19-0.42-LBE1-26.62</t>
  </si>
  <si>
    <t>2026-01-07 16:25</t>
  </si>
  <si>
    <t>2026-01-07 18:53</t>
  </si>
  <si>
    <t>2026-01-17 16:16</t>
  </si>
  <si>
    <t>2026-02-07 21:06</t>
  </si>
  <si>
    <t>5OQX5KMG</t>
  </si>
  <si>
    <t>2026-05-08 22:01</t>
  </si>
  <si>
    <t>SP260107006</t>
  </si>
  <si>
    <t>2026-01-17 | 116
2026-01-23 | -1
2026-01-28 | -1
2026-01-30 | -1
2026-02-05 | -1
2026-02-14 | 1</t>
  </si>
  <si>
    <t>2026-01-17 | 5</t>
  </si>
  <si>
    <t>ZFA-木-1.7-CQ-空派-1-14.65-0.07-HGR6</t>
  </si>
  <si>
    <t>2026-01-07 15:54</t>
  </si>
  <si>
    <t>2026-01-07 18:47</t>
  </si>
  <si>
    <t>2026-01-18 21:11</t>
  </si>
  <si>
    <t>2026-02-02 08:46</t>
  </si>
  <si>
    <t>44NOVXKV</t>
  </si>
  <si>
    <t>SP260107005</t>
  </si>
  <si>
    <t>2026-01-18 | 44</t>
  </si>
  <si>
    <t>2026-01-18 | 20</t>
  </si>
  <si>
    <t>2026-01-18 | 6</t>
  </si>
  <si>
    <t>ZIQ-1.6-DX-空派-2-27.2-LBE1</t>
  </si>
  <si>
    <t>2026-01-06 17:19</t>
  </si>
  <si>
    <t>2026-01-06 19:09</t>
  </si>
  <si>
    <t>2026-01-16 23:35</t>
  </si>
  <si>
    <t>2026-02-07 17:30</t>
  </si>
  <si>
    <t>8YQMQYRR</t>
  </si>
  <si>
    <t>2026-05-08 18:01</t>
  </si>
  <si>
    <t>SP260106007</t>
  </si>
  <si>
    <t>2026-01-19</t>
  </si>
  <si>
    <t>2026-01-16 | 19
2026-02-08 | -1
2026-02-14 | 1</t>
  </si>
  <si>
    <t>2026-01-16 | 39</t>
  </si>
  <si>
    <t>DX05686</t>
  </si>
  <si>
    <t>X003KTSIZX</t>
  </si>
  <si>
    <t>B0BQW4CWRD</t>
  </si>
  <si>
    <t>【DX05686】-金粉小号1岁海报加拱圈-定行</t>
  </si>
  <si>
    <t>2026-01-16 | 9
2026-01-17 | 5
2026-01-31 | -5</t>
  </si>
  <si>
    <t>2026-01-16 | 34
2026-02-08 | -1
2026-02-10 | -1</t>
  </si>
  <si>
    <t>AXM-1.6-ZY-空派-1-12.7-LBE1</t>
  </si>
  <si>
    <t>2026-01-17 11:16</t>
  </si>
  <si>
    <t>2026-02-07 09:17</t>
  </si>
  <si>
    <t>6SWZAVFE</t>
  </si>
  <si>
    <t>2026-02-08 11:01</t>
  </si>
  <si>
    <t>SP260106006</t>
  </si>
  <si>
    <t>ZY02267</t>
  </si>
  <si>
    <t>X004VPE3NB</t>
  </si>
  <si>
    <t>B0FWRR26YL</t>
  </si>
  <si>
    <t>2026-【ZY02267】-金粉1946异形签名本-争艳</t>
  </si>
  <si>
    <t>2026-01-16 | 4</t>
  </si>
  <si>
    <t>2026-01-16 | 75
2026-01-30 | 2
2026-02-24 | -2</t>
  </si>
  <si>
    <t>ZY02251</t>
  </si>
  <si>
    <t>X004VP8XCD</t>
  </si>
  <si>
    <t>B0FH274N69</t>
  </si>
  <si>
    <t>2026-【ZY02251】-玫瑰金2013年份三角拉旗套装-争艳（点胶固定）</t>
  </si>
  <si>
    <t>2026-01-16 | 41</t>
  </si>
  <si>
    <t>VEL-电-1.6-CR-空派-1-13.7-0.07-LBE1-19.52</t>
  </si>
  <si>
    <t>2026-01-06 16:53</t>
  </si>
  <si>
    <t>2026-01-06 19:05</t>
  </si>
  <si>
    <t>2026-01-17 02:59</t>
  </si>
  <si>
    <t>2026-02-06 06:44</t>
  </si>
  <si>
    <t>52NXNQ2W</t>
  </si>
  <si>
    <t>2026-05-07 07:01</t>
  </si>
  <si>
    <t>SP260106004</t>
  </si>
  <si>
    <t>2026-01-21</t>
  </si>
  <si>
    <t>CR32490</t>
  </si>
  <si>
    <t>X004SWK8KJ</t>
  </si>
  <si>
    <t>B0FMK7H7ZN</t>
  </si>
  <si>
    <t>B0FVFTQTF3</t>
  </si>
  <si>
    <t>【CR32490】-磨砂玫瑰金50岁生日音乐贺卡-辰瑞</t>
  </si>
  <si>
    <t>2026-01-16 | 53
2026-01-20 | -1
2026-02-07 | -1
2026-02-27 | -1</t>
  </si>
  <si>
    <t>2026-01-16 | 29</t>
  </si>
  <si>
    <t>2026-01-16 | 23
2026-02-05 | -1
2026-02-11 | 1</t>
  </si>
  <si>
    <t>CR32526</t>
  </si>
  <si>
    <t>X004WVWYAX</t>
  </si>
  <si>
    <t>B0G1YMTPBT</t>
  </si>
  <si>
    <t>2026-【CR32526】报纸色16岁气球签名本加丝带-辰瑞</t>
  </si>
  <si>
    <t>2026-01-16 | 20</t>
  </si>
  <si>
    <t>POW-1.6-CR-空派-4-74-0.21-LBE1-89</t>
  </si>
  <si>
    <t>2026-01-06 16:49</t>
  </si>
  <si>
    <t>2026-01-16 23:06</t>
  </si>
  <si>
    <t>2026-02-06 08:02</t>
  </si>
  <si>
    <t>7ZYPZCEH</t>
  </si>
  <si>
    <t>2026-05-07 09:01</t>
  </si>
  <si>
    <t>SP260106005</t>
  </si>
  <si>
    <t>2026-01-16 | 60
2026-01-30 | -1
2026-02-08 | -1
2026-02-09 | 1
2026-02-25 | 1</t>
  </si>
  <si>
    <t>2026-01-16 | 80
2026-01-24 | -4
2026-01-25 | 1
2026-01-25 | 3</t>
  </si>
  <si>
    <t>2026-01-16 | 60
2026-01-24 | -1
2026-04-14 | 1</t>
  </si>
  <si>
    <t>2026-01-16 | 80
2026-01-20 | -1
2026-01-24 | -1
2026-02-09 | 1
2026-02-10 | 1</t>
  </si>
  <si>
    <t>2026-01-16 | 30
2026-01-19 | 1
2026-01-25 | -1
2026-01-26 | -1
2026-01-27 | 1</t>
  </si>
  <si>
    <t>2026-01-16 | 20
2026-01-30 | 1
2026-02-05 | 1
2026-02-13 | -1
2026-02-16 | -1</t>
  </si>
  <si>
    <t>2026-01-16 | 20
2026-01-20 | -1
2026-01-23 | 1
2026-01-30 | -1
2026-02-04 | -1
2026-02-09 | 1
2026-02-16 | 1</t>
  </si>
  <si>
    <t>2026-01-16 | 50
2026-02-11 | -1</t>
  </si>
  <si>
    <t>CR32521</t>
  </si>
  <si>
    <t>X004VSQ3H7</t>
  </si>
  <si>
    <t>B0FX256LFW</t>
  </si>
  <si>
    <t>2026-【CR32521】-复古彩色50岁年份签名本-辰瑞</t>
  </si>
  <si>
    <t>2026-01-16 | 100
2026-01-17 | 20
2026-01-21 | -1
2026-01-25 | -1
2026-01-26 | -21
2026-01-30 | 1
2026-01-31 | -1
2026-01-31 | -1
2026-01-31 | 1
2026-02-02 | 1</t>
  </si>
  <si>
    <t>UNL-电-1.5-CQ-空派-1-20.6-0.1-LBE1-32.64</t>
  </si>
  <si>
    <t>2026-01-05 17:45</t>
  </si>
  <si>
    <t>2026-01-05 18:42</t>
  </si>
  <si>
    <t>2026-01-17 13:26</t>
  </si>
  <si>
    <t>2026-02-06 16:26</t>
  </si>
  <si>
    <t>6C42ELJV</t>
  </si>
  <si>
    <t>2026-05-07 17:01</t>
  </si>
  <si>
    <t>SP260105006</t>
  </si>
  <si>
    <t>CQ11735</t>
  </si>
  <si>
    <t>X004X9YDFN</t>
  </si>
  <si>
    <t>B0G3NS8L7N</t>
  </si>
  <si>
    <t>B0GHXSVVZW</t>
  </si>
  <si>
    <t>【CQ11735】-蓝彩40岁生日音乐贺卡-创奇</t>
  </si>
  <si>
    <t>2026-01-16 | 102
2026-01-19 | 1
2026-01-25 | -1</t>
  </si>
  <si>
    <t>CQ11736</t>
  </si>
  <si>
    <t>X004X9RT0T</t>
  </si>
  <si>
    <t>B0G3NT3TMC</t>
  </si>
  <si>
    <t>【CQ11736】-蓝彩60岁生日音乐贺卡-创奇</t>
  </si>
  <si>
    <t>2026-01-16 | 102
2026-01-31 | -1</t>
  </si>
  <si>
    <t>WFQ-1.5-DM-空派-1-17.7-LBE1</t>
  </si>
  <si>
    <t>2026-01-05 17:44</t>
  </si>
  <si>
    <t>2026-01-05 18:31</t>
  </si>
  <si>
    <t>2026-01-16 02:34</t>
  </si>
  <si>
    <t>2026-02-04 19:01</t>
  </si>
  <si>
    <t>28S32XHE</t>
  </si>
  <si>
    <t>SP260105008</t>
  </si>
  <si>
    <t>DM21455</t>
  </si>
  <si>
    <t>X004VE4G0R</t>
  </si>
  <si>
    <t>B0CP56F6J9</t>
  </si>
  <si>
    <t>2026-【DM21455】-玫瑰金1986小海报木板-大卖</t>
  </si>
  <si>
    <t>2026-01-15 | 114
2026-01-24 | -1
2026-01-25 | 1
2026-01-31 | -1</t>
  </si>
  <si>
    <t>2026-01-15 | 18
2026-02-01 | -1
2026-02-06 | -1
2026-03-05 | 1
2026-04-28 | 1</t>
  </si>
  <si>
    <t>DM21459</t>
  </si>
  <si>
    <t>X004VE7C99</t>
  </si>
  <si>
    <t>B0CW12W8R2</t>
  </si>
  <si>
    <t>2026-【DM21459】-玫瑰金1956小海报木板-大卖</t>
  </si>
  <si>
    <t>2026-01-15 | 31
2026-01-24 | -1
2026-02-06 | 1
2026-04-28 | -1</t>
  </si>
  <si>
    <t>YAR-电-1.5-SYC-空派-1-13.3-0.07-LBE1-20.8</t>
  </si>
  <si>
    <t>TS26010542168</t>
  </si>
  <si>
    <t>2026-01-05 18:48</t>
  </si>
  <si>
    <t>2026-01-16 02:16</t>
  </si>
  <si>
    <t>2026-02-05 13:01</t>
  </si>
  <si>
    <t>8XD3FYGJ</t>
  </si>
  <si>
    <t>SP260105007</t>
  </si>
  <si>
    <t>SYC577</t>
  </si>
  <si>
    <t>X004WL4CRL</t>
  </si>
  <si>
    <t>B0G1199TWT</t>
  </si>
  <si>
    <t>【SYC577】-多彩60岁生日音乐贺卡-思业成</t>
  </si>
  <si>
    <t>2026-01-15 | 130
2026-01-27 | 1
2026-02-12 | -1</t>
  </si>
  <si>
    <t>DHS-1.5-DM-空派-3-46.05-0.17-HGR6-26.4</t>
  </si>
  <si>
    <t>1Z64T0T60300331659</t>
  </si>
  <si>
    <t>2026-01-05 16:47</t>
  </si>
  <si>
    <t>2026-01-07 09:11</t>
  </si>
  <si>
    <t>2026-01-17 00:39</t>
  </si>
  <si>
    <t>2026-02-08 10:06</t>
  </si>
  <si>
    <t>564EXTXF</t>
  </si>
  <si>
    <t>2026-02-19 13:00</t>
  </si>
  <si>
    <t>SP260105002</t>
  </si>
  <si>
    <t>2026-01-16 | 120
2026-02-01 | -1
2026-02-18 | 1</t>
  </si>
  <si>
    <t>KMQ-1.5-CQ-空派-4-76-0.37-HGR6-36</t>
  </si>
  <si>
    <t>1Z64T0T60310927596</t>
  </si>
  <si>
    <t>2026-01-05 16:45</t>
  </si>
  <si>
    <t>2026-01-06 09:17</t>
  </si>
  <si>
    <t>2026-01-17 00:18</t>
  </si>
  <si>
    <t>2026-02-08 19:13</t>
  </si>
  <si>
    <t>8H58OHNU</t>
  </si>
  <si>
    <t>SP260105003</t>
  </si>
  <si>
    <t>CQ11743</t>
  </si>
  <si>
    <t>X004XLD6BD</t>
  </si>
  <si>
    <t>B0G4QQG627</t>
  </si>
  <si>
    <t>【CQ11743】-蓝银15岁兄弟海报套装-创奇（整套真空+外面套opp袋子）</t>
  </si>
  <si>
    <t>2026-01-16 | 100
2026-01-26 | -2
2026-01-27 | -1
2026-02-08 | 2
2026-02-11 | 1</t>
  </si>
  <si>
    <t>CQ11744</t>
  </si>
  <si>
    <t>X004XLEQWV</t>
  </si>
  <si>
    <t>B0G4QQGWMR</t>
  </si>
  <si>
    <t>【CQ11744】-蓝银17岁兄弟海报套装-创奇（整套真空+外面套opp袋子）</t>
  </si>
  <si>
    <t>2026-01-16 | 100</t>
  </si>
  <si>
    <t>DQF-1.5-YS-空派-2-34.8-0.19-HGR6-31.8</t>
  </si>
  <si>
    <t>1Z64T0T60313048629</t>
  </si>
  <si>
    <t>2026-01-05 16:44</t>
  </si>
  <si>
    <t>2026-01-17 00:24</t>
  </si>
  <si>
    <t>2026-02-07 16:50</t>
  </si>
  <si>
    <t>2HJ7ZFYR</t>
  </si>
  <si>
    <t>2026-02-08 16:41</t>
  </si>
  <si>
    <t>SP260105004</t>
  </si>
  <si>
    <t>2026-01-16 | 130
2026-01-24 | -1
2026-01-26 | 1</t>
  </si>
  <si>
    <t>2026-01-16 | 50</t>
  </si>
  <si>
    <t>XTN-电-1.5-SYC-红单-1-21.95-0.09-HGR6-35.2</t>
  </si>
  <si>
    <t>1Z0RY3230438545730</t>
  </si>
  <si>
    <t>2026-01-05 16:43</t>
  </si>
  <si>
    <t>2026-01-13 12:37</t>
  </si>
  <si>
    <t>2026-01-25 21:52</t>
  </si>
  <si>
    <t>5NZOA6TN</t>
  </si>
  <si>
    <t>2026-04-25 22:01</t>
  </si>
  <si>
    <t>SP260105005</t>
  </si>
  <si>
    <t>SYC564</t>
  </si>
  <si>
    <t>X004URTRLD</t>
  </si>
  <si>
    <t>B0FSRS8HC1</t>
  </si>
  <si>
    <t>【SYC564】-金粉70岁生日音乐贺卡-思业成</t>
  </si>
  <si>
    <t>2026-01-12 | 120
2026-01-17 | 3
2026-01-18 | 18
2026-01-21 | -1
2026-01-21 | -4
2026-01-21 | -5
2026-01-22 | -1
2026-01-22 | -7
2026-01-22 | -8
2026-01-24 | -2
2026-01-24 | 2
2026-01-25 | -4
2026-01-30 | 4
2026-01-31 | -5
2026-02-07 | -1
2026-02-09 | -1
2026-02-11 | -1
2026-02-14 | -1
2026-02-22 | -1</t>
  </si>
  <si>
    <t>SYC478</t>
  </si>
  <si>
    <t>X004O2WWQL</t>
  </si>
  <si>
    <t>B0F6TYXJ5H</t>
  </si>
  <si>
    <t>【SYC478】-金粉18岁生日音乐贺卡-思业成</t>
  </si>
  <si>
    <t>2026-01-12 | 100
2026-01-17 | 3
2026-01-18 | 9
2026-01-21 | -2
2026-01-21 | -4
2026-01-22 | -4
2026-01-22 | -6
2026-01-23 | -2
2026-01-24 | -2
2026-01-24 | -3
2026-01-25 | -1
2026-01-25 | -1
2026-01-25 | -4
2026-01-30 | 1
2026-01-30 | 4
2026-01-31 | -5
2026-02-07 | 1
2026-02-09 | 1
2026-02-11 | 1
2026-02-13 | 1
2026-02-15 | 1
2026-02-19 | 1
2026-02-22 | 1
2026-03-21 | 5
2026-03-30 | 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</si>
</sst>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2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0" fontId="0" fillId="2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A2199"/>
  <sheetViews>
    <sheetView tabSelected="1" topLeftCell="D1" workbookViewId="0">
      <selection activeCell="AA1" sqref="AA1"/>
    </sheetView>
  </sheetViews>
  <sheetFormatPr defaultColWidth="9" defaultRowHeight="13.5"/>
  <cols>
    <col min="3" max="3" width="10.375" style="3"/>
    <col min="15" max="15" width="12.625"/>
    <col min="24" max="24" width="9.375"/>
    <col min="26" max="26" width="12.625"/>
  </cols>
  <sheetData>
    <row r="1" spans="1:27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>
        <v>1</v>
      </c>
      <c r="B2">
        <v>2</v>
      </c>
      <c r="C2" s="3">
        <v>46027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32</v>
      </c>
      <c r="K2" t="s">
        <v>33</v>
      </c>
      <c r="L2" t="s">
        <v>34</v>
      </c>
      <c r="M2" t="s">
        <v>35</v>
      </c>
      <c r="N2">
        <v>20.6</v>
      </c>
      <c r="P2">
        <v>1077.3</v>
      </c>
      <c r="Q2">
        <v>1077.3</v>
      </c>
      <c r="R2">
        <v>226.848</v>
      </c>
      <c r="S2">
        <v>1304.148</v>
      </c>
      <c r="T2">
        <v>204</v>
      </c>
      <c r="U2">
        <f>SUMIF(货件明细!J:J,E2,货件明细!AP:AP)</f>
        <v>204</v>
      </c>
      <c r="V2">
        <f>IF(U2=T2,0,1)</f>
        <v>0</v>
      </c>
      <c r="W2">
        <f>T2</f>
        <v>204</v>
      </c>
      <c r="X2">
        <f>SUMIF(货件明细!J:J,E2,货件明细!H:H)</f>
        <v>19.482</v>
      </c>
      <c r="Y2">
        <f>N2-X2</f>
        <v>1.118</v>
      </c>
      <c r="Z2">
        <f>SUMIF(货件明细!J:J,E2,货件明细!I:I)</f>
        <v>1304.148</v>
      </c>
      <c r="AA2">
        <f>IF(S2=Z2,0,1)</f>
        <v>0</v>
      </c>
    </row>
    <row r="3" spans="1:27">
      <c r="A3">
        <v>1</v>
      </c>
      <c r="B3">
        <v>2</v>
      </c>
      <c r="C3" s="3">
        <v>46027</v>
      </c>
      <c r="D3" t="s">
        <v>27</v>
      </c>
      <c r="E3" t="s">
        <v>36</v>
      </c>
      <c r="F3" t="s">
        <v>29</v>
      </c>
      <c r="G3" t="s">
        <v>30</v>
      </c>
      <c r="H3" t="s">
        <v>37</v>
      </c>
      <c r="I3" t="s">
        <v>32</v>
      </c>
      <c r="J3" t="s">
        <v>32</v>
      </c>
      <c r="K3" t="s">
        <v>33</v>
      </c>
      <c r="L3" t="s">
        <v>34</v>
      </c>
      <c r="M3" t="s">
        <v>35</v>
      </c>
      <c r="N3">
        <v>13.3</v>
      </c>
      <c r="P3">
        <v>718.2</v>
      </c>
      <c r="Q3">
        <v>718.2</v>
      </c>
      <c r="R3">
        <v>144.56</v>
      </c>
      <c r="S3">
        <v>862.76</v>
      </c>
      <c r="T3">
        <v>130</v>
      </c>
      <c r="U3">
        <f>SUMIF(货件明细!J:J,E3,货件明细!AP:AP)</f>
        <v>130</v>
      </c>
      <c r="V3">
        <f>IF(U3=T3,0,1)</f>
        <v>0</v>
      </c>
      <c r="W3">
        <f>T3</f>
        <v>130</v>
      </c>
      <c r="X3">
        <f>SUMIF(货件明细!J:J,E3,货件明细!H:H)</f>
        <v>12.35</v>
      </c>
      <c r="Y3">
        <f>N3-X3</f>
        <v>0.950000000000001</v>
      </c>
      <c r="Z3">
        <f>SUMIF(货件明细!J:J,E3,货件明细!I:I)</f>
        <v>862.76</v>
      </c>
      <c r="AA3">
        <f>IF(S3=Z3,0,1)</f>
        <v>0</v>
      </c>
    </row>
    <row r="4" spans="1:27">
      <c r="A4">
        <v>1</v>
      </c>
      <c r="B4">
        <v>2</v>
      </c>
      <c r="C4" s="3">
        <v>46027</v>
      </c>
      <c r="D4" t="s">
        <v>27</v>
      </c>
      <c r="E4" t="s">
        <v>38</v>
      </c>
      <c r="F4" t="s">
        <v>29</v>
      </c>
      <c r="G4" t="s">
        <v>30</v>
      </c>
      <c r="H4" t="s">
        <v>39</v>
      </c>
      <c r="I4" t="s">
        <v>32</v>
      </c>
      <c r="J4" t="s">
        <v>32</v>
      </c>
      <c r="K4" t="s">
        <v>33</v>
      </c>
      <c r="L4" t="s">
        <v>34</v>
      </c>
      <c r="M4" t="s">
        <v>35</v>
      </c>
      <c r="N4">
        <v>17.7</v>
      </c>
      <c r="P4">
        <v>872.1</v>
      </c>
      <c r="Q4">
        <v>872.1</v>
      </c>
      <c r="R4">
        <v>181.256</v>
      </c>
      <c r="S4">
        <v>1053.356</v>
      </c>
      <c r="T4">
        <v>163</v>
      </c>
      <c r="U4">
        <f>SUMIF(货件明细!J:J,E4,货件明细!AP:AP)</f>
        <v>163</v>
      </c>
      <c r="V4">
        <f>IF(U4=T4,0,1)</f>
        <v>0</v>
      </c>
      <c r="W4">
        <f>T4</f>
        <v>163</v>
      </c>
      <c r="X4">
        <f>SUMIF(货件明细!J:J,E4,货件明细!H:H)</f>
        <v>17.278</v>
      </c>
      <c r="Y4">
        <f>N4-X4</f>
        <v>0.422000000000001</v>
      </c>
      <c r="Z4">
        <f>SUMIF(货件明细!J:J,E4,货件明细!I:I)</f>
        <v>1053.356</v>
      </c>
      <c r="AA4">
        <f>IF(S4=Z4,0,1)</f>
        <v>0</v>
      </c>
    </row>
    <row r="5" spans="1:27">
      <c r="A5">
        <v>1</v>
      </c>
      <c r="B5">
        <v>2</v>
      </c>
      <c r="C5" s="3">
        <v>46028</v>
      </c>
      <c r="D5" t="s">
        <v>27</v>
      </c>
      <c r="E5" t="s">
        <v>40</v>
      </c>
      <c r="F5" t="s">
        <v>41</v>
      </c>
      <c r="G5" t="s">
        <v>30</v>
      </c>
      <c r="H5" t="s">
        <v>37</v>
      </c>
      <c r="I5" t="s">
        <v>42</v>
      </c>
      <c r="J5" t="s">
        <v>42</v>
      </c>
      <c r="K5" t="s">
        <v>33</v>
      </c>
      <c r="L5" t="s">
        <v>43</v>
      </c>
      <c r="M5" t="s">
        <v>44</v>
      </c>
      <c r="N5">
        <v>21.95</v>
      </c>
      <c r="P5">
        <v>1300</v>
      </c>
      <c r="Q5">
        <v>1300</v>
      </c>
      <c r="R5">
        <v>244.64</v>
      </c>
      <c r="S5">
        <v>1544.64</v>
      </c>
      <c r="T5">
        <v>220</v>
      </c>
      <c r="U5">
        <f>SUMIF(货件明细!J:J,E5,货件明细!AP:AP)</f>
        <v>220</v>
      </c>
      <c r="V5">
        <f>IF(U5=T5,0,1)</f>
        <v>0</v>
      </c>
      <c r="W5">
        <f>T5</f>
        <v>220</v>
      </c>
      <c r="X5">
        <f>SUMIF(货件明细!J:J,E5,货件明细!H:H)</f>
        <v>20.926</v>
      </c>
      <c r="Y5">
        <f>N5-X5</f>
        <v>1.024</v>
      </c>
      <c r="Z5">
        <f>SUMIF(货件明细!J:J,E5,货件明细!I:I)</f>
        <v>1544.64</v>
      </c>
      <c r="AA5">
        <f>IF(S5=Z5,0,1)</f>
        <v>0</v>
      </c>
    </row>
    <row r="6" spans="1:27">
      <c r="A6">
        <v>1</v>
      </c>
      <c r="B6">
        <v>2</v>
      </c>
      <c r="C6" s="3">
        <v>46028</v>
      </c>
      <c r="D6" t="s">
        <v>27</v>
      </c>
      <c r="E6" t="s">
        <v>45</v>
      </c>
      <c r="F6" t="s">
        <v>41</v>
      </c>
      <c r="G6" t="s">
        <v>30</v>
      </c>
      <c r="H6" t="s">
        <v>46</v>
      </c>
      <c r="I6" t="s">
        <v>32</v>
      </c>
      <c r="J6" t="s">
        <v>32</v>
      </c>
      <c r="K6" t="s">
        <v>33</v>
      </c>
      <c r="L6" t="s">
        <v>43</v>
      </c>
      <c r="M6" t="s">
        <v>47</v>
      </c>
      <c r="N6">
        <v>36.8</v>
      </c>
      <c r="O6">
        <v>116.666666666667</v>
      </c>
      <c r="P6">
        <v>1369</v>
      </c>
      <c r="Q6">
        <v>1485.66666666667</v>
      </c>
      <c r="R6">
        <v>221.01</v>
      </c>
      <c r="S6">
        <v>1706.67666666667</v>
      </c>
      <c r="T6">
        <v>180</v>
      </c>
      <c r="U6">
        <f>SUMIF(货件明细!J:J,E6,货件明细!AP:AP)</f>
        <v>180</v>
      </c>
      <c r="V6">
        <f>IF(U6=T6,0,1)</f>
        <v>0</v>
      </c>
      <c r="W6">
        <f>T6</f>
        <v>180</v>
      </c>
      <c r="X6">
        <f>SUMIF(货件明细!J:J,E6,货件明细!H:H)</f>
        <v>34.81</v>
      </c>
      <c r="Y6">
        <f>N6-X6</f>
        <v>1.98999999999999</v>
      </c>
      <c r="Z6">
        <f>SUMIF(货件明细!J:J,E6,货件明细!I:I)</f>
        <v>1706.67666666667</v>
      </c>
      <c r="AA6">
        <f>IF(S6=Z6,0,1)</f>
        <v>0</v>
      </c>
    </row>
    <row r="7" spans="1:27">
      <c r="A7">
        <v>1</v>
      </c>
      <c r="B7">
        <v>2</v>
      </c>
      <c r="C7" s="3">
        <v>46028</v>
      </c>
      <c r="D7" t="s">
        <v>27</v>
      </c>
      <c r="E7" t="s">
        <v>48</v>
      </c>
      <c r="F7" t="s">
        <v>41</v>
      </c>
      <c r="G7" t="s">
        <v>30</v>
      </c>
      <c r="H7" t="s">
        <v>31</v>
      </c>
      <c r="I7" t="s">
        <v>32</v>
      </c>
      <c r="J7" t="s">
        <v>32</v>
      </c>
      <c r="K7" t="s">
        <v>33</v>
      </c>
      <c r="L7" t="s">
        <v>43</v>
      </c>
      <c r="M7" t="s">
        <v>47</v>
      </c>
      <c r="N7">
        <v>76</v>
      </c>
      <c r="O7">
        <v>116.666666666667</v>
      </c>
      <c r="P7">
        <v>2812</v>
      </c>
      <c r="Q7">
        <v>2928.66666666667</v>
      </c>
      <c r="R7">
        <v>250.2</v>
      </c>
      <c r="S7">
        <v>3178.86666666667</v>
      </c>
      <c r="T7">
        <v>200</v>
      </c>
      <c r="U7">
        <f>SUMIF(货件明细!J:J,E7,货件明细!AP:AP)</f>
        <v>200</v>
      </c>
      <c r="V7">
        <f>IF(U7=T7,0,1)</f>
        <v>0</v>
      </c>
      <c r="W7">
        <f>T7</f>
        <v>200</v>
      </c>
      <c r="X7">
        <f>SUMIF(货件明细!J:J,E7,货件明细!H:H)</f>
        <v>71.8</v>
      </c>
      <c r="Y7">
        <f>N7-X7</f>
        <v>4.2</v>
      </c>
      <c r="Z7">
        <f>SUMIF(货件明细!J:J,E7,货件明细!I:I)</f>
        <v>3178.86666666667</v>
      </c>
      <c r="AA7">
        <f>IF(S7=Z7,0,1)</f>
        <v>0</v>
      </c>
    </row>
    <row r="8" spans="1:27">
      <c r="A8">
        <v>1</v>
      </c>
      <c r="B8">
        <v>2</v>
      </c>
      <c r="C8" s="3">
        <v>46028</v>
      </c>
      <c r="D8" t="s">
        <v>27</v>
      </c>
      <c r="E8" t="s">
        <v>49</v>
      </c>
      <c r="F8" t="s">
        <v>41</v>
      </c>
      <c r="G8" t="s">
        <v>30</v>
      </c>
      <c r="H8" t="s">
        <v>39</v>
      </c>
      <c r="I8" t="s">
        <v>32</v>
      </c>
      <c r="J8" t="s">
        <v>32</v>
      </c>
      <c r="K8" t="s">
        <v>33</v>
      </c>
      <c r="L8" t="s">
        <v>43</v>
      </c>
      <c r="M8" t="s">
        <v>47</v>
      </c>
      <c r="N8">
        <v>46.05</v>
      </c>
      <c r="O8">
        <v>116.666666666667</v>
      </c>
      <c r="P8">
        <v>1702</v>
      </c>
      <c r="Q8">
        <v>1818.66666666667</v>
      </c>
      <c r="R8">
        <v>183.48</v>
      </c>
      <c r="S8">
        <v>2002.14666666667</v>
      </c>
      <c r="T8">
        <v>120</v>
      </c>
      <c r="U8">
        <f>SUMIF(货件明细!J:J,E8,货件明细!AP:AP)</f>
        <v>120</v>
      </c>
      <c r="V8">
        <f>IF(U8=T8,0,1)</f>
        <v>0</v>
      </c>
      <c r="W8">
        <f>T8</f>
        <v>120</v>
      </c>
      <c r="X8">
        <f>SUMIF(货件明细!J:J,E8,货件明细!H:H)</f>
        <v>43.2</v>
      </c>
      <c r="Y8">
        <f>N8-X8</f>
        <v>2.84999999999999</v>
      </c>
      <c r="Z8">
        <f>SUMIF(货件明细!J:J,E8,货件明细!I:I)</f>
        <v>2002.14666666667</v>
      </c>
      <c r="AA8">
        <f>IF(S8=Z8,0,1)</f>
        <v>0</v>
      </c>
    </row>
    <row r="9" spans="1:27">
      <c r="A9">
        <v>1</v>
      </c>
      <c r="B9">
        <v>2</v>
      </c>
      <c r="C9" s="3">
        <v>46028</v>
      </c>
      <c r="D9" t="s">
        <v>27</v>
      </c>
      <c r="E9" t="s">
        <v>50</v>
      </c>
      <c r="F9" t="s">
        <v>29</v>
      </c>
      <c r="G9" t="s">
        <v>30</v>
      </c>
      <c r="H9" t="s">
        <v>51</v>
      </c>
      <c r="I9" t="s">
        <v>32</v>
      </c>
      <c r="J9" t="s">
        <v>32</v>
      </c>
      <c r="K9" t="s">
        <v>33</v>
      </c>
      <c r="L9" t="s">
        <v>34</v>
      </c>
      <c r="M9" t="s">
        <v>35</v>
      </c>
      <c r="N9">
        <v>13.7</v>
      </c>
      <c r="P9">
        <v>739.2</v>
      </c>
      <c r="Q9">
        <v>739.2</v>
      </c>
      <c r="R9">
        <v>135.664</v>
      </c>
      <c r="S9">
        <v>874.864</v>
      </c>
      <c r="T9">
        <v>125</v>
      </c>
      <c r="U9">
        <f>SUMIF(货件明细!J:J,E9,货件明细!AP:AP)</f>
        <v>125</v>
      </c>
      <c r="V9">
        <f>IF(U9=T9,0,1)</f>
        <v>0</v>
      </c>
      <c r="W9">
        <f>T9</f>
        <v>125</v>
      </c>
      <c r="X9">
        <f>SUMIF(货件明细!J:J,E9,货件明细!H:H)</f>
        <v>12.84</v>
      </c>
      <c r="Y9">
        <f>N9-X9</f>
        <v>0.859999999999999</v>
      </c>
      <c r="Z9">
        <f>SUMIF(货件明细!J:J,E9,货件明细!I:I)</f>
        <v>874.864</v>
      </c>
      <c r="AA9">
        <f>IF(S9=Z9,0,1)</f>
        <v>0</v>
      </c>
    </row>
    <row r="10" spans="1:27">
      <c r="A10">
        <v>1</v>
      </c>
      <c r="B10">
        <v>2</v>
      </c>
      <c r="C10" s="3">
        <v>46028</v>
      </c>
      <c r="D10" t="s">
        <v>27</v>
      </c>
      <c r="E10" t="s">
        <v>52</v>
      </c>
      <c r="F10" t="s">
        <v>29</v>
      </c>
      <c r="G10" t="s">
        <v>30</v>
      </c>
      <c r="H10" t="s">
        <v>51</v>
      </c>
      <c r="I10" t="s">
        <v>32</v>
      </c>
      <c r="J10" t="s">
        <v>32</v>
      </c>
      <c r="K10" t="s">
        <v>33</v>
      </c>
      <c r="L10" t="s">
        <v>34</v>
      </c>
      <c r="M10" t="s">
        <v>47</v>
      </c>
      <c r="N10">
        <v>74</v>
      </c>
      <c r="P10">
        <v>2538.2</v>
      </c>
      <c r="Q10">
        <v>2538.2</v>
      </c>
      <c r="R10">
        <v>618.55</v>
      </c>
      <c r="S10">
        <v>3156.75</v>
      </c>
      <c r="T10">
        <v>520</v>
      </c>
      <c r="U10">
        <f>SUMIF(货件明细!J:J,E10,货件明细!AP:AP)</f>
        <v>520</v>
      </c>
      <c r="V10">
        <f>IF(U10=T10,0,1)</f>
        <v>0</v>
      </c>
      <c r="W10">
        <f>T10</f>
        <v>520</v>
      </c>
      <c r="X10">
        <f>SUMIF(货件明细!J:J,E10,货件明细!H:H)</f>
        <v>71.61</v>
      </c>
      <c r="Y10">
        <f>N10-X10</f>
        <v>2.39</v>
      </c>
      <c r="Z10">
        <f>SUMIF(货件明细!J:J,E10,货件明细!I:I)</f>
        <v>3156.75</v>
      </c>
      <c r="AA10">
        <f>IF(S10=Z10,0,1)</f>
        <v>0</v>
      </c>
    </row>
    <row r="11" spans="1:27">
      <c r="A11">
        <v>1</v>
      </c>
      <c r="B11">
        <v>2</v>
      </c>
      <c r="C11" s="3">
        <v>46028</v>
      </c>
      <c r="D11" t="s">
        <v>27</v>
      </c>
      <c r="E11" t="s">
        <v>53</v>
      </c>
      <c r="F11" t="s">
        <v>29</v>
      </c>
      <c r="G11" t="s">
        <v>30</v>
      </c>
      <c r="H11" t="s">
        <v>54</v>
      </c>
      <c r="I11" t="s">
        <v>32</v>
      </c>
      <c r="J11" t="s">
        <v>32</v>
      </c>
      <c r="K11" t="s">
        <v>33</v>
      </c>
      <c r="L11" t="s">
        <v>34</v>
      </c>
      <c r="M11" t="s">
        <v>47</v>
      </c>
      <c r="N11">
        <v>12.7</v>
      </c>
      <c r="P11">
        <v>445.9</v>
      </c>
      <c r="Q11">
        <v>445.9</v>
      </c>
      <c r="R11">
        <v>133.44</v>
      </c>
      <c r="S11">
        <v>579.34</v>
      </c>
      <c r="T11">
        <v>120</v>
      </c>
      <c r="U11">
        <f>SUMIF(货件明细!J:J,E11,货件明细!AP:AP)</f>
        <v>120</v>
      </c>
      <c r="V11">
        <f>IF(U11=T11,0,1)</f>
        <v>0</v>
      </c>
      <c r="W11">
        <f>T11</f>
        <v>120</v>
      </c>
      <c r="X11">
        <f>SUMIF(货件明细!J:J,E11,货件明细!H:H)</f>
        <v>11.704</v>
      </c>
      <c r="Y11">
        <f>N11-X11</f>
        <v>0.995999999999999</v>
      </c>
      <c r="Z11">
        <f>SUMIF(货件明细!J:J,E11,货件明细!I:I)</f>
        <v>579.34</v>
      </c>
      <c r="AA11">
        <f>IF(S11=Z11,0,1)</f>
        <v>0</v>
      </c>
    </row>
    <row r="12" spans="1:27">
      <c r="A12">
        <v>1</v>
      </c>
      <c r="B12">
        <v>2</v>
      </c>
      <c r="C12" s="3">
        <v>46028</v>
      </c>
      <c r="D12" t="s">
        <v>27</v>
      </c>
      <c r="E12" t="s">
        <v>55</v>
      </c>
      <c r="F12" t="s">
        <v>29</v>
      </c>
      <c r="G12" t="s">
        <v>30</v>
      </c>
      <c r="H12" t="s">
        <v>56</v>
      </c>
      <c r="I12" t="s">
        <v>32</v>
      </c>
      <c r="J12" t="s">
        <v>32</v>
      </c>
      <c r="K12" t="s">
        <v>33</v>
      </c>
      <c r="L12" t="s">
        <v>34</v>
      </c>
      <c r="M12" t="s">
        <v>47</v>
      </c>
      <c r="N12">
        <v>27.2</v>
      </c>
      <c r="P12">
        <v>960.4</v>
      </c>
      <c r="Q12">
        <v>960.4</v>
      </c>
      <c r="R12">
        <v>113.563</v>
      </c>
      <c r="S12">
        <v>1073.963</v>
      </c>
      <c r="T12">
        <v>101</v>
      </c>
      <c r="U12">
        <f>SUMIF(货件明细!J:J,E12,货件明细!AP:AP)</f>
        <v>101</v>
      </c>
      <c r="V12">
        <f>IF(U12=T12,0,1)</f>
        <v>0</v>
      </c>
      <c r="W12">
        <f>T12</f>
        <v>101</v>
      </c>
      <c r="X12">
        <f>SUMIF(货件明细!J:J,E12,货件明细!H:H)</f>
        <v>21.4572</v>
      </c>
      <c r="Y12">
        <f>N12-X12</f>
        <v>5.7428</v>
      </c>
      <c r="Z12">
        <f>SUMIF(货件明细!J:J,E12,货件明细!I:I)</f>
        <v>1073.963</v>
      </c>
      <c r="AA12">
        <f>IF(S12=Z12,0,1)</f>
        <v>0</v>
      </c>
    </row>
    <row r="13" spans="1:27">
      <c r="A13">
        <v>1</v>
      </c>
      <c r="B13">
        <v>2</v>
      </c>
      <c r="C13" s="3">
        <v>46029</v>
      </c>
      <c r="D13" t="s">
        <v>27</v>
      </c>
      <c r="E13" t="s">
        <v>57</v>
      </c>
      <c r="F13" t="s">
        <v>29</v>
      </c>
      <c r="G13" t="s">
        <v>30</v>
      </c>
      <c r="H13" t="s">
        <v>46</v>
      </c>
      <c r="I13" t="s">
        <v>32</v>
      </c>
      <c r="J13" t="s">
        <v>32</v>
      </c>
      <c r="K13" t="s">
        <v>33</v>
      </c>
      <c r="L13" t="s">
        <v>34</v>
      </c>
      <c r="M13" t="s">
        <v>47</v>
      </c>
      <c r="N13">
        <v>63.19</v>
      </c>
      <c r="P13">
        <v>2098.8</v>
      </c>
      <c r="Q13">
        <v>2098.8</v>
      </c>
      <c r="R13">
        <v>185.009</v>
      </c>
      <c r="S13">
        <v>2283.809</v>
      </c>
      <c r="T13">
        <v>121</v>
      </c>
      <c r="U13">
        <f>SUMIF(货件明细!J:J,E13,货件明细!AP:AP)</f>
        <v>121</v>
      </c>
      <c r="V13">
        <f>IF(U13=T13,0,1)</f>
        <v>0</v>
      </c>
      <c r="W13">
        <f>T13</f>
        <v>121</v>
      </c>
      <c r="X13">
        <f>SUMIF(货件明细!J:J,E13,货件明细!H:H)</f>
        <v>58.605</v>
      </c>
      <c r="Y13">
        <f>N13-X13</f>
        <v>4.58499999999999</v>
      </c>
      <c r="Z13">
        <f>SUMIF(货件明细!J:J,E13,货件明细!I:I)</f>
        <v>2283.809</v>
      </c>
      <c r="AA13">
        <f>IF(S13=Z13,0,1)</f>
        <v>0</v>
      </c>
    </row>
    <row r="14" spans="1:27">
      <c r="A14">
        <v>1</v>
      </c>
      <c r="B14">
        <v>2</v>
      </c>
      <c r="C14" s="3">
        <v>46029</v>
      </c>
      <c r="D14" t="s">
        <v>27</v>
      </c>
      <c r="E14" t="s">
        <v>58</v>
      </c>
      <c r="F14" t="s">
        <v>29</v>
      </c>
      <c r="G14" t="s">
        <v>30</v>
      </c>
      <c r="H14" t="s">
        <v>59</v>
      </c>
      <c r="I14" t="s">
        <v>32</v>
      </c>
      <c r="J14" t="s">
        <v>32</v>
      </c>
      <c r="K14" t="s">
        <v>33</v>
      </c>
      <c r="L14" t="s">
        <v>34</v>
      </c>
      <c r="M14" t="s">
        <v>47</v>
      </c>
      <c r="N14">
        <v>14.55</v>
      </c>
      <c r="P14">
        <v>477</v>
      </c>
      <c r="Q14">
        <v>477</v>
      </c>
      <c r="R14">
        <v>51.986</v>
      </c>
      <c r="S14">
        <v>528.986</v>
      </c>
      <c r="T14">
        <v>34</v>
      </c>
      <c r="U14">
        <f>SUMIF(货件明细!J:J,E14,货件明细!AP:AP)</f>
        <v>34</v>
      </c>
      <c r="V14">
        <f>IF(U14=T14,0,1)</f>
        <v>0</v>
      </c>
      <c r="W14">
        <f>T14</f>
        <v>34</v>
      </c>
      <c r="X14">
        <f>SUMIF(货件明细!J:J,E14,货件明细!H:H)</f>
        <v>13.6</v>
      </c>
      <c r="Y14">
        <f>N14-X14</f>
        <v>0.950000000000001</v>
      </c>
      <c r="Z14">
        <f>SUMIF(货件明细!J:J,E14,货件明细!I:I)</f>
        <v>528.986</v>
      </c>
      <c r="AA14">
        <f>IF(S14=Z14,0,1)</f>
        <v>0</v>
      </c>
    </row>
    <row r="15" spans="1:27">
      <c r="A15">
        <v>1</v>
      </c>
      <c r="B15">
        <v>2</v>
      </c>
      <c r="C15" s="3">
        <v>46029</v>
      </c>
      <c r="D15" t="s">
        <v>27</v>
      </c>
      <c r="E15" t="s">
        <v>60</v>
      </c>
      <c r="F15" t="s">
        <v>41</v>
      </c>
      <c r="G15" t="s">
        <v>30</v>
      </c>
      <c r="H15" t="s">
        <v>31</v>
      </c>
      <c r="I15" t="s">
        <v>32</v>
      </c>
      <c r="J15" t="s">
        <v>32</v>
      </c>
      <c r="K15" t="s">
        <v>33</v>
      </c>
      <c r="L15" t="s">
        <v>34</v>
      </c>
      <c r="M15" t="s">
        <v>35</v>
      </c>
      <c r="N15">
        <v>14.65</v>
      </c>
      <c r="P15">
        <v>732</v>
      </c>
      <c r="Q15">
        <v>732</v>
      </c>
      <c r="R15">
        <v>77.84</v>
      </c>
      <c r="S15">
        <v>809.84</v>
      </c>
      <c r="T15">
        <v>70</v>
      </c>
      <c r="U15">
        <f>SUMIF(货件明细!J:J,E15,货件明细!AP:AP)</f>
        <v>70</v>
      </c>
      <c r="V15">
        <f>IF(U15=T15,0,1)</f>
        <v>0</v>
      </c>
      <c r="W15">
        <f>T15</f>
        <v>70</v>
      </c>
      <c r="X15">
        <f>SUMIF(货件明细!J:J,E15,货件明细!H:H)</f>
        <v>14.228</v>
      </c>
      <c r="Y15">
        <f>N15-X15</f>
        <v>0.422000000000001</v>
      </c>
      <c r="Z15">
        <f>SUMIF(货件明细!J:J,E15,货件明细!I:I)</f>
        <v>809.84</v>
      </c>
      <c r="AA15">
        <f>IF(S15=Z15,0,1)</f>
        <v>0</v>
      </c>
    </row>
    <row r="16" hidden="1" spans="1:27">
      <c r="A16">
        <v>1</v>
      </c>
      <c r="B16">
        <v>2</v>
      </c>
      <c r="C16" s="3">
        <v>46031</v>
      </c>
      <c r="D16" t="s">
        <v>27</v>
      </c>
      <c r="E16" t="s">
        <v>61</v>
      </c>
      <c r="F16" t="s">
        <v>62</v>
      </c>
      <c r="G16" t="s">
        <v>30</v>
      </c>
      <c r="H16" t="s">
        <v>37</v>
      </c>
      <c r="I16" t="s">
        <v>63</v>
      </c>
      <c r="J16" t="s">
        <v>63</v>
      </c>
      <c r="K16" t="s">
        <v>64</v>
      </c>
      <c r="L16" t="s">
        <v>65</v>
      </c>
      <c r="M16" t="s">
        <v>66</v>
      </c>
      <c r="N16">
        <v>27.5</v>
      </c>
      <c r="O16">
        <v>27.7777777777778</v>
      </c>
      <c r="P16">
        <v>181.2</v>
      </c>
      <c r="Q16">
        <v>208.977777777778</v>
      </c>
      <c r="R16">
        <v>0</v>
      </c>
      <c r="S16">
        <v>208.977777777778</v>
      </c>
      <c r="T16">
        <v>270</v>
      </c>
      <c r="U16">
        <f>SUMIF(货件明细!J:J,E16,货件明细!AP:AP)</f>
        <v>0</v>
      </c>
      <c r="V16">
        <f>IF(U16=T16,0,1)</f>
        <v>1</v>
      </c>
      <c r="W16">
        <f>T16</f>
        <v>270</v>
      </c>
      <c r="X16">
        <f>SUMIF(货件明细!J:J,E16,货件明细!H:H)</f>
        <v>0</v>
      </c>
      <c r="Y16">
        <f>N16-X16</f>
        <v>27.5</v>
      </c>
      <c r="Z16">
        <f>SUMIF(货件明细!J:J,E16,货件明细!I:I)</f>
        <v>0</v>
      </c>
      <c r="AA16">
        <f>IF(S16=Z16,0,1)</f>
        <v>1</v>
      </c>
    </row>
    <row r="17" hidden="1" spans="1:27">
      <c r="A17">
        <v>1</v>
      </c>
      <c r="B17">
        <v>2</v>
      </c>
      <c r="C17" s="3">
        <v>46031</v>
      </c>
      <c r="D17" t="s">
        <v>27</v>
      </c>
      <c r="E17" t="s">
        <v>67</v>
      </c>
      <c r="F17" t="s">
        <v>68</v>
      </c>
      <c r="G17" t="s">
        <v>69</v>
      </c>
      <c r="H17" t="s">
        <v>37</v>
      </c>
      <c r="I17" t="s">
        <v>63</v>
      </c>
      <c r="J17" t="s">
        <v>63</v>
      </c>
      <c r="K17" t="s">
        <v>64</v>
      </c>
      <c r="L17" t="s">
        <v>65</v>
      </c>
      <c r="M17" t="s">
        <v>66</v>
      </c>
      <c r="N17">
        <v>27.5</v>
      </c>
      <c r="O17">
        <v>27.7777777777778</v>
      </c>
      <c r="P17">
        <v>166.25</v>
      </c>
      <c r="Q17">
        <v>194.027777777778</v>
      </c>
      <c r="R17">
        <v>0</v>
      </c>
      <c r="S17">
        <v>194.027777777778</v>
      </c>
      <c r="T17">
        <v>270</v>
      </c>
      <c r="U17">
        <f>SUMIF(货件明细!J:J,E17,货件明细!AP:AP)</f>
        <v>0</v>
      </c>
      <c r="V17">
        <f>IF(U17=T17,0,1)</f>
        <v>1</v>
      </c>
      <c r="W17">
        <f>T17</f>
        <v>270</v>
      </c>
      <c r="X17">
        <f>SUMIF(货件明细!J:J,E17,货件明细!H:H)</f>
        <v>0</v>
      </c>
      <c r="Y17">
        <f>N17-X17</f>
        <v>27.5</v>
      </c>
      <c r="Z17">
        <f>SUMIF(货件明细!J:J,E17,货件明细!I:I)</f>
        <v>0</v>
      </c>
      <c r="AA17">
        <f>IF(S17=Z17,0,1)</f>
        <v>1</v>
      </c>
    </row>
    <row r="18" hidden="1" spans="1:27">
      <c r="A18">
        <v>1</v>
      </c>
      <c r="B18">
        <v>2</v>
      </c>
      <c r="C18" s="3">
        <v>46031</v>
      </c>
      <c r="D18" t="s">
        <v>27</v>
      </c>
      <c r="E18" t="s">
        <v>70</v>
      </c>
      <c r="F18" t="s">
        <v>71</v>
      </c>
      <c r="G18" t="s">
        <v>72</v>
      </c>
      <c r="H18" t="s">
        <v>37</v>
      </c>
      <c r="I18" t="s">
        <v>63</v>
      </c>
      <c r="J18" t="s">
        <v>63</v>
      </c>
      <c r="K18" t="s">
        <v>64</v>
      </c>
      <c r="L18" t="s">
        <v>65</v>
      </c>
      <c r="M18" t="s">
        <v>66</v>
      </c>
      <c r="N18">
        <v>27.5</v>
      </c>
      <c r="O18">
        <v>35.7142857142857</v>
      </c>
      <c r="P18">
        <v>121.25</v>
      </c>
      <c r="Q18">
        <v>156.964285714286</v>
      </c>
      <c r="R18">
        <v>0</v>
      </c>
      <c r="S18">
        <v>156.964285714286</v>
      </c>
      <c r="T18">
        <v>270</v>
      </c>
      <c r="U18">
        <f>SUMIF(货件明细!J:J,E18,货件明细!AP:AP)</f>
        <v>0</v>
      </c>
      <c r="V18">
        <f>IF(U18=T18,0,1)</f>
        <v>1</v>
      </c>
      <c r="W18">
        <f>T18</f>
        <v>270</v>
      </c>
      <c r="X18">
        <f>SUMIF(货件明细!J:J,E18,货件明细!H:H)</f>
        <v>0</v>
      </c>
      <c r="Y18">
        <f>N18-X18</f>
        <v>27.5</v>
      </c>
      <c r="Z18">
        <f>SUMIF(货件明细!J:J,E18,货件明细!I:I)</f>
        <v>0</v>
      </c>
      <c r="AA18">
        <f>IF(S18=Z18,0,1)</f>
        <v>1</v>
      </c>
    </row>
    <row r="19" hidden="1" spans="1:27">
      <c r="A19">
        <v>1</v>
      </c>
      <c r="B19">
        <v>2</v>
      </c>
      <c r="C19" s="3">
        <v>46031</v>
      </c>
      <c r="D19" t="s">
        <v>27</v>
      </c>
      <c r="E19" t="s">
        <v>73</v>
      </c>
      <c r="F19" t="s">
        <v>74</v>
      </c>
      <c r="G19" t="s">
        <v>30</v>
      </c>
      <c r="H19" t="s">
        <v>37</v>
      </c>
      <c r="I19" t="s">
        <v>63</v>
      </c>
      <c r="J19" t="s">
        <v>63</v>
      </c>
      <c r="K19" t="s">
        <v>64</v>
      </c>
      <c r="L19" t="s">
        <v>65</v>
      </c>
      <c r="M19" t="s">
        <v>66</v>
      </c>
      <c r="N19">
        <v>27.5</v>
      </c>
      <c r="O19">
        <v>27.7777777777778</v>
      </c>
      <c r="P19">
        <v>204.375</v>
      </c>
      <c r="Q19">
        <v>232.152777777778</v>
      </c>
      <c r="R19">
        <v>0</v>
      </c>
      <c r="S19">
        <v>232.152777777778</v>
      </c>
      <c r="T19">
        <v>270</v>
      </c>
      <c r="U19">
        <f>SUMIF(货件明细!J:J,E19,货件明细!AP:AP)</f>
        <v>0</v>
      </c>
      <c r="V19">
        <f>IF(U19=T19,0,1)</f>
        <v>1</v>
      </c>
      <c r="W19">
        <f>T19</f>
        <v>270</v>
      </c>
      <c r="X19">
        <f>SUMIF(货件明细!J:J,E19,货件明细!H:H)</f>
        <v>0</v>
      </c>
      <c r="Y19">
        <f>N19-X19</f>
        <v>27.5</v>
      </c>
      <c r="Z19">
        <f>SUMIF(货件明细!J:J,E19,货件明细!I:I)</f>
        <v>0</v>
      </c>
      <c r="AA19">
        <f>IF(S19=Z19,0,1)</f>
        <v>1</v>
      </c>
    </row>
    <row r="20" hidden="1" spans="1:27">
      <c r="A20">
        <v>1</v>
      </c>
      <c r="B20">
        <v>2</v>
      </c>
      <c r="C20" s="3">
        <v>46031</v>
      </c>
      <c r="D20" t="s">
        <v>27</v>
      </c>
      <c r="E20" t="s">
        <v>75</v>
      </c>
      <c r="F20" t="s">
        <v>76</v>
      </c>
      <c r="G20" t="s">
        <v>72</v>
      </c>
      <c r="H20" t="s">
        <v>37</v>
      </c>
      <c r="I20" t="s">
        <v>63</v>
      </c>
      <c r="J20" t="s">
        <v>63</v>
      </c>
      <c r="K20" t="s">
        <v>64</v>
      </c>
      <c r="L20" t="s">
        <v>65</v>
      </c>
      <c r="M20" t="s">
        <v>66</v>
      </c>
      <c r="N20">
        <v>27.5</v>
      </c>
      <c r="O20">
        <v>35.7142857142857</v>
      </c>
      <c r="P20">
        <v>110</v>
      </c>
      <c r="Q20">
        <v>145.714285714286</v>
      </c>
      <c r="R20">
        <v>0</v>
      </c>
      <c r="S20">
        <v>145.714285714286</v>
      </c>
      <c r="T20">
        <v>270</v>
      </c>
      <c r="U20">
        <f>SUMIF(货件明细!J:J,E20,货件明细!AP:AP)</f>
        <v>0</v>
      </c>
      <c r="V20">
        <f>IF(U20=T20,0,1)</f>
        <v>1</v>
      </c>
      <c r="W20">
        <f>T20</f>
        <v>270</v>
      </c>
      <c r="X20">
        <f>SUMIF(货件明细!J:J,E20,货件明细!H:H)</f>
        <v>0</v>
      </c>
      <c r="Y20">
        <f>N20-X20</f>
        <v>27.5</v>
      </c>
      <c r="Z20">
        <f>SUMIF(货件明细!J:J,E20,货件明细!I:I)</f>
        <v>0</v>
      </c>
      <c r="AA20">
        <f>IF(S20=Z20,0,1)</f>
        <v>1</v>
      </c>
    </row>
    <row r="21" hidden="1" spans="1:27">
      <c r="A21">
        <v>1</v>
      </c>
      <c r="B21">
        <v>2</v>
      </c>
      <c r="C21" s="3">
        <v>46031</v>
      </c>
      <c r="D21" t="s">
        <v>27</v>
      </c>
      <c r="E21" t="s">
        <v>77</v>
      </c>
      <c r="F21" t="s">
        <v>62</v>
      </c>
      <c r="G21" t="s">
        <v>30</v>
      </c>
      <c r="H21" t="s">
        <v>78</v>
      </c>
      <c r="I21" t="s">
        <v>63</v>
      </c>
      <c r="J21" t="s">
        <v>63</v>
      </c>
      <c r="K21" t="s">
        <v>64</v>
      </c>
      <c r="L21" t="s">
        <v>65</v>
      </c>
      <c r="M21" t="s">
        <v>66</v>
      </c>
      <c r="N21">
        <v>15</v>
      </c>
      <c r="O21">
        <v>27.7777777777778</v>
      </c>
      <c r="P21">
        <v>90.6</v>
      </c>
      <c r="Q21">
        <v>118.377777777778</v>
      </c>
      <c r="R21">
        <v>0</v>
      </c>
      <c r="S21">
        <v>118.377777777778</v>
      </c>
      <c r="T21">
        <v>78</v>
      </c>
      <c r="U21">
        <f>SUMIF(货件明细!J:J,E21,货件明细!AP:AP)</f>
        <v>0</v>
      </c>
      <c r="V21">
        <f>IF(U21=T21,0,1)</f>
        <v>1</v>
      </c>
      <c r="W21">
        <f>T21</f>
        <v>78</v>
      </c>
      <c r="X21">
        <f>SUMIF(货件明细!J:J,E21,货件明细!H:H)</f>
        <v>0</v>
      </c>
      <c r="Y21">
        <f>N21-X21</f>
        <v>15</v>
      </c>
      <c r="Z21">
        <f>SUMIF(货件明细!J:J,E21,货件明细!I:I)</f>
        <v>0</v>
      </c>
      <c r="AA21">
        <f>IF(S21=Z21,0,1)</f>
        <v>1</v>
      </c>
    </row>
    <row r="22" hidden="1" spans="1:27">
      <c r="A22">
        <v>1</v>
      </c>
      <c r="B22">
        <v>2</v>
      </c>
      <c r="C22" s="3">
        <v>46031</v>
      </c>
      <c r="D22" t="s">
        <v>27</v>
      </c>
      <c r="E22" t="s">
        <v>79</v>
      </c>
      <c r="F22" t="s">
        <v>68</v>
      </c>
      <c r="G22" t="s">
        <v>69</v>
      </c>
      <c r="H22" t="s">
        <v>78</v>
      </c>
      <c r="I22" t="s">
        <v>63</v>
      </c>
      <c r="J22" t="s">
        <v>63</v>
      </c>
      <c r="K22" t="s">
        <v>64</v>
      </c>
      <c r="L22" t="s">
        <v>65</v>
      </c>
      <c r="M22" t="s">
        <v>66</v>
      </c>
      <c r="N22">
        <v>15</v>
      </c>
      <c r="O22">
        <v>27.7777777777778</v>
      </c>
      <c r="P22">
        <v>83.125</v>
      </c>
      <c r="Q22">
        <v>110.902777777778</v>
      </c>
      <c r="R22">
        <v>0</v>
      </c>
      <c r="S22">
        <v>110.902777777778</v>
      </c>
      <c r="T22">
        <v>78</v>
      </c>
      <c r="U22">
        <f>SUMIF(货件明细!J:J,E22,货件明细!AP:AP)</f>
        <v>0</v>
      </c>
      <c r="V22">
        <f>IF(U22=T22,0,1)</f>
        <v>1</v>
      </c>
      <c r="W22">
        <f>T22</f>
        <v>78</v>
      </c>
      <c r="X22">
        <f>SUMIF(货件明细!J:J,E22,货件明细!H:H)</f>
        <v>0</v>
      </c>
      <c r="Y22">
        <f>N22-X22</f>
        <v>15</v>
      </c>
      <c r="Z22">
        <f>SUMIF(货件明细!J:J,E22,货件明细!I:I)</f>
        <v>0</v>
      </c>
      <c r="AA22">
        <f>IF(S22=Z22,0,1)</f>
        <v>1</v>
      </c>
    </row>
    <row r="23" hidden="1" spans="1:27">
      <c r="A23">
        <v>1</v>
      </c>
      <c r="B23">
        <v>2</v>
      </c>
      <c r="C23" s="3">
        <v>46031</v>
      </c>
      <c r="D23" t="s">
        <v>27</v>
      </c>
      <c r="E23" t="s">
        <v>80</v>
      </c>
      <c r="F23" t="s">
        <v>71</v>
      </c>
      <c r="G23" t="s">
        <v>72</v>
      </c>
      <c r="H23" t="s">
        <v>78</v>
      </c>
      <c r="I23" t="s">
        <v>63</v>
      </c>
      <c r="J23" t="s">
        <v>63</v>
      </c>
      <c r="K23" t="s">
        <v>64</v>
      </c>
      <c r="L23" t="s">
        <v>65</v>
      </c>
      <c r="M23" t="s">
        <v>66</v>
      </c>
      <c r="N23">
        <v>15</v>
      </c>
      <c r="O23">
        <v>35.7142857142857</v>
      </c>
      <c r="P23">
        <v>60.625</v>
      </c>
      <c r="Q23">
        <v>96.3392857142857</v>
      </c>
      <c r="R23">
        <v>0</v>
      </c>
      <c r="S23">
        <v>96.3392857142857</v>
      </c>
      <c r="T23">
        <v>78</v>
      </c>
      <c r="U23">
        <f>SUMIF(货件明细!J:J,E23,货件明细!AP:AP)</f>
        <v>0</v>
      </c>
      <c r="V23">
        <f>IF(U23=T23,0,1)</f>
        <v>1</v>
      </c>
      <c r="W23">
        <f>T23</f>
        <v>78</v>
      </c>
      <c r="X23">
        <f>SUMIF(货件明细!J:J,E23,货件明细!H:H)</f>
        <v>0</v>
      </c>
      <c r="Y23">
        <f>N23-X23</f>
        <v>15</v>
      </c>
      <c r="Z23">
        <f>SUMIF(货件明细!J:J,E23,货件明细!I:I)</f>
        <v>0</v>
      </c>
      <c r="AA23">
        <f>IF(S23=Z23,0,1)</f>
        <v>1</v>
      </c>
    </row>
    <row r="24" hidden="1" spans="1:27">
      <c r="A24">
        <v>1</v>
      </c>
      <c r="B24">
        <v>2</v>
      </c>
      <c r="C24" s="3">
        <v>46031</v>
      </c>
      <c r="D24" t="s">
        <v>27</v>
      </c>
      <c r="E24" t="s">
        <v>81</v>
      </c>
      <c r="F24" t="s">
        <v>74</v>
      </c>
      <c r="G24" t="s">
        <v>30</v>
      </c>
      <c r="H24" t="s">
        <v>78</v>
      </c>
      <c r="I24" t="s">
        <v>63</v>
      </c>
      <c r="J24" t="s">
        <v>63</v>
      </c>
      <c r="K24" t="s">
        <v>64</v>
      </c>
      <c r="L24" t="s">
        <v>65</v>
      </c>
      <c r="M24" t="s">
        <v>66</v>
      </c>
      <c r="N24">
        <v>15</v>
      </c>
      <c r="O24">
        <v>27.7777777777778</v>
      </c>
      <c r="P24">
        <v>102.1875</v>
      </c>
      <c r="Q24">
        <v>129.965277777778</v>
      </c>
      <c r="R24">
        <v>0</v>
      </c>
      <c r="S24">
        <v>129.965277777778</v>
      </c>
      <c r="T24">
        <v>78</v>
      </c>
      <c r="U24">
        <f>SUMIF(货件明细!J:J,E24,货件明细!AP:AP)</f>
        <v>0</v>
      </c>
      <c r="V24">
        <f>IF(U24=T24,0,1)</f>
        <v>1</v>
      </c>
      <c r="W24">
        <f>T24</f>
        <v>78</v>
      </c>
      <c r="X24">
        <f>SUMIF(货件明细!J:J,E24,货件明细!H:H)</f>
        <v>0</v>
      </c>
      <c r="Y24">
        <f>N24-X24</f>
        <v>15</v>
      </c>
      <c r="Z24">
        <f>SUMIF(货件明细!J:J,E24,货件明细!I:I)</f>
        <v>0</v>
      </c>
      <c r="AA24">
        <f>IF(S24=Z24,0,1)</f>
        <v>1</v>
      </c>
    </row>
    <row r="25" hidden="1" spans="1:27">
      <c r="A25">
        <v>1</v>
      </c>
      <c r="B25">
        <v>2</v>
      </c>
      <c r="C25" s="3">
        <v>46031</v>
      </c>
      <c r="D25" t="s">
        <v>27</v>
      </c>
      <c r="E25" t="s">
        <v>82</v>
      </c>
      <c r="F25" t="s">
        <v>76</v>
      </c>
      <c r="G25" t="s">
        <v>72</v>
      </c>
      <c r="H25" t="s">
        <v>78</v>
      </c>
      <c r="I25" t="s">
        <v>63</v>
      </c>
      <c r="J25" t="s">
        <v>63</v>
      </c>
      <c r="K25" t="s">
        <v>64</v>
      </c>
      <c r="L25" t="s">
        <v>65</v>
      </c>
      <c r="M25" t="s">
        <v>66</v>
      </c>
      <c r="N25">
        <v>15</v>
      </c>
      <c r="O25">
        <v>35.7142857142857</v>
      </c>
      <c r="P25">
        <v>55</v>
      </c>
      <c r="Q25">
        <v>90.7142857142857</v>
      </c>
      <c r="R25">
        <v>0</v>
      </c>
      <c r="S25">
        <v>90.7142857142857</v>
      </c>
      <c r="T25">
        <v>78</v>
      </c>
      <c r="U25">
        <f>SUMIF(货件明细!J:J,E25,货件明细!AP:AP)</f>
        <v>0</v>
      </c>
      <c r="V25">
        <f>IF(U25=T25,0,1)</f>
        <v>1</v>
      </c>
      <c r="W25">
        <f>T25</f>
        <v>78</v>
      </c>
      <c r="X25">
        <f>SUMIF(货件明细!J:J,E25,货件明细!H:H)</f>
        <v>0</v>
      </c>
      <c r="Y25">
        <f>N25-X25</f>
        <v>15</v>
      </c>
      <c r="Z25">
        <f>SUMIF(货件明细!J:J,E25,货件明细!I:I)</f>
        <v>0</v>
      </c>
      <c r="AA25">
        <f>IF(S25=Z25,0,1)</f>
        <v>1</v>
      </c>
    </row>
    <row r="26" hidden="1" spans="1:27">
      <c r="A26">
        <v>1</v>
      </c>
      <c r="B26">
        <v>2</v>
      </c>
      <c r="C26" s="3">
        <v>46031</v>
      </c>
      <c r="D26" t="s">
        <v>27</v>
      </c>
      <c r="E26" t="s">
        <v>83</v>
      </c>
      <c r="F26" t="s">
        <v>62</v>
      </c>
      <c r="G26" t="s">
        <v>30</v>
      </c>
      <c r="H26" t="s">
        <v>59</v>
      </c>
      <c r="I26" t="s">
        <v>63</v>
      </c>
      <c r="J26" t="s">
        <v>63</v>
      </c>
      <c r="K26" t="s">
        <v>64</v>
      </c>
      <c r="L26" t="s">
        <v>65</v>
      </c>
      <c r="M26" t="s">
        <v>66</v>
      </c>
      <c r="N26">
        <v>19.1</v>
      </c>
      <c r="O26">
        <v>27.7777777777778</v>
      </c>
      <c r="P26">
        <v>90.6</v>
      </c>
      <c r="Q26">
        <v>118.377777777778</v>
      </c>
      <c r="R26">
        <v>0</v>
      </c>
      <c r="S26">
        <v>118.377777777778</v>
      </c>
      <c r="T26">
        <v>46</v>
      </c>
      <c r="U26">
        <f>SUMIF(货件明细!J:J,E26,货件明细!AP:AP)</f>
        <v>0</v>
      </c>
      <c r="V26">
        <f>IF(U26=T26,0,1)</f>
        <v>1</v>
      </c>
      <c r="W26">
        <f>T26</f>
        <v>46</v>
      </c>
      <c r="X26">
        <f>SUMIF(货件明细!J:J,E26,货件明细!H:H)</f>
        <v>0</v>
      </c>
      <c r="Y26">
        <f>N26-X26</f>
        <v>19.1</v>
      </c>
      <c r="Z26">
        <f>SUMIF(货件明细!J:J,E26,货件明细!I:I)</f>
        <v>0</v>
      </c>
      <c r="AA26">
        <f>IF(S26=Z26,0,1)</f>
        <v>1</v>
      </c>
    </row>
    <row r="27" hidden="1" spans="1:27">
      <c r="A27">
        <v>1</v>
      </c>
      <c r="B27">
        <v>2</v>
      </c>
      <c r="C27" s="3">
        <v>46031</v>
      </c>
      <c r="D27" t="s">
        <v>27</v>
      </c>
      <c r="E27" t="s">
        <v>84</v>
      </c>
      <c r="F27" t="s">
        <v>68</v>
      </c>
      <c r="G27" t="s">
        <v>69</v>
      </c>
      <c r="H27" t="s">
        <v>59</v>
      </c>
      <c r="I27" t="s">
        <v>63</v>
      </c>
      <c r="J27" t="s">
        <v>63</v>
      </c>
      <c r="K27" t="s">
        <v>64</v>
      </c>
      <c r="L27" t="s">
        <v>65</v>
      </c>
      <c r="M27" t="s">
        <v>66</v>
      </c>
      <c r="N27">
        <v>19.1</v>
      </c>
      <c r="O27">
        <v>27.7777777777778</v>
      </c>
      <c r="P27">
        <v>83.125</v>
      </c>
      <c r="Q27">
        <v>110.902777777778</v>
      </c>
      <c r="R27">
        <v>0</v>
      </c>
      <c r="S27">
        <v>110.902777777778</v>
      </c>
      <c r="T27">
        <v>46</v>
      </c>
      <c r="U27">
        <f>SUMIF(货件明细!J:J,E27,货件明细!AP:AP)</f>
        <v>0</v>
      </c>
      <c r="V27">
        <f>IF(U27=T27,0,1)</f>
        <v>1</v>
      </c>
      <c r="W27">
        <f>T27</f>
        <v>46</v>
      </c>
      <c r="X27">
        <f>SUMIF(货件明细!J:J,E27,货件明细!H:H)</f>
        <v>0</v>
      </c>
      <c r="Y27">
        <f>N27-X27</f>
        <v>19.1</v>
      </c>
      <c r="Z27">
        <f>SUMIF(货件明细!J:J,E27,货件明细!I:I)</f>
        <v>0</v>
      </c>
      <c r="AA27">
        <f>IF(S27=Z27,0,1)</f>
        <v>1</v>
      </c>
    </row>
    <row r="28" hidden="1" spans="1:27">
      <c r="A28">
        <v>1</v>
      </c>
      <c r="B28">
        <v>2</v>
      </c>
      <c r="C28" s="3">
        <v>46031</v>
      </c>
      <c r="D28" t="s">
        <v>27</v>
      </c>
      <c r="E28" t="s">
        <v>85</v>
      </c>
      <c r="F28" t="s">
        <v>71</v>
      </c>
      <c r="G28" t="s">
        <v>72</v>
      </c>
      <c r="H28" t="s">
        <v>59</v>
      </c>
      <c r="I28" t="s">
        <v>63</v>
      </c>
      <c r="J28" t="s">
        <v>63</v>
      </c>
      <c r="K28" t="s">
        <v>64</v>
      </c>
      <c r="L28" t="s">
        <v>65</v>
      </c>
      <c r="M28" t="s">
        <v>66</v>
      </c>
      <c r="N28">
        <v>19.1</v>
      </c>
      <c r="O28">
        <v>35.7142857142857</v>
      </c>
      <c r="P28">
        <v>60.625</v>
      </c>
      <c r="Q28">
        <v>96.3392857142857</v>
      </c>
      <c r="R28">
        <v>0</v>
      </c>
      <c r="S28">
        <v>96.3392857142857</v>
      </c>
      <c r="T28">
        <v>46</v>
      </c>
      <c r="U28">
        <f>SUMIF(货件明细!J:J,E28,货件明细!AP:AP)</f>
        <v>0</v>
      </c>
      <c r="V28">
        <f>IF(U28=T28,0,1)</f>
        <v>1</v>
      </c>
      <c r="W28">
        <f>T28</f>
        <v>46</v>
      </c>
      <c r="X28">
        <f>SUMIF(货件明细!J:J,E28,货件明细!H:H)</f>
        <v>0</v>
      </c>
      <c r="Y28">
        <f>N28-X28</f>
        <v>19.1</v>
      </c>
      <c r="Z28">
        <f>SUMIF(货件明细!J:J,E28,货件明细!I:I)</f>
        <v>0</v>
      </c>
      <c r="AA28">
        <f>IF(S28=Z28,0,1)</f>
        <v>1</v>
      </c>
    </row>
    <row r="29" hidden="1" spans="1:27">
      <c r="A29">
        <v>1</v>
      </c>
      <c r="B29">
        <v>2</v>
      </c>
      <c r="C29" s="3">
        <v>46031</v>
      </c>
      <c r="D29" t="s">
        <v>27</v>
      </c>
      <c r="E29" t="s">
        <v>86</v>
      </c>
      <c r="F29" t="s">
        <v>74</v>
      </c>
      <c r="G29" t="s">
        <v>30</v>
      </c>
      <c r="H29" t="s">
        <v>59</v>
      </c>
      <c r="I29" t="s">
        <v>63</v>
      </c>
      <c r="J29" t="s">
        <v>63</v>
      </c>
      <c r="K29" t="s">
        <v>64</v>
      </c>
      <c r="L29" t="s">
        <v>65</v>
      </c>
      <c r="M29" t="s">
        <v>66</v>
      </c>
      <c r="N29">
        <v>19.1</v>
      </c>
      <c r="O29">
        <v>27.7777777777778</v>
      </c>
      <c r="P29">
        <v>102.1875</v>
      </c>
      <c r="Q29">
        <v>129.965277777778</v>
      </c>
      <c r="R29">
        <v>0</v>
      </c>
      <c r="S29">
        <v>129.965277777778</v>
      </c>
      <c r="T29">
        <v>46</v>
      </c>
      <c r="U29">
        <f>SUMIF(货件明细!J:J,E29,货件明细!AP:AP)</f>
        <v>0</v>
      </c>
      <c r="V29">
        <f>IF(U29=T29,0,1)</f>
        <v>1</v>
      </c>
      <c r="W29">
        <f>T29</f>
        <v>46</v>
      </c>
      <c r="X29">
        <f>SUMIF(货件明细!J:J,E29,货件明细!H:H)</f>
        <v>0</v>
      </c>
      <c r="Y29">
        <f>N29-X29</f>
        <v>19.1</v>
      </c>
      <c r="Z29">
        <f>SUMIF(货件明细!J:J,E29,货件明细!I:I)</f>
        <v>0</v>
      </c>
      <c r="AA29">
        <f>IF(S29=Z29,0,1)</f>
        <v>1</v>
      </c>
    </row>
    <row r="30" hidden="1" spans="1:27">
      <c r="A30">
        <v>1</v>
      </c>
      <c r="B30">
        <v>2</v>
      </c>
      <c r="C30" s="3">
        <v>46031</v>
      </c>
      <c r="D30" t="s">
        <v>27</v>
      </c>
      <c r="E30" t="s">
        <v>87</v>
      </c>
      <c r="F30" t="s">
        <v>76</v>
      </c>
      <c r="G30" t="s">
        <v>72</v>
      </c>
      <c r="H30" t="s">
        <v>59</v>
      </c>
      <c r="I30" t="s">
        <v>63</v>
      </c>
      <c r="J30" t="s">
        <v>63</v>
      </c>
      <c r="K30" t="s">
        <v>64</v>
      </c>
      <c r="L30" t="s">
        <v>65</v>
      </c>
      <c r="M30" t="s">
        <v>66</v>
      </c>
      <c r="N30">
        <v>19.1</v>
      </c>
      <c r="O30">
        <v>35.7142857142857</v>
      </c>
      <c r="P30">
        <v>55</v>
      </c>
      <c r="Q30">
        <v>90.7142857142857</v>
      </c>
      <c r="R30">
        <v>0</v>
      </c>
      <c r="S30">
        <v>90.7142857142857</v>
      </c>
      <c r="T30">
        <v>46</v>
      </c>
      <c r="U30">
        <f>SUMIF(货件明细!J:J,E30,货件明细!AP:AP)</f>
        <v>0</v>
      </c>
      <c r="V30">
        <f>IF(U30=T30,0,1)</f>
        <v>1</v>
      </c>
      <c r="W30">
        <f>T30</f>
        <v>46</v>
      </c>
      <c r="X30">
        <f>SUMIF(货件明细!J:J,E30,货件明细!H:H)</f>
        <v>0</v>
      </c>
      <c r="Y30">
        <f>N30-X30</f>
        <v>19.1</v>
      </c>
      <c r="Z30">
        <f>SUMIF(货件明细!J:J,E30,货件明细!I:I)</f>
        <v>0</v>
      </c>
      <c r="AA30">
        <f>IF(S30=Z30,0,1)</f>
        <v>1</v>
      </c>
    </row>
    <row r="31" hidden="1" spans="1:27">
      <c r="A31">
        <v>1</v>
      </c>
      <c r="B31">
        <v>2</v>
      </c>
      <c r="C31" s="3">
        <v>46031</v>
      </c>
      <c r="D31" t="s">
        <v>88</v>
      </c>
      <c r="E31" t="s">
        <v>89</v>
      </c>
      <c r="F31" t="s">
        <v>90</v>
      </c>
      <c r="G31" t="s">
        <v>72</v>
      </c>
      <c r="H31" t="s">
        <v>31</v>
      </c>
      <c r="I31" t="s">
        <v>63</v>
      </c>
      <c r="J31" t="s">
        <v>63</v>
      </c>
      <c r="K31" t="s">
        <v>64</v>
      </c>
      <c r="L31" t="s">
        <v>65</v>
      </c>
      <c r="M31" t="s">
        <v>66</v>
      </c>
      <c r="N31">
        <v>52.39</v>
      </c>
      <c r="O31">
        <v>35.7142857142857</v>
      </c>
      <c r="P31">
        <v>193.6</v>
      </c>
      <c r="Q31">
        <v>229.314285714286</v>
      </c>
      <c r="R31">
        <v>0</v>
      </c>
      <c r="S31">
        <v>229.314285714286</v>
      </c>
      <c r="T31">
        <v>550</v>
      </c>
      <c r="U31">
        <f>SUMIF(货件明细!J:J,E31,货件明细!AP:AP)</f>
        <v>0</v>
      </c>
      <c r="V31">
        <f>IF(U31=T31,0,1)</f>
        <v>1</v>
      </c>
      <c r="W31">
        <f>T31</f>
        <v>550</v>
      </c>
      <c r="X31">
        <f>SUMIF(货件明细!J:J,E31,货件明细!H:H)</f>
        <v>0</v>
      </c>
      <c r="Y31">
        <f>N31-X31</f>
        <v>52.39</v>
      </c>
      <c r="Z31">
        <f>SUMIF(货件明细!J:J,E31,货件明细!I:I)</f>
        <v>0</v>
      </c>
      <c r="AA31">
        <f>IF(S31=Z31,0,1)</f>
        <v>1</v>
      </c>
    </row>
    <row r="32" hidden="1" spans="1:27">
      <c r="A32">
        <v>1</v>
      </c>
      <c r="B32">
        <v>2</v>
      </c>
      <c r="C32" s="3">
        <v>46031</v>
      </c>
      <c r="D32" t="s">
        <v>27</v>
      </c>
      <c r="E32" t="s">
        <v>91</v>
      </c>
      <c r="F32" t="s">
        <v>62</v>
      </c>
      <c r="G32" t="s">
        <v>30</v>
      </c>
      <c r="H32" t="s">
        <v>54</v>
      </c>
      <c r="I32" t="s">
        <v>92</v>
      </c>
      <c r="J32" t="s">
        <v>92</v>
      </c>
      <c r="K32" t="s">
        <v>64</v>
      </c>
      <c r="L32" t="s">
        <v>65</v>
      </c>
      <c r="M32" t="s">
        <v>93</v>
      </c>
      <c r="N32">
        <v>10.4</v>
      </c>
      <c r="O32">
        <v>7.14285714285714</v>
      </c>
      <c r="P32">
        <v>116.333333333333</v>
      </c>
      <c r="Q32">
        <v>123.47619047619</v>
      </c>
      <c r="R32">
        <v>0</v>
      </c>
      <c r="S32">
        <v>123.47619047619</v>
      </c>
      <c r="T32">
        <v>40</v>
      </c>
      <c r="U32">
        <f>SUMIF(货件明细!J:J,E32,货件明细!AP:AP)</f>
        <v>0</v>
      </c>
      <c r="V32">
        <f>IF(U32=T32,0,1)</f>
        <v>1</v>
      </c>
      <c r="W32">
        <f>T32</f>
        <v>40</v>
      </c>
      <c r="X32">
        <f>SUMIF(货件明细!J:J,E32,货件明细!H:H)</f>
        <v>0</v>
      </c>
      <c r="Y32">
        <f>N32-X32</f>
        <v>10.4</v>
      </c>
      <c r="Z32">
        <f>SUMIF(货件明细!J:J,E32,货件明细!I:I)</f>
        <v>0</v>
      </c>
      <c r="AA32">
        <f>IF(S32=Z32,0,1)</f>
        <v>1</v>
      </c>
    </row>
    <row r="33" hidden="1" spans="1:27">
      <c r="A33">
        <v>1</v>
      </c>
      <c r="B33">
        <v>2</v>
      </c>
      <c r="C33" s="3">
        <v>46031</v>
      </c>
      <c r="D33" t="s">
        <v>27</v>
      </c>
      <c r="E33" t="s">
        <v>94</v>
      </c>
      <c r="F33" t="s">
        <v>68</v>
      </c>
      <c r="G33" t="s">
        <v>69</v>
      </c>
      <c r="H33" t="s">
        <v>54</v>
      </c>
      <c r="I33" t="s">
        <v>92</v>
      </c>
      <c r="J33" t="s">
        <v>92</v>
      </c>
      <c r="K33" t="s">
        <v>64</v>
      </c>
      <c r="L33" t="s">
        <v>65</v>
      </c>
      <c r="M33" t="s">
        <v>93</v>
      </c>
      <c r="N33">
        <v>10.4</v>
      </c>
      <c r="O33">
        <v>7.14285714285714</v>
      </c>
      <c r="P33">
        <v>101.725</v>
      </c>
      <c r="Q33">
        <v>108.867857142857</v>
      </c>
      <c r="R33">
        <v>0</v>
      </c>
      <c r="S33">
        <v>108.867857142857</v>
      </c>
      <c r="T33">
        <v>40</v>
      </c>
      <c r="U33">
        <f>SUMIF(货件明细!J:J,E33,货件明细!AP:AP)</f>
        <v>0</v>
      </c>
      <c r="V33">
        <f>IF(U33=T33,0,1)</f>
        <v>1</v>
      </c>
      <c r="W33">
        <f>T33</f>
        <v>40</v>
      </c>
      <c r="X33">
        <f>SUMIF(货件明细!J:J,E33,货件明细!H:H)</f>
        <v>0</v>
      </c>
      <c r="Y33">
        <f>N33-X33</f>
        <v>10.4</v>
      </c>
      <c r="Z33">
        <f>SUMIF(货件明细!J:J,E33,货件明细!I:I)</f>
        <v>0</v>
      </c>
      <c r="AA33">
        <f>IF(S33=Z33,0,1)</f>
        <v>1</v>
      </c>
    </row>
    <row r="34" hidden="1" spans="1:27">
      <c r="A34">
        <v>1</v>
      </c>
      <c r="B34">
        <v>2</v>
      </c>
      <c r="C34" s="3">
        <v>46031</v>
      </c>
      <c r="D34" t="s">
        <v>27</v>
      </c>
      <c r="E34" t="s">
        <v>95</v>
      </c>
      <c r="F34" t="s">
        <v>71</v>
      </c>
      <c r="G34" t="s">
        <v>72</v>
      </c>
      <c r="H34" t="s">
        <v>54</v>
      </c>
      <c r="I34" t="s">
        <v>92</v>
      </c>
      <c r="J34" t="s">
        <v>92</v>
      </c>
      <c r="K34" t="s">
        <v>64</v>
      </c>
      <c r="L34" t="s">
        <v>65</v>
      </c>
      <c r="M34" t="s">
        <v>93</v>
      </c>
      <c r="N34">
        <v>10.4</v>
      </c>
      <c r="O34">
        <v>7.14285714285714</v>
      </c>
      <c r="P34">
        <v>80.3333333333333</v>
      </c>
      <c r="Q34">
        <v>87.4761904761904</v>
      </c>
      <c r="R34">
        <v>0</v>
      </c>
      <c r="S34">
        <v>87.4761904761904</v>
      </c>
      <c r="T34">
        <v>40</v>
      </c>
      <c r="U34">
        <f>SUMIF(货件明细!J:J,E34,货件明细!AP:AP)</f>
        <v>0</v>
      </c>
      <c r="V34">
        <f>IF(U34=T34,0,1)</f>
        <v>1</v>
      </c>
      <c r="W34">
        <f>T34</f>
        <v>40</v>
      </c>
      <c r="X34">
        <f>SUMIF(货件明细!J:J,E34,货件明细!H:H)</f>
        <v>0</v>
      </c>
      <c r="Y34">
        <f>N34-X34</f>
        <v>10.4</v>
      </c>
      <c r="Z34">
        <f>SUMIF(货件明细!J:J,E34,货件明细!I:I)</f>
        <v>0</v>
      </c>
      <c r="AA34">
        <f>IF(S34=Z34,0,1)</f>
        <v>1</v>
      </c>
    </row>
    <row r="35" hidden="1" spans="1:27">
      <c r="A35">
        <v>1</v>
      </c>
      <c r="B35">
        <v>2</v>
      </c>
      <c r="C35" s="3">
        <v>46031</v>
      </c>
      <c r="D35" t="s">
        <v>27</v>
      </c>
      <c r="E35" t="s">
        <v>96</v>
      </c>
      <c r="F35" t="s">
        <v>74</v>
      </c>
      <c r="G35" t="s">
        <v>30</v>
      </c>
      <c r="H35" t="s">
        <v>54</v>
      </c>
      <c r="I35" t="s">
        <v>92</v>
      </c>
      <c r="J35" t="s">
        <v>92</v>
      </c>
      <c r="K35" t="s">
        <v>64</v>
      </c>
      <c r="L35" t="s">
        <v>65</v>
      </c>
      <c r="M35" t="s">
        <v>93</v>
      </c>
      <c r="N35">
        <v>10.4</v>
      </c>
      <c r="O35">
        <v>7.14285714285714</v>
      </c>
      <c r="P35">
        <v>124.666666666667</v>
      </c>
      <c r="Q35">
        <v>131.809523809524</v>
      </c>
      <c r="R35">
        <v>0</v>
      </c>
      <c r="S35">
        <v>131.809523809524</v>
      </c>
      <c r="T35">
        <v>40</v>
      </c>
      <c r="U35">
        <f>SUMIF(货件明细!J:J,E35,货件明细!AP:AP)</f>
        <v>0</v>
      </c>
      <c r="V35">
        <f>IF(U35=T35,0,1)</f>
        <v>1</v>
      </c>
      <c r="W35">
        <f>T35</f>
        <v>40</v>
      </c>
      <c r="X35">
        <f>SUMIF(货件明细!J:J,E35,货件明细!H:H)</f>
        <v>0</v>
      </c>
      <c r="Y35">
        <f>N35-X35</f>
        <v>10.4</v>
      </c>
      <c r="Z35">
        <f>SUMIF(货件明细!J:J,E35,货件明细!I:I)</f>
        <v>0</v>
      </c>
      <c r="AA35">
        <f>IF(S35=Z35,0,1)</f>
        <v>1</v>
      </c>
    </row>
    <row r="36" hidden="1" spans="1:27">
      <c r="A36">
        <v>1</v>
      </c>
      <c r="B36">
        <v>2</v>
      </c>
      <c r="C36" s="3">
        <v>46031</v>
      </c>
      <c r="D36" t="s">
        <v>27</v>
      </c>
      <c r="E36" t="s">
        <v>97</v>
      </c>
      <c r="F36" t="s">
        <v>98</v>
      </c>
      <c r="G36" t="s">
        <v>72</v>
      </c>
      <c r="H36" t="s">
        <v>54</v>
      </c>
      <c r="I36" t="s">
        <v>92</v>
      </c>
      <c r="J36" t="s">
        <v>92</v>
      </c>
      <c r="K36" t="s">
        <v>64</v>
      </c>
      <c r="L36" t="s">
        <v>65</v>
      </c>
      <c r="M36" t="s">
        <v>93</v>
      </c>
      <c r="N36">
        <v>10.4</v>
      </c>
      <c r="O36">
        <v>7.14285714285714</v>
      </c>
      <c r="P36">
        <v>79.3291666666667</v>
      </c>
      <c r="Q36">
        <v>86.4720238095238</v>
      </c>
      <c r="R36">
        <v>0</v>
      </c>
      <c r="S36">
        <v>86.4720238095238</v>
      </c>
      <c r="T36">
        <v>40</v>
      </c>
      <c r="U36">
        <f>SUMIF(货件明细!J:J,E36,货件明细!AP:AP)</f>
        <v>0</v>
      </c>
      <c r="V36">
        <f>IF(U36=T36,0,1)</f>
        <v>1</v>
      </c>
      <c r="W36">
        <f>T36</f>
        <v>40</v>
      </c>
      <c r="X36">
        <f>SUMIF(货件明细!J:J,E36,货件明细!H:H)</f>
        <v>0</v>
      </c>
      <c r="Y36">
        <f>N36-X36</f>
        <v>10.4</v>
      </c>
      <c r="Z36">
        <f>SUMIF(货件明细!J:J,E36,货件明细!I:I)</f>
        <v>0</v>
      </c>
      <c r="AA36">
        <f>IF(S36=Z36,0,1)</f>
        <v>1</v>
      </c>
    </row>
    <row r="37" hidden="1" spans="1:27">
      <c r="A37">
        <v>1</v>
      </c>
      <c r="B37">
        <v>2</v>
      </c>
      <c r="C37" s="3">
        <v>46031</v>
      </c>
      <c r="D37" t="s">
        <v>27</v>
      </c>
      <c r="E37" t="s">
        <v>99</v>
      </c>
      <c r="F37" t="s">
        <v>62</v>
      </c>
      <c r="G37" t="s">
        <v>30</v>
      </c>
      <c r="H37" t="s">
        <v>56</v>
      </c>
      <c r="I37" t="s">
        <v>92</v>
      </c>
      <c r="J37" t="s">
        <v>92</v>
      </c>
      <c r="K37" t="s">
        <v>64</v>
      </c>
      <c r="L37" t="s">
        <v>65</v>
      </c>
      <c r="M37" t="s">
        <v>93</v>
      </c>
      <c r="N37">
        <v>12.7</v>
      </c>
      <c r="O37">
        <v>7.14285714285714</v>
      </c>
      <c r="P37">
        <v>116.333333333333</v>
      </c>
      <c r="Q37">
        <v>123.47619047619</v>
      </c>
      <c r="R37">
        <v>0</v>
      </c>
      <c r="S37">
        <v>123.47619047619</v>
      </c>
      <c r="T37">
        <v>76</v>
      </c>
      <c r="U37">
        <f>SUMIF(货件明细!J:J,E37,货件明细!AP:AP)</f>
        <v>0</v>
      </c>
      <c r="V37">
        <f>IF(U37=T37,0,1)</f>
        <v>1</v>
      </c>
      <c r="W37">
        <f>T37</f>
        <v>76</v>
      </c>
      <c r="X37">
        <f>SUMIF(货件明细!J:J,E37,货件明细!H:H)</f>
        <v>0</v>
      </c>
      <c r="Y37">
        <f>N37-X37</f>
        <v>12.7</v>
      </c>
      <c r="Z37">
        <f>SUMIF(货件明细!J:J,E37,货件明细!I:I)</f>
        <v>0</v>
      </c>
      <c r="AA37">
        <f>IF(S37=Z37,0,1)</f>
        <v>1</v>
      </c>
    </row>
    <row r="38" hidden="1" spans="1:27">
      <c r="A38">
        <v>1</v>
      </c>
      <c r="B38">
        <v>2</v>
      </c>
      <c r="C38" s="3">
        <v>46031</v>
      </c>
      <c r="D38" t="s">
        <v>27</v>
      </c>
      <c r="E38" t="s">
        <v>100</v>
      </c>
      <c r="F38" t="s">
        <v>68</v>
      </c>
      <c r="G38" t="s">
        <v>69</v>
      </c>
      <c r="H38" t="s">
        <v>56</v>
      </c>
      <c r="I38" t="s">
        <v>92</v>
      </c>
      <c r="J38" t="s">
        <v>92</v>
      </c>
      <c r="K38" t="s">
        <v>64</v>
      </c>
      <c r="L38" t="s">
        <v>65</v>
      </c>
      <c r="M38" t="s">
        <v>93</v>
      </c>
      <c r="N38">
        <v>12.7</v>
      </c>
      <c r="O38">
        <v>7.14285714285714</v>
      </c>
      <c r="P38">
        <v>101.725</v>
      </c>
      <c r="Q38">
        <v>108.867857142857</v>
      </c>
      <c r="R38">
        <v>0</v>
      </c>
      <c r="S38">
        <v>108.867857142857</v>
      </c>
      <c r="T38">
        <v>76</v>
      </c>
      <c r="U38">
        <f>SUMIF(货件明细!J:J,E38,货件明细!AP:AP)</f>
        <v>0</v>
      </c>
      <c r="V38">
        <f>IF(U38=T38,0,1)</f>
        <v>1</v>
      </c>
      <c r="W38">
        <f>T38</f>
        <v>76</v>
      </c>
      <c r="X38">
        <f>SUMIF(货件明细!J:J,E38,货件明细!H:H)</f>
        <v>0</v>
      </c>
      <c r="Y38">
        <f>N38-X38</f>
        <v>12.7</v>
      </c>
      <c r="Z38">
        <f>SUMIF(货件明细!J:J,E38,货件明细!I:I)</f>
        <v>0</v>
      </c>
      <c r="AA38">
        <f>IF(S38=Z38,0,1)</f>
        <v>1</v>
      </c>
    </row>
    <row r="39" hidden="1" spans="1:27">
      <c r="A39">
        <v>1</v>
      </c>
      <c r="B39">
        <v>2</v>
      </c>
      <c r="C39" s="3">
        <v>46031</v>
      </c>
      <c r="D39" t="s">
        <v>27</v>
      </c>
      <c r="E39" t="s">
        <v>101</v>
      </c>
      <c r="F39" t="s">
        <v>71</v>
      </c>
      <c r="G39" t="s">
        <v>72</v>
      </c>
      <c r="H39" t="s">
        <v>56</v>
      </c>
      <c r="I39" t="s">
        <v>92</v>
      </c>
      <c r="J39" t="s">
        <v>92</v>
      </c>
      <c r="K39" t="s">
        <v>64</v>
      </c>
      <c r="L39" t="s">
        <v>65</v>
      </c>
      <c r="M39" t="s">
        <v>93</v>
      </c>
      <c r="N39">
        <v>12.7</v>
      </c>
      <c r="O39">
        <v>7.14285714285714</v>
      </c>
      <c r="P39">
        <v>80.3333333333333</v>
      </c>
      <c r="Q39">
        <v>87.4761904761904</v>
      </c>
      <c r="R39">
        <v>0</v>
      </c>
      <c r="S39">
        <v>87.4761904761904</v>
      </c>
      <c r="T39">
        <v>76</v>
      </c>
      <c r="U39">
        <f>SUMIF(货件明细!J:J,E39,货件明细!AP:AP)</f>
        <v>0</v>
      </c>
      <c r="V39">
        <f>IF(U39=T39,0,1)</f>
        <v>1</v>
      </c>
      <c r="W39">
        <f>T39</f>
        <v>76</v>
      </c>
      <c r="X39">
        <f>SUMIF(货件明细!J:J,E39,货件明细!H:H)</f>
        <v>0</v>
      </c>
      <c r="Y39">
        <f>N39-X39</f>
        <v>12.7</v>
      </c>
      <c r="Z39">
        <f>SUMIF(货件明细!J:J,E39,货件明细!I:I)</f>
        <v>0</v>
      </c>
      <c r="AA39">
        <f>IF(S39=Z39,0,1)</f>
        <v>1</v>
      </c>
    </row>
    <row r="40" hidden="1" spans="1:27">
      <c r="A40">
        <v>1</v>
      </c>
      <c r="B40">
        <v>2</v>
      </c>
      <c r="C40" s="3">
        <v>46031</v>
      </c>
      <c r="D40" t="s">
        <v>27</v>
      </c>
      <c r="E40" t="s">
        <v>102</v>
      </c>
      <c r="F40" t="s">
        <v>74</v>
      </c>
      <c r="G40" t="s">
        <v>30</v>
      </c>
      <c r="H40" t="s">
        <v>56</v>
      </c>
      <c r="I40" t="s">
        <v>92</v>
      </c>
      <c r="J40" t="s">
        <v>92</v>
      </c>
      <c r="K40" t="s">
        <v>64</v>
      </c>
      <c r="L40" t="s">
        <v>65</v>
      </c>
      <c r="M40" t="s">
        <v>93</v>
      </c>
      <c r="N40">
        <v>12.7</v>
      </c>
      <c r="O40">
        <v>7.14285714285714</v>
      </c>
      <c r="P40">
        <v>124.666666666667</v>
      </c>
      <c r="Q40">
        <v>131.809523809524</v>
      </c>
      <c r="R40">
        <v>0</v>
      </c>
      <c r="S40">
        <v>131.809523809524</v>
      </c>
      <c r="T40">
        <v>76</v>
      </c>
      <c r="U40">
        <f>SUMIF(货件明细!J:J,E40,货件明细!AP:AP)</f>
        <v>0</v>
      </c>
      <c r="V40">
        <f>IF(U40=T40,0,1)</f>
        <v>1</v>
      </c>
      <c r="W40">
        <f>T40</f>
        <v>76</v>
      </c>
      <c r="X40">
        <f>SUMIF(货件明细!J:J,E40,货件明细!H:H)</f>
        <v>0</v>
      </c>
      <c r="Y40">
        <f>N40-X40</f>
        <v>12.7</v>
      </c>
      <c r="Z40">
        <f>SUMIF(货件明细!J:J,E40,货件明细!I:I)</f>
        <v>0</v>
      </c>
      <c r="AA40">
        <f>IF(S40=Z40,0,1)</f>
        <v>1</v>
      </c>
    </row>
    <row r="41" hidden="1" spans="1:27">
      <c r="A41">
        <v>1</v>
      </c>
      <c r="B41">
        <v>2</v>
      </c>
      <c r="C41" s="3">
        <v>46031</v>
      </c>
      <c r="D41" t="s">
        <v>27</v>
      </c>
      <c r="E41" t="s">
        <v>103</v>
      </c>
      <c r="F41" t="s">
        <v>98</v>
      </c>
      <c r="G41" t="s">
        <v>72</v>
      </c>
      <c r="H41" t="s">
        <v>56</v>
      </c>
      <c r="I41" t="s">
        <v>92</v>
      </c>
      <c r="J41" t="s">
        <v>92</v>
      </c>
      <c r="K41" t="s">
        <v>64</v>
      </c>
      <c r="L41" t="s">
        <v>65</v>
      </c>
      <c r="M41" t="s">
        <v>93</v>
      </c>
      <c r="N41">
        <v>12.7</v>
      </c>
      <c r="O41">
        <v>7.14285714285714</v>
      </c>
      <c r="P41">
        <v>79.3291666666667</v>
      </c>
      <c r="Q41">
        <v>86.4720238095238</v>
      </c>
      <c r="R41">
        <v>0</v>
      </c>
      <c r="S41">
        <v>86.4720238095238</v>
      </c>
      <c r="T41">
        <v>76</v>
      </c>
      <c r="U41">
        <f>SUMIF(货件明细!J:J,E41,货件明细!AP:AP)</f>
        <v>0</v>
      </c>
      <c r="V41">
        <f>IF(U41=T41,0,1)</f>
        <v>1</v>
      </c>
      <c r="W41">
        <f>T41</f>
        <v>76</v>
      </c>
      <c r="X41">
        <f>SUMIF(货件明细!J:J,E41,货件明细!H:H)</f>
        <v>0</v>
      </c>
      <c r="Y41">
        <f>N41-X41</f>
        <v>12.7</v>
      </c>
      <c r="Z41">
        <f>SUMIF(货件明细!J:J,E41,货件明细!I:I)</f>
        <v>0</v>
      </c>
      <c r="AA41">
        <f>IF(S41=Z41,0,1)</f>
        <v>1</v>
      </c>
    </row>
    <row r="42" hidden="1" spans="1:27">
      <c r="A42">
        <v>1</v>
      </c>
      <c r="B42">
        <v>2</v>
      </c>
      <c r="C42" s="3">
        <v>46031</v>
      </c>
      <c r="D42" t="s">
        <v>27</v>
      </c>
      <c r="E42" t="s">
        <v>104</v>
      </c>
      <c r="F42" t="s">
        <v>62</v>
      </c>
      <c r="G42" t="s">
        <v>30</v>
      </c>
      <c r="H42" t="s">
        <v>37</v>
      </c>
      <c r="I42" t="s">
        <v>92</v>
      </c>
      <c r="J42" t="s">
        <v>92</v>
      </c>
      <c r="K42" t="s">
        <v>64</v>
      </c>
      <c r="L42" t="s">
        <v>65</v>
      </c>
      <c r="M42" t="s">
        <v>93</v>
      </c>
      <c r="N42">
        <v>42.76</v>
      </c>
      <c r="O42">
        <v>7.14285714285714</v>
      </c>
      <c r="P42">
        <v>232.666666666667</v>
      </c>
      <c r="Q42">
        <v>239.809523809524</v>
      </c>
      <c r="R42">
        <v>0</v>
      </c>
      <c r="S42">
        <v>239.809523809524</v>
      </c>
      <c r="T42">
        <v>426</v>
      </c>
      <c r="U42">
        <f>SUMIF(货件明细!J:J,E42,货件明细!AP:AP)</f>
        <v>0</v>
      </c>
      <c r="V42">
        <f>IF(U42=T42,0,1)</f>
        <v>1</v>
      </c>
      <c r="W42">
        <f>T42</f>
        <v>426</v>
      </c>
      <c r="X42">
        <f>SUMIF(货件明细!J:J,E42,货件明细!H:H)</f>
        <v>0</v>
      </c>
      <c r="Y42">
        <f>N42-X42</f>
        <v>42.76</v>
      </c>
      <c r="Z42">
        <f>SUMIF(货件明细!J:J,E42,货件明细!I:I)</f>
        <v>0</v>
      </c>
      <c r="AA42">
        <f>IF(S42=Z42,0,1)</f>
        <v>1</v>
      </c>
    </row>
    <row r="43" hidden="1" spans="1:27">
      <c r="A43">
        <v>1</v>
      </c>
      <c r="B43">
        <v>2</v>
      </c>
      <c r="C43" s="3">
        <v>46031</v>
      </c>
      <c r="D43" t="s">
        <v>27</v>
      </c>
      <c r="E43" t="s">
        <v>105</v>
      </c>
      <c r="F43" t="s">
        <v>68</v>
      </c>
      <c r="G43" t="s">
        <v>69</v>
      </c>
      <c r="H43" t="s">
        <v>37</v>
      </c>
      <c r="I43" t="s">
        <v>92</v>
      </c>
      <c r="J43" t="s">
        <v>92</v>
      </c>
      <c r="K43" t="s">
        <v>64</v>
      </c>
      <c r="L43" t="s">
        <v>65</v>
      </c>
      <c r="M43" t="s">
        <v>93</v>
      </c>
      <c r="N43">
        <v>42.76</v>
      </c>
      <c r="O43">
        <v>7.14285714285714</v>
      </c>
      <c r="P43">
        <v>203.45</v>
      </c>
      <c r="Q43">
        <v>210.592857142857</v>
      </c>
      <c r="R43">
        <v>0</v>
      </c>
      <c r="S43">
        <v>210.592857142857</v>
      </c>
      <c r="T43">
        <v>426</v>
      </c>
      <c r="U43">
        <f>SUMIF(货件明细!J:J,E43,货件明细!AP:AP)</f>
        <v>0</v>
      </c>
      <c r="V43">
        <f>IF(U43=T43,0,1)</f>
        <v>1</v>
      </c>
      <c r="W43">
        <f>T43</f>
        <v>426</v>
      </c>
      <c r="X43">
        <f>SUMIF(货件明细!J:J,E43,货件明细!H:H)</f>
        <v>0</v>
      </c>
      <c r="Y43">
        <f>N43-X43</f>
        <v>42.76</v>
      </c>
      <c r="Z43">
        <f>SUMIF(货件明细!J:J,E43,货件明细!I:I)</f>
        <v>0</v>
      </c>
      <c r="AA43">
        <f>IF(S43=Z43,0,1)</f>
        <v>1</v>
      </c>
    </row>
    <row r="44" hidden="1" spans="1:27">
      <c r="A44">
        <v>1</v>
      </c>
      <c r="B44">
        <v>2</v>
      </c>
      <c r="C44" s="3">
        <v>46031</v>
      </c>
      <c r="D44" t="s">
        <v>27</v>
      </c>
      <c r="E44" t="s">
        <v>106</v>
      </c>
      <c r="F44" t="s">
        <v>71</v>
      </c>
      <c r="G44" t="s">
        <v>72</v>
      </c>
      <c r="H44" t="s">
        <v>37</v>
      </c>
      <c r="I44" t="s">
        <v>92</v>
      </c>
      <c r="J44" t="s">
        <v>92</v>
      </c>
      <c r="K44" t="s">
        <v>64</v>
      </c>
      <c r="L44" t="s">
        <v>65</v>
      </c>
      <c r="M44" t="s">
        <v>93</v>
      </c>
      <c r="N44">
        <v>42.76</v>
      </c>
      <c r="O44">
        <v>7.14285714285714</v>
      </c>
      <c r="P44">
        <v>160.666666666667</v>
      </c>
      <c r="Q44">
        <v>167.809523809524</v>
      </c>
      <c r="R44">
        <v>0</v>
      </c>
      <c r="S44">
        <v>167.809523809524</v>
      </c>
      <c r="T44">
        <v>426</v>
      </c>
      <c r="U44">
        <f>SUMIF(货件明细!J:J,E44,货件明细!AP:AP)</f>
        <v>0</v>
      </c>
      <c r="V44">
        <f>IF(U44=T44,0,1)</f>
        <v>1</v>
      </c>
      <c r="W44">
        <f>T44</f>
        <v>426</v>
      </c>
      <c r="X44">
        <f>SUMIF(货件明细!J:J,E44,货件明细!H:H)</f>
        <v>0</v>
      </c>
      <c r="Y44">
        <f>N44-X44</f>
        <v>42.76</v>
      </c>
      <c r="Z44">
        <f>SUMIF(货件明细!J:J,E44,货件明细!I:I)</f>
        <v>0</v>
      </c>
      <c r="AA44">
        <f>IF(S44=Z44,0,1)</f>
        <v>1</v>
      </c>
    </row>
    <row r="45" hidden="1" spans="1:27">
      <c r="A45">
        <v>1</v>
      </c>
      <c r="B45">
        <v>2</v>
      </c>
      <c r="C45" s="3">
        <v>46031</v>
      </c>
      <c r="D45" t="s">
        <v>27</v>
      </c>
      <c r="E45" t="s">
        <v>107</v>
      </c>
      <c r="F45" t="s">
        <v>74</v>
      </c>
      <c r="G45" t="s">
        <v>30</v>
      </c>
      <c r="H45" t="s">
        <v>37</v>
      </c>
      <c r="I45" t="s">
        <v>92</v>
      </c>
      <c r="J45" t="s">
        <v>92</v>
      </c>
      <c r="K45" t="s">
        <v>64</v>
      </c>
      <c r="L45" t="s">
        <v>65</v>
      </c>
      <c r="M45" t="s">
        <v>93</v>
      </c>
      <c r="N45">
        <v>42.76</v>
      </c>
      <c r="O45">
        <v>7.14285714285714</v>
      </c>
      <c r="P45">
        <v>249.333333333333</v>
      </c>
      <c r="Q45">
        <v>256.47619047619</v>
      </c>
      <c r="R45">
        <v>0</v>
      </c>
      <c r="S45">
        <v>256.47619047619</v>
      </c>
      <c r="T45">
        <v>426</v>
      </c>
      <c r="U45">
        <f>SUMIF(货件明细!J:J,E45,货件明细!AP:AP)</f>
        <v>0</v>
      </c>
      <c r="V45">
        <f>IF(U45=T45,0,1)</f>
        <v>1</v>
      </c>
      <c r="W45">
        <f>T45</f>
        <v>426</v>
      </c>
      <c r="X45">
        <f>SUMIF(货件明细!J:J,E45,货件明细!H:H)</f>
        <v>0</v>
      </c>
      <c r="Y45">
        <f>N45-X45</f>
        <v>42.76</v>
      </c>
      <c r="Z45">
        <f>SUMIF(货件明细!J:J,E45,货件明细!I:I)</f>
        <v>0</v>
      </c>
      <c r="AA45">
        <f>IF(S45=Z45,0,1)</f>
        <v>1</v>
      </c>
    </row>
    <row r="46" hidden="1" spans="1:27">
      <c r="A46">
        <v>1</v>
      </c>
      <c r="B46">
        <v>2</v>
      </c>
      <c r="C46" s="3">
        <v>46031</v>
      </c>
      <c r="D46" t="s">
        <v>27</v>
      </c>
      <c r="E46" t="s">
        <v>108</v>
      </c>
      <c r="F46" t="s">
        <v>98</v>
      </c>
      <c r="G46" t="s">
        <v>72</v>
      </c>
      <c r="H46" t="s">
        <v>37</v>
      </c>
      <c r="I46" t="s">
        <v>92</v>
      </c>
      <c r="J46" t="s">
        <v>92</v>
      </c>
      <c r="K46" t="s">
        <v>64</v>
      </c>
      <c r="L46" t="s">
        <v>65</v>
      </c>
      <c r="M46" t="s">
        <v>93</v>
      </c>
      <c r="N46">
        <v>42.76</v>
      </c>
      <c r="O46">
        <v>7.14285714285714</v>
      </c>
      <c r="P46">
        <v>158.658333333333</v>
      </c>
      <c r="Q46">
        <v>165.80119047619</v>
      </c>
      <c r="R46">
        <v>0</v>
      </c>
      <c r="S46">
        <v>165.80119047619</v>
      </c>
      <c r="T46">
        <v>426</v>
      </c>
      <c r="U46">
        <f>SUMIF(货件明细!J:J,E46,货件明细!AP:AP)</f>
        <v>0</v>
      </c>
      <c r="V46">
        <f>IF(U46=T46,0,1)</f>
        <v>1</v>
      </c>
      <c r="W46">
        <f>T46</f>
        <v>426</v>
      </c>
      <c r="X46">
        <f>SUMIF(货件明细!J:J,E46,货件明细!H:H)</f>
        <v>0</v>
      </c>
      <c r="Y46">
        <f>N46-X46</f>
        <v>42.76</v>
      </c>
      <c r="Z46">
        <f>SUMIF(货件明细!J:J,E46,货件明细!I:I)</f>
        <v>0</v>
      </c>
      <c r="AA46">
        <f>IF(S46=Z46,0,1)</f>
        <v>1</v>
      </c>
    </row>
    <row r="47" hidden="1" spans="1:27">
      <c r="A47">
        <v>1</v>
      </c>
      <c r="B47">
        <v>2</v>
      </c>
      <c r="C47" s="3">
        <v>46031</v>
      </c>
      <c r="D47" t="s">
        <v>27</v>
      </c>
      <c r="E47" t="s">
        <v>109</v>
      </c>
      <c r="F47" t="s">
        <v>62</v>
      </c>
      <c r="G47" t="s">
        <v>30</v>
      </c>
      <c r="H47" t="s">
        <v>51</v>
      </c>
      <c r="I47" t="s">
        <v>92</v>
      </c>
      <c r="J47" t="s">
        <v>92</v>
      </c>
      <c r="K47" t="s">
        <v>64</v>
      </c>
      <c r="L47" t="s">
        <v>65</v>
      </c>
      <c r="M47" t="s">
        <v>93</v>
      </c>
      <c r="N47">
        <v>19.25</v>
      </c>
      <c r="O47">
        <v>7.14285714285714</v>
      </c>
      <c r="P47">
        <v>232.666666666667</v>
      </c>
      <c r="Q47">
        <v>239.809523809524</v>
      </c>
      <c r="R47">
        <v>0</v>
      </c>
      <c r="S47">
        <v>239.809523809524</v>
      </c>
      <c r="T47">
        <v>51</v>
      </c>
      <c r="U47">
        <f>SUMIF(货件明细!J:J,E47,货件明细!AP:AP)</f>
        <v>0</v>
      </c>
      <c r="V47">
        <f>IF(U47=T47,0,1)</f>
        <v>1</v>
      </c>
      <c r="W47">
        <f>T47</f>
        <v>51</v>
      </c>
      <c r="X47">
        <f>SUMIF(货件明细!J:J,E47,货件明细!H:H)</f>
        <v>0</v>
      </c>
      <c r="Y47">
        <f>N47-X47</f>
        <v>19.25</v>
      </c>
      <c r="Z47">
        <f>SUMIF(货件明细!J:J,E47,货件明细!I:I)</f>
        <v>0</v>
      </c>
      <c r="AA47">
        <f>IF(S47=Z47,0,1)</f>
        <v>1</v>
      </c>
    </row>
    <row r="48" hidden="1" spans="1:27">
      <c r="A48">
        <v>1</v>
      </c>
      <c r="B48">
        <v>2</v>
      </c>
      <c r="C48" s="3">
        <v>46031</v>
      </c>
      <c r="D48" t="s">
        <v>27</v>
      </c>
      <c r="E48" t="s">
        <v>110</v>
      </c>
      <c r="F48" t="s">
        <v>68</v>
      </c>
      <c r="G48" t="s">
        <v>69</v>
      </c>
      <c r="H48" t="s">
        <v>51</v>
      </c>
      <c r="I48" t="s">
        <v>92</v>
      </c>
      <c r="J48" t="s">
        <v>92</v>
      </c>
      <c r="K48" t="s">
        <v>64</v>
      </c>
      <c r="L48" t="s">
        <v>65</v>
      </c>
      <c r="M48" t="s">
        <v>93</v>
      </c>
      <c r="N48">
        <v>19.25</v>
      </c>
      <c r="O48">
        <v>7.14285714285714</v>
      </c>
      <c r="P48">
        <v>203.45</v>
      </c>
      <c r="Q48">
        <v>210.592857142857</v>
      </c>
      <c r="R48">
        <v>0</v>
      </c>
      <c r="S48">
        <v>210.592857142857</v>
      </c>
      <c r="T48">
        <v>54</v>
      </c>
      <c r="U48">
        <f>SUMIF(货件明细!J:J,E48,货件明细!AP:AP)</f>
        <v>0</v>
      </c>
      <c r="V48">
        <f>IF(U48=T48,0,1)</f>
        <v>1</v>
      </c>
      <c r="W48">
        <f>T48</f>
        <v>54</v>
      </c>
      <c r="X48">
        <f>SUMIF(货件明细!J:J,E48,货件明细!H:H)</f>
        <v>0</v>
      </c>
      <c r="Y48">
        <f>N48-X48</f>
        <v>19.25</v>
      </c>
      <c r="Z48">
        <f>SUMIF(货件明细!J:J,E48,货件明细!I:I)</f>
        <v>0</v>
      </c>
      <c r="AA48">
        <f>IF(S48=Z48,0,1)</f>
        <v>1</v>
      </c>
    </row>
    <row r="49" hidden="1" spans="1:27">
      <c r="A49">
        <v>1</v>
      </c>
      <c r="B49">
        <v>2</v>
      </c>
      <c r="C49" s="3">
        <v>46031</v>
      </c>
      <c r="D49" t="s">
        <v>27</v>
      </c>
      <c r="E49" t="s">
        <v>111</v>
      </c>
      <c r="F49" t="s">
        <v>71</v>
      </c>
      <c r="G49" t="s">
        <v>72</v>
      </c>
      <c r="H49" t="s">
        <v>51</v>
      </c>
      <c r="I49" t="s">
        <v>92</v>
      </c>
      <c r="J49" t="s">
        <v>92</v>
      </c>
      <c r="K49" t="s">
        <v>64</v>
      </c>
      <c r="L49" t="s">
        <v>65</v>
      </c>
      <c r="M49" t="s">
        <v>93</v>
      </c>
      <c r="N49">
        <v>19.25</v>
      </c>
      <c r="O49">
        <v>7.14285714285714</v>
      </c>
      <c r="P49">
        <v>160.666666666667</v>
      </c>
      <c r="Q49">
        <v>167.809523809524</v>
      </c>
      <c r="R49">
        <v>0</v>
      </c>
      <c r="S49">
        <v>167.809523809524</v>
      </c>
      <c r="T49">
        <v>54</v>
      </c>
      <c r="U49">
        <f>SUMIF(货件明细!J:J,E49,货件明细!AP:AP)</f>
        <v>0</v>
      </c>
      <c r="V49">
        <f>IF(U49=T49,0,1)</f>
        <v>1</v>
      </c>
      <c r="W49">
        <f>T49</f>
        <v>54</v>
      </c>
      <c r="X49">
        <f>SUMIF(货件明细!J:J,E49,货件明细!H:H)</f>
        <v>0</v>
      </c>
      <c r="Y49">
        <f>N49-X49</f>
        <v>19.25</v>
      </c>
      <c r="Z49">
        <f>SUMIF(货件明细!J:J,E49,货件明细!I:I)</f>
        <v>0</v>
      </c>
      <c r="AA49">
        <f>IF(S49=Z49,0,1)</f>
        <v>1</v>
      </c>
    </row>
    <row r="50" hidden="1" spans="1:27">
      <c r="A50">
        <v>1</v>
      </c>
      <c r="B50">
        <v>2</v>
      </c>
      <c r="C50" s="3">
        <v>46031</v>
      </c>
      <c r="D50" t="s">
        <v>27</v>
      </c>
      <c r="E50" t="s">
        <v>112</v>
      </c>
      <c r="F50" t="s">
        <v>74</v>
      </c>
      <c r="G50" t="s">
        <v>30</v>
      </c>
      <c r="H50" t="s">
        <v>51</v>
      </c>
      <c r="I50" t="s">
        <v>92</v>
      </c>
      <c r="J50" t="s">
        <v>92</v>
      </c>
      <c r="K50" t="s">
        <v>64</v>
      </c>
      <c r="L50" t="s">
        <v>65</v>
      </c>
      <c r="M50" t="s">
        <v>93</v>
      </c>
      <c r="N50">
        <v>19.25</v>
      </c>
      <c r="O50">
        <v>7.14285714285714</v>
      </c>
      <c r="P50">
        <v>249.333333333333</v>
      </c>
      <c r="Q50">
        <v>256.47619047619</v>
      </c>
      <c r="R50">
        <v>0</v>
      </c>
      <c r="S50">
        <v>256.47619047619</v>
      </c>
      <c r="T50">
        <v>54</v>
      </c>
      <c r="U50">
        <f>SUMIF(货件明细!J:J,E50,货件明细!AP:AP)</f>
        <v>0</v>
      </c>
      <c r="V50">
        <f>IF(U50=T50,0,1)</f>
        <v>1</v>
      </c>
      <c r="W50">
        <f>T50</f>
        <v>54</v>
      </c>
      <c r="X50">
        <f>SUMIF(货件明细!J:J,E50,货件明细!H:H)</f>
        <v>0</v>
      </c>
      <c r="Y50">
        <f>N50-X50</f>
        <v>19.25</v>
      </c>
      <c r="Z50">
        <f>SUMIF(货件明细!J:J,E50,货件明细!I:I)</f>
        <v>0</v>
      </c>
      <c r="AA50">
        <f>IF(S50=Z50,0,1)</f>
        <v>1</v>
      </c>
    </row>
    <row r="51" hidden="1" spans="1:27">
      <c r="A51">
        <v>1</v>
      </c>
      <c r="B51">
        <v>2</v>
      </c>
      <c r="C51" s="3">
        <v>46031</v>
      </c>
      <c r="D51" t="s">
        <v>27</v>
      </c>
      <c r="E51" t="s">
        <v>113</v>
      </c>
      <c r="F51" t="s">
        <v>98</v>
      </c>
      <c r="G51" t="s">
        <v>72</v>
      </c>
      <c r="H51" t="s">
        <v>51</v>
      </c>
      <c r="I51" t="s">
        <v>92</v>
      </c>
      <c r="J51" t="s">
        <v>92</v>
      </c>
      <c r="K51" t="s">
        <v>64</v>
      </c>
      <c r="L51" t="s">
        <v>65</v>
      </c>
      <c r="M51" t="s">
        <v>93</v>
      </c>
      <c r="N51">
        <v>19.25</v>
      </c>
      <c r="O51">
        <v>7.14285714285714</v>
      </c>
      <c r="P51">
        <v>158.658333333333</v>
      </c>
      <c r="Q51">
        <v>165.80119047619</v>
      </c>
      <c r="R51">
        <v>0</v>
      </c>
      <c r="S51">
        <v>165.80119047619</v>
      </c>
      <c r="T51">
        <v>54</v>
      </c>
      <c r="U51">
        <f>SUMIF(货件明细!J:J,E51,货件明细!AP:AP)</f>
        <v>0</v>
      </c>
      <c r="V51">
        <f>IF(U51=T51,0,1)</f>
        <v>1</v>
      </c>
      <c r="W51">
        <f>T51</f>
        <v>54</v>
      </c>
      <c r="X51">
        <f>SUMIF(货件明细!J:J,E51,货件明细!H:H)</f>
        <v>0</v>
      </c>
      <c r="Y51">
        <f>N51-X51</f>
        <v>19.25</v>
      </c>
      <c r="Z51">
        <f>SUMIF(货件明细!J:J,E51,货件明细!I:I)</f>
        <v>0</v>
      </c>
      <c r="AA51">
        <f>IF(S51=Z51,0,1)</f>
        <v>1</v>
      </c>
    </row>
    <row r="52" hidden="1" spans="1:27">
      <c r="A52">
        <v>1</v>
      </c>
      <c r="B52">
        <v>2</v>
      </c>
      <c r="C52" s="3">
        <v>46031</v>
      </c>
      <c r="D52" t="s">
        <v>27</v>
      </c>
      <c r="E52" t="s">
        <v>114</v>
      </c>
      <c r="F52" t="s">
        <v>62</v>
      </c>
      <c r="G52" t="s">
        <v>30</v>
      </c>
      <c r="H52" t="s">
        <v>31</v>
      </c>
      <c r="I52" t="s">
        <v>92</v>
      </c>
      <c r="J52" t="s">
        <v>92</v>
      </c>
      <c r="K52" t="s">
        <v>64</v>
      </c>
      <c r="L52" t="s">
        <v>65</v>
      </c>
      <c r="M52" t="s">
        <v>93</v>
      </c>
      <c r="N52">
        <v>81.2</v>
      </c>
      <c r="O52">
        <v>7.14285714285714</v>
      </c>
      <c r="P52">
        <v>465.333333333333</v>
      </c>
      <c r="Q52">
        <v>472.47619047619</v>
      </c>
      <c r="R52">
        <v>0</v>
      </c>
      <c r="S52">
        <v>472.47619047619</v>
      </c>
      <c r="T52">
        <v>198</v>
      </c>
      <c r="U52">
        <f>SUMIF(货件明细!J:J,E52,货件明细!AP:AP)</f>
        <v>0</v>
      </c>
      <c r="V52">
        <f>IF(U52=T52,0,1)</f>
        <v>1</v>
      </c>
      <c r="W52">
        <f>T52</f>
        <v>198</v>
      </c>
      <c r="X52">
        <f>SUMIF(货件明细!J:J,E52,货件明细!H:H)</f>
        <v>0</v>
      </c>
      <c r="Y52">
        <f>N52-X52</f>
        <v>81.2</v>
      </c>
      <c r="Z52">
        <f>SUMIF(货件明细!J:J,E52,货件明细!I:I)</f>
        <v>0</v>
      </c>
      <c r="AA52">
        <f>IF(S52=Z52,0,1)</f>
        <v>1</v>
      </c>
    </row>
    <row r="53" hidden="1" spans="1:27">
      <c r="A53">
        <v>1</v>
      </c>
      <c r="B53">
        <v>2</v>
      </c>
      <c r="C53" s="3">
        <v>46031</v>
      </c>
      <c r="D53" t="s">
        <v>27</v>
      </c>
      <c r="E53" t="s">
        <v>115</v>
      </c>
      <c r="F53" t="s">
        <v>68</v>
      </c>
      <c r="G53" t="s">
        <v>69</v>
      </c>
      <c r="H53" t="s">
        <v>31</v>
      </c>
      <c r="I53" t="s">
        <v>92</v>
      </c>
      <c r="J53" t="s">
        <v>92</v>
      </c>
      <c r="K53" t="s">
        <v>64</v>
      </c>
      <c r="L53" t="s">
        <v>65</v>
      </c>
      <c r="M53" t="s">
        <v>93</v>
      </c>
      <c r="N53">
        <v>81.2</v>
      </c>
      <c r="O53">
        <v>7.14285714285714</v>
      </c>
      <c r="P53">
        <v>406.9</v>
      </c>
      <c r="Q53">
        <v>414.042857142857</v>
      </c>
      <c r="R53">
        <v>0</v>
      </c>
      <c r="S53">
        <v>414.042857142857</v>
      </c>
      <c r="T53">
        <v>198</v>
      </c>
      <c r="U53">
        <f>SUMIF(货件明细!J:J,E53,货件明细!AP:AP)</f>
        <v>0</v>
      </c>
      <c r="V53">
        <f>IF(U53=T53,0,1)</f>
        <v>1</v>
      </c>
      <c r="W53">
        <f>T53</f>
        <v>198</v>
      </c>
      <c r="X53">
        <f>SUMIF(货件明细!J:J,E53,货件明细!H:H)</f>
        <v>0</v>
      </c>
      <c r="Y53">
        <f>N53-X53</f>
        <v>81.2</v>
      </c>
      <c r="Z53">
        <f>SUMIF(货件明细!J:J,E53,货件明细!I:I)</f>
        <v>0</v>
      </c>
      <c r="AA53">
        <f>IF(S53=Z53,0,1)</f>
        <v>1</v>
      </c>
    </row>
    <row r="54" hidden="1" spans="1:27">
      <c r="A54">
        <v>1</v>
      </c>
      <c r="B54">
        <v>2</v>
      </c>
      <c r="C54" s="3">
        <v>46031</v>
      </c>
      <c r="D54" t="s">
        <v>27</v>
      </c>
      <c r="E54" t="s">
        <v>116</v>
      </c>
      <c r="F54" t="s">
        <v>71</v>
      </c>
      <c r="G54" t="s">
        <v>72</v>
      </c>
      <c r="H54" t="s">
        <v>31</v>
      </c>
      <c r="I54" t="s">
        <v>92</v>
      </c>
      <c r="J54" t="s">
        <v>92</v>
      </c>
      <c r="K54" t="s">
        <v>64</v>
      </c>
      <c r="L54" t="s">
        <v>65</v>
      </c>
      <c r="M54" t="s">
        <v>93</v>
      </c>
      <c r="N54">
        <v>81.2</v>
      </c>
      <c r="O54">
        <v>7.14285714285714</v>
      </c>
      <c r="P54">
        <v>321.333333333333</v>
      </c>
      <c r="Q54">
        <v>328.47619047619</v>
      </c>
      <c r="R54">
        <v>0</v>
      </c>
      <c r="S54">
        <v>328.47619047619</v>
      </c>
      <c r="T54">
        <v>198</v>
      </c>
      <c r="U54">
        <f>SUMIF(货件明细!J:J,E54,货件明细!AP:AP)</f>
        <v>0</v>
      </c>
      <c r="V54">
        <f>IF(U54=T54,0,1)</f>
        <v>1</v>
      </c>
      <c r="W54">
        <f>T54</f>
        <v>198</v>
      </c>
      <c r="X54">
        <f>SUMIF(货件明细!J:J,E54,货件明细!H:H)</f>
        <v>0</v>
      </c>
      <c r="Y54">
        <f>N54-X54</f>
        <v>81.2</v>
      </c>
      <c r="Z54">
        <f>SUMIF(货件明细!J:J,E54,货件明细!I:I)</f>
        <v>0</v>
      </c>
      <c r="AA54">
        <f>IF(S54=Z54,0,1)</f>
        <v>1</v>
      </c>
    </row>
    <row r="55" hidden="1" spans="1:27">
      <c r="A55">
        <v>1</v>
      </c>
      <c r="B55">
        <v>2</v>
      </c>
      <c r="C55" s="3">
        <v>46031</v>
      </c>
      <c r="D55" t="s">
        <v>27</v>
      </c>
      <c r="E55" t="s">
        <v>117</v>
      </c>
      <c r="F55" t="s">
        <v>74</v>
      </c>
      <c r="G55" t="s">
        <v>30</v>
      </c>
      <c r="H55" t="s">
        <v>31</v>
      </c>
      <c r="I55" t="s">
        <v>92</v>
      </c>
      <c r="J55" t="s">
        <v>92</v>
      </c>
      <c r="K55" t="s">
        <v>64</v>
      </c>
      <c r="L55" t="s">
        <v>65</v>
      </c>
      <c r="M55" t="s">
        <v>93</v>
      </c>
      <c r="N55">
        <v>81.2</v>
      </c>
      <c r="O55">
        <v>7.14285714285714</v>
      </c>
      <c r="P55">
        <v>498.666666666667</v>
      </c>
      <c r="Q55">
        <v>505.809523809524</v>
      </c>
      <c r="R55">
        <v>0</v>
      </c>
      <c r="S55">
        <v>505.809523809524</v>
      </c>
      <c r="T55">
        <v>198</v>
      </c>
      <c r="U55">
        <f>SUMIF(货件明细!J:J,E55,货件明细!AP:AP)</f>
        <v>0</v>
      </c>
      <c r="V55">
        <f>IF(U55=T55,0,1)</f>
        <v>1</v>
      </c>
      <c r="W55">
        <f>T55</f>
        <v>198</v>
      </c>
      <c r="X55">
        <f>SUMIF(货件明细!J:J,E55,货件明细!H:H)</f>
        <v>0</v>
      </c>
      <c r="Y55">
        <f>N55-X55</f>
        <v>81.2</v>
      </c>
      <c r="Z55">
        <f>SUMIF(货件明细!J:J,E55,货件明细!I:I)</f>
        <v>0</v>
      </c>
      <c r="AA55">
        <f>IF(S55=Z55,0,1)</f>
        <v>1</v>
      </c>
    </row>
    <row r="56" hidden="1" spans="1:27">
      <c r="A56">
        <v>1</v>
      </c>
      <c r="B56">
        <v>2</v>
      </c>
      <c r="C56" s="3">
        <v>46031</v>
      </c>
      <c r="D56" t="s">
        <v>27</v>
      </c>
      <c r="E56" t="s">
        <v>118</v>
      </c>
      <c r="F56" t="s">
        <v>98</v>
      </c>
      <c r="G56" t="s">
        <v>72</v>
      </c>
      <c r="H56" t="s">
        <v>31</v>
      </c>
      <c r="I56" t="s">
        <v>92</v>
      </c>
      <c r="J56" t="s">
        <v>92</v>
      </c>
      <c r="K56" t="s">
        <v>64</v>
      </c>
      <c r="L56" t="s">
        <v>65</v>
      </c>
      <c r="M56" t="s">
        <v>93</v>
      </c>
      <c r="N56">
        <v>81.2</v>
      </c>
      <c r="O56">
        <v>7.14285714285714</v>
      </c>
      <c r="P56">
        <v>317.316666666667</v>
      </c>
      <c r="Q56">
        <v>324.459523809524</v>
      </c>
      <c r="R56">
        <v>0</v>
      </c>
      <c r="S56">
        <v>324.459523809524</v>
      </c>
      <c r="T56">
        <v>198</v>
      </c>
      <c r="U56">
        <f>SUMIF(货件明细!J:J,E56,货件明细!AP:AP)</f>
        <v>0</v>
      </c>
      <c r="V56">
        <f>IF(U56=T56,0,1)</f>
        <v>1</v>
      </c>
      <c r="W56">
        <f>T56</f>
        <v>198</v>
      </c>
      <c r="X56">
        <f>SUMIF(货件明细!J:J,E56,货件明细!H:H)</f>
        <v>0</v>
      </c>
      <c r="Y56">
        <f>N56-X56</f>
        <v>81.2</v>
      </c>
      <c r="Z56">
        <f>SUMIF(货件明细!J:J,E56,货件明细!I:I)</f>
        <v>0</v>
      </c>
      <c r="AA56">
        <f>IF(S56=Z56,0,1)</f>
        <v>1</v>
      </c>
    </row>
    <row r="57" hidden="1" spans="1:27">
      <c r="A57">
        <v>1</v>
      </c>
      <c r="B57">
        <v>2</v>
      </c>
      <c r="C57" s="3">
        <v>46031</v>
      </c>
      <c r="D57" t="s">
        <v>27</v>
      </c>
      <c r="E57" t="s">
        <v>119</v>
      </c>
      <c r="F57" t="s">
        <v>62</v>
      </c>
      <c r="G57" t="s">
        <v>30</v>
      </c>
      <c r="H57" t="s">
        <v>78</v>
      </c>
      <c r="I57" t="s">
        <v>92</v>
      </c>
      <c r="J57" t="s">
        <v>92</v>
      </c>
      <c r="K57" t="s">
        <v>64</v>
      </c>
      <c r="L57" t="s">
        <v>65</v>
      </c>
      <c r="M57" t="s">
        <v>93</v>
      </c>
      <c r="N57">
        <v>11.7</v>
      </c>
      <c r="O57">
        <v>7.14285714285714</v>
      </c>
      <c r="P57">
        <v>116.333333333333</v>
      </c>
      <c r="Q57">
        <v>123.47619047619</v>
      </c>
      <c r="R57">
        <v>0</v>
      </c>
      <c r="S57">
        <v>123.47619047619</v>
      </c>
      <c r="T57">
        <v>84</v>
      </c>
      <c r="U57">
        <f>SUMIF(货件明细!J:J,E57,货件明细!AP:AP)</f>
        <v>0</v>
      </c>
      <c r="V57">
        <f>IF(U57=T57,0,1)</f>
        <v>1</v>
      </c>
      <c r="W57">
        <f>T57</f>
        <v>84</v>
      </c>
      <c r="X57">
        <f>SUMIF(货件明细!J:J,E57,货件明细!H:H)</f>
        <v>0</v>
      </c>
      <c r="Y57">
        <f>N57-X57</f>
        <v>11.7</v>
      </c>
      <c r="Z57">
        <f>SUMIF(货件明细!J:J,E57,货件明细!I:I)</f>
        <v>0</v>
      </c>
      <c r="AA57">
        <f>IF(S57=Z57,0,1)</f>
        <v>1</v>
      </c>
    </row>
    <row r="58" hidden="1" spans="1:27">
      <c r="A58">
        <v>1</v>
      </c>
      <c r="B58">
        <v>2</v>
      </c>
      <c r="C58" s="3">
        <v>46031</v>
      </c>
      <c r="D58" t="s">
        <v>27</v>
      </c>
      <c r="E58" t="s">
        <v>120</v>
      </c>
      <c r="F58" t="s">
        <v>68</v>
      </c>
      <c r="G58" t="s">
        <v>69</v>
      </c>
      <c r="H58" t="s">
        <v>78</v>
      </c>
      <c r="I58" t="s">
        <v>92</v>
      </c>
      <c r="J58" t="s">
        <v>92</v>
      </c>
      <c r="K58" t="s">
        <v>64</v>
      </c>
      <c r="L58" t="s">
        <v>65</v>
      </c>
      <c r="M58" t="s">
        <v>93</v>
      </c>
      <c r="N58">
        <v>11.7</v>
      </c>
      <c r="O58">
        <v>7.14285714285714</v>
      </c>
      <c r="P58">
        <v>101.725</v>
      </c>
      <c r="Q58">
        <v>108.867857142857</v>
      </c>
      <c r="R58">
        <v>0</v>
      </c>
      <c r="S58">
        <v>108.867857142857</v>
      </c>
      <c r="T58">
        <v>84</v>
      </c>
      <c r="U58">
        <f>SUMIF(货件明细!J:J,E58,货件明细!AP:AP)</f>
        <v>0</v>
      </c>
      <c r="V58">
        <f>IF(U58=T58,0,1)</f>
        <v>1</v>
      </c>
      <c r="W58">
        <f>T58</f>
        <v>84</v>
      </c>
      <c r="X58">
        <f>SUMIF(货件明细!J:J,E58,货件明细!H:H)</f>
        <v>0</v>
      </c>
      <c r="Y58">
        <f>N58-X58</f>
        <v>11.7</v>
      </c>
      <c r="Z58">
        <f>SUMIF(货件明细!J:J,E58,货件明细!I:I)</f>
        <v>0</v>
      </c>
      <c r="AA58">
        <f>IF(S58=Z58,0,1)</f>
        <v>1</v>
      </c>
    </row>
    <row r="59" hidden="1" spans="1:27">
      <c r="A59">
        <v>1</v>
      </c>
      <c r="B59">
        <v>2</v>
      </c>
      <c r="C59" s="3">
        <v>46031</v>
      </c>
      <c r="D59" t="s">
        <v>27</v>
      </c>
      <c r="E59" t="s">
        <v>121</v>
      </c>
      <c r="F59" t="s">
        <v>71</v>
      </c>
      <c r="G59" t="s">
        <v>72</v>
      </c>
      <c r="H59" t="s">
        <v>78</v>
      </c>
      <c r="I59" t="s">
        <v>92</v>
      </c>
      <c r="J59" t="s">
        <v>92</v>
      </c>
      <c r="K59" t="s">
        <v>64</v>
      </c>
      <c r="L59" t="s">
        <v>65</v>
      </c>
      <c r="M59" t="s">
        <v>93</v>
      </c>
      <c r="N59">
        <v>11.7</v>
      </c>
      <c r="O59">
        <v>7.14285714285714</v>
      </c>
      <c r="P59">
        <v>80.3333333333333</v>
      </c>
      <c r="Q59">
        <v>87.4761904761904</v>
      </c>
      <c r="R59">
        <v>0</v>
      </c>
      <c r="S59">
        <v>87.4761904761904</v>
      </c>
      <c r="T59">
        <v>84</v>
      </c>
      <c r="U59">
        <f>SUMIF(货件明细!J:J,E59,货件明细!AP:AP)</f>
        <v>0</v>
      </c>
      <c r="V59">
        <f>IF(U59=T59,0,1)</f>
        <v>1</v>
      </c>
      <c r="W59">
        <f>T59</f>
        <v>84</v>
      </c>
      <c r="X59">
        <f>SUMIF(货件明细!J:J,E59,货件明细!H:H)</f>
        <v>0</v>
      </c>
      <c r="Y59">
        <f>N59-X59</f>
        <v>11.7</v>
      </c>
      <c r="Z59">
        <f>SUMIF(货件明细!J:J,E59,货件明细!I:I)</f>
        <v>0</v>
      </c>
      <c r="AA59">
        <f>IF(S59=Z59,0,1)</f>
        <v>1</v>
      </c>
    </row>
    <row r="60" hidden="1" spans="1:27">
      <c r="A60">
        <v>1</v>
      </c>
      <c r="B60">
        <v>2</v>
      </c>
      <c r="C60" s="3">
        <v>46031</v>
      </c>
      <c r="D60" t="s">
        <v>27</v>
      </c>
      <c r="E60" t="s">
        <v>122</v>
      </c>
      <c r="F60" t="s">
        <v>74</v>
      </c>
      <c r="G60" t="s">
        <v>30</v>
      </c>
      <c r="H60" t="s">
        <v>78</v>
      </c>
      <c r="I60" t="s">
        <v>92</v>
      </c>
      <c r="J60" t="s">
        <v>92</v>
      </c>
      <c r="K60" t="s">
        <v>64</v>
      </c>
      <c r="L60" t="s">
        <v>65</v>
      </c>
      <c r="M60" t="s">
        <v>93</v>
      </c>
      <c r="N60">
        <v>11.7</v>
      </c>
      <c r="O60">
        <v>7.14285714285714</v>
      </c>
      <c r="P60">
        <v>124.666666666667</v>
      </c>
      <c r="Q60">
        <v>131.809523809524</v>
      </c>
      <c r="R60">
        <v>0</v>
      </c>
      <c r="S60">
        <v>131.809523809524</v>
      </c>
      <c r="T60">
        <v>84</v>
      </c>
      <c r="U60">
        <f>SUMIF(货件明细!J:J,E60,货件明细!AP:AP)</f>
        <v>0</v>
      </c>
      <c r="V60">
        <f>IF(U60=T60,0,1)</f>
        <v>1</v>
      </c>
      <c r="W60">
        <f>T60</f>
        <v>84</v>
      </c>
      <c r="X60">
        <f>SUMIF(货件明细!J:J,E60,货件明细!H:H)</f>
        <v>0</v>
      </c>
      <c r="Y60">
        <f>N60-X60</f>
        <v>11.7</v>
      </c>
      <c r="Z60">
        <f>SUMIF(货件明细!J:J,E60,货件明细!I:I)</f>
        <v>0</v>
      </c>
      <c r="AA60">
        <f>IF(S60=Z60,0,1)</f>
        <v>1</v>
      </c>
    </row>
    <row r="61" hidden="1" spans="1:27">
      <c r="A61">
        <v>1</v>
      </c>
      <c r="B61">
        <v>2</v>
      </c>
      <c r="C61" s="3">
        <v>46031</v>
      </c>
      <c r="D61" t="s">
        <v>27</v>
      </c>
      <c r="E61" t="s">
        <v>123</v>
      </c>
      <c r="F61" t="s">
        <v>98</v>
      </c>
      <c r="G61" t="s">
        <v>72</v>
      </c>
      <c r="H61" t="s">
        <v>78</v>
      </c>
      <c r="I61" t="s">
        <v>92</v>
      </c>
      <c r="J61" t="s">
        <v>92</v>
      </c>
      <c r="K61" t="s">
        <v>64</v>
      </c>
      <c r="L61" t="s">
        <v>65</v>
      </c>
      <c r="M61" t="s">
        <v>93</v>
      </c>
      <c r="N61">
        <v>11.7</v>
      </c>
      <c r="O61">
        <v>7.14285714285714</v>
      </c>
      <c r="P61">
        <v>79.3291666666667</v>
      </c>
      <c r="Q61">
        <v>86.4720238095238</v>
      </c>
      <c r="R61">
        <v>0</v>
      </c>
      <c r="S61">
        <v>86.4720238095238</v>
      </c>
      <c r="T61">
        <v>84</v>
      </c>
      <c r="U61">
        <f>SUMIF(货件明细!J:J,E61,货件明细!AP:AP)</f>
        <v>0</v>
      </c>
      <c r="V61">
        <f>IF(U61=T61,0,1)</f>
        <v>1</v>
      </c>
      <c r="W61">
        <f>T61</f>
        <v>84</v>
      </c>
      <c r="X61">
        <f>SUMIF(货件明细!J:J,E61,货件明细!H:H)</f>
        <v>0</v>
      </c>
      <c r="Y61">
        <f>N61-X61</f>
        <v>11.7</v>
      </c>
      <c r="Z61">
        <f>SUMIF(货件明细!J:J,E61,货件明细!I:I)</f>
        <v>0</v>
      </c>
      <c r="AA61">
        <f>IF(S61=Z61,0,1)</f>
        <v>1</v>
      </c>
    </row>
    <row r="62" hidden="1" spans="1:27">
      <c r="A62">
        <v>1</v>
      </c>
      <c r="B62">
        <v>2</v>
      </c>
      <c r="C62" s="3">
        <v>46031</v>
      </c>
      <c r="D62" t="s">
        <v>27</v>
      </c>
      <c r="E62" t="s">
        <v>124</v>
      </c>
      <c r="F62" t="s">
        <v>62</v>
      </c>
      <c r="G62" t="s">
        <v>30</v>
      </c>
      <c r="H62" t="s">
        <v>39</v>
      </c>
      <c r="I62" t="s">
        <v>92</v>
      </c>
      <c r="J62" t="s">
        <v>92</v>
      </c>
      <c r="K62" t="s">
        <v>64</v>
      </c>
      <c r="L62" t="s">
        <v>65</v>
      </c>
      <c r="M62" t="s">
        <v>93</v>
      </c>
      <c r="N62">
        <v>11.9</v>
      </c>
      <c r="O62">
        <v>7.14285714285714</v>
      </c>
      <c r="P62">
        <v>116.333333333333</v>
      </c>
      <c r="Q62">
        <v>123.47619047619</v>
      </c>
      <c r="R62">
        <v>0</v>
      </c>
      <c r="S62">
        <v>123.47619047619</v>
      </c>
      <c r="T62">
        <v>30</v>
      </c>
      <c r="U62">
        <f>SUMIF(货件明细!J:J,E62,货件明细!AP:AP)</f>
        <v>0</v>
      </c>
      <c r="V62">
        <f>IF(U62=T62,0,1)</f>
        <v>1</v>
      </c>
      <c r="W62">
        <f>T62</f>
        <v>30</v>
      </c>
      <c r="X62">
        <f>SUMIF(货件明细!J:J,E62,货件明细!H:H)</f>
        <v>0</v>
      </c>
      <c r="Y62">
        <f>N62-X62</f>
        <v>11.9</v>
      </c>
      <c r="Z62">
        <f>SUMIF(货件明细!J:J,E62,货件明细!I:I)</f>
        <v>0</v>
      </c>
      <c r="AA62">
        <f>IF(S62=Z62,0,1)</f>
        <v>1</v>
      </c>
    </row>
    <row r="63" hidden="1" spans="1:27">
      <c r="A63">
        <v>1</v>
      </c>
      <c r="B63">
        <v>2</v>
      </c>
      <c r="C63" s="3">
        <v>46031</v>
      </c>
      <c r="D63" t="s">
        <v>27</v>
      </c>
      <c r="E63" t="s">
        <v>125</v>
      </c>
      <c r="F63" t="s">
        <v>68</v>
      </c>
      <c r="G63" t="s">
        <v>69</v>
      </c>
      <c r="H63" t="s">
        <v>39</v>
      </c>
      <c r="I63" t="s">
        <v>92</v>
      </c>
      <c r="J63" t="s">
        <v>92</v>
      </c>
      <c r="K63" t="s">
        <v>64</v>
      </c>
      <c r="L63" t="s">
        <v>65</v>
      </c>
      <c r="M63" t="s">
        <v>93</v>
      </c>
      <c r="N63">
        <v>11.9</v>
      </c>
      <c r="O63">
        <v>7.14285714285714</v>
      </c>
      <c r="P63">
        <v>101.725</v>
      </c>
      <c r="Q63">
        <v>108.867857142857</v>
      </c>
      <c r="R63">
        <v>0</v>
      </c>
      <c r="S63">
        <v>108.867857142857</v>
      </c>
      <c r="T63">
        <v>30</v>
      </c>
      <c r="U63">
        <f>SUMIF(货件明细!J:J,E63,货件明细!AP:AP)</f>
        <v>0</v>
      </c>
      <c r="V63">
        <f>IF(U63=T63,0,1)</f>
        <v>1</v>
      </c>
      <c r="W63">
        <f>T63</f>
        <v>30</v>
      </c>
      <c r="X63">
        <f>SUMIF(货件明细!J:J,E63,货件明细!H:H)</f>
        <v>0</v>
      </c>
      <c r="Y63">
        <f>N63-X63</f>
        <v>11.9</v>
      </c>
      <c r="Z63">
        <f>SUMIF(货件明细!J:J,E63,货件明细!I:I)</f>
        <v>0</v>
      </c>
      <c r="AA63">
        <f>IF(S63=Z63,0,1)</f>
        <v>1</v>
      </c>
    </row>
    <row r="64" hidden="1" spans="1:27">
      <c r="A64">
        <v>1</v>
      </c>
      <c r="B64">
        <v>2</v>
      </c>
      <c r="C64" s="3">
        <v>46031</v>
      </c>
      <c r="D64" t="s">
        <v>27</v>
      </c>
      <c r="E64" t="s">
        <v>126</v>
      </c>
      <c r="F64" t="s">
        <v>71</v>
      </c>
      <c r="G64" t="s">
        <v>72</v>
      </c>
      <c r="H64" t="s">
        <v>39</v>
      </c>
      <c r="I64" t="s">
        <v>92</v>
      </c>
      <c r="J64" t="s">
        <v>92</v>
      </c>
      <c r="K64" t="s">
        <v>64</v>
      </c>
      <c r="L64" t="s">
        <v>65</v>
      </c>
      <c r="M64" t="s">
        <v>93</v>
      </c>
      <c r="N64">
        <v>11.9</v>
      </c>
      <c r="O64">
        <v>7.14285714285714</v>
      </c>
      <c r="P64">
        <v>80.3333333333333</v>
      </c>
      <c r="Q64">
        <v>87.4761904761904</v>
      </c>
      <c r="R64">
        <v>0</v>
      </c>
      <c r="S64">
        <v>87.4761904761904</v>
      </c>
      <c r="T64">
        <v>30</v>
      </c>
      <c r="U64">
        <f>SUMIF(货件明细!J:J,E64,货件明细!AP:AP)</f>
        <v>0</v>
      </c>
      <c r="V64">
        <f>IF(U64=T64,0,1)</f>
        <v>1</v>
      </c>
      <c r="W64">
        <f>T64</f>
        <v>30</v>
      </c>
      <c r="X64">
        <f>SUMIF(货件明细!J:J,E64,货件明细!H:H)</f>
        <v>0</v>
      </c>
      <c r="Y64">
        <f>N64-X64</f>
        <v>11.9</v>
      </c>
      <c r="Z64">
        <f>SUMIF(货件明细!J:J,E64,货件明细!I:I)</f>
        <v>0</v>
      </c>
      <c r="AA64">
        <f>IF(S64=Z64,0,1)</f>
        <v>1</v>
      </c>
    </row>
    <row r="65" hidden="1" spans="1:27">
      <c r="A65">
        <v>1</v>
      </c>
      <c r="B65">
        <v>2</v>
      </c>
      <c r="C65" s="3">
        <v>46031</v>
      </c>
      <c r="D65" t="s">
        <v>27</v>
      </c>
      <c r="E65" t="s">
        <v>127</v>
      </c>
      <c r="F65" t="s">
        <v>74</v>
      </c>
      <c r="G65" t="s">
        <v>30</v>
      </c>
      <c r="H65" t="s">
        <v>39</v>
      </c>
      <c r="I65" t="s">
        <v>92</v>
      </c>
      <c r="J65" t="s">
        <v>92</v>
      </c>
      <c r="K65" t="s">
        <v>64</v>
      </c>
      <c r="L65" t="s">
        <v>65</v>
      </c>
      <c r="M65" t="s">
        <v>93</v>
      </c>
      <c r="N65">
        <v>11.9</v>
      </c>
      <c r="O65">
        <v>7.14285714285714</v>
      </c>
      <c r="P65">
        <v>124.666666666667</v>
      </c>
      <c r="Q65">
        <v>131.809523809524</v>
      </c>
      <c r="R65">
        <v>0</v>
      </c>
      <c r="S65">
        <v>131.809523809524</v>
      </c>
      <c r="T65">
        <v>30</v>
      </c>
      <c r="U65">
        <f>SUMIF(货件明细!J:J,E65,货件明细!AP:AP)</f>
        <v>0</v>
      </c>
      <c r="V65">
        <f>IF(U65=T65,0,1)</f>
        <v>1</v>
      </c>
      <c r="W65">
        <f>T65</f>
        <v>30</v>
      </c>
      <c r="X65">
        <f>SUMIF(货件明细!J:J,E65,货件明细!H:H)</f>
        <v>0</v>
      </c>
      <c r="Y65">
        <f>N65-X65</f>
        <v>11.9</v>
      </c>
      <c r="Z65">
        <f>SUMIF(货件明细!J:J,E65,货件明细!I:I)</f>
        <v>0</v>
      </c>
      <c r="AA65">
        <f>IF(S65=Z65,0,1)</f>
        <v>1</v>
      </c>
    </row>
    <row r="66" hidden="1" spans="1:27">
      <c r="A66">
        <v>1</v>
      </c>
      <c r="B66">
        <v>2</v>
      </c>
      <c r="C66" s="3">
        <v>46031</v>
      </c>
      <c r="D66" t="s">
        <v>27</v>
      </c>
      <c r="E66" t="s">
        <v>128</v>
      </c>
      <c r="F66" t="s">
        <v>98</v>
      </c>
      <c r="G66" t="s">
        <v>72</v>
      </c>
      <c r="H66" t="s">
        <v>39</v>
      </c>
      <c r="I66" t="s">
        <v>92</v>
      </c>
      <c r="J66" t="s">
        <v>92</v>
      </c>
      <c r="K66" t="s">
        <v>64</v>
      </c>
      <c r="L66" t="s">
        <v>65</v>
      </c>
      <c r="M66" t="s">
        <v>93</v>
      </c>
      <c r="N66">
        <v>11.9</v>
      </c>
      <c r="O66">
        <v>7.14285714285714</v>
      </c>
      <c r="P66">
        <v>79.3291666666667</v>
      </c>
      <c r="Q66">
        <v>86.4720238095238</v>
      </c>
      <c r="R66">
        <v>0</v>
      </c>
      <c r="S66">
        <v>86.4720238095238</v>
      </c>
      <c r="T66">
        <v>30</v>
      </c>
      <c r="U66">
        <f>SUMIF(货件明细!J:J,E66,货件明细!AP:AP)</f>
        <v>0</v>
      </c>
      <c r="V66">
        <f>IF(U66=T66,0,1)</f>
        <v>1</v>
      </c>
      <c r="W66">
        <f>T66</f>
        <v>30</v>
      </c>
      <c r="X66">
        <f>SUMIF(货件明细!J:J,E66,货件明细!H:H)</f>
        <v>0</v>
      </c>
      <c r="Y66">
        <f>N66-X66</f>
        <v>11.9</v>
      </c>
      <c r="Z66">
        <f>SUMIF(货件明细!J:J,E66,货件明细!I:I)</f>
        <v>0</v>
      </c>
      <c r="AA66">
        <f>IF(S66=Z66,0,1)</f>
        <v>1</v>
      </c>
    </row>
    <row r="67" spans="1:27">
      <c r="A67">
        <v>1</v>
      </c>
      <c r="B67">
        <v>2</v>
      </c>
      <c r="C67" s="3">
        <v>46031</v>
      </c>
      <c r="D67" t="s">
        <v>27</v>
      </c>
      <c r="E67" t="s">
        <v>129</v>
      </c>
      <c r="F67" t="s">
        <v>29</v>
      </c>
      <c r="G67" t="s">
        <v>30</v>
      </c>
      <c r="H67" t="s">
        <v>37</v>
      </c>
      <c r="I67" t="s">
        <v>42</v>
      </c>
      <c r="J67" t="s">
        <v>42</v>
      </c>
      <c r="K67" t="s">
        <v>33</v>
      </c>
      <c r="L67" t="s">
        <v>43</v>
      </c>
      <c r="M67" t="s">
        <v>130</v>
      </c>
      <c r="N67">
        <v>27.6</v>
      </c>
      <c r="P67">
        <v>1935</v>
      </c>
      <c r="Q67">
        <v>1935</v>
      </c>
      <c r="R67">
        <v>302.464</v>
      </c>
      <c r="S67">
        <v>2237.464</v>
      </c>
      <c r="T67">
        <v>272</v>
      </c>
      <c r="U67">
        <f>SUMIF(货件明细!J:J,E67,货件明细!AP:AP)</f>
        <v>272</v>
      </c>
      <c r="V67">
        <f>IF(U67=T67,0,1)</f>
        <v>0</v>
      </c>
      <c r="W67">
        <f>T67</f>
        <v>272</v>
      </c>
      <c r="X67">
        <f>SUMIF(货件明细!J:J,E67,货件明细!H:H)</f>
        <v>25.976</v>
      </c>
      <c r="Y67">
        <f>N67-X67</f>
        <v>1.624</v>
      </c>
      <c r="Z67">
        <f>SUMIF(货件明细!J:J,E67,货件明细!I:I)</f>
        <v>2237.464</v>
      </c>
      <c r="AA67">
        <f>IF(S67=Z67,0,1)</f>
        <v>0</v>
      </c>
    </row>
    <row r="68" spans="1:27">
      <c r="A68">
        <v>1</v>
      </c>
      <c r="B68">
        <v>2</v>
      </c>
      <c r="C68" s="3">
        <v>46031</v>
      </c>
      <c r="D68" t="s">
        <v>27</v>
      </c>
      <c r="E68" t="s">
        <v>131</v>
      </c>
      <c r="F68" t="s">
        <v>29</v>
      </c>
      <c r="G68" t="s">
        <v>30</v>
      </c>
      <c r="H68" t="s">
        <v>46</v>
      </c>
      <c r="I68" t="s">
        <v>42</v>
      </c>
      <c r="J68" t="s">
        <v>42</v>
      </c>
      <c r="K68" t="s">
        <v>33</v>
      </c>
      <c r="L68" t="s">
        <v>43</v>
      </c>
      <c r="M68" t="s">
        <v>130</v>
      </c>
      <c r="N68">
        <v>29.48</v>
      </c>
      <c r="P68">
        <v>2000</v>
      </c>
      <c r="Q68">
        <v>2000</v>
      </c>
      <c r="R68">
        <v>85.624</v>
      </c>
      <c r="S68">
        <v>2085.624</v>
      </c>
      <c r="T68">
        <v>56</v>
      </c>
      <c r="U68">
        <f>SUMIF(货件明细!J:J,E68,货件明细!AP:AP)</f>
        <v>56</v>
      </c>
      <c r="V68">
        <f>IF(U68=T68,0,1)</f>
        <v>0</v>
      </c>
      <c r="W68">
        <f>T68</f>
        <v>56</v>
      </c>
      <c r="X68">
        <f>SUMIF(货件明细!J:J,E68,货件明细!H:H)</f>
        <v>27.44</v>
      </c>
      <c r="Y68">
        <f>N68-X68</f>
        <v>2.04</v>
      </c>
      <c r="Z68">
        <f>SUMIF(货件明细!J:J,E68,货件明细!I:I)</f>
        <v>2085.624</v>
      </c>
      <c r="AA68">
        <f>IF(S68=Z68,0,1)</f>
        <v>0</v>
      </c>
    </row>
    <row r="69" spans="1:27">
      <c r="A69">
        <v>1</v>
      </c>
      <c r="B69">
        <v>2</v>
      </c>
      <c r="C69" s="3">
        <v>46031</v>
      </c>
      <c r="D69" t="s">
        <v>27</v>
      </c>
      <c r="E69" t="s">
        <v>132</v>
      </c>
      <c r="F69" t="s">
        <v>29</v>
      </c>
      <c r="G69" t="s">
        <v>30</v>
      </c>
      <c r="H69" t="s">
        <v>56</v>
      </c>
      <c r="I69" t="s">
        <v>42</v>
      </c>
      <c r="J69" t="s">
        <v>42</v>
      </c>
      <c r="K69" t="s">
        <v>33</v>
      </c>
      <c r="L69" t="s">
        <v>43</v>
      </c>
      <c r="M69" t="s">
        <v>130</v>
      </c>
      <c r="N69">
        <v>21.8</v>
      </c>
      <c r="P69">
        <v>1480</v>
      </c>
      <c r="Q69">
        <v>1480</v>
      </c>
      <c r="R69">
        <v>92.296</v>
      </c>
      <c r="S69">
        <v>1572.296</v>
      </c>
      <c r="T69">
        <v>83</v>
      </c>
      <c r="U69">
        <f>SUMIF(货件明细!J:J,E69,货件明细!AP:AP)</f>
        <v>83</v>
      </c>
      <c r="V69">
        <f>IF(U69=T69,0,1)</f>
        <v>0</v>
      </c>
      <c r="W69">
        <f>T69</f>
        <v>83</v>
      </c>
      <c r="X69">
        <f>SUMIF(货件明细!J:J,E69,货件明细!H:H)</f>
        <v>20.501</v>
      </c>
      <c r="Y69">
        <f>N69-X69</f>
        <v>1.299</v>
      </c>
      <c r="Z69">
        <f>SUMIF(货件明细!J:J,E69,货件明细!I:I)</f>
        <v>1572.296</v>
      </c>
      <c r="AA69">
        <f>IF(S69=Z69,0,1)</f>
        <v>0</v>
      </c>
    </row>
    <row r="70" spans="1:27">
      <c r="A70">
        <v>1</v>
      </c>
      <c r="B70">
        <v>2</v>
      </c>
      <c r="C70" s="3">
        <v>46031</v>
      </c>
      <c r="D70" t="s">
        <v>27</v>
      </c>
      <c r="E70" t="s">
        <v>133</v>
      </c>
      <c r="F70" t="s">
        <v>41</v>
      </c>
      <c r="G70" t="s">
        <v>30</v>
      </c>
      <c r="H70" t="s">
        <v>31</v>
      </c>
      <c r="I70" t="s">
        <v>32</v>
      </c>
      <c r="J70" t="s">
        <v>32</v>
      </c>
      <c r="K70" t="s">
        <v>33</v>
      </c>
      <c r="L70" t="s">
        <v>34</v>
      </c>
      <c r="M70" t="s">
        <v>35</v>
      </c>
      <c r="N70">
        <v>14.65</v>
      </c>
      <c r="P70">
        <v>732</v>
      </c>
      <c r="Q70">
        <v>732</v>
      </c>
      <c r="R70">
        <v>120.652</v>
      </c>
      <c r="S70">
        <v>852.652</v>
      </c>
      <c r="T70">
        <v>107</v>
      </c>
      <c r="U70">
        <f>SUMIF(货件明细!J:J,E70,货件明细!AP:AP)</f>
        <v>107</v>
      </c>
      <c r="V70">
        <f>IF(U70=T70,0,1)</f>
        <v>0</v>
      </c>
      <c r="W70">
        <f>T70</f>
        <v>107</v>
      </c>
      <c r="X70">
        <f>SUMIF(货件明细!J:J,E70,货件明细!H:H)</f>
        <v>13.902</v>
      </c>
      <c r="Y70">
        <f>N70-X70</f>
        <v>0.748000000000001</v>
      </c>
      <c r="Z70">
        <f>SUMIF(货件明细!J:J,E70,货件明细!I:I)</f>
        <v>852.652</v>
      </c>
      <c r="AA70">
        <f>IF(S70=Z70,0,1)</f>
        <v>0</v>
      </c>
    </row>
    <row r="71" spans="1:27">
      <c r="A71">
        <v>1</v>
      </c>
      <c r="B71">
        <v>2</v>
      </c>
      <c r="C71" s="3">
        <v>46031</v>
      </c>
      <c r="D71" t="s">
        <v>27</v>
      </c>
      <c r="E71" t="s">
        <v>134</v>
      </c>
      <c r="F71" t="s">
        <v>29</v>
      </c>
      <c r="G71" t="s">
        <v>30</v>
      </c>
      <c r="H71" t="s">
        <v>51</v>
      </c>
      <c r="I71" t="s">
        <v>32</v>
      </c>
      <c r="J71" t="s">
        <v>32</v>
      </c>
      <c r="K71" t="s">
        <v>33</v>
      </c>
      <c r="L71" t="s">
        <v>34</v>
      </c>
      <c r="M71" t="s">
        <v>47</v>
      </c>
      <c r="N71">
        <v>20.7</v>
      </c>
      <c r="P71">
        <v>636.3</v>
      </c>
      <c r="Q71">
        <v>636.3</v>
      </c>
      <c r="R71">
        <v>147.201</v>
      </c>
      <c r="S71">
        <v>783.501</v>
      </c>
      <c r="T71">
        <v>122</v>
      </c>
      <c r="U71">
        <f>SUMIF(货件明细!J:J,E71,货件明细!AP:AP)</f>
        <v>122</v>
      </c>
      <c r="V71">
        <f>IF(U71=T71,0,1)</f>
        <v>0</v>
      </c>
      <c r="W71">
        <f>T71</f>
        <v>122</v>
      </c>
      <c r="X71">
        <f>SUMIF(货件明细!J:J,E71,货件明细!H:H)</f>
        <v>19.579</v>
      </c>
      <c r="Y71">
        <f>N71-X71</f>
        <v>1.121</v>
      </c>
      <c r="Z71">
        <f>SUMIF(货件明细!J:J,E71,货件明细!I:I)</f>
        <v>783.501</v>
      </c>
      <c r="AA71">
        <f>IF(S71=Z71,0,1)</f>
        <v>0</v>
      </c>
    </row>
    <row r="72" spans="1:27">
      <c r="A72">
        <v>1</v>
      </c>
      <c r="B72">
        <v>2</v>
      </c>
      <c r="C72" s="3">
        <v>46031</v>
      </c>
      <c r="D72" t="s">
        <v>27</v>
      </c>
      <c r="E72" t="s">
        <v>135</v>
      </c>
      <c r="F72" t="s">
        <v>29</v>
      </c>
      <c r="G72" t="s">
        <v>30</v>
      </c>
      <c r="H72" t="s">
        <v>46</v>
      </c>
      <c r="I72" t="s">
        <v>32</v>
      </c>
      <c r="J72" t="s">
        <v>32</v>
      </c>
      <c r="K72" t="s">
        <v>33</v>
      </c>
      <c r="L72" t="s">
        <v>34</v>
      </c>
      <c r="M72" t="s">
        <v>47</v>
      </c>
      <c r="N72">
        <v>64.85</v>
      </c>
      <c r="P72">
        <v>1969.5</v>
      </c>
      <c r="Q72">
        <v>1969.5</v>
      </c>
      <c r="R72">
        <v>211.002</v>
      </c>
      <c r="S72">
        <v>2180.502</v>
      </c>
      <c r="T72">
        <v>138</v>
      </c>
      <c r="U72">
        <f>SUMIF(货件明细!J:J,E72,货件明细!AP:AP)</f>
        <v>138</v>
      </c>
      <c r="V72">
        <f>IF(U72=T72,0,1)</f>
        <v>0</v>
      </c>
      <c r="W72">
        <f>T72</f>
        <v>138</v>
      </c>
      <c r="X72">
        <f>SUMIF(货件明细!J:J,E72,货件明细!H:H)</f>
        <v>60.1</v>
      </c>
      <c r="Y72">
        <f>N72-X72</f>
        <v>4.74999999999999</v>
      </c>
      <c r="Z72">
        <f>SUMIF(货件明细!J:J,E72,货件明细!I:I)</f>
        <v>2180.502</v>
      </c>
      <c r="AA72">
        <f>IF(S72=Z72,0,1)</f>
        <v>0</v>
      </c>
    </row>
    <row r="73" spans="1:27">
      <c r="A73">
        <v>1</v>
      </c>
      <c r="B73">
        <v>2</v>
      </c>
      <c r="C73" s="3">
        <v>46031</v>
      </c>
      <c r="D73" t="s">
        <v>27</v>
      </c>
      <c r="E73" t="s">
        <v>136</v>
      </c>
      <c r="F73" t="s">
        <v>29</v>
      </c>
      <c r="G73" t="s">
        <v>30</v>
      </c>
      <c r="H73" t="s">
        <v>56</v>
      </c>
      <c r="I73" t="s">
        <v>32</v>
      </c>
      <c r="J73" t="s">
        <v>32</v>
      </c>
      <c r="K73" t="s">
        <v>33</v>
      </c>
      <c r="L73" t="s">
        <v>34</v>
      </c>
      <c r="M73" t="s">
        <v>47</v>
      </c>
      <c r="N73">
        <v>16.8</v>
      </c>
      <c r="P73">
        <v>515.1</v>
      </c>
      <c r="Q73">
        <v>515.1</v>
      </c>
      <c r="R73">
        <v>73.392</v>
      </c>
      <c r="S73">
        <v>588.492</v>
      </c>
      <c r="T73">
        <v>63</v>
      </c>
      <c r="U73">
        <f>SUMIF(货件明细!J:J,E73,货件明细!AP:AP)</f>
        <v>63</v>
      </c>
      <c r="V73">
        <f>IF(U73=T73,0,1)</f>
        <v>0</v>
      </c>
      <c r="W73">
        <f>T73</f>
        <v>63</v>
      </c>
      <c r="X73">
        <f>SUMIF(货件明细!J:J,E73,货件明细!H:H)</f>
        <v>13.252</v>
      </c>
      <c r="Y73">
        <f>N73-X73</f>
        <v>3.548</v>
      </c>
      <c r="Z73">
        <f>SUMIF(货件明细!J:J,E73,货件明细!I:I)</f>
        <v>588.492</v>
      </c>
      <c r="AA73">
        <f>IF(S73=Z73,0,1)</f>
        <v>0</v>
      </c>
    </row>
    <row r="74" hidden="1" spans="1:27">
      <c r="A74">
        <v>1</v>
      </c>
      <c r="B74">
        <v>2</v>
      </c>
      <c r="C74" s="3">
        <v>46032</v>
      </c>
      <c r="D74" t="s">
        <v>27</v>
      </c>
      <c r="E74" t="s">
        <v>137</v>
      </c>
      <c r="F74" t="s">
        <v>138</v>
      </c>
      <c r="G74" t="s">
        <v>69</v>
      </c>
      <c r="H74" t="s">
        <v>51</v>
      </c>
      <c r="I74" t="s">
        <v>92</v>
      </c>
      <c r="J74" t="s">
        <v>92</v>
      </c>
      <c r="K74" t="s">
        <v>64</v>
      </c>
      <c r="L74" t="s">
        <v>65</v>
      </c>
      <c r="M74" t="s">
        <v>93</v>
      </c>
      <c r="N74">
        <v>26.5</v>
      </c>
      <c r="P74">
        <v>152.44</v>
      </c>
      <c r="Q74">
        <v>152.44</v>
      </c>
      <c r="R74">
        <v>0</v>
      </c>
      <c r="S74">
        <v>152.44</v>
      </c>
      <c r="T74">
        <v>204</v>
      </c>
      <c r="U74">
        <f>SUMIF(货件明细!J:J,E74,货件明细!AP:AP)</f>
        <v>0</v>
      </c>
      <c r="V74">
        <f>IF(U74=T74,0,1)</f>
        <v>1</v>
      </c>
      <c r="W74">
        <f>T74</f>
        <v>204</v>
      </c>
      <c r="X74">
        <f>SUMIF(货件明细!J:J,E74,货件明细!H:H)</f>
        <v>0</v>
      </c>
      <c r="Y74">
        <f>N74-X74</f>
        <v>26.5</v>
      </c>
      <c r="Z74">
        <f>SUMIF(货件明细!J:J,E74,货件明细!I:I)</f>
        <v>0</v>
      </c>
      <c r="AA74">
        <f>IF(S74=Z74,0,1)</f>
        <v>1</v>
      </c>
    </row>
    <row r="75" hidden="1" spans="1:27">
      <c r="A75">
        <v>1</v>
      </c>
      <c r="B75">
        <v>2</v>
      </c>
      <c r="C75" s="3">
        <v>46032</v>
      </c>
      <c r="D75" t="s">
        <v>27</v>
      </c>
      <c r="E75" t="s">
        <v>139</v>
      </c>
      <c r="F75" t="s">
        <v>71</v>
      </c>
      <c r="G75" t="s">
        <v>72</v>
      </c>
      <c r="H75" t="s">
        <v>51</v>
      </c>
      <c r="I75" t="s">
        <v>92</v>
      </c>
      <c r="J75" t="s">
        <v>92</v>
      </c>
      <c r="K75" t="s">
        <v>64</v>
      </c>
      <c r="L75" t="s">
        <v>65</v>
      </c>
      <c r="M75" t="s">
        <v>93</v>
      </c>
      <c r="N75">
        <v>26.5</v>
      </c>
      <c r="P75">
        <v>115.34</v>
      </c>
      <c r="Q75">
        <v>115.34</v>
      </c>
      <c r="R75">
        <v>0</v>
      </c>
      <c r="S75">
        <v>115.34</v>
      </c>
      <c r="T75">
        <v>204</v>
      </c>
      <c r="U75">
        <f>SUMIF(货件明细!J:J,E75,货件明细!AP:AP)</f>
        <v>0</v>
      </c>
      <c r="V75">
        <f>IF(U75=T75,0,1)</f>
        <v>1</v>
      </c>
      <c r="W75">
        <f>T75</f>
        <v>204</v>
      </c>
      <c r="X75">
        <f>SUMIF(货件明细!J:J,E75,货件明细!H:H)</f>
        <v>0</v>
      </c>
      <c r="Y75">
        <f>N75-X75</f>
        <v>26.5</v>
      </c>
      <c r="Z75">
        <f>SUMIF(货件明细!J:J,E75,货件明细!I:I)</f>
        <v>0</v>
      </c>
      <c r="AA75">
        <f>IF(S75=Z75,0,1)</f>
        <v>1</v>
      </c>
    </row>
    <row r="76" hidden="1" spans="1:27">
      <c r="A76">
        <v>1</v>
      </c>
      <c r="B76">
        <v>2</v>
      </c>
      <c r="C76" s="3">
        <v>46032</v>
      </c>
      <c r="D76" t="s">
        <v>27</v>
      </c>
      <c r="E76" t="s">
        <v>140</v>
      </c>
      <c r="F76" t="s">
        <v>141</v>
      </c>
      <c r="G76" t="s">
        <v>69</v>
      </c>
      <c r="H76" t="s">
        <v>51</v>
      </c>
      <c r="I76" t="s">
        <v>92</v>
      </c>
      <c r="J76" t="s">
        <v>92</v>
      </c>
      <c r="K76" t="s">
        <v>64</v>
      </c>
      <c r="L76" t="s">
        <v>65</v>
      </c>
      <c r="M76" t="s">
        <v>93</v>
      </c>
      <c r="N76">
        <v>26.5</v>
      </c>
      <c r="P76">
        <v>152.44</v>
      </c>
      <c r="Q76">
        <v>152.44</v>
      </c>
      <c r="R76">
        <v>0</v>
      </c>
      <c r="S76">
        <v>152.44</v>
      </c>
      <c r="T76">
        <v>204</v>
      </c>
      <c r="U76">
        <f>SUMIF(货件明细!J:J,E76,货件明细!AP:AP)</f>
        <v>0</v>
      </c>
      <c r="V76">
        <f>IF(U76=T76,0,1)</f>
        <v>1</v>
      </c>
      <c r="W76">
        <f>T76</f>
        <v>204</v>
      </c>
      <c r="X76">
        <f>SUMIF(货件明细!J:J,E76,货件明细!H:H)</f>
        <v>0</v>
      </c>
      <c r="Y76">
        <f>N76-X76</f>
        <v>26.5</v>
      </c>
      <c r="Z76">
        <f>SUMIF(货件明细!J:J,E76,货件明细!I:I)</f>
        <v>0</v>
      </c>
      <c r="AA76">
        <f>IF(S76=Z76,0,1)</f>
        <v>1</v>
      </c>
    </row>
    <row r="77" hidden="1" spans="1:27">
      <c r="A77">
        <v>1</v>
      </c>
      <c r="B77">
        <v>2</v>
      </c>
      <c r="C77" s="3">
        <v>46032</v>
      </c>
      <c r="D77" t="s">
        <v>27</v>
      </c>
      <c r="E77" t="s">
        <v>142</v>
      </c>
      <c r="F77" t="s">
        <v>143</v>
      </c>
      <c r="G77" t="s">
        <v>72</v>
      </c>
      <c r="H77" t="s">
        <v>51</v>
      </c>
      <c r="I77" t="s">
        <v>92</v>
      </c>
      <c r="J77" t="s">
        <v>92</v>
      </c>
      <c r="K77" t="s">
        <v>64</v>
      </c>
      <c r="L77" t="s">
        <v>65</v>
      </c>
      <c r="M77" t="s">
        <v>93</v>
      </c>
      <c r="N77">
        <v>26.5</v>
      </c>
      <c r="P77">
        <v>113.5</v>
      </c>
      <c r="Q77">
        <v>113.5</v>
      </c>
      <c r="R77">
        <v>0</v>
      </c>
      <c r="S77">
        <v>113.5</v>
      </c>
      <c r="T77">
        <v>204</v>
      </c>
      <c r="U77">
        <f>SUMIF(货件明细!J:J,E77,货件明细!AP:AP)</f>
        <v>0</v>
      </c>
      <c r="V77">
        <f>IF(U77=T77,0,1)</f>
        <v>1</v>
      </c>
      <c r="W77">
        <f>T77</f>
        <v>204</v>
      </c>
      <c r="X77">
        <f>SUMIF(货件明细!J:J,E77,货件明细!H:H)</f>
        <v>0</v>
      </c>
      <c r="Y77">
        <f>N77-X77</f>
        <v>26.5</v>
      </c>
      <c r="Z77">
        <f>SUMIF(货件明细!J:J,E77,货件明细!I:I)</f>
        <v>0</v>
      </c>
      <c r="AA77">
        <f>IF(S77=Z77,0,1)</f>
        <v>1</v>
      </c>
    </row>
    <row r="78" hidden="1" spans="1:27">
      <c r="A78">
        <v>1</v>
      </c>
      <c r="B78">
        <v>2</v>
      </c>
      <c r="C78" s="3">
        <v>46032</v>
      </c>
      <c r="D78" t="s">
        <v>27</v>
      </c>
      <c r="E78" t="s">
        <v>144</v>
      </c>
      <c r="F78" t="s">
        <v>145</v>
      </c>
      <c r="G78" t="s">
        <v>30</v>
      </c>
      <c r="H78" t="s">
        <v>51</v>
      </c>
      <c r="I78" t="s">
        <v>92</v>
      </c>
      <c r="J78" t="s">
        <v>146</v>
      </c>
      <c r="K78" t="s">
        <v>64</v>
      </c>
      <c r="L78" t="s">
        <v>147</v>
      </c>
      <c r="M78" t="s">
        <v>148</v>
      </c>
      <c r="N78">
        <v>26.5</v>
      </c>
      <c r="P78">
        <v>185</v>
      </c>
      <c r="Q78">
        <v>185</v>
      </c>
      <c r="R78">
        <v>0</v>
      </c>
      <c r="S78">
        <v>185</v>
      </c>
      <c r="T78">
        <v>204</v>
      </c>
      <c r="U78">
        <f>SUMIF(货件明细!J:J,E78,货件明细!AP:AP)</f>
        <v>0</v>
      </c>
      <c r="V78">
        <f>IF(U78=T78,0,1)</f>
        <v>1</v>
      </c>
      <c r="W78">
        <f>T78</f>
        <v>204</v>
      </c>
      <c r="X78">
        <f>SUMIF(货件明细!J:J,E78,货件明细!H:H)</f>
        <v>0</v>
      </c>
      <c r="Y78">
        <f>N78-X78</f>
        <v>26.5</v>
      </c>
      <c r="Z78">
        <f>SUMIF(货件明细!J:J,E78,货件明细!I:I)</f>
        <v>0</v>
      </c>
      <c r="AA78">
        <f>IF(S78=Z78,0,1)</f>
        <v>1</v>
      </c>
    </row>
    <row r="79" hidden="1" spans="1:27">
      <c r="A79">
        <v>1</v>
      </c>
      <c r="B79">
        <v>2</v>
      </c>
      <c r="C79" s="3">
        <v>46032</v>
      </c>
      <c r="D79" t="s">
        <v>27</v>
      </c>
      <c r="E79" t="s">
        <v>149</v>
      </c>
      <c r="F79" t="s">
        <v>138</v>
      </c>
      <c r="G79" t="s">
        <v>69</v>
      </c>
      <c r="H79" t="s">
        <v>56</v>
      </c>
      <c r="I79" t="s">
        <v>92</v>
      </c>
      <c r="J79" t="s">
        <v>92</v>
      </c>
      <c r="K79" t="s">
        <v>64</v>
      </c>
      <c r="L79" t="s">
        <v>65</v>
      </c>
      <c r="M79" t="s">
        <v>93</v>
      </c>
      <c r="N79">
        <v>38.65</v>
      </c>
      <c r="P79">
        <v>228.66</v>
      </c>
      <c r="Q79">
        <v>228.66</v>
      </c>
      <c r="R79">
        <v>0</v>
      </c>
      <c r="S79">
        <v>228.66</v>
      </c>
      <c r="T79">
        <v>216</v>
      </c>
      <c r="U79">
        <f>SUMIF(货件明细!J:J,E79,货件明细!AP:AP)</f>
        <v>0</v>
      </c>
      <c r="V79">
        <f>IF(U79=T79,0,1)</f>
        <v>1</v>
      </c>
      <c r="W79">
        <f>T79</f>
        <v>216</v>
      </c>
      <c r="X79">
        <f>SUMIF(货件明细!J:J,E79,货件明细!H:H)</f>
        <v>0</v>
      </c>
      <c r="Y79">
        <f>N79-X79</f>
        <v>38.65</v>
      </c>
      <c r="Z79">
        <f>SUMIF(货件明细!J:J,E79,货件明细!I:I)</f>
        <v>0</v>
      </c>
      <c r="AA79">
        <f>IF(S79=Z79,0,1)</f>
        <v>1</v>
      </c>
    </row>
    <row r="80" hidden="1" spans="1:27">
      <c r="A80">
        <v>1</v>
      </c>
      <c r="B80">
        <v>2</v>
      </c>
      <c r="C80" s="3">
        <v>46032</v>
      </c>
      <c r="D80" t="s">
        <v>27</v>
      </c>
      <c r="E80" t="s">
        <v>150</v>
      </c>
      <c r="F80" t="s">
        <v>71</v>
      </c>
      <c r="G80" t="s">
        <v>72</v>
      </c>
      <c r="H80" t="s">
        <v>56</v>
      </c>
      <c r="I80" t="s">
        <v>92</v>
      </c>
      <c r="J80" t="s">
        <v>92</v>
      </c>
      <c r="K80" t="s">
        <v>64</v>
      </c>
      <c r="L80" t="s">
        <v>65</v>
      </c>
      <c r="M80" t="s">
        <v>93</v>
      </c>
      <c r="N80">
        <v>38.65</v>
      </c>
      <c r="P80">
        <v>173.01</v>
      </c>
      <c r="Q80">
        <v>173.01</v>
      </c>
      <c r="R80">
        <v>0</v>
      </c>
      <c r="S80">
        <v>173.01</v>
      </c>
      <c r="T80">
        <v>216</v>
      </c>
      <c r="U80">
        <f>SUMIF(货件明细!J:J,E80,货件明细!AP:AP)</f>
        <v>0</v>
      </c>
      <c r="V80">
        <f>IF(U80=T80,0,1)</f>
        <v>1</v>
      </c>
      <c r="W80">
        <f>T80</f>
        <v>216</v>
      </c>
      <c r="X80">
        <f>SUMIF(货件明细!J:J,E80,货件明细!H:H)</f>
        <v>0</v>
      </c>
      <c r="Y80">
        <f>N80-X80</f>
        <v>38.65</v>
      </c>
      <c r="Z80">
        <f>SUMIF(货件明细!J:J,E80,货件明细!I:I)</f>
        <v>0</v>
      </c>
      <c r="AA80">
        <f>IF(S80=Z80,0,1)</f>
        <v>1</v>
      </c>
    </row>
    <row r="81" hidden="1" spans="1:27">
      <c r="A81">
        <v>1</v>
      </c>
      <c r="B81">
        <v>2</v>
      </c>
      <c r="C81" s="3">
        <v>46032</v>
      </c>
      <c r="D81" t="s">
        <v>27</v>
      </c>
      <c r="E81" t="s">
        <v>151</v>
      </c>
      <c r="F81" t="s">
        <v>141</v>
      </c>
      <c r="G81" t="s">
        <v>69</v>
      </c>
      <c r="H81" t="s">
        <v>56</v>
      </c>
      <c r="I81" t="s">
        <v>92</v>
      </c>
      <c r="J81" t="s">
        <v>92</v>
      </c>
      <c r="K81" t="s">
        <v>64</v>
      </c>
      <c r="L81" t="s">
        <v>65</v>
      </c>
      <c r="M81" t="s">
        <v>93</v>
      </c>
      <c r="N81">
        <v>38.65</v>
      </c>
      <c r="P81">
        <v>228.66</v>
      </c>
      <c r="Q81">
        <v>228.66</v>
      </c>
      <c r="R81">
        <v>0</v>
      </c>
      <c r="S81">
        <v>228.66</v>
      </c>
      <c r="T81">
        <v>216</v>
      </c>
      <c r="U81">
        <f>SUMIF(货件明细!J:J,E81,货件明细!AP:AP)</f>
        <v>0</v>
      </c>
      <c r="V81">
        <f>IF(U81=T81,0,1)</f>
        <v>1</v>
      </c>
      <c r="W81">
        <f>T81</f>
        <v>216</v>
      </c>
      <c r="X81">
        <f>SUMIF(货件明细!J:J,E81,货件明细!H:H)</f>
        <v>0</v>
      </c>
      <c r="Y81">
        <f>N81-X81</f>
        <v>38.65</v>
      </c>
      <c r="Z81">
        <f>SUMIF(货件明细!J:J,E81,货件明细!I:I)</f>
        <v>0</v>
      </c>
      <c r="AA81">
        <f>IF(S81=Z81,0,1)</f>
        <v>1</v>
      </c>
    </row>
    <row r="82" hidden="1" spans="1:27">
      <c r="A82">
        <v>1</v>
      </c>
      <c r="B82">
        <v>2</v>
      </c>
      <c r="C82" s="3">
        <v>46032</v>
      </c>
      <c r="D82" t="s">
        <v>27</v>
      </c>
      <c r="E82" t="s">
        <v>152</v>
      </c>
      <c r="F82" t="s">
        <v>143</v>
      </c>
      <c r="G82" t="s">
        <v>72</v>
      </c>
      <c r="H82" t="s">
        <v>56</v>
      </c>
      <c r="I82" t="s">
        <v>92</v>
      </c>
      <c r="J82" t="s">
        <v>92</v>
      </c>
      <c r="K82" t="s">
        <v>64</v>
      </c>
      <c r="L82" t="s">
        <v>65</v>
      </c>
      <c r="M82" t="s">
        <v>93</v>
      </c>
      <c r="N82">
        <v>38.65</v>
      </c>
      <c r="P82">
        <v>170.25</v>
      </c>
      <c r="Q82">
        <v>170.25</v>
      </c>
      <c r="R82">
        <v>0</v>
      </c>
      <c r="S82">
        <v>170.25</v>
      </c>
      <c r="T82">
        <v>216</v>
      </c>
      <c r="U82">
        <f>SUMIF(货件明细!J:J,E82,货件明细!AP:AP)</f>
        <v>0</v>
      </c>
      <c r="V82">
        <f>IF(U82=T82,0,1)</f>
        <v>1</v>
      </c>
      <c r="W82">
        <f>T82</f>
        <v>216</v>
      </c>
      <c r="X82">
        <f>SUMIF(货件明细!J:J,E82,货件明细!H:H)</f>
        <v>0</v>
      </c>
      <c r="Y82">
        <f>N82-X82</f>
        <v>38.65</v>
      </c>
      <c r="Z82">
        <f>SUMIF(货件明细!J:J,E82,货件明细!I:I)</f>
        <v>0</v>
      </c>
      <c r="AA82">
        <f>IF(S82=Z82,0,1)</f>
        <v>1</v>
      </c>
    </row>
    <row r="83" hidden="1" spans="1:27">
      <c r="A83">
        <v>1</v>
      </c>
      <c r="B83">
        <v>2</v>
      </c>
      <c r="C83" s="3">
        <v>46032</v>
      </c>
      <c r="D83" t="s">
        <v>27</v>
      </c>
      <c r="E83" t="s">
        <v>153</v>
      </c>
      <c r="F83" t="s">
        <v>145</v>
      </c>
      <c r="G83" t="s">
        <v>30</v>
      </c>
      <c r="H83" t="s">
        <v>56</v>
      </c>
      <c r="I83" t="s">
        <v>92</v>
      </c>
      <c r="J83" t="s">
        <v>146</v>
      </c>
      <c r="K83" t="s">
        <v>64</v>
      </c>
      <c r="L83" t="s">
        <v>147</v>
      </c>
      <c r="M83" t="s">
        <v>148</v>
      </c>
      <c r="N83">
        <v>38.65</v>
      </c>
      <c r="P83">
        <v>277.5</v>
      </c>
      <c r="Q83">
        <v>277.5</v>
      </c>
      <c r="R83">
        <v>0</v>
      </c>
      <c r="S83">
        <v>277.5</v>
      </c>
      <c r="T83">
        <v>216</v>
      </c>
      <c r="U83">
        <f>SUMIF(货件明细!J:J,E83,货件明细!AP:AP)</f>
        <v>0</v>
      </c>
      <c r="V83">
        <f>IF(U83=T83,0,1)</f>
        <v>1</v>
      </c>
      <c r="W83">
        <f>T83</f>
        <v>216</v>
      </c>
      <c r="X83">
        <f>SUMIF(货件明细!J:J,E83,货件明细!H:H)</f>
        <v>0</v>
      </c>
      <c r="Y83">
        <f>N83-X83</f>
        <v>38.65</v>
      </c>
      <c r="Z83">
        <f>SUMIF(货件明细!J:J,E83,货件明细!I:I)</f>
        <v>0</v>
      </c>
      <c r="AA83">
        <f>IF(S83=Z83,0,1)</f>
        <v>1</v>
      </c>
    </row>
    <row r="84" hidden="1" spans="1:27">
      <c r="A84">
        <v>1</v>
      </c>
      <c r="B84">
        <v>2</v>
      </c>
      <c r="C84" s="3">
        <v>46032</v>
      </c>
      <c r="D84" t="s">
        <v>27</v>
      </c>
      <c r="E84" t="s">
        <v>154</v>
      </c>
      <c r="F84" t="s">
        <v>138</v>
      </c>
      <c r="G84" t="s">
        <v>69</v>
      </c>
      <c r="H84" t="s">
        <v>37</v>
      </c>
      <c r="I84" t="s">
        <v>92</v>
      </c>
      <c r="J84" t="s">
        <v>92</v>
      </c>
      <c r="K84" t="s">
        <v>64</v>
      </c>
      <c r="L84" t="s">
        <v>65</v>
      </c>
      <c r="M84" t="s">
        <v>93</v>
      </c>
      <c r="N84">
        <v>26.9</v>
      </c>
      <c r="P84">
        <v>152.44</v>
      </c>
      <c r="Q84">
        <v>152.44</v>
      </c>
      <c r="R84">
        <v>0</v>
      </c>
      <c r="S84">
        <v>152.44</v>
      </c>
      <c r="T84">
        <v>178</v>
      </c>
      <c r="U84">
        <f>SUMIF(货件明细!J:J,E84,货件明细!AP:AP)</f>
        <v>0</v>
      </c>
      <c r="V84">
        <f>IF(U84=T84,0,1)</f>
        <v>1</v>
      </c>
      <c r="W84">
        <f>T84</f>
        <v>178</v>
      </c>
      <c r="X84">
        <f>SUMIF(货件明细!J:J,E84,货件明细!H:H)</f>
        <v>0</v>
      </c>
      <c r="Y84">
        <f>N84-X84</f>
        <v>26.9</v>
      </c>
      <c r="Z84">
        <f>SUMIF(货件明细!J:J,E84,货件明细!I:I)</f>
        <v>0</v>
      </c>
      <c r="AA84">
        <f>IF(S84=Z84,0,1)</f>
        <v>1</v>
      </c>
    </row>
    <row r="85" hidden="1" spans="1:27">
      <c r="A85">
        <v>1</v>
      </c>
      <c r="B85">
        <v>2</v>
      </c>
      <c r="C85" s="3">
        <v>46032</v>
      </c>
      <c r="D85" t="s">
        <v>27</v>
      </c>
      <c r="E85" t="s">
        <v>155</v>
      </c>
      <c r="F85" t="s">
        <v>71</v>
      </c>
      <c r="G85" t="s">
        <v>72</v>
      </c>
      <c r="H85" t="s">
        <v>37</v>
      </c>
      <c r="I85" t="s">
        <v>92</v>
      </c>
      <c r="J85" t="s">
        <v>92</v>
      </c>
      <c r="K85" t="s">
        <v>64</v>
      </c>
      <c r="L85" t="s">
        <v>65</v>
      </c>
      <c r="M85" t="s">
        <v>93</v>
      </c>
      <c r="N85">
        <v>26.9</v>
      </c>
      <c r="P85">
        <v>115.34</v>
      </c>
      <c r="Q85">
        <v>115.34</v>
      </c>
      <c r="R85">
        <v>0</v>
      </c>
      <c r="S85">
        <v>115.34</v>
      </c>
      <c r="T85">
        <v>178</v>
      </c>
      <c r="U85">
        <f>SUMIF(货件明细!J:J,E85,货件明细!AP:AP)</f>
        <v>0</v>
      </c>
      <c r="V85">
        <f>IF(U85=T85,0,1)</f>
        <v>1</v>
      </c>
      <c r="W85">
        <f>T85</f>
        <v>178</v>
      </c>
      <c r="X85">
        <f>SUMIF(货件明细!J:J,E85,货件明细!H:H)</f>
        <v>0</v>
      </c>
      <c r="Y85">
        <f>N85-X85</f>
        <v>26.9</v>
      </c>
      <c r="Z85">
        <f>SUMIF(货件明细!J:J,E85,货件明细!I:I)</f>
        <v>0</v>
      </c>
      <c r="AA85">
        <f>IF(S85=Z85,0,1)</f>
        <v>1</v>
      </c>
    </row>
    <row r="86" hidden="1" spans="1:27">
      <c r="A86">
        <v>1</v>
      </c>
      <c r="B86">
        <v>2</v>
      </c>
      <c r="C86" s="3">
        <v>46032</v>
      </c>
      <c r="D86" t="s">
        <v>27</v>
      </c>
      <c r="E86" t="s">
        <v>156</v>
      </c>
      <c r="F86" t="s">
        <v>141</v>
      </c>
      <c r="G86" t="s">
        <v>69</v>
      </c>
      <c r="H86" t="s">
        <v>37</v>
      </c>
      <c r="I86" t="s">
        <v>92</v>
      </c>
      <c r="J86" t="s">
        <v>92</v>
      </c>
      <c r="K86" t="s">
        <v>64</v>
      </c>
      <c r="L86" t="s">
        <v>65</v>
      </c>
      <c r="M86" t="s">
        <v>93</v>
      </c>
      <c r="N86">
        <v>26.9</v>
      </c>
      <c r="P86">
        <v>152.44</v>
      </c>
      <c r="Q86">
        <v>152.44</v>
      </c>
      <c r="R86">
        <v>0</v>
      </c>
      <c r="S86">
        <v>152.44</v>
      </c>
      <c r="T86">
        <v>178</v>
      </c>
      <c r="U86">
        <f>SUMIF(货件明细!J:J,E86,货件明细!AP:AP)</f>
        <v>0</v>
      </c>
      <c r="V86">
        <f>IF(U86=T86,0,1)</f>
        <v>1</v>
      </c>
      <c r="W86">
        <f>T86</f>
        <v>178</v>
      </c>
      <c r="X86">
        <f>SUMIF(货件明细!J:J,E86,货件明细!H:H)</f>
        <v>0</v>
      </c>
      <c r="Y86">
        <f>N86-X86</f>
        <v>26.9</v>
      </c>
      <c r="Z86">
        <f>SUMIF(货件明细!J:J,E86,货件明细!I:I)</f>
        <v>0</v>
      </c>
      <c r="AA86">
        <f>IF(S86=Z86,0,1)</f>
        <v>1</v>
      </c>
    </row>
    <row r="87" hidden="1" spans="1:27">
      <c r="A87">
        <v>1</v>
      </c>
      <c r="B87">
        <v>2</v>
      </c>
      <c r="C87" s="3">
        <v>46032</v>
      </c>
      <c r="D87" t="s">
        <v>27</v>
      </c>
      <c r="E87" t="s">
        <v>157</v>
      </c>
      <c r="F87" t="s">
        <v>143</v>
      </c>
      <c r="G87" t="s">
        <v>72</v>
      </c>
      <c r="H87" t="s">
        <v>37</v>
      </c>
      <c r="I87" t="s">
        <v>92</v>
      </c>
      <c r="J87" t="s">
        <v>92</v>
      </c>
      <c r="K87" t="s">
        <v>64</v>
      </c>
      <c r="L87" t="s">
        <v>65</v>
      </c>
      <c r="M87" t="s">
        <v>93</v>
      </c>
      <c r="N87">
        <v>26.9</v>
      </c>
      <c r="P87">
        <v>113.5</v>
      </c>
      <c r="Q87">
        <v>113.5</v>
      </c>
      <c r="R87">
        <v>0</v>
      </c>
      <c r="S87">
        <v>113.5</v>
      </c>
      <c r="T87">
        <v>178</v>
      </c>
      <c r="U87">
        <f>SUMIF(货件明细!J:J,E87,货件明细!AP:AP)</f>
        <v>0</v>
      </c>
      <c r="V87">
        <f>IF(U87=T87,0,1)</f>
        <v>1</v>
      </c>
      <c r="W87">
        <f>T87</f>
        <v>178</v>
      </c>
      <c r="X87">
        <f>SUMIF(货件明细!J:J,E87,货件明细!H:H)</f>
        <v>0</v>
      </c>
      <c r="Y87">
        <f>N87-X87</f>
        <v>26.9</v>
      </c>
      <c r="Z87">
        <f>SUMIF(货件明细!J:J,E87,货件明细!I:I)</f>
        <v>0</v>
      </c>
      <c r="AA87">
        <f>IF(S87=Z87,0,1)</f>
        <v>1</v>
      </c>
    </row>
    <row r="88" hidden="1" spans="1:27">
      <c r="A88">
        <v>1</v>
      </c>
      <c r="B88">
        <v>2</v>
      </c>
      <c r="C88" s="3">
        <v>46032</v>
      </c>
      <c r="D88" t="s">
        <v>27</v>
      </c>
      <c r="E88" t="s">
        <v>158</v>
      </c>
      <c r="F88" t="s">
        <v>145</v>
      </c>
      <c r="G88" t="s">
        <v>30</v>
      </c>
      <c r="H88" t="s">
        <v>37</v>
      </c>
      <c r="I88" t="s">
        <v>92</v>
      </c>
      <c r="J88" t="s">
        <v>146</v>
      </c>
      <c r="K88" t="s">
        <v>64</v>
      </c>
      <c r="L88" t="s">
        <v>147</v>
      </c>
      <c r="M88" t="s">
        <v>148</v>
      </c>
      <c r="N88">
        <v>26.9</v>
      </c>
      <c r="P88">
        <v>185</v>
      </c>
      <c r="Q88">
        <v>185</v>
      </c>
      <c r="R88">
        <v>0</v>
      </c>
      <c r="S88">
        <v>185</v>
      </c>
      <c r="T88">
        <v>178</v>
      </c>
      <c r="U88">
        <f>SUMIF(货件明细!J:J,E88,货件明细!AP:AP)</f>
        <v>0</v>
      </c>
      <c r="V88">
        <f>IF(U88=T88,0,1)</f>
        <v>1</v>
      </c>
      <c r="W88">
        <f>T88</f>
        <v>178</v>
      </c>
      <c r="X88">
        <f>SUMIF(货件明细!J:J,E88,货件明细!H:H)</f>
        <v>0</v>
      </c>
      <c r="Y88">
        <f>N88-X88</f>
        <v>26.9</v>
      </c>
      <c r="Z88">
        <f>SUMIF(货件明细!J:J,E88,货件明细!I:I)</f>
        <v>0</v>
      </c>
      <c r="AA88">
        <f>IF(S88=Z88,0,1)</f>
        <v>1</v>
      </c>
    </row>
    <row r="89" hidden="1" spans="1:27">
      <c r="A89">
        <v>1</v>
      </c>
      <c r="B89">
        <v>2</v>
      </c>
      <c r="C89" s="3">
        <v>46032</v>
      </c>
      <c r="D89" t="s">
        <v>27</v>
      </c>
      <c r="E89" t="s">
        <v>159</v>
      </c>
      <c r="F89" t="s">
        <v>138</v>
      </c>
      <c r="G89" t="s">
        <v>69</v>
      </c>
      <c r="H89" t="s">
        <v>54</v>
      </c>
      <c r="I89" t="s">
        <v>92</v>
      </c>
      <c r="J89" t="s">
        <v>92</v>
      </c>
      <c r="K89" t="s">
        <v>64</v>
      </c>
      <c r="L89" t="s">
        <v>65</v>
      </c>
      <c r="M89" t="s">
        <v>93</v>
      </c>
      <c r="N89">
        <v>12.85</v>
      </c>
      <c r="P89">
        <v>76.22</v>
      </c>
      <c r="Q89">
        <v>76.22</v>
      </c>
      <c r="R89">
        <v>0</v>
      </c>
      <c r="S89">
        <v>76.22</v>
      </c>
      <c r="T89">
        <v>67</v>
      </c>
      <c r="U89">
        <f>SUMIF(货件明细!J:J,E89,货件明细!AP:AP)</f>
        <v>0</v>
      </c>
      <c r="V89">
        <f>IF(U89=T89,0,1)</f>
        <v>1</v>
      </c>
      <c r="W89">
        <f>T89</f>
        <v>67</v>
      </c>
      <c r="X89">
        <f>SUMIF(货件明细!J:J,E89,货件明细!H:H)</f>
        <v>0</v>
      </c>
      <c r="Y89">
        <f>N89-X89</f>
        <v>12.85</v>
      </c>
      <c r="Z89">
        <f>SUMIF(货件明细!J:J,E89,货件明细!I:I)</f>
        <v>0</v>
      </c>
      <c r="AA89">
        <f>IF(S89=Z89,0,1)</f>
        <v>1</v>
      </c>
    </row>
    <row r="90" hidden="1" spans="1:27">
      <c r="A90">
        <v>1</v>
      </c>
      <c r="B90">
        <v>2</v>
      </c>
      <c r="C90" s="3">
        <v>46032</v>
      </c>
      <c r="D90" t="s">
        <v>27</v>
      </c>
      <c r="E90" t="s">
        <v>160</v>
      </c>
      <c r="F90" t="s">
        <v>71</v>
      </c>
      <c r="G90" t="s">
        <v>72</v>
      </c>
      <c r="H90" t="s">
        <v>54</v>
      </c>
      <c r="I90" t="s">
        <v>92</v>
      </c>
      <c r="J90" t="s">
        <v>92</v>
      </c>
      <c r="K90" t="s">
        <v>64</v>
      </c>
      <c r="L90" t="s">
        <v>65</v>
      </c>
      <c r="M90" t="s">
        <v>93</v>
      </c>
      <c r="N90">
        <v>12.85</v>
      </c>
      <c r="P90">
        <v>57.67</v>
      </c>
      <c r="Q90">
        <v>57.67</v>
      </c>
      <c r="R90">
        <v>0</v>
      </c>
      <c r="S90">
        <v>57.67</v>
      </c>
      <c r="T90">
        <v>67</v>
      </c>
      <c r="U90">
        <f>SUMIF(货件明细!J:J,E90,货件明细!AP:AP)</f>
        <v>0</v>
      </c>
      <c r="V90">
        <f>IF(U90=T90,0,1)</f>
        <v>1</v>
      </c>
      <c r="W90">
        <f>T90</f>
        <v>67</v>
      </c>
      <c r="X90">
        <f>SUMIF(货件明细!J:J,E90,货件明细!H:H)</f>
        <v>0</v>
      </c>
      <c r="Y90">
        <f>N90-X90</f>
        <v>12.85</v>
      </c>
      <c r="Z90">
        <f>SUMIF(货件明细!J:J,E90,货件明细!I:I)</f>
        <v>0</v>
      </c>
      <c r="AA90">
        <f>IF(S90=Z90,0,1)</f>
        <v>1</v>
      </c>
    </row>
    <row r="91" hidden="1" spans="1:27">
      <c r="A91">
        <v>1</v>
      </c>
      <c r="B91">
        <v>2</v>
      </c>
      <c r="C91" s="3">
        <v>46032</v>
      </c>
      <c r="D91" t="s">
        <v>27</v>
      </c>
      <c r="E91" t="s">
        <v>161</v>
      </c>
      <c r="F91" t="s">
        <v>141</v>
      </c>
      <c r="G91" t="s">
        <v>69</v>
      </c>
      <c r="H91" t="s">
        <v>54</v>
      </c>
      <c r="I91" t="s">
        <v>92</v>
      </c>
      <c r="J91" t="s">
        <v>92</v>
      </c>
      <c r="K91" t="s">
        <v>64</v>
      </c>
      <c r="L91" t="s">
        <v>65</v>
      </c>
      <c r="M91" t="s">
        <v>93</v>
      </c>
      <c r="N91">
        <v>12.85</v>
      </c>
      <c r="P91">
        <v>76.22</v>
      </c>
      <c r="Q91">
        <v>76.22</v>
      </c>
      <c r="R91">
        <v>0</v>
      </c>
      <c r="S91">
        <v>76.22</v>
      </c>
      <c r="T91">
        <v>67</v>
      </c>
      <c r="U91">
        <f>SUMIF(货件明细!J:J,E91,货件明细!AP:AP)</f>
        <v>0</v>
      </c>
      <c r="V91">
        <f>IF(U91=T91,0,1)</f>
        <v>1</v>
      </c>
      <c r="W91">
        <f>T91</f>
        <v>67</v>
      </c>
      <c r="X91">
        <f>SUMIF(货件明细!J:J,E91,货件明细!H:H)</f>
        <v>0</v>
      </c>
      <c r="Y91">
        <f>N91-X91</f>
        <v>12.85</v>
      </c>
      <c r="Z91">
        <f>SUMIF(货件明细!J:J,E91,货件明细!I:I)</f>
        <v>0</v>
      </c>
      <c r="AA91">
        <f>IF(S91=Z91,0,1)</f>
        <v>1</v>
      </c>
    </row>
    <row r="92" hidden="1" spans="1:27">
      <c r="A92">
        <v>1</v>
      </c>
      <c r="B92">
        <v>2</v>
      </c>
      <c r="C92" s="3">
        <v>46032</v>
      </c>
      <c r="D92" t="s">
        <v>27</v>
      </c>
      <c r="E92" t="s">
        <v>162</v>
      </c>
      <c r="F92" t="s">
        <v>143</v>
      </c>
      <c r="G92" t="s">
        <v>72</v>
      </c>
      <c r="H92" t="s">
        <v>54</v>
      </c>
      <c r="I92" t="s">
        <v>92</v>
      </c>
      <c r="J92" t="s">
        <v>92</v>
      </c>
      <c r="K92" t="s">
        <v>64</v>
      </c>
      <c r="L92" t="s">
        <v>65</v>
      </c>
      <c r="M92" t="s">
        <v>93</v>
      </c>
      <c r="N92">
        <v>12.85</v>
      </c>
      <c r="P92">
        <v>56.75</v>
      </c>
      <c r="Q92">
        <v>56.75</v>
      </c>
      <c r="R92">
        <v>0</v>
      </c>
      <c r="S92">
        <v>56.75</v>
      </c>
      <c r="T92">
        <v>67</v>
      </c>
      <c r="U92">
        <f>SUMIF(货件明细!J:J,E92,货件明细!AP:AP)</f>
        <v>0</v>
      </c>
      <c r="V92">
        <f>IF(U92=T92,0,1)</f>
        <v>1</v>
      </c>
      <c r="W92">
        <f>T92</f>
        <v>67</v>
      </c>
      <c r="X92">
        <f>SUMIF(货件明细!J:J,E92,货件明细!H:H)</f>
        <v>0</v>
      </c>
      <c r="Y92">
        <f>N92-X92</f>
        <v>12.85</v>
      </c>
      <c r="Z92">
        <f>SUMIF(货件明细!J:J,E92,货件明细!I:I)</f>
        <v>0</v>
      </c>
      <c r="AA92">
        <f>IF(S92=Z92,0,1)</f>
        <v>1</v>
      </c>
    </row>
    <row r="93" hidden="1" spans="1:27">
      <c r="A93">
        <v>1</v>
      </c>
      <c r="B93">
        <v>2</v>
      </c>
      <c r="C93" s="3">
        <v>46032</v>
      </c>
      <c r="D93" t="s">
        <v>27</v>
      </c>
      <c r="E93" t="s">
        <v>163</v>
      </c>
      <c r="F93" t="s">
        <v>145</v>
      </c>
      <c r="G93" t="s">
        <v>30</v>
      </c>
      <c r="H93" t="s">
        <v>54</v>
      </c>
      <c r="I93" t="s">
        <v>92</v>
      </c>
      <c r="J93" t="s">
        <v>146</v>
      </c>
      <c r="K93" t="s">
        <v>64</v>
      </c>
      <c r="L93" t="s">
        <v>147</v>
      </c>
      <c r="M93" t="s">
        <v>148</v>
      </c>
      <c r="N93">
        <v>12.85</v>
      </c>
      <c r="P93">
        <v>92.5</v>
      </c>
      <c r="Q93">
        <v>92.5</v>
      </c>
      <c r="R93">
        <v>0</v>
      </c>
      <c r="S93">
        <v>92.5</v>
      </c>
      <c r="T93">
        <v>67</v>
      </c>
      <c r="U93">
        <f>SUMIF(货件明细!J:J,E93,货件明细!AP:AP)</f>
        <v>0</v>
      </c>
      <c r="V93">
        <f>IF(U93=T93,0,1)</f>
        <v>1</v>
      </c>
      <c r="W93">
        <f>T93</f>
        <v>67</v>
      </c>
      <c r="X93">
        <f>SUMIF(货件明细!J:J,E93,货件明细!H:H)</f>
        <v>0</v>
      </c>
      <c r="Y93">
        <f>N93-X93</f>
        <v>12.85</v>
      </c>
      <c r="Z93">
        <f>SUMIF(货件明细!J:J,E93,货件明细!I:I)</f>
        <v>0</v>
      </c>
      <c r="AA93">
        <f>IF(S93=Z93,0,1)</f>
        <v>1</v>
      </c>
    </row>
    <row r="94" hidden="1" spans="1:27">
      <c r="A94">
        <v>1</v>
      </c>
      <c r="B94">
        <v>2</v>
      </c>
      <c r="C94" s="3">
        <v>46032</v>
      </c>
      <c r="D94" t="s">
        <v>27</v>
      </c>
      <c r="E94" t="s">
        <v>164</v>
      </c>
      <c r="F94" t="s">
        <v>138</v>
      </c>
      <c r="G94" t="s">
        <v>69</v>
      </c>
      <c r="H94" t="s">
        <v>51</v>
      </c>
      <c r="I94" t="s">
        <v>92</v>
      </c>
      <c r="J94" t="s">
        <v>92</v>
      </c>
      <c r="K94" t="s">
        <v>64</v>
      </c>
      <c r="L94" t="s">
        <v>65</v>
      </c>
      <c r="M94" t="s">
        <v>93</v>
      </c>
      <c r="N94">
        <v>12.25</v>
      </c>
      <c r="P94">
        <v>76.22</v>
      </c>
      <c r="Q94">
        <v>76.22</v>
      </c>
      <c r="R94">
        <v>0</v>
      </c>
      <c r="S94">
        <v>76.22</v>
      </c>
      <c r="T94">
        <v>57</v>
      </c>
      <c r="U94">
        <f>SUMIF(货件明细!J:J,E94,货件明细!AP:AP)</f>
        <v>0</v>
      </c>
      <c r="V94">
        <f>IF(U94=T94,0,1)</f>
        <v>1</v>
      </c>
      <c r="W94">
        <f>T94</f>
        <v>57</v>
      </c>
      <c r="X94">
        <f>SUMIF(货件明细!J:J,E94,货件明细!H:H)</f>
        <v>0</v>
      </c>
      <c r="Y94">
        <f>N94-X94</f>
        <v>12.25</v>
      </c>
      <c r="Z94">
        <f>SUMIF(货件明细!J:J,E94,货件明细!I:I)</f>
        <v>0</v>
      </c>
      <c r="AA94">
        <f>IF(S94=Z94,0,1)</f>
        <v>1</v>
      </c>
    </row>
    <row r="95" hidden="1" spans="1:27">
      <c r="A95">
        <v>1</v>
      </c>
      <c r="B95">
        <v>2</v>
      </c>
      <c r="C95" s="3">
        <v>46032</v>
      </c>
      <c r="D95" t="s">
        <v>27</v>
      </c>
      <c r="E95" t="s">
        <v>165</v>
      </c>
      <c r="F95" t="s">
        <v>71</v>
      </c>
      <c r="G95" t="s">
        <v>72</v>
      </c>
      <c r="H95" t="s">
        <v>51</v>
      </c>
      <c r="I95" t="s">
        <v>92</v>
      </c>
      <c r="J95" t="s">
        <v>92</v>
      </c>
      <c r="K95" t="s">
        <v>64</v>
      </c>
      <c r="L95" t="s">
        <v>65</v>
      </c>
      <c r="M95" t="s">
        <v>93</v>
      </c>
      <c r="N95">
        <v>12.25</v>
      </c>
      <c r="P95">
        <v>57.67</v>
      </c>
      <c r="Q95">
        <v>57.67</v>
      </c>
      <c r="R95">
        <v>0</v>
      </c>
      <c r="S95">
        <v>57.67</v>
      </c>
      <c r="T95">
        <v>57</v>
      </c>
      <c r="U95">
        <f>SUMIF(货件明细!J:J,E95,货件明细!AP:AP)</f>
        <v>0</v>
      </c>
      <c r="V95">
        <f>IF(U95=T95,0,1)</f>
        <v>1</v>
      </c>
      <c r="W95">
        <f>T95</f>
        <v>57</v>
      </c>
      <c r="X95">
        <f>SUMIF(货件明细!J:J,E95,货件明细!H:H)</f>
        <v>0</v>
      </c>
      <c r="Y95">
        <f>N95-X95</f>
        <v>12.25</v>
      </c>
      <c r="Z95">
        <f>SUMIF(货件明细!J:J,E95,货件明细!I:I)</f>
        <v>0</v>
      </c>
      <c r="AA95">
        <f>IF(S95=Z95,0,1)</f>
        <v>1</v>
      </c>
    </row>
    <row r="96" hidden="1" spans="1:27">
      <c r="A96">
        <v>1</v>
      </c>
      <c r="B96">
        <v>2</v>
      </c>
      <c r="C96" s="3">
        <v>46032</v>
      </c>
      <c r="D96" t="s">
        <v>27</v>
      </c>
      <c r="E96" t="s">
        <v>166</v>
      </c>
      <c r="F96" t="s">
        <v>141</v>
      </c>
      <c r="G96" t="s">
        <v>69</v>
      </c>
      <c r="H96" t="s">
        <v>51</v>
      </c>
      <c r="I96" t="s">
        <v>92</v>
      </c>
      <c r="J96" t="s">
        <v>92</v>
      </c>
      <c r="K96" t="s">
        <v>64</v>
      </c>
      <c r="L96" t="s">
        <v>65</v>
      </c>
      <c r="M96" t="s">
        <v>93</v>
      </c>
      <c r="N96">
        <v>12.25</v>
      </c>
      <c r="P96">
        <v>76.22</v>
      </c>
      <c r="Q96">
        <v>76.22</v>
      </c>
      <c r="R96">
        <v>0</v>
      </c>
      <c r="S96">
        <v>76.22</v>
      </c>
      <c r="T96">
        <v>57</v>
      </c>
      <c r="U96">
        <f>SUMIF(货件明细!J:J,E96,货件明细!AP:AP)</f>
        <v>0</v>
      </c>
      <c r="V96">
        <f>IF(U96=T96,0,1)</f>
        <v>1</v>
      </c>
      <c r="W96">
        <f>T96</f>
        <v>57</v>
      </c>
      <c r="X96">
        <f>SUMIF(货件明细!J:J,E96,货件明细!H:H)</f>
        <v>0</v>
      </c>
      <c r="Y96">
        <f>N96-X96</f>
        <v>12.25</v>
      </c>
      <c r="Z96">
        <f>SUMIF(货件明细!J:J,E96,货件明细!I:I)</f>
        <v>0</v>
      </c>
      <c r="AA96">
        <f>IF(S96=Z96,0,1)</f>
        <v>1</v>
      </c>
    </row>
    <row r="97" hidden="1" spans="1:27">
      <c r="A97">
        <v>1</v>
      </c>
      <c r="B97">
        <v>2</v>
      </c>
      <c r="C97" s="3">
        <v>46032</v>
      </c>
      <c r="D97" t="s">
        <v>27</v>
      </c>
      <c r="E97" t="s">
        <v>167</v>
      </c>
      <c r="F97" t="s">
        <v>143</v>
      </c>
      <c r="G97" t="s">
        <v>72</v>
      </c>
      <c r="H97" t="s">
        <v>51</v>
      </c>
      <c r="I97" t="s">
        <v>92</v>
      </c>
      <c r="J97" t="s">
        <v>92</v>
      </c>
      <c r="K97" t="s">
        <v>64</v>
      </c>
      <c r="L97" t="s">
        <v>65</v>
      </c>
      <c r="M97" t="s">
        <v>93</v>
      </c>
      <c r="N97">
        <v>12.25</v>
      </c>
      <c r="P97">
        <v>56.75</v>
      </c>
      <c r="Q97">
        <v>56.75</v>
      </c>
      <c r="R97">
        <v>0</v>
      </c>
      <c r="S97">
        <v>56.75</v>
      </c>
      <c r="T97">
        <v>57</v>
      </c>
      <c r="U97">
        <f>SUMIF(货件明细!J:J,E97,货件明细!AP:AP)</f>
        <v>0</v>
      </c>
      <c r="V97">
        <f>IF(U97=T97,0,1)</f>
        <v>1</v>
      </c>
      <c r="W97">
        <f>T97</f>
        <v>57</v>
      </c>
      <c r="X97">
        <f>SUMIF(货件明细!J:J,E97,货件明细!H:H)</f>
        <v>0</v>
      </c>
      <c r="Y97">
        <f>N97-X97</f>
        <v>12.25</v>
      </c>
      <c r="Z97">
        <f>SUMIF(货件明细!J:J,E97,货件明细!I:I)</f>
        <v>0</v>
      </c>
      <c r="AA97">
        <f>IF(S97=Z97,0,1)</f>
        <v>1</v>
      </c>
    </row>
    <row r="98" hidden="1" spans="1:27">
      <c r="A98">
        <v>1</v>
      </c>
      <c r="B98">
        <v>2</v>
      </c>
      <c r="C98" s="3">
        <v>46032</v>
      </c>
      <c r="D98" t="s">
        <v>27</v>
      </c>
      <c r="E98" t="s">
        <v>168</v>
      </c>
      <c r="F98" t="s">
        <v>145</v>
      </c>
      <c r="G98" t="s">
        <v>30</v>
      </c>
      <c r="H98" t="s">
        <v>51</v>
      </c>
      <c r="I98" t="s">
        <v>92</v>
      </c>
      <c r="J98" t="s">
        <v>146</v>
      </c>
      <c r="K98" t="s">
        <v>64</v>
      </c>
      <c r="L98" t="s">
        <v>147</v>
      </c>
      <c r="M98" t="s">
        <v>148</v>
      </c>
      <c r="N98">
        <v>12.25</v>
      </c>
      <c r="P98">
        <v>92.5</v>
      </c>
      <c r="Q98">
        <v>92.5</v>
      </c>
      <c r="R98">
        <v>0</v>
      </c>
      <c r="S98">
        <v>92.5</v>
      </c>
      <c r="T98">
        <v>57</v>
      </c>
      <c r="U98">
        <f>SUMIF(货件明细!J:J,E98,货件明细!AP:AP)</f>
        <v>0</v>
      </c>
      <c r="V98">
        <f>IF(U98=T98,0,1)</f>
        <v>1</v>
      </c>
      <c r="W98">
        <f>T98</f>
        <v>57</v>
      </c>
      <c r="X98">
        <f>SUMIF(货件明细!J:J,E98,货件明细!H:H)</f>
        <v>0</v>
      </c>
      <c r="Y98">
        <f>N98-X98</f>
        <v>12.25</v>
      </c>
      <c r="Z98">
        <f>SUMIF(货件明细!J:J,E98,货件明细!I:I)</f>
        <v>0</v>
      </c>
      <c r="AA98">
        <f>IF(S98=Z98,0,1)</f>
        <v>1</v>
      </c>
    </row>
    <row r="99" hidden="1" spans="1:27">
      <c r="A99">
        <v>1</v>
      </c>
      <c r="B99">
        <v>2</v>
      </c>
      <c r="C99" s="3">
        <v>46032</v>
      </c>
      <c r="D99" t="s">
        <v>27</v>
      </c>
      <c r="E99" t="s">
        <v>169</v>
      </c>
      <c r="F99" t="s">
        <v>138</v>
      </c>
      <c r="G99" t="s">
        <v>69</v>
      </c>
      <c r="H99" t="s">
        <v>39</v>
      </c>
      <c r="I99" t="s">
        <v>92</v>
      </c>
      <c r="J99" t="s">
        <v>92</v>
      </c>
      <c r="K99" t="s">
        <v>64</v>
      </c>
      <c r="L99" t="s">
        <v>65</v>
      </c>
      <c r="M99" t="s">
        <v>93</v>
      </c>
      <c r="N99">
        <v>8.4</v>
      </c>
      <c r="P99">
        <v>76.22</v>
      </c>
      <c r="Q99">
        <v>76.22</v>
      </c>
      <c r="R99">
        <v>0</v>
      </c>
      <c r="S99">
        <v>76.22</v>
      </c>
      <c r="T99">
        <v>64</v>
      </c>
      <c r="U99">
        <f>SUMIF(货件明细!J:J,E99,货件明细!AP:AP)</f>
        <v>0</v>
      </c>
      <c r="V99">
        <f>IF(U99=T99,0,1)</f>
        <v>1</v>
      </c>
      <c r="W99">
        <f>T99</f>
        <v>64</v>
      </c>
      <c r="X99">
        <f>SUMIF(货件明细!J:J,E99,货件明细!H:H)</f>
        <v>0</v>
      </c>
      <c r="Y99">
        <f>N99-X99</f>
        <v>8.4</v>
      </c>
      <c r="Z99">
        <f>SUMIF(货件明细!J:J,E99,货件明细!I:I)</f>
        <v>0</v>
      </c>
      <c r="AA99">
        <f>IF(S99=Z99,0,1)</f>
        <v>1</v>
      </c>
    </row>
    <row r="100" hidden="1" spans="1:27">
      <c r="A100">
        <v>1</v>
      </c>
      <c r="B100">
        <v>2</v>
      </c>
      <c r="C100" s="3">
        <v>46032</v>
      </c>
      <c r="D100" t="s">
        <v>27</v>
      </c>
      <c r="E100" t="s">
        <v>170</v>
      </c>
      <c r="F100" t="s">
        <v>71</v>
      </c>
      <c r="G100" t="s">
        <v>72</v>
      </c>
      <c r="H100" t="s">
        <v>39</v>
      </c>
      <c r="I100" t="s">
        <v>92</v>
      </c>
      <c r="J100" t="s">
        <v>92</v>
      </c>
      <c r="K100" t="s">
        <v>64</v>
      </c>
      <c r="L100" t="s">
        <v>65</v>
      </c>
      <c r="M100" t="s">
        <v>93</v>
      </c>
      <c r="N100">
        <v>8.4</v>
      </c>
      <c r="P100">
        <v>57.67</v>
      </c>
      <c r="Q100">
        <v>57.67</v>
      </c>
      <c r="R100">
        <v>0</v>
      </c>
      <c r="S100">
        <v>57.67</v>
      </c>
      <c r="T100">
        <v>64</v>
      </c>
      <c r="U100">
        <f>SUMIF(货件明细!J:J,E100,货件明细!AP:AP)</f>
        <v>0</v>
      </c>
      <c r="V100">
        <f>IF(U100=T100,0,1)</f>
        <v>1</v>
      </c>
      <c r="W100">
        <f>T100</f>
        <v>64</v>
      </c>
      <c r="X100">
        <f>SUMIF(货件明细!J:J,E100,货件明细!H:H)</f>
        <v>0</v>
      </c>
      <c r="Y100">
        <f>N100-X100</f>
        <v>8.4</v>
      </c>
      <c r="Z100">
        <f>SUMIF(货件明细!J:J,E100,货件明细!I:I)</f>
        <v>0</v>
      </c>
      <c r="AA100">
        <f>IF(S100=Z100,0,1)</f>
        <v>1</v>
      </c>
    </row>
    <row r="101" hidden="1" spans="1:27">
      <c r="A101">
        <v>1</v>
      </c>
      <c r="B101">
        <v>2</v>
      </c>
      <c r="C101" s="3">
        <v>46032</v>
      </c>
      <c r="D101" t="s">
        <v>27</v>
      </c>
      <c r="E101" t="s">
        <v>171</v>
      </c>
      <c r="F101" t="s">
        <v>141</v>
      </c>
      <c r="G101" t="s">
        <v>69</v>
      </c>
      <c r="H101" t="s">
        <v>39</v>
      </c>
      <c r="I101" t="s">
        <v>92</v>
      </c>
      <c r="J101" t="s">
        <v>92</v>
      </c>
      <c r="K101" t="s">
        <v>64</v>
      </c>
      <c r="L101" t="s">
        <v>65</v>
      </c>
      <c r="M101" t="s">
        <v>93</v>
      </c>
      <c r="N101">
        <v>8.4</v>
      </c>
      <c r="P101">
        <v>76.22</v>
      </c>
      <c r="Q101">
        <v>76.22</v>
      </c>
      <c r="R101">
        <v>0</v>
      </c>
      <c r="S101">
        <v>76.22</v>
      </c>
      <c r="T101">
        <v>64</v>
      </c>
      <c r="U101">
        <f>SUMIF(货件明细!J:J,E101,货件明细!AP:AP)</f>
        <v>0</v>
      </c>
      <c r="V101">
        <f>IF(U101=T101,0,1)</f>
        <v>1</v>
      </c>
      <c r="W101">
        <f>T101</f>
        <v>64</v>
      </c>
      <c r="X101">
        <f>SUMIF(货件明细!J:J,E101,货件明细!H:H)</f>
        <v>0</v>
      </c>
      <c r="Y101">
        <f>N101-X101</f>
        <v>8.4</v>
      </c>
      <c r="Z101">
        <f>SUMIF(货件明细!J:J,E101,货件明细!I:I)</f>
        <v>0</v>
      </c>
      <c r="AA101">
        <f>IF(S101=Z101,0,1)</f>
        <v>1</v>
      </c>
    </row>
    <row r="102" hidden="1" spans="1:27">
      <c r="A102">
        <v>1</v>
      </c>
      <c r="B102">
        <v>2</v>
      </c>
      <c r="C102" s="3">
        <v>46032</v>
      </c>
      <c r="D102" t="s">
        <v>27</v>
      </c>
      <c r="E102" t="s">
        <v>172</v>
      </c>
      <c r="F102" t="s">
        <v>143</v>
      </c>
      <c r="G102" t="s">
        <v>72</v>
      </c>
      <c r="H102" t="s">
        <v>39</v>
      </c>
      <c r="I102" t="s">
        <v>92</v>
      </c>
      <c r="J102" t="s">
        <v>92</v>
      </c>
      <c r="K102" t="s">
        <v>64</v>
      </c>
      <c r="L102" t="s">
        <v>65</v>
      </c>
      <c r="M102" t="s">
        <v>93</v>
      </c>
      <c r="N102">
        <v>8.4</v>
      </c>
      <c r="P102">
        <v>56.75</v>
      </c>
      <c r="Q102">
        <v>56.75</v>
      </c>
      <c r="R102">
        <v>0</v>
      </c>
      <c r="S102">
        <v>56.75</v>
      </c>
      <c r="T102">
        <v>64</v>
      </c>
      <c r="U102">
        <f>SUMIF(货件明细!J:J,E102,货件明细!AP:AP)</f>
        <v>0</v>
      </c>
      <c r="V102">
        <f>IF(U102=T102,0,1)</f>
        <v>1</v>
      </c>
      <c r="W102">
        <f>T102</f>
        <v>64</v>
      </c>
      <c r="X102">
        <f>SUMIF(货件明细!J:J,E102,货件明细!H:H)</f>
        <v>0</v>
      </c>
      <c r="Y102">
        <f>N102-X102</f>
        <v>8.4</v>
      </c>
      <c r="Z102">
        <f>SUMIF(货件明细!J:J,E102,货件明细!I:I)</f>
        <v>0</v>
      </c>
      <c r="AA102">
        <f>IF(S102=Z102,0,1)</f>
        <v>1</v>
      </c>
    </row>
    <row r="103" hidden="1" spans="1:27">
      <c r="A103">
        <v>1</v>
      </c>
      <c r="B103">
        <v>2</v>
      </c>
      <c r="C103" s="3">
        <v>46032</v>
      </c>
      <c r="D103" t="s">
        <v>27</v>
      </c>
      <c r="E103" t="s">
        <v>173</v>
      </c>
      <c r="F103" t="s">
        <v>145</v>
      </c>
      <c r="G103" t="s">
        <v>30</v>
      </c>
      <c r="H103" t="s">
        <v>39</v>
      </c>
      <c r="I103" t="s">
        <v>92</v>
      </c>
      <c r="J103" t="s">
        <v>146</v>
      </c>
      <c r="K103" t="s">
        <v>64</v>
      </c>
      <c r="L103" t="s">
        <v>147</v>
      </c>
      <c r="M103" t="s">
        <v>148</v>
      </c>
      <c r="N103">
        <v>8.4</v>
      </c>
      <c r="P103">
        <v>92.5</v>
      </c>
      <c r="Q103">
        <v>92.5</v>
      </c>
      <c r="R103">
        <v>0</v>
      </c>
      <c r="S103">
        <v>92.5</v>
      </c>
      <c r="T103">
        <v>64</v>
      </c>
      <c r="U103">
        <f>SUMIF(货件明细!J:J,E103,货件明细!AP:AP)</f>
        <v>0</v>
      </c>
      <c r="V103">
        <f>IF(U103=T103,0,1)</f>
        <v>1</v>
      </c>
      <c r="W103">
        <f>T103</f>
        <v>64</v>
      </c>
      <c r="X103">
        <f>SUMIF(货件明细!J:J,E103,货件明细!H:H)</f>
        <v>0</v>
      </c>
      <c r="Y103">
        <f>N103-X103</f>
        <v>8.4</v>
      </c>
      <c r="Z103">
        <f>SUMIF(货件明细!J:J,E103,货件明细!I:I)</f>
        <v>0</v>
      </c>
      <c r="AA103">
        <f>IF(S103=Z103,0,1)</f>
        <v>1</v>
      </c>
    </row>
    <row r="104" hidden="1" spans="1:27">
      <c r="A104">
        <v>1</v>
      </c>
      <c r="B104">
        <v>2</v>
      </c>
      <c r="C104" s="3">
        <v>46032</v>
      </c>
      <c r="D104" t="s">
        <v>27</v>
      </c>
      <c r="E104" t="s">
        <v>174</v>
      </c>
      <c r="F104" t="s">
        <v>138</v>
      </c>
      <c r="G104" t="s">
        <v>69</v>
      </c>
      <c r="H104" t="s">
        <v>78</v>
      </c>
      <c r="I104" t="s">
        <v>92</v>
      </c>
      <c r="J104" t="s">
        <v>92</v>
      </c>
      <c r="K104" t="s">
        <v>64</v>
      </c>
      <c r="L104" t="s">
        <v>65</v>
      </c>
      <c r="M104" t="s">
        <v>93</v>
      </c>
      <c r="N104">
        <v>25.9</v>
      </c>
      <c r="P104">
        <v>152.44</v>
      </c>
      <c r="Q104">
        <v>152.44</v>
      </c>
      <c r="R104">
        <v>0</v>
      </c>
      <c r="S104">
        <v>152.44</v>
      </c>
      <c r="T104">
        <v>191</v>
      </c>
      <c r="U104">
        <f>SUMIF(货件明细!J:J,E104,货件明细!AP:AP)</f>
        <v>0</v>
      </c>
      <c r="V104">
        <f>IF(U104=T104,0,1)</f>
        <v>1</v>
      </c>
      <c r="W104">
        <f>T104</f>
        <v>191</v>
      </c>
      <c r="X104">
        <f>SUMIF(货件明细!J:J,E104,货件明细!H:H)</f>
        <v>0</v>
      </c>
      <c r="Y104">
        <f>N104-X104</f>
        <v>25.9</v>
      </c>
      <c r="Z104">
        <f>SUMIF(货件明细!J:J,E104,货件明细!I:I)</f>
        <v>0</v>
      </c>
      <c r="AA104">
        <f>IF(S104=Z104,0,1)</f>
        <v>1</v>
      </c>
    </row>
    <row r="105" hidden="1" spans="1:27">
      <c r="A105">
        <v>1</v>
      </c>
      <c r="B105">
        <v>2</v>
      </c>
      <c r="C105" s="3">
        <v>46032</v>
      </c>
      <c r="D105" t="s">
        <v>27</v>
      </c>
      <c r="E105" t="s">
        <v>175</v>
      </c>
      <c r="F105" t="s">
        <v>71</v>
      </c>
      <c r="G105" t="s">
        <v>72</v>
      </c>
      <c r="H105" t="s">
        <v>78</v>
      </c>
      <c r="I105" t="s">
        <v>92</v>
      </c>
      <c r="J105" t="s">
        <v>92</v>
      </c>
      <c r="K105" t="s">
        <v>64</v>
      </c>
      <c r="L105" t="s">
        <v>65</v>
      </c>
      <c r="M105" t="s">
        <v>93</v>
      </c>
      <c r="N105">
        <v>25.9</v>
      </c>
      <c r="P105">
        <v>115.34</v>
      </c>
      <c r="Q105">
        <v>115.34</v>
      </c>
      <c r="R105">
        <v>0</v>
      </c>
      <c r="S105">
        <v>115.34</v>
      </c>
      <c r="T105">
        <v>191</v>
      </c>
      <c r="U105">
        <f>SUMIF(货件明细!J:J,E105,货件明细!AP:AP)</f>
        <v>0</v>
      </c>
      <c r="V105">
        <f>IF(U105=T105,0,1)</f>
        <v>1</v>
      </c>
      <c r="W105">
        <f>T105</f>
        <v>191</v>
      </c>
      <c r="X105">
        <f>SUMIF(货件明细!J:J,E105,货件明细!H:H)</f>
        <v>0</v>
      </c>
      <c r="Y105">
        <f>N105-X105</f>
        <v>25.9</v>
      </c>
      <c r="Z105">
        <f>SUMIF(货件明细!J:J,E105,货件明细!I:I)</f>
        <v>0</v>
      </c>
      <c r="AA105">
        <f>IF(S105=Z105,0,1)</f>
        <v>1</v>
      </c>
    </row>
    <row r="106" hidden="1" spans="1:27">
      <c r="A106">
        <v>1</v>
      </c>
      <c r="B106">
        <v>2</v>
      </c>
      <c r="C106" s="3">
        <v>46032</v>
      </c>
      <c r="D106" t="s">
        <v>27</v>
      </c>
      <c r="E106" t="s">
        <v>176</v>
      </c>
      <c r="F106" t="s">
        <v>141</v>
      </c>
      <c r="G106" t="s">
        <v>69</v>
      </c>
      <c r="H106" t="s">
        <v>78</v>
      </c>
      <c r="I106" t="s">
        <v>92</v>
      </c>
      <c r="J106" t="s">
        <v>92</v>
      </c>
      <c r="K106" t="s">
        <v>64</v>
      </c>
      <c r="L106" t="s">
        <v>65</v>
      </c>
      <c r="M106" t="s">
        <v>93</v>
      </c>
      <c r="N106">
        <v>25.9</v>
      </c>
      <c r="P106">
        <v>152.44</v>
      </c>
      <c r="Q106">
        <v>152.44</v>
      </c>
      <c r="R106">
        <v>0</v>
      </c>
      <c r="S106">
        <v>152.44</v>
      </c>
      <c r="T106">
        <v>191</v>
      </c>
      <c r="U106">
        <f>SUMIF(货件明细!J:J,E106,货件明细!AP:AP)</f>
        <v>0</v>
      </c>
      <c r="V106">
        <f>IF(U106=T106,0,1)</f>
        <v>1</v>
      </c>
      <c r="W106">
        <f>T106</f>
        <v>191</v>
      </c>
      <c r="X106">
        <f>SUMIF(货件明细!J:J,E106,货件明细!H:H)</f>
        <v>0</v>
      </c>
      <c r="Y106">
        <f>N106-X106</f>
        <v>25.9</v>
      </c>
      <c r="Z106">
        <f>SUMIF(货件明细!J:J,E106,货件明细!I:I)</f>
        <v>0</v>
      </c>
      <c r="AA106">
        <f>IF(S106=Z106,0,1)</f>
        <v>1</v>
      </c>
    </row>
    <row r="107" hidden="1" spans="1:27">
      <c r="A107">
        <v>1</v>
      </c>
      <c r="B107">
        <v>2</v>
      </c>
      <c r="C107" s="3">
        <v>46032</v>
      </c>
      <c r="D107" t="s">
        <v>27</v>
      </c>
      <c r="E107" t="s">
        <v>177</v>
      </c>
      <c r="F107" t="s">
        <v>143</v>
      </c>
      <c r="G107" t="s">
        <v>72</v>
      </c>
      <c r="H107" t="s">
        <v>78</v>
      </c>
      <c r="I107" t="s">
        <v>92</v>
      </c>
      <c r="J107" t="s">
        <v>92</v>
      </c>
      <c r="K107" t="s">
        <v>64</v>
      </c>
      <c r="L107" t="s">
        <v>65</v>
      </c>
      <c r="M107" t="s">
        <v>93</v>
      </c>
      <c r="N107">
        <v>25.9</v>
      </c>
      <c r="P107">
        <v>113.5</v>
      </c>
      <c r="Q107">
        <v>113.5</v>
      </c>
      <c r="R107">
        <v>0</v>
      </c>
      <c r="S107">
        <v>113.5</v>
      </c>
      <c r="T107">
        <v>191</v>
      </c>
      <c r="U107">
        <f>SUMIF(货件明细!J:J,E107,货件明细!AP:AP)</f>
        <v>0</v>
      </c>
      <c r="V107">
        <f>IF(U107=T107,0,1)</f>
        <v>1</v>
      </c>
      <c r="W107">
        <f>T107</f>
        <v>191</v>
      </c>
      <c r="X107">
        <f>SUMIF(货件明细!J:J,E107,货件明细!H:H)</f>
        <v>0</v>
      </c>
      <c r="Y107">
        <f>N107-X107</f>
        <v>25.9</v>
      </c>
      <c r="Z107">
        <f>SUMIF(货件明细!J:J,E107,货件明细!I:I)</f>
        <v>0</v>
      </c>
      <c r="AA107">
        <f>IF(S107=Z107,0,1)</f>
        <v>1</v>
      </c>
    </row>
    <row r="108" hidden="1" spans="1:27">
      <c r="A108">
        <v>1</v>
      </c>
      <c r="B108">
        <v>2</v>
      </c>
      <c r="C108" s="3">
        <v>46032</v>
      </c>
      <c r="D108" t="s">
        <v>27</v>
      </c>
      <c r="E108" t="s">
        <v>178</v>
      </c>
      <c r="F108" t="s">
        <v>145</v>
      </c>
      <c r="G108" t="s">
        <v>30</v>
      </c>
      <c r="H108" t="s">
        <v>78</v>
      </c>
      <c r="I108" t="s">
        <v>92</v>
      </c>
      <c r="J108" t="s">
        <v>146</v>
      </c>
      <c r="K108" t="s">
        <v>64</v>
      </c>
      <c r="L108" t="s">
        <v>147</v>
      </c>
      <c r="M108" t="s">
        <v>148</v>
      </c>
      <c r="N108">
        <v>25.9</v>
      </c>
      <c r="P108">
        <v>185</v>
      </c>
      <c r="Q108">
        <v>185</v>
      </c>
      <c r="R108">
        <v>0</v>
      </c>
      <c r="S108">
        <v>185</v>
      </c>
      <c r="T108">
        <v>191</v>
      </c>
      <c r="U108">
        <f>SUMIF(货件明细!J:J,E108,货件明细!AP:AP)</f>
        <v>0</v>
      </c>
      <c r="V108">
        <f>IF(U108=T108,0,1)</f>
        <v>1</v>
      </c>
      <c r="W108">
        <f>T108</f>
        <v>191</v>
      </c>
      <c r="X108">
        <f>SUMIF(货件明细!J:J,E108,货件明细!H:H)</f>
        <v>0</v>
      </c>
      <c r="Y108">
        <f>N108-X108</f>
        <v>25.9</v>
      </c>
      <c r="Z108">
        <f>SUMIF(货件明细!J:J,E108,货件明细!I:I)</f>
        <v>0</v>
      </c>
      <c r="AA108">
        <f>IF(S108=Z108,0,1)</f>
        <v>1</v>
      </c>
    </row>
    <row r="109" hidden="1" spans="1:27">
      <c r="A109">
        <v>1</v>
      </c>
      <c r="B109">
        <v>2</v>
      </c>
      <c r="C109" s="3">
        <v>46032</v>
      </c>
      <c r="D109" t="s">
        <v>27</v>
      </c>
      <c r="E109" t="s">
        <v>179</v>
      </c>
      <c r="F109" t="s">
        <v>138</v>
      </c>
      <c r="G109" t="s">
        <v>69</v>
      </c>
      <c r="H109" t="s">
        <v>31</v>
      </c>
      <c r="I109" t="s">
        <v>92</v>
      </c>
      <c r="J109" t="s">
        <v>92</v>
      </c>
      <c r="K109" t="s">
        <v>64</v>
      </c>
      <c r="L109" t="s">
        <v>65</v>
      </c>
      <c r="M109" t="s">
        <v>93</v>
      </c>
      <c r="N109">
        <v>36.3</v>
      </c>
      <c r="P109">
        <v>228.66</v>
      </c>
      <c r="Q109">
        <v>228.66</v>
      </c>
      <c r="R109">
        <v>0</v>
      </c>
      <c r="S109">
        <v>228.66</v>
      </c>
      <c r="T109">
        <v>164</v>
      </c>
      <c r="U109">
        <f>SUMIF(货件明细!J:J,E109,货件明细!AP:AP)</f>
        <v>0</v>
      </c>
      <c r="V109">
        <f>IF(U109=T109,0,1)</f>
        <v>1</v>
      </c>
      <c r="W109">
        <f>T109</f>
        <v>164</v>
      </c>
      <c r="X109">
        <f>SUMIF(货件明细!J:J,E109,货件明细!H:H)</f>
        <v>0</v>
      </c>
      <c r="Y109">
        <f>N109-X109</f>
        <v>36.3</v>
      </c>
      <c r="Z109">
        <f>SUMIF(货件明细!J:J,E109,货件明细!I:I)</f>
        <v>0</v>
      </c>
      <c r="AA109">
        <f>IF(S109=Z109,0,1)</f>
        <v>1</v>
      </c>
    </row>
    <row r="110" hidden="1" spans="1:27">
      <c r="A110">
        <v>1</v>
      </c>
      <c r="B110">
        <v>2</v>
      </c>
      <c r="C110" s="3">
        <v>46032</v>
      </c>
      <c r="D110" t="s">
        <v>27</v>
      </c>
      <c r="E110" t="s">
        <v>180</v>
      </c>
      <c r="F110" t="s">
        <v>71</v>
      </c>
      <c r="G110" t="s">
        <v>72</v>
      </c>
      <c r="H110" t="s">
        <v>31</v>
      </c>
      <c r="I110" t="s">
        <v>92</v>
      </c>
      <c r="J110" t="s">
        <v>92</v>
      </c>
      <c r="K110" t="s">
        <v>64</v>
      </c>
      <c r="L110" t="s">
        <v>65</v>
      </c>
      <c r="M110" t="s">
        <v>93</v>
      </c>
      <c r="N110">
        <v>36.3</v>
      </c>
      <c r="P110">
        <v>173.01</v>
      </c>
      <c r="Q110">
        <v>173.01</v>
      </c>
      <c r="R110">
        <v>0</v>
      </c>
      <c r="S110">
        <v>173.01</v>
      </c>
      <c r="T110">
        <v>164</v>
      </c>
      <c r="U110">
        <f>SUMIF(货件明细!J:J,E110,货件明细!AP:AP)</f>
        <v>0</v>
      </c>
      <c r="V110">
        <f>IF(U110=T110,0,1)</f>
        <v>1</v>
      </c>
      <c r="W110">
        <f>T110</f>
        <v>164</v>
      </c>
      <c r="X110">
        <f>SUMIF(货件明细!J:J,E110,货件明细!H:H)</f>
        <v>0</v>
      </c>
      <c r="Y110">
        <f>N110-X110</f>
        <v>36.3</v>
      </c>
      <c r="Z110">
        <f>SUMIF(货件明细!J:J,E110,货件明细!I:I)</f>
        <v>0</v>
      </c>
      <c r="AA110">
        <f>IF(S110=Z110,0,1)</f>
        <v>1</v>
      </c>
    </row>
    <row r="111" hidden="1" spans="1:27">
      <c r="A111">
        <v>1</v>
      </c>
      <c r="B111">
        <v>2</v>
      </c>
      <c r="C111" s="3">
        <v>46032</v>
      </c>
      <c r="D111" t="s">
        <v>27</v>
      </c>
      <c r="E111" t="s">
        <v>181</v>
      </c>
      <c r="F111" t="s">
        <v>141</v>
      </c>
      <c r="G111" t="s">
        <v>69</v>
      </c>
      <c r="H111" t="s">
        <v>31</v>
      </c>
      <c r="I111" t="s">
        <v>92</v>
      </c>
      <c r="J111" t="s">
        <v>92</v>
      </c>
      <c r="K111" t="s">
        <v>64</v>
      </c>
      <c r="L111" t="s">
        <v>65</v>
      </c>
      <c r="M111" t="s">
        <v>93</v>
      </c>
      <c r="N111">
        <v>36.3</v>
      </c>
      <c r="P111">
        <v>228.66</v>
      </c>
      <c r="Q111">
        <v>228.66</v>
      </c>
      <c r="R111">
        <v>0</v>
      </c>
      <c r="S111">
        <v>228.66</v>
      </c>
      <c r="T111">
        <v>164</v>
      </c>
      <c r="U111">
        <f>SUMIF(货件明细!J:J,E111,货件明细!AP:AP)</f>
        <v>0</v>
      </c>
      <c r="V111">
        <f>IF(U111=T111,0,1)</f>
        <v>1</v>
      </c>
      <c r="W111">
        <f>T111</f>
        <v>164</v>
      </c>
      <c r="X111">
        <f>SUMIF(货件明细!J:J,E111,货件明细!H:H)</f>
        <v>0</v>
      </c>
      <c r="Y111">
        <f>N111-X111</f>
        <v>36.3</v>
      </c>
      <c r="Z111">
        <f>SUMIF(货件明细!J:J,E111,货件明细!I:I)</f>
        <v>0</v>
      </c>
      <c r="AA111">
        <f>IF(S111=Z111,0,1)</f>
        <v>1</v>
      </c>
    </row>
    <row r="112" hidden="1" spans="1:27">
      <c r="A112">
        <v>1</v>
      </c>
      <c r="B112">
        <v>2</v>
      </c>
      <c r="C112" s="3">
        <v>46032</v>
      </c>
      <c r="D112" t="s">
        <v>27</v>
      </c>
      <c r="E112" t="s">
        <v>182</v>
      </c>
      <c r="F112" t="s">
        <v>143</v>
      </c>
      <c r="G112" t="s">
        <v>72</v>
      </c>
      <c r="H112" t="s">
        <v>31</v>
      </c>
      <c r="I112" t="s">
        <v>92</v>
      </c>
      <c r="J112" t="s">
        <v>92</v>
      </c>
      <c r="K112" t="s">
        <v>64</v>
      </c>
      <c r="L112" t="s">
        <v>65</v>
      </c>
      <c r="M112" t="s">
        <v>93</v>
      </c>
      <c r="N112">
        <v>36.3</v>
      </c>
      <c r="P112">
        <v>170.25</v>
      </c>
      <c r="Q112">
        <v>170.25</v>
      </c>
      <c r="R112">
        <v>0</v>
      </c>
      <c r="S112">
        <v>170.25</v>
      </c>
      <c r="T112">
        <v>164</v>
      </c>
      <c r="U112">
        <f>SUMIF(货件明细!J:J,E112,货件明细!AP:AP)</f>
        <v>0</v>
      </c>
      <c r="V112">
        <f>IF(U112=T112,0,1)</f>
        <v>1</v>
      </c>
      <c r="W112">
        <f>T112</f>
        <v>164</v>
      </c>
      <c r="X112">
        <f>SUMIF(货件明细!J:J,E112,货件明细!H:H)</f>
        <v>0</v>
      </c>
      <c r="Y112">
        <f>N112-X112</f>
        <v>36.3</v>
      </c>
      <c r="Z112">
        <f>SUMIF(货件明细!J:J,E112,货件明细!I:I)</f>
        <v>0</v>
      </c>
      <c r="AA112">
        <f>IF(S112=Z112,0,1)</f>
        <v>1</v>
      </c>
    </row>
    <row r="113" hidden="1" spans="1:27">
      <c r="A113">
        <v>1</v>
      </c>
      <c r="B113">
        <v>2</v>
      </c>
      <c r="C113" s="3">
        <v>46032</v>
      </c>
      <c r="D113" t="s">
        <v>27</v>
      </c>
      <c r="E113" t="s">
        <v>183</v>
      </c>
      <c r="F113" t="s">
        <v>145</v>
      </c>
      <c r="G113" t="s">
        <v>30</v>
      </c>
      <c r="H113" t="s">
        <v>31</v>
      </c>
      <c r="I113" t="s">
        <v>92</v>
      </c>
      <c r="J113" t="s">
        <v>146</v>
      </c>
      <c r="K113" t="s">
        <v>64</v>
      </c>
      <c r="L113" t="s">
        <v>147</v>
      </c>
      <c r="M113" t="s">
        <v>148</v>
      </c>
      <c r="N113">
        <v>36.3</v>
      </c>
      <c r="P113">
        <v>277.5</v>
      </c>
      <c r="Q113">
        <v>277.5</v>
      </c>
      <c r="R113">
        <v>0</v>
      </c>
      <c r="S113">
        <v>277.5</v>
      </c>
      <c r="T113">
        <v>164</v>
      </c>
      <c r="U113">
        <f>SUMIF(货件明细!J:J,E113,货件明细!AP:AP)</f>
        <v>0</v>
      </c>
      <c r="V113">
        <f>IF(U113=T113,0,1)</f>
        <v>1</v>
      </c>
      <c r="W113">
        <f>T113</f>
        <v>164</v>
      </c>
      <c r="X113">
        <f>SUMIF(货件明细!J:J,E113,货件明细!H:H)</f>
        <v>0</v>
      </c>
      <c r="Y113">
        <f>N113-X113</f>
        <v>36.3</v>
      </c>
      <c r="Z113">
        <f>SUMIF(货件明细!J:J,E113,货件明细!I:I)</f>
        <v>0</v>
      </c>
      <c r="AA113">
        <f>IF(S113=Z113,0,1)</f>
        <v>1</v>
      </c>
    </row>
    <row r="114" hidden="1" spans="1:27">
      <c r="A114">
        <v>1</v>
      </c>
      <c r="B114">
        <v>2</v>
      </c>
      <c r="C114" s="3">
        <v>46032</v>
      </c>
      <c r="D114" t="s">
        <v>27</v>
      </c>
      <c r="E114" t="s">
        <v>184</v>
      </c>
      <c r="F114" t="s">
        <v>185</v>
      </c>
      <c r="G114" t="s">
        <v>30</v>
      </c>
      <c r="H114" t="s">
        <v>46</v>
      </c>
      <c r="I114" t="s">
        <v>92</v>
      </c>
      <c r="J114" t="s">
        <v>146</v>
      </c>
      <c r="K114" t="s">
        <v>64</v>
      </c>
      <c r="L114" t="s">
        <v>147</v>
      </c>
      <c r="M114" t="s">
        <v>148</v>
      </c>
      <c r="N114">
        <v>9.3</v>
      </c>
      <c r="P114">
        <v>80.5</v>
      </c>
      <c r="Q114">
        <v>80.5</v>
      </c>
      <c r="R114">
        <v>0</v>
      </c>
      <c r="S114">
        <v>80.5</v>
      </c>
      <c r="T114">
        <v>25</v>
      </c>
      <c r="U114">
        <f>SUMIF(货件明细!J:J,E114,货件明细!AP:AP)</f>
        <v>0</v>
      </c>
      <c r="V114">
        <f>IF(U114=T114,0,1)</f>
        <v>1</v>
      </c>
      <c r="W114">
        <f>T114</f>
        <v>25</v>
      </c>
      <c r="X114">
        <f>SUMIF(货件明细!J:J,E114,货件明细!H:H)</f>
        <v>0</v>
      </c>
      <c r="Y114">
        <f>N114-X114</f>
        <v>9.3</v>
      </c>
      <c r="Z114">
        <f>SUMIF(货件明细!J:J,E114,货件明细!I:I)</f>
        <v>0</v>
      </c>
      <c r="AA114">
        <f>IF(S114=Z114,0,1)</f>
        <v>1</v>
      </c>
    </row>
    <row r="115" hidden="1" spans="1:27">
      <c r="A115">
        <v>1</v>
      </c>
      <c r="B115">
        <v>2</v>
      </c>
      <c r="C115" s="3">
        <v>46032</v>
      </c>
      <c r="D115" t="s">
        <v>27</v>
      </c>
      <c r="E115" t="s">
        <v>186</v>
      </c>
      <c r="F115" t="s">
        <v>187</v>
      </c>
      <c r="G115" t="s">
        <v>72</v>
      </c>
      <c r="H115" t="s">
        <v>46</v>
      </c>
      <c r="I115" t="s">
        <v>92</v>
      </c>
      <c r="J115" t="s">
        <v>92</v>
      </c>
      <c r="K115" t="s">
        <v>64</v>
      </c>
      <c r="L115" t="s">
        <v>65</v>
      </c>
      <c r="M115" t="s">
        <v>188</v>
      </c>
      <c r="N115">
        <v>9.3</v>
      </c>
      <c r="P115">
        <v>53.4</v>
      </c>
      <c r="Q115">
        <v>53.4</v>
      </c>
      <c r="R115">
        <v>0</v>
      </c>
      <c r="S115">
        <v>53.4</v>
      </c>
      <c r="T115">
        <v>25</v>
      </c>
      <c r="U115">
        <f>SUMIF(货件明细!J:J,E115,货件明细!AP:AP)</f>
        <v>0</v>
      </c>
      <c r="V115">
        <f>IF(U115=T115,0,1)</f>
        <v>1</v>
      </c>
      <c r="W115">
        <f>T115</f>
        <v>25</v>
      </c>
      <c r="X115">
        <f>SUMIF(货件明细!J:J,E115,货件明细!H:H)</f>
        <v>0</v>
      </c>
      <c r="Y115">
        <f>N115-X115</f>
        <v>9.3</v>
      </c>
      <c r="Z115">
        <f>SUMIF(货件明细!J:J,E115,货件明细!I:I)</f>
        <v>0</v>
      </c>
      <c r="AA115">
        <f>IF(S115=Z115,0,1)</f>
        <v>1</v>
      </c>
    </row>
    <row r="116" hidden="1" spans="1:27">
      <c r="A116">
        <v>1</v>
      </c>
      <c r="B116">
        <v>2</v>
      </c>
      <c r="C116" s="3">
        <v>46032</v>
      </c>
      <c r="D116" t="s">
        <v>27</v>
      </c>
      <c r="E116" t="s">
        <v>189</v>
      </c>
      <c r="F116" t="s">
        <v>145</v>
      </c>
      <c r="G116" t="s">
        <v>30</v>
      </c>
      <c r="H116" t="s">
        <v>46</v>
      </c>
      <c r="I116" t="s">
        <v>92</v>
      </c>
      <c r="J116" t="s">
        <v>146</v>
      </c>
      <c r="K116" t="s">
        <v>64</v>
      </c>
      <c r="L116" t="s">
        <v>147</v>
      </c>
      <c r="M116" t="s">
        <v>148</v>
      </c>
      <c r="N116">
        <v>9.3</v>
      </c>
      <c r="P116">
        <v>92.5</v>
      </c>
      <c r="Q116">
        <v>92.5</v>
      </c>
      <c r="R116">
        <v>0</v>
      </c>
      <c r="S116">
        <v>92.5</v>
      </c>
      <c r="T116">
        <v>25</v>
      </c>
      <c r="U116">
        <f>SUMIF(货件明细!J:J,E116,货件明细!AP:AP)</f>
        <v>0</v>
      </c>
      <c r="V116">
        <f>IF(U116=T116,0,1)</f>
        <v>1</v>
      </c>
      <c r="W116">
        <f>T116</f>
        <v>25</v>
      </c>
      <c r="X116">
        <f>SUMIF(货件明细!J:J,E116,货件明细!H:H)</f>
        <v>0</v>
      </c>
      <c r="Y116">
        <f>N116-X116</f>
        <v>9.3</v>
      </c>
      <c r="Z116">
        <f>SUMIF(货件明细!J:J,E116,货件明细!I:I)</f>
        <v>0</v>
      </c>
      <c r="AA116">
        <f>IF(S116=Z116,0,1)</f>
        <v>1</v>
      </c>
    </row>
    <row r="117" hidden="1" spans="1:27">
      <c r="A117">
        <v>1</v>
      </c>
      <c r="B117">
        <v>2</v>
      </c>
      <c r="C117" s="3">
        <v>46032</v>
      </c>
      <c r="D117" t="s">
        <v>27</v>
      </c>
      <c r="E117" t="s">
        <v>190</v>
      </c>
      <c r="F117" t="s">
        <v>74</v>
      </c>
      <c r="G117" t="s">
        <v>30</v>
      </c>
      <c r="H117" t="s">
        <v>46</v>
      </c>
      <c r="I117" t="s">
        <v>92</v>
      </c>
      <c r="J117" t="s">
        <v>146</v>
      </c>
      <c r="K117" t="s">
        <v>64</v>
      </c>
      <c r="L117" t="s">
        <v>147</v>
      </c>
      <c r="M117" t="s">
        <v>191</v>
      </c>
      <c r="N117">
        <v>9.3</v>
      </c>
      <c r="P117">
        <v>100</v>
      </c>
      <c r="Q117">
        <v>100</v>
      </c>
      <c r="R117">
        <v>0</v>
      </c>
      <c r="S117">
        <v>100</v>
      </c>
      <c r="T117">
        <v>25</v>
      </c>
      <c r="U117">
        <f>SUMIF(货件明细!J:J,E117,货件明细!AP:AP)</f>
        <v>0</v>
      </c>
      <c r="V117">
        <f>IF(U117=T117,0,1)</f>
        <v>1</v>
      </c>
      <c r="W117">
        <f>T117</f>
        <v>25</v>
      </c>
      <c r="X117">
        <f>SUMIF(货件明细!J:J,E117,货件明细!H:H)</f>
        <v>0</v>
      </c>
      <c r="Y117">
        <f>N117-X117</f>
        <v>9.3</v>
      </c>
      <c r="Z117">
        <f>SUMIF(货件明细!J:J,E117,货件明细!I:I)</f>
        <v>0</v>
      </c>
      <c r="AA117">
        <f>IF(S117=Z117,0,1)</f>
        <v>1</v>
      </c>
    </row>
    <row r="118" hidden="1" spans="1:27">
      <c r="A118">
        <v>1</v>
      </c>
      <c r="B118">
        <v>2</v>
      </c>
      <c r="C118" s="3">
        <v>46032</v>
      </c>
      <c r="D118" t="s">
        <v>27</v>
      </c>
      <c r="E118" t="s">
        <v>192</v>
      </c>
      <c r="F118" t="s">
        <v>193</v>
      </c>
      <c r="G118" t="s">
        <v>72</v>
      </c>
      <c r="H118" t="s">
        <v>46</v>
      </c>
      <c r="I118" t="s">
        <v>92</v>
      </c>
      <c r="J118" t="s">
        <v>92</v>
      </c>
      <c r="K118" t="s">
        <v>64</v>
      </c>
      <c r="L118" t="s">
        <v>65</v>
      </c>
      <c r="M118" t="s">
        <v>188</v>
      </c>
      <c r="N118">
        <v>9.3</v>
      </c>
      <c r="P118">
        <v>68.1</v>
      </c>
      <c r="Q118">
        <v>68.1</v>
      </c>
      <c r="R118">
        <v>0</v>
      </c>
      <c r="S118">
        <v>68.1</v>
      </c>
      <c r="T118">
        <v>25</v>
      </c>
      <c r="U118">
        <f>SUMIF(货件明细!J:J,E118,货件明细!AP:AP)</f>
        <v>0</v>
      </c>
      <c r="V118">
        <f>IF(U118=T118,0,1)</f>
        <v>1</v>
      </c>
      <c r="W118">
        <f>T118</f>
        <v>25</v>
      </c>
      <c r="X118">
        <f>SUMIF(货件明细!J:J,E118,货件明细!H:H)</f>
        <v>0</v>
      </c>
      <c r="Y118">
        <f>N118-X118</f>
        <v>9.3</v>
      </c>
      <c r="Z118">
        <f>SUMIF(货件明细!J:J,E118,货件明细!I:I)</f>
        <v>0</v>
      </c>
      <c r="AA118">
        <f>IF(S118=Z118,0,1)</f>
        <v>1</v>
      </c>
    </row>
    <row r="119" hidden="1" spans="1:27">
      <c r="A119">
        <v>1</v>
      </c>
      <c r="B119">
        <v>2</v>
      </c>
      <c r="C119" s="3">
        <v>46032</v>
      </c>
      <c r="D119" t="s">
        <v>27</v>
      </c>
      <c r="E119" t="s">
        <v>194</v>
      </c>
      <c r="F119" t="s">
        <v>195</v>
      </c>
      <c r="G119" t="s">
        <v>30</v>
      </c>
      <c r="H119" t="s">
        <v>59</v>
      </c>
      <c r="I119" t="s">
        <v>92</v>
      </c>
      <c r="J119" t="s">
        <v>146</v>
      </c>
      <c r="K119" t="s">
        <v>64</v>
      </c>
      <c r="L119" t="s">
        <v>147</v>
      </c>
      <c r="M119" t="s">
        <v>148</v>
      </c>
      <c r="N119">
        <v>41.9</v>
      </c>
      <c r="P119">
        <v>234</v>
      </c>
      <c r="Q119">
        <v>234</v>
      </c>
      <c r="R119">
        <v>0</v>
      </c>
      <c r="S119">
        <v>234</v>
      </c>
      <c r="T119">
        <v>236</v>
      </c>
      <c r="U119">
        <f>SUMIF(货件明细!J:J,E119,货件明细!AP:AP)</f>
        <v>0</v>
      </c>
      <c r="V119">
        <f>IF(U119=T119,0,1)</f>
        <v>1</v>
      </c>
      <c r="W119">
        <f>T119</f>
        <v>236</v>
      </c>
      <c r="X119">
        <f>SUMIF(货件明细!J:J,E119,货件明细!H:H)</f>
        <v>0</v>
      </c>
      <c r="Y119">
        <f>N119-X119</f>
        <v>41.9</v>
      </c>
      <c r="Z119">
        <f>SUMIF(货件明细!J:J,E119,货件明细!I:I)</f>
        <v>0</v>
      </c>
      <c r="AA119">
        <f>IF(S119=Z119,0,1)</f>
        <v>1</v>
      </c>
    </row>
    <row r="120" hidden="1" spans="1:27">
      <c r="A120">
        <v>1</v>
      </c>
      <c r="B120">
        <v>2</v>
      </c>
      <c r="C120" s="3">
        <v>46032</v>
      </c>
      <c r="D120" t="s">
        <v>27</v>
      </c>
      <c r="E120" t="s">
        <v>196</v>
      </c>
      <c r="F120" t="s">
        <v>185</v>
      </c>
      <c r="G120" t="s">
        <v>30</v>
      </c>
      <c r="H120" t="s">
        <v>59</v>
      </c>
      <c r="I120" t="s">
        <v>92</v>
      </c>
      <c r="J120" t="s">
        <v>146</v>
      </c>
      <c r="K120" t="s">
        <v>64</v>
      </c>
      <c r="L120" t="s">
        <v>147</v>
      </c>
      <c r="M120" t="s">
        <v>148</v>
      </c>
      <c r="N120">
        <v>41.9</v>
      </c>
      <c r="P120">
        <v>241.5</v>
      </c>
      <c r="Q120">
        <v>241.5</v>
      </c>
      <c r="R120">
        <v>0</v>
      </c>
      <c r="S120">
        <v>241.5</v>
      </c>
      <c r="T120">
        <v>236</v>
      </c>
      <c r="U120">
        <f>SUMIF(货件明细!J:J,E120,货件明细!AP:AP)</f>
        <v>0</v>
      </c>
      <c r="V120">
        <f>IF(U120=T120,0,1)</f>
        <v>1</v>
      </c>
      <c r="W120">
        <f>T120</f>
        <v>236</v>
      </c>
      <c r="X120">
        <f>SUMIF(货件明细!J:J,E120,货件明细!H:H)</f>
        <v>0</v>
      </c>
      <c r="Y120">
        <f>N120-X120</f>
        <v>41.9</v>
      </c>
      <c r="Z120">
        <f>SUMIF(货件明细!J:J,E120,货件明细!I:I)</f>
        <v>0</v>
      </c>
      <c r="AA120">
        <f>IF(S120=Z120,0,1)</f>
        <v>1</v>
      </c>
    </row>
    <row r="121" hidden="1" spans="1:27">
      <c r="A121">
        <v>1</v>
      </c>
      <c r="B121">
        <v>2</v>
      </c>
      <c r="C121" s="3">
        <v>46032</v>
      </c>
      <c r="D121" t="s">
        <v>27</v>
      </c>
      <c r="E121" t="s">
        <v>197</v>
      </c>
      <c r="F121" t="s">
        <v>198</v>
      </c>
      <c r="G121" t="s">
        <v>69</v>
      </c>
      <c r="H121" t="s">
        <v>59</v>
      </c>
      <c r="I121" t="s">
        <v>92</v>
      </c>
      <c r="J121" t="s">
        <v>92</v>
      </c>
      <c r="K121" t="s">
        <v>64</v>
      </c>
      <c r="L121" t="s">
        <v>65</v>
      </c>
      <c r="M121" t="s">
        <v>93</v>
      </c>
      <c r="N121">
        <v>41.9</v>
      </c>
      <c r="P121">
        <v>216.3</v>
      </c>
      <c r="Q121">
        <v>216.3</v>
      </c>
      <c r="R121">
        <v>0</v>
      </c>
      <c r="S121">
        <v>216.3</v>
      </c>
      <c r="T121">
        <v>236</v>
      </c>
      <c r="U121">
        <f>SUMIF(货件明细!J:J,E121,货件明细!AP:AP)</f>
        <v>0</v>
      </c>
      <c r="V121">
        <f>IF(U121=T121,0,1)</f>
        <v>1</v>
      </c>
      <c r="W121">
        <f>T121</f>
        <v>236</v>
      </c>
      <c r="X121">
        <f>SUMIF(货件明细!J:J,E121,货件明细!H:H)</f>
        <v>0</v>
      </c>
      <c r="Y121">
        <f>N121-X121</f>
        <v>41.9</v>
      </c>
      <c r="Z121">
        <f>SUMIF(货件明细!J:J,E121,货件明细!I:I)</f>
        <v>0</v>
      </c>
      <c r="AA121">
        <f>IF(S121=Z121,0,1)</f>
        <v>1</v>
      </c>
    </row>
    <row r="122" hidden="1" spans="1:27">
      <c r="A122">
        <v>1</v>
      </c>
      <c r="B122">
        <v>2</v>
      </c>
      <c r="C122" s="3">
        <v>46032</v>
      </c>
      <c r="D122" t="s">
        <v>27</v>
      </c>
      <c r="E122" t="s">
        <v>199</v>
      </c>
      <c r="F122" t="s">
        <v>200</v>
      </c>
      <c r="G122" t="s">
        <v>30</v>
      </c>
      <c r="H122" t="s">
        <v>59</v>
      </c>
      <c r="I122" t="s">
        <v>92</v>
      </c>
      <c r="J122" t="s">
        <v>146</v>
      </c>
      <c r="K122" t="s">
        <v>64</v>
      </c>
      <c r="L122" t="s">
        <v>147</v>
      </c>
      <c r="M122" t="s">
        <v>148</v>
      </c>
      <c r="N122">
        <v>41.9</v>
      </c>
      <c r="P122">
        <v>277.5</v>
      </c>
      <c r="Q122">
        <v>277.5</v>
      </c>
      <c r="R122">
        <v>0</v>
      </c>
      <c r="S122">
        <v>277.5</v>
      </c>
      <c r="T122">
        <v>236</v>
      </c>
      <c r="U122">
        <f>SUMIF(货件明细!J:J,E122,货件明细!AP:AP)</f>
        <v>0</v>
      </c>
      <c r="V122">
        <f>IF(U122=T122,0,1)</f>
        <v>1</v>
      </c>
      <c r="W122">
        <f>T122</f>
        <v>236</v>
      </c>
      <c r="X122">
        <f>SUMIF(货件明细!J:J,E122,货件明细!H:H)</f>
        <v>0</v>
      </c>
      <c r="Y122">
        <f>N122-X122</f>
        <v>41.9</v>
      </c>
      <c r="Z122">
        <f>SUMIF(货件明细!J:J,E122,货件明细!I:I)</f>
        <v>0</v>
      </c>
      <c r="AA122">
        <f>IF(S122=Z122,0,1)</f>
        <v>1</v>
      </c>
    </row>
    <row r="123" hidden="1" spans="1:27">
      <c r="A123">
        <v>1</v>
      </c>
      <c r="B123">
        <v>2</v>
      </c>
      <c r="C123" s="3">
        <v>46032</v>
      </c>
      <c r="D123" t="s">
        <v>27</v>
      </c>
      <c r="E123" t="s">
        <v>201</v>
      </c>
      <c r="F123" t="s">
        <v>98</v>
      </c>
      <c r="G123" t="s">
        <v>72</v>
      </c>
      <c r="H123" t="s">
        <v>59</v>
      </c>
      <c r="I123" t="s">
        <v>92</v>
      </c>
      <c r="J123" t="s">
        <v>92</v>
      </c>
      <c r="K123" t="s">
        <v>64</v>
      </c>
      <c r="L123" t="s">
        <v>65</v>
      </c>
      <c r="M123" t="s">
        <v>93</v>
      </c>
      <c r="N123">
        <v>41.9</v>
      </c>
      <c r="P123">
        <v>177.75</v>
      </c>
      <c r="Q123">
        <v>177.75</v>
      </c>
      <c r="R123">
        <v>0</v>
      </c>
      <c r="S123">
        <v>177.75</v>
      </c>
      <c r="T123">
        <v>236</v>
      </c>
      <c r="U123">
        <f>SUMIF(货件明细!J:J,E123,货件明细!AP:AP)</f>
        <v>0</v>
      </c>
      <c r="V123">
        <f>IF(U123=T123,0,1)</f>
        <v>1</v>
      </c>
      <c r="W123">
        <f>T123</f>
        <v>236</v>
      </c>
      <c r="X123">
        <f>SUMIF(货件明细!J:J,E123,货件明细!H:H)</f>
        <v>0</v>
      </c>
      <c r="Y123">
        <f>N123-X123</f>
        <v>41.9</v>
      </c>
      <c r="Z123">
        <f>SUMIF(货件明细!J:J,E123,货件明细!I:I)</f>
        <v>0</v>
      </c>
      <c r="AA123">
        <f>IF(S123=Z123,0,1)</f>
        <v>1</v>
      </c>
    </row>
    <row r="124" hidden="1" spans="1:27">
      <c r="A124">
        <v>1</v>
      </c>
      <c r="B124">
        <v>2</v>
      </c>
      <c r="C124" s="3">
        <v>46032</v>
      </c>
      <c r="D124" t="s">
        <v>27</v>
      </c>
      <c r="E124" t="s">
        <v>202</v>
      </c>
      <c r="F124" t="s">
        <v>203</v>
      </c>
      <c r="G124" t="s">
        <v>72</v>
      </c>
      <c r="H124" t="s">
        <v>37</v>
      </c>
      <c r="I124" t="s">
        <v>92</v>
      </c>
      <c r="J124" t="s">
        <v>92</v>
      </c>
      <c r="K124" t="s">
        <v>64</v>
      </c>
      <c r="L124" t="s">
        <v>65</v>
      </c>
      <c r="M124" t="s">
        <v>188</v>
      </c>
      <c r="N124">
        <v>21.8</v>
      </c>
      <c r="P124">
        <v>117.48</v>
      </c>
      <c r="Q124">
        <v>117.48</v>
      </c>
      <c r="R124">
        <v>458.7</v>
      </c>
      <c r="S124">
        <v>576.18</v>
      </c>
      <c r="T124">
        <v>220</v>
      </c>
      <c r="U124">
        <f>SUMIF(货件明细!J:J,E124,货件明细!AP:AP)</f>
        <v>0</v>
      </c>
      <c r="V124">
        <f>IF(U124=T124,0,1)</f>
        <v>1</v>
      </c>
      <c r="W124">
        <f>T124</f>
        <v>220</v>
      </c>
      <c r="X124">
        <f>SUMIF(货件明细!J:J,E124,货件明细!H:H)</f>
        <v>0</v>
      </c>
      <c r="Y124">
        <f>N124-X124</f>
        <v>21.8</v>
      </c>
      <c r="Z124">
        <f>SUMIF(货件明细!J:J,E124,货件明细!I:I)</f>
        <v>0</v>
      </c>
      <c r="AA124">
        <f>IF(S124=Z124,0,1)</f>
        <v>1</v>
      </c>
    </row>
    <row r="125" spans="1:27">
      <c r="A125">
        <v>1</v>
      </c>
      <c r="B125">
        <v>2</v>
      </c>
      <c r="C125" s="3">
        <v>46032</v>
      </c>
      <c r="D125" t="s">
        <v>27</v>
      </c>
      <c r="E125" t="s">
        <v>204</v>
      </c>
      <c r="F125" t="s">
        <v>205</v>
      </c>
      <c r="G125" t="s">
        <v>30</v>
      </c>
      <c r="H125" t="s">
        <v>37</v>
      </c>
      <c r="I125" t="s">
        <v>32</v>
      </c>
      <c r="J125" t="s">
        <v>32</v>
      </c>
      <c r="K125" t="s">
        <v>33</v>
      </c>
      <c r="L125" t="s">
        <v>34</v>
      </c>
      <c r="M125" t="s">
        <v>35</v>
      </c>
      <c r="N125">
        <v>17.75</v>
      </c>
      <c r="P125">
        <v>878.4</v>
      </c>
      <c r="Q125">
        <v>878.4</v>
      </c>
      <c r="R125">
        <v>318.032</v>
      </c>
      <c r="S125">
        <v>1196.432</v>
      </c>
      <c r="T125">
        <v>176</v>
      </c>
      <c r="U125">
        <f>SUMIF(货件明细!J:J,E125,货件明细!AP:AP)</f>
        <v>176</v>
      </c>
      <c r="V125">
        <f>IF(U125=T125,0,1)</f>
        <v>0</v>
      </c>
      <c r="W125">
        <f>T125</f>
        <v>176</v>
      </c>
      <c r="X125">
        <f>SUMIF(货件明细!J:J,E125,货件明细!H:H)</f>
        <v>16.72</v>
      </c>
      <c r="Y125">
        <f>N125-X125</f>
        <v>1.03</v>
      </c>
      <c r="Z125">
        <f>SUMIF(货件明细!J:J,E125,货件明细!I:I)</f>
        <v>1196.432</v>
      </c>
      <c r="AA125">
        <f>IF(S125=Z125,0,1)</f>
        <v>0</v>
      </c>
    </row>
    <row r="126" spans="1:27">
      <c r="A126">
        <v>1</v>
      </c>
      <c r="B126">
        <v>2</v>
      </c>
      <c r="C126" s="3">
        <v>46030</v>
      </c>
      <c r="D126" t="s">
        <v>27</v>
      </c>
      <c r="E126" t="s">
        <v>206</v>
      </c>
      <c r="F126" t="s">
        <v>29</v>
      </c>
      <c r="G126" t="s">
        <v>30</v>
      </c>
      <c r="H126" t="s">
        <v>78</v>
      </c>
      <c r="I126" t="s">
        <v>42</v>
      </c>
      <c r="J126" t="s">
        <v>42</v>
      </c>
      <c r="K126" t="s">
        <v>33</v>
      </c>
      <c r="L126" t="s">
        <v>207</v>
      </c>
      <c r="M126" t="s">
        <v>208</v>
      </c>
      <c r="N126">
        <v>18.7</v>
      </c>
      <c r="P126">
        <v>1015.2</v>
      </c>
      <c r="Q126">
        <v>1015.2</v>
      </c>
      <c r="R126">
        <v>191.264</v>
      </c>
      <c r="S126">
        <v>1206.464</v>
      </c>
      <c r="T126">
        <v>172</v>
      </c>
      <c r="U126">
        <f>SUMIF(货件明细!J:J,E126,货件明细!AP:AP)</f>
        <v>172</v>
      </c>
      <c r="V126">
        <f>IF(U126=T126,0,1)</f>
        <v>0</v>
      </c>
      <c r="W126">
        <f>T126</f>
        <v>172</v>
      </c>
      <c r="X126">
        <f>SUMIF(货件明细!J:J,E126,货件明细!H:H)</f>
        <v>18.185</v>
      </c>
      <c r="Y126">
        <f>N126-X126</f>
        <v>0.514999999999997</v>
      </c>
      <c r="Z126">
        <f>SUMIF(货件明细!J:J,E126,货件明细!I:I)</f>
        <v>1206.464</v>
      </c>
      <c r="AA126">
        <f>IF(S126=Z126,0,1)</f>
        <v>0</v>
      </c>
    </row>
    <row r="127" spans="1:27">
      <c r="A127">
        <v>1</v>
      </c>
      <c r="B127">
        <v>2</v>
      </c>
      <c r="C127" s="3">
        <v>46030</v>
      </c>
      <c r="D127" t="s">
        <v>27</v>
      </c>
      <c r="E127" t="s">
        <v>209</v>
      </c>
      <c r="F127" t="s">
        <v>29</v>
      </c>
      <c r="G127" t="s">
        <v>30</v>
      </c>
      <c r="H127" t="s">
        <v>39</v>
      </c>
      <c r="I127" t="s">
        <v>42</v>
      </c>
      <c r="J127" t="s">
        <v>42</v>
      </c>
      <c r="K127" t="s">
        <v>33</v>
      </c>
      <c r="L127" t="s">
        <v>207</v>
      </c>
      <c r="M127" t="s">
        <v>208</v>
      </c>
      <c r="N127">
        <v>23.5</v>
      </c>
      <c r="P127">
        <v>1260.2</v>
      </c>
      <c r="Q127">
        <v>1260.2</v>
      </c>
      <c r="R127">
        <v>122.042</v>
      </c>
      <c r="S127">
        <v>1382.242</v>
      </c>
      <c r="T127">
        <v>97</v>
      </c>
      <c r="U127">
        <f>SUMIF(货件明细!J:J,E127,货件明细!AP:AP)</f>
        <v>97</v>
      </c>
      <c r="V127">
        <f>IF(U127=T127,0,1)</f>
        <v>0</v>
      </c>
      <c r="W127">
        <f>T127</f>
        <v>97</v>
      </c>
      <c r="X127">
        <f>SUMIF(货件明细!J:J,E127,货件明细!H:H)</f>
        <v>22.0448</v>
      </c>
      <c r="Y127">
        <f>N127-X127</f>
        <v>1.4552</v>
      </c>
      <c r="Z127">
        <f>SUMIF(货件明细!J:J,E127,货件明细!I:I)</f>
        <v>1382.242</v>
      </c>
      <c r="AA127">
        <f>IF(S127=Z127,0,1)</f>
        <v>0</v>
      </c>
    </row>
    <row r="128" hidden="1" spans="1:27">
      <c r="A128">
        <v>1</v>
      </c>
      <c r="B128">
        <v>3</v>
      </c>
      <c r="C128" s="3">
        <v>46039</v>
      </c>
      <c r="D128" t="s">
        <v>88</v>
      </c>
      <c r="E128" t="s">
        <v>210</v>
      </c>
      <c r="F128" t="s">
        <v>211</v>
      </c>
      <c r="G128" t="s">
        <v>72</v>
      </c>
      <c r="H128" t="s">
        <v>37</v>
      </c>
      <c r="I128" t="s">
        <v>63</v>
      </c>
      <c r="J128" t="s">
        <v>63</v>
      </c>
      <c r="K128" t="s">
        <v>64</v>
      </c>
      <c r="L128" t="s">
        <v>212</v>
      </c>
      <c r="M128" t="s">
        <v>213</v>
      </c>
      <c r="N128">
        <v>573.95</v>
      </c>
      <c r="O128">
        <v>62.5</v>
      </c>
      <c r="P128">
        <v>2071.25252525253</v>
      </c>
      <c r="Q128">
        <v>2133.75252525253</v>
      </c>
      <c r="R128">
        <v>0</v>
      </c>
      <c r="S128">
        <v>2133.75252525253</v>
      </c>
      <c r="T128">
        <v>5330</v>
      </c>
      <c r="U128">
        <f>SUMIF(货件明细!J:J,E128,货件明细!AP:AP)</f>
        <v>0</v>
      </c>
      <c r="V128">
        <f>IF(U128=T128,0,1)</f>
        <v>1</v>
      </c>
      <c r="W128">
        <f>T128</f>
        <v>5330</v>
      </c>
      <c r="X128">
        <f>SUMIF(货件明细!J:J,E128,货件明细!H:H)</f>
        <v>0</v>
      </c>
      <c r="Y128">
        <f>N128-X128</f>
        <v>573.95</v>
      </c>
      <c r="Z128">
        <f>SUMIF(货件明细!J:J,E128,货件明细!I:I)</f>
        <v>0</v>
      </c>
      <c r="AA128">
        <f>IF(S128=Z128,0,1)</f>
        <v>1</v>
      </c>
    </row>
    <row r="129" hidden="1" spans="1:27">
      <c r="A129">
        <v>1</v>
      </c>
      <c r="B129">
        <v>3</v>
      </c>
      <c r="C129" s="3">
        <v>46039</v>
      </c>
      <c r="D129" t="s">
        <v>88</v>
      </c>
      <c r="E129" t="s">
        <v>214</v>
      </c>
      <c r="F129" t="s">
        <v>211</v>
      </c>
      <c r="G129" t="s">
        <v>72</v>
      </c>
      <c r="H129" t="s">
        <v>59</v>
      </c>
      <c r="I129" t="s">
        <v>63</v>
      </c>
      <c r="J129" t="s">
        <v>63</v>
      </c>
      <c r="K129" t="s">
        <v>64</v>
      </c>
      <c r="L129" t="s">
        <v>212</v>
      </c>
      <c r="M129" t="s">
        <v>213</v>
      </c>
      <c r="N129">
        <v>114.4</v>
      </c>
      <c r="O129">
        <v>62.5</v>
      </c>
      <c r="P129">
        <v>466.031818181818</v>
      </c>
      <c r="Q129">
        <v>528.531818181818</v>
      </c>
      <c r="R129">
        <v>0</v>
      </c>
      <c r="S129">
        <v>528.531818181818</v>
      </c>
      <c r="T129">
        <v>360</v>
      </c>
      <c r="U129">
        <f>SUMIF(货件明细!J:J,E129,货件明细!AP:AP)</f>
        <v>0</v>
      </c>
      <c r="V129">
        <f>IF(U129=T129,0,1)</f>
        <v>1</v>
      </c>
      <c r="W129">
        <f>T129</f>
        <v>360</v>
      </c>
      <c r="X129">
        <f>SUMIF(货件明细!J:J,E129,货件明细!H:H)</f>
        <v>0</v>
      </c>
      <c r="Y129">
        <f>N129-X129</f>
        <v>114.4</v>
      </c>
      <c r="Z129">
        <f>SUMIF(货件明细!J:J,E129,货件明细!I:I)</f>
        <v>0</v>
      </c>
      <c r="AA129">
        <f>IF(S129=Z129,0,1)</f>
        <v>1</v>
      </c>
    </row>
    <row r="130" hidden="1" spans="1:27">
      <c r="A130">
        <v>1</v>
      </c>
      <c r="B130">
        <v>3</v>
      </c>
      <c r="C130" s="3">
        <v>46039</v>
      </c>
      <c r="D130" t="s">
        <v>88</v>
      </c>
      <c r="E130" t="s">
        <v>215</v>
      </c>
      <c r="F130" t="s">
        <v>211</v>
      </c>
      <c r="G130" t="s">
        <v>72</v>
      </c>
      <c r="H130" t="s">
        <v>39</v>
      </c>
      <c r="I130" t="s">
        <v>63</v>
      </c>
      <c r="J130" t="s">
        <v>63</v>
      </c>
      <c r="K130" t="s">
        <v>64</v>
      </c>
      <c r="L130" t="s">
        <v>212</v>
      </c>
      <c r="M130" t="s">
        <v>213</v>
      </c>
      <c r="N130">
        <v>731.25</v>
      </c>
      <c r="O130">
        <v>62.5</v>
      </c>
      <c r="P130">
        <v>2330.15909090909</v>
      </c>
      <c r="Q130">
        <v>2392.65909090909</v>
      </c>
      <c r="R130">
        <v>0</v>
      </c>
      <c r="S130">
        <v>2392.65909090909</v>
      </c>
      <c r="T130">
        <v>1930</v>
      </c>
      <c r="U130">
        <f>SUMIF(货件明细!J:J,E130,货件明细!AP:AP)</f>
        <v>0</v>
      </c>
      <c r="V130">
        <f>IF(U130=T130,0,1)</f>
        <v>1</v>
      </c>
      <c r="W130">
        <f>T130</f>
        <v>1930</v>
      </c>
      <c r="X130">
        <f>SUMIF(货件明细!J:J,E130,货件明细!H:H)</f>
        <v>0</v>
      </c>
      <c r="Y130">
        <f>N130-X130</f>
        <v>731.25</v>
      </c>
      <c r="Z130">
        <f>SUMIF(货件明细!J:J,E130,货件明细!I:I)</f>
        <v>0</v>
      </c>
      <c r="AA130">
        <f>IF(S130=Z130,0,1)</f>
        <v>1</v>
      </c>
    </row>
    <row r="131" hidden="1" spans="1:27">
      <c r="A131">
        <v>1</v>
      </c>
      <c r="B131">
        <v>3</v>
      </c>
      <c r="C131" s="3">
        <v>46039</v>
      </c>
      <c r="D131" t="s">
        <v>88</v>
      </c>
      <c r="E131" t="s">
        <v>216</v>
      </c>
      <c r="F131" t="s">
        <v>211</v>
      </c>
      <c r="G131" t="s">
        <v>72</v>
      </c>
      <c r="H131" t="s">
        <v>51</v>
      </c>
      <c r="I131" t="s">
        <v>63</v>
      </c>
      <c r="J131" t="s">
        <v>63</v>
      </c>
      <c r="K131" t="s">
        <v>64</v>
      </c>
      <c r="L131" t="s">
        <v>212</v>
      </c>
      <c r="M131" t="s">
        <v>213</v>
      </c>
      <c r="N131">
        <v>83.55</v>
      </c>
      <c r="O131">
        <v>62.5</v>
      </c>
      <c r="P131">
        <v>258.906565656566</v>
      </c>
      <c r="Q131">
        <v>321.406565656566</v>
      </c>
      <c r="R131">
        <v>0</v>
      </c>
      <c r="S131">
        <v>321.406565656566</v>
      </c>
      <c r="T131">
        <v>180</v>
      </c>
      <c r="U131">
        <f>SUMIF(货件明细!J:J,E131,货件明细!AP:AP)</f>
        <v>0</v>
      </c>
      <c r="V131">
        <f>IF(U131=T131,0,1)</f>
        <v>1</v>
      </c>
      <c r="W131">
        <f>T131</f>
        <v>180</v>
      </c>
      <c r="X131">
        <f>SUMIF(货件明细!J:J,E131,货件明细!H:H)</f>
        <v>0</v>
      </c>
      <c r="Y131">
        <f>N131-X131</f>
        <v>83.55</v>
      </c>
      <c r="Z131">
        <f>SUMIF(货件明细!J:J,E131,货件明细!I:I)</f>
        <v>0</v>
      </c>
      <c r="AA131">
        <f>IF(S131=Z131,0,1)</f>
        <v>1</v>
      </c>
    </row>
    <row r="132" spans="1:27">
      <c r="A132">
        <v>1</v>
      </c>
      <c r="B132">
        <v>3</v>
      </c>
      <c r="C132" s="3">
        <v>46035</v>
      </c>
      <c r="D132" t="s">
        <v>27</v>
      </c>
      <c r="E132" t="s">
        <v>217</v>
      </c>
      <c r="F132" t="s">
        <v>41</v>
      </c>
      <c r="G132" t="s">
        <v>30</v>
      </c>
      <c r="H132" t="s">
        <v>59</v>
      </c>
      <c r="I132" t="s">
        <v>42</v>
      </c>
      <c r="J132" t="s">
        <v>42</v>
      </c>
      <c r="K132" t="s">
        <v>33</v>
      </c>
      <c r="L132" t="s">
        <v>43</v>
      </c>
      <c r="M132" t="s">
        <v>218</v>
      </c>
      <c r="N132">
        <v>49.75</v>
      </c>
      <c r="O132">
        <v>100</v>
      </c>
      <c r="P132">
        <v>3100</v>
      </c>
      <c r="Q132">
        <v>3200</v>
      </c>
      <c r="R132">
        <v>208.5</v>
      </c>
      <c r="S132">
        <v>3408.5</v>
      </c>
      <c r="T132">
        <v>150</v>
      </c>
      <c r="U132">
        <f>SUMIF(货件明细!J:J,E132,货件明细!AP:AP)</f>
        <v>150</v>
      </c>
      <c r="V132">
        <f>IF(U132=T132,0,1)</f>
        <v>0</v>
      </c>
      <c r="W132">
        <f>T132</f>
        <v>150</v>
      </c>
      <c r="X132">
        <f>SUMIF(货件明细!J:J,E132,货件明细!H:H)</f>
        <v>47.125</v>
      </c>
      <c r="Y132">
        <f>N132-X132</f>
        <v>2.625</v>
      </c>
      <c r="Z132">
        <f>SUMIF(货件明细!J:J,E132,货件明细!I:I)</f>
        <v>3408.5</v>
      </c>
      <c r="AA132">
        <f>IF(S132=Z132,0,1)</f>
        <v>0</v>
      </c>
    </row>
    <row r="133" spans="1:27">
      <c r="A133">
        <v>1</v>
      </c>
      <c r="B133">
        <v>3</v>
      </c>
      <c r="C133" s="3">
        <v>46035</v>
      </c>
      <c r="D133" t="s">
        <v>27</v>
      </c>
      <c r="E133" t="s">
        <v>219</v>
      </c>
      <c r="F133" t="s">
        <v>41</v>
      </c>
      <c r="G133" t="s">
        <v>30</v>
      </c>
      <c r="H133" t="s">
        <v>56</v>
      </c>
      <c r="I133" t="s">
        <v>42</v>
      </c>
      <c r="J133" t="s">
        <v>42</v>
      </c>
      <c r="K133" t="s">
        <v>33</v>
      </c>
      <c r="L133" t="s">
        <v>43</v>
      </c>
      <c r="M133" t="s">
        <v>218</v>
      </c>
      <c r="N133">
        <v>22.2</v>
      </c>
      <c r="O133">
        <v>100</v>
      </c>
      <c r="P133">
        <v>1466.5</v>
      </c>
      <c r="Q133">
        <v>1566.5</v>
      </c>
      <c r="R133">
        <v>233.52</v>
      </c>
      <c r="S133">
        <v>1800.02</v>
      </c>
      <c r="T133">
        <v>200</v>
      </c>
      <c r="U133">
        <f>SUMIF(货件明细!J:J,E133,货件明细!AP:AP)</f>
        <v>200</v>
      </c>
      <c r="V133">
        <f>IF(U133=T133,0,1)</f>
        <v>0</v>
      </c>
      <c r="W133">
        <f>T133</f>
        <v>200</v>
      </c>
      <c r="X133">
        <f>SUMIF(货件明细!J:J,E133,货件明细!H:H)</f>
        <v>21.04</v>
      </c>
      <c r="Y133">
        <f>N133-X133</f>
        <v>1.16</v>
      </c>
      <c r="Z133">
        <f>SUMIF(货件明细!J:J,E133,货件明细!I:I)</f>
        <v>1800.02</v>
      </c>
      <c r="AA133">
        <f>IF(S133=Z133,0,1)</f>
        <v>0</v>
      </c>
    </row>
    <row r="134" spans="1:27">
      <c r="A134">
        <v>1</v>
      </c>
      <c r="B134">
        <v>3</v>
      </c>
      <c r="C134" s="3">
        <v>46035</v>
      </c>
      <c r="D134" t="s">
        <v>27</v>
      </c>
      <c r="E134" t="s">
        <v>220</v>
      </c>
      <c r="F134" t="s">
        <v>41</v>
      </c>
      <c r="G134" t="s">
        <v>30</v>
      </c>
      <c r="H134" t="s">
        <v>51</v>
      </c>
      <c r="I134" t="s">
        <v>32</v>
      </c>
      <c r="J134" t="s">
        <v>32</v>
      </c>
      <c r="K134" t="s">
        <v>33</v>
      </c>
      <c r="L134" t="s">
        <v>43</v>
      </c>
      <c r="M134" t="s">
        <v>47</v>
      </c>
      <c r="N134">
        <v>15.35</v>
      </c>
      <c r="O134">
        <v>87.5</v>
      </c>
      <c r="P134">
        <v>722</v>
      </c>
      <c r="Q134">
        <v>809.5</v>
      </c>
      <c r="R134">
        <v>121.347</v>
      </c>
      <c r="S134">
        <v>930.847</v>
      </c>
      <c r="T134">
        <v>97</v>
      </c>
      <c r="U134">
        <f>SUMIF(货件明细!J:J,E134,货件明细!AP:AP)</f>
        <v>97</v>
      </c>
      <c r="V134">
        <f>IF(U134=T134,0,1)</f>
        <v>0</v>
      </c>
      <c r="W134">
        <f>T134</f>
        <v>97</v>
      </c>
      <c r="X134">
        <f>SUMIF(货件明细!J:J,E134,货件明细!H:H)</f>
        <v>13.58</v>
      </c>
      <c r="Y134">
        <f>N134-X134</f>
        <v>1.77</v>
      </c>
      <c r="Z134">
        <f>SUMIF(货件明细!J:J,E134,货件明细!I:I)</f>
        <v>930.847</v>
      </c>
      <c r="AA134">
        <f>IF(S134=Z134,0,1)</f>
        <v>0</v>
      </c>
    </row>
    <row r="135" spans="1:27">
      <c r="A135">
        <v>1</v>
      </c>
      <c r="B135">
        <v>3</v>
      </c>
      <c r="C135" s="3">
        <v>46035</v>
      </c>
      <c r="D135" t="s">
        <v>27</v>
      </c>
      <c r="E135" t="s">
        <v>221</v>
      </c>
      <c r="F135" t="s">
        <v>41</v>
      </c>
      <c r="G135" t="s">
        <v>30</v>
      </c>
      <c r="H135" t="s">
        <v>78</v>
      </c>
      <c r="I135" t="s">
        <v>32</v>
      </c>
      <c r="J135" t="s">
        <v>32</v>
      </c>
      <c r="K135" t="s">
        <v>33</v>
      </c>
      <c r="L135" t="s">
        <v>43</v>
      </c>
      <c r="M135" t="s">
        <v>47</v>
      </c>
      <c r="N135">
        <v>16.65</v>
      </c>
      <c r="O135">
        <v>87.5</v>
      </c>
      <c r="P135">
        <v>646</v>
      </c>
      <c r="Q135">
        <v>733.5</v>
      </c>
      <c r="R135">
        <v>122.598</v>
      </c>
      <c r="S135">
        <v>856.098</v>
      </c>
      <c r="T135">
        <v>98</v>
      </c>
      <c r="U135">
        <f>SUMIF(货件明细!J:J,E135,货件明细!AP:AP)</f>
        <v>98</v>
      </c>
      <c r="V135">
        <f>IF(U135=T135,0,1)</f>
        <v>0</v>
      </c>
      <c r="W135">
        <f>T135</f>
        <v>98</v>
      </c>
      <c r="X135">
        <f>SUMIF(货件明细!J:J,E135,货件明细!H:H)</f>
        <v>17.052</v>
      </c>
      <c r="Y135">
        <f>N135-X135</f>
        <v>-0.402000000000001</v>
      </c>
      <c r="Z135">
        <f>SUMIF(货件明细!J:J,E135,货件明细!I:I)</f>
        <v>856.098</v>
      </c>
      <c r="AA135">
        <f>IF(S135=Z135,0,1)</f>
        <v>0</v>
      </c>
    </row>
    <row r="136" spans="1:27">
      <c r="A136">
        <v>1</v>
      </c>
      <c r="B136">
        <v>3</v>
      </c>
      <c r="C136" s="3">
        <v>46035</v>
      </c>
      <c r="D136" t="s">
        <v>27</v>
      </c>
      <c r="E136" t="s">
        <v>222</v>
      </c>
      <c r="F136" t="s">
        <v>41</v>
      </c>
      <c r="G136" t="s">
        <v>30</v>
      </c>
      <c r="H136" t="s">
        <v>31</v>
      </c>
      <c r="I136" t="s">
        <v>32</v>
      </c>
      <c r="J136" t="s">
        <v>32</v>
      </c>
      <c r="K136" t="s">
        <v>33</v>
      </c>
      <c r="L136" t="s">
        <v>43</v>
      </c>
      <c r="M136" t="s">
        <v>47</v>
      </c>
      <c r="N136">
        <v>32.2</v>
      </c>
      <c r="O136">
        <v>87.5</v>
      </c>
      <c r="P136">
        <v>1254</v>
      </c>
      <c r="Q136">
        <v>1341.5</v>
      </c>
      <c r="R136">
        <v>247.42</v>
      </c>
      <c r="S136">
        <v>1588.92</v>
      </c>
      <c r="T136">
        <v>210</v>
      </c>
      <c r="U136">
        <f>SUMIF(货件明细!J:J,E136,货件明细!AP:AP)</f>
        <v>210</v>
      </c>
      <c r="V136">
        <f>IF(U136=T136,0,1)</f>
        <v>0</v>
      </c>
      <c r="W136">
        <f>T136</f>
        <v>210</v>
      </c>
      <c r="X136">
        <f>SUMIF(货件明细!J:J,E136,货件明细!H:H)</f>
        <v>30.04</v>
      </c>
      <c r="Y136">
        <f>N136-X136</f>
        <v>2.16</v>
      </c>
      <c r="Z136">
        <f>SUMIF(货件明细!J:J,E136,货件明细!I:I)</f>
        <v>1588.92</v>
      </c>
      <c r="AA136">
        <f>IF(S136=Z136,0,1)</f>
        <v>0</v>
      </c>
    </row>
    <row r="137" spans="1:27">
      <c r="A137">
        <v>1</v>
      </c>
      <c r="B137">
        <v>3</v>
      </c>
      <c r="C137" s="3">
        <v>46035</v>
      </c>
      <c r="D137" t="s">
        <v>27</v>
      </c>
      <c r="E137" t="s">
        <v>223</v>
      </c>
      <c r="F137" t="s">
        <v>41</v>
      </c>
      <c r="G137" t="s">
        <v>30</v>
      </c>
      <c r="H137" t="s">
        <v>224</v>
      </c>
      <c r="I137" t="s">
        <v>32</v>
      </c>
      <c r="J137" t="s">
        <v>32</v>
      </c>
      <c r="K137" t="s">
        <v>33</v>
      </c>
      <c r="L137" t="s">
        <v>43</v>
      </c>
      <c r="M137" t="s">
        <v>47</v>
      </c>
      <c r="N137">
        <v>14.12</v>
      </c>
      <c r="O137">
        <v>87.5</v>
      </c>
      <c r="P137">
        <v>570</v>
      </c>
      <c r="Q137">
        <v>657.5</v>
      </c>
      <c r="R137">
        <v>133.44</v>
      </c>
      <c r="S137">
        <v>790.94</v>
      </c>
      <c r="T137">
        <v>120</v>
      </c>
      <c r="U137">
        <f>SUMIF(货件明细!J:J,E137,货件明细!AP:AP)</f>
        <v>120</v>
      </c>
      <c r="V137">
        <f>IF(U137=T137,0,1)</f>
        <v>0</v>
      </c>
      <c r="W137">
        <f>T137</f>
        <v>120</v>
      </c>
      <c r="X137">
        <f>SUMIF(货件明细!J:J,E137,货件明细!H:H)</f>
        <v>13.056</v>
      </c>
      <c r="Y137">
        <f>N137-X137</f>
        <v>1.064</v>
      </c>
      <c r="Z137">
        <f>SUMIF(货件明细!J:J,E137,货件明细!I:I)</f>
        <v>790.94</v>
      </c>
      <c r="AA137">
        <f>IF(S137=Z137,0,1)</f>
        <v>0</v>
      </c>
    </row>
    <row r="138" spans="1:27">
      <c r="A138">
        <v>1</v>
      </c>
      <c r="B138">
        <v>3</v>
      </c>
      <c r="C138" s="3">
        <v>46036</v>
      </c>
      <c r="D138" t="s">
        <v>27</v>
      </c>
      <c r="E138" t="s">
        <v>225</v>
      </c>
      <c r="F138" t="s">
        <v>29</v>
      </c>
      <c r="G138" t="s">
        <v>30</v>
      </c>
      <c r="H138" t="s">
        <v>56</v>
      </c>
      <c r="I138" t="s">
        <v>42</v>
      </c>
      <c r="J138" t="s">
        <v>42</v>
      </c>
      <c r="K138" t="s">
        <v>33</v>
      </c>
      <c r="L138" t="s">
        <v>43</v>
      </c>
      <c r="M138" t="s">
        <v>218</v>
      </c>
      <c r="N138">
        <v>21.8</v>
      </c>
      <c r="O138">
        <v>200</v>
      </c>
      <c r="P138">
        <v>1459</v>
      </c>
      <c r="Q138">
        <v>1659</v>
      </c>
      <c r="R138">
        <v>129.27</v>
      </c>
      <c r="S138">
        <v>1788.27</v>
      </c>
      <c r="T138">
        <v>90</v>
      </c>
      <c r="U138">
        <f>SUMIF(货件明细!J:J,E138,货件明细!AP:AP)</f>
        <v>90</v>
      </c>
      <c r="V138">
        <f>IF(U138=T138,0,1)</f>
        <v>0</v>
      </c>
      <c r="W138">
        <f>T138</f>
        <v>90</v>
      </c>
      <c r="X138">
        <f>SUMIF(货件明细!J:J,E138,货件明细!H:H)</f>
        <v>20.83</v>
      </c>
      <c r="Y138">
        <f>N138-X138</f>
        <v>0.969999999999999</v>
      </c>
      <c r="Z138">
        <f>SUMIF(货件明细!J:J,E138,货件明细!I:I)</f>
        <v>1788.27</v>
      </c>
      <c r="AA138">
        <f>IF(S138=Z138,0,1)</f>
        <v>0</v>
      </c>
    </row>
    <row r="139" spans="1:27">
      <c r="A139">
        <v>1</v>
      </c>
      <c r="B139">
        <v>3</v>
      </c>
      <c r="C139" s="3">
        <v>46037</v>
      </c>
      <c r="D139" t="s">
        <v>27</v>
      </c>
      <c r="E139" t="s">
        <v>226</v>
      </c>
      <c r="F139" t="s">
        <v>41</v>
      </c>
      <c r="G139" t="s">
        <v>30</v>
      </c>
      <c r="H139" t="s">
        <v>54</v>
      </c>
      <c r="I139" t="s">
        <v>32</v>
      </c>
      <c r="J139" t="s">
        <v>32</v>
      </c>
      <c r="K139" t="s">
        <v>33</v>
      </c>
      <c r="L139" t="s">
        <v>43</v>
      </c>
      <c r="M139" t="s">
        <v>47</v>
      </c>
      <c r="N139">
        <v>30.6</v>
      </c>
      <c r="O139">
        <v>175</v>
      </c>
      <c r="P139">
        <v>1333</v>
      </c>
      <c r="Q139">
        <v>1508</v>
      </c>
      <c r="R139">
        <v>97.856</v>
      </c>
      <c r="S139">
        <v>1605.856</v>
      </c>
      <c r="T139">
        <v>64</v>
      </c>
      <c r="U139">
        <f>SUMIF(货件明细!J:J,E139,货件明细!AP:AP)</f>
        <v>64</v>
      </c>
      <c r="V139">
        <f>IF(U139=T139,0,1)</f>
        <v>0</v>
      </c>
      <c r="W139">
        <f>T139</f>
        <v>64</v>
      </c>
      <c r="X139">
        <f>SUMIF(货件明细!J:J,E139,货件明细!H:H)</f>
        <v>29.312</v>
      </c>
      <c r="Y139">
        <f>N139-X139</f>
        <v>1.288</v>
      </c>
      <c r="Z139">
        <f>SUMIF(货件明细!J:J,E139,货件明细!I:I)</f>
        <v>1605.856</v>
      </c>
      <c r="AA139">
        <f>IF(S139=Z139,0,1)</f>
        <v>0</v>
      </c>
    </row>
    <row r="140" spans="1:27">
      <c r="A140">
        <v>1</v>
      </c>
      <c r="B140">
        <v>3</v>
      </c>
      <c r="C140" s="3">
        <v>46037</v>
      </c>
      <c r="D140" t="s">
        <v>27</v>
      </c>
      <c r="E140" t="s">
        <v>227</v>
      </c>
      <c r="F140" t="s">
        <v>41</v>
      </c>
      <c r="G140" t="s">
        <v>30</v>
      </c>
      <c r="H140" t="s">
        <v>56</v>
      </c>
      <c r="I140" t="s">
        <v>32</v>
      </c>
      <c r="J140" t="s">
        <v>32</v>
      </c>
      <c r="K140" t="s">
        <v>33</v>
      </c>
      <c r="L140" t="s">
        <v>43</v>
      </c>
      <c r="M140" t="s">
        <v>47</v>
      </c>
      <c r="N140">
        <v>30.7</v>
      </c>
      <c r="O140">
        <v>175</v>
      </c>
      <c r="P140">
        <v>1333</v>
      </c>
      <c r="Q140">
        <v>1508</v>
      </c>
      <c r="R140">
        <v>166.8</v>
      </c>
      <c r="S140">
        <v>1674.8</v>
      </c>
      <c r="T140">
        <v>150</v>
      </c>
      <c r="U140">
        <f>SUMIF(货件明细!J:J,E140,货件明细!AP:AP)</f>
        <v>150</v>
      </c>
      <c r="V140">
        <f>IF(U140=T140,0,1)</f>
        <v>0</v>
      </c>
      <c r="W140">
        <f>T140</f>
        <v>150</v>
      </c>
      <c r="X140">
        <f>SUMIF(货件明细!J:J,E140,货件明细!H:H)</f>
        <v>29.4</v>
      </c>
      <c r="Y140">
        <f>N140-X140</f>
        <v>1.3</v>
      </c>
      <c r="Z140">
        <f>SUMIF(货件明细!J:J,E140,货件明细!I:I)</f>
        <v>1674.8</v>
      </c>
      <c r="AA140">
        <f>IF(S140=Z140,0,1)</f>
        <v>0</v>
      </c>
    </row>
    <row r="141" spans="1:27">
      <c r="A141">
        <v>1</v>
      </c>
      <c r="B141">
        <v>3</v>
      </c>
      <c r="C141" s="3">
        <v>46037</v>
      </c>
      <c r="D141" t="s">
        <v>27</v>
      </c>
      <c r="E141" t="s">
        <v>228</v>
      </c>
      <c r="F141" t="s">
        <v>41</v>
      </c>
      <c r="G141" t="s">
        <v>30</v>
      </c>
      <c r="H141" t="s">
        <v>54</v>
      </c>
      <c r="I141" t="s">
        <v>42</v>
      </c>
      <c r="J141" t="s">
        <v>42</v>
      </c>
      <c r="K141" t="s">
        <v>33</v>
      </c>
      <c r="L141" t="s">
        <v>207</v>
      </c>
      <c r="M141" t="s">
        <v>130</v>
      </c>
      <c r="N141">
        <v>17.1</v>
      </c>
      <c r="O141">
        <v>100</v>
      </c>
      <c r="P141">
        <v>1128.2</v>
      </c>
      <c r="Q141">
        <v>1228.2</v>
      </c>
      <c r="R141">
        <v>55.044</v>
      </c>
      <c r="S141">
        <v>1283.244</v>
      </c>
      <c r="T141">
        <v>36</v>
      </c>
      <c r="U141">
        <f>SUMIF(货件明细!J:J,E141,货件明细!AP:AP)</f>
        <v>36</v>
      </c>
      <c r="V141">
        <f>IF(U141=T141,0,1)</f>
        <v>0</v>
      </c>
      <c r="W141">
        <f>T141</f>
        <v>36</v>
      </c>
      <c r="X141">
        <f>SUMIF(货件明细!J:J,E141,货件明细!H:H)</f>
        <v>16.488</v>
      </c>
      <c r="Y141">
        <f>N141-X141</f>
        <v>0.612000000000002</v>
      </c>
      <c r="Z141">
        <f>SUMIF(货件明细!J:J,E141,货件明细!I:I)</f>
        <v>1283.244</v>
      </c>
      <c r="AA141">
        <f>IF(S141=Z141,0,1)</f>
        <v>0</v>
      </c>
    </row>
    <row r="142" spans="1:27">
      <c r="A142">
        <v>1</v>
      </c>
      <c r="B142">
        <v>3</v>
      </c>
      <c r="C142" s="3">
        <v>46037</v>
      </c>
      <c r="D142" t="s">
        <v>27</v>
      </c>
      <c r="E142" t="s">
        <v>229</v>
      </c>
      <c r="F142" t="s">
        <v>41</v>
      </c>
      <c r="G142" t="s">
        <v>30</v>
      </c>
      <c r="H142" t="s">
        <v>56</v>
      </c>
      <c r="I142" t="s">
        <v>42</v>
      </c>
      <c r="J142" t="s">
        <v>42</v>
      </c>
      <c r="K142" t="s">
        <v>33</v>
      </c>
      <c r="L142" t="s">
        <v>207</v>
      </c>
      <c r="M142" t="s">
        <v>130</v>
      </c>
      <c r="N142">
        <v>25.2</v>
      </c>
      <c r="O142">
        <v>100</v>
      </c>
      <c r="P142">
        <v>1592.2</v>
      </c>
      <c r="Q142">
        <v>1692.2</v>
      </c>
      <c r="R142">
        <v>111.2</v>
      </c>
      <c r="S142">
        <v>1803.4</v>
      </c>
      <c r="T142">
        <v>100</v>
      </c>
      <c r="U142">
        <f>SUMIF(货件明细!J:J,E142,货件明细!AP:AP)</f>
        <v>100</v>
      </c>
      <c r="V142">
        <f>IF(U142=T142,0,1)</f>
        <v>0</v>
      </c>
      <c r="W142">
        <f>T142</f>
        <v>100</v>
      </c>
      <c r="X142">
        <f>SUMIF(货件明细!J:J,E142,货件明细!H:H)</f>
        <v>23.6</v>
      </c>
      <c r="Y142">
        <f>N142-X142</f>
        <v>1.6</v>
      </c>
      <c r="Z142">
        <f>SUMIF(货件明细!J:J,E142,货件明细!I:I)</f>
        <v>1803.4</v>
      </c>
      <c r="AA142">
        <f>IF(S142=Z142,0,1)</f>
        <v>0</v>
      </c>
    </row>
    <row r="143" hidden="1" spans="1:27">
      <c r="A143">
        <v>1</v>
      </c>
      <c r="B143">
        <v>3</v>
      </c>
      <c r="C143" s="3">
        <v>46039</v>
      </c>
      <c r="D143" t="s">
        <v>88</v>
      </c>
      <c r="E143" t="s">
        <v>230</v>
      </c>
      <c r="F143" t="s">
        <v>211</v>
      </c>
      <c r="G143" t="s">
        <v>72</v>
      </c>
      <c r="H143" t="s">
        <v>78</v>
      </c>
      <c r="I143" t="s">
        <v>63</v>
      </c>
      <c r="J143" t="s">
        <v>63</v>
      </c>
      <c r="K143" t="s">
        <v>64</v>
      </c>
      <c r="L143" t="s">
        <v>65</v>
      </c>
      <c r="M143" t="s">
        <v>66</v>
      </c>
      <c r="N143">
        <v>88.6</v>
      </c>
      <c r="O143">
        <v>12.5</v>
      </c>
      <c r="P143">
        <v>293.650909090909</v>
      </c>
      <c r="Q143">
        <v>306.150909090909</v>
      </c>
      <c r="R143">
        <v>0</v>
      </c>
      <c r="S143">
        <v>306.150909090909</v>
      </c>
      <c r="T143">
        <v>350</v>
      </c>
      <c r="U143">
        <f>SUMIF(货件明细!J:J,E143,货件明细!AP:AP)</f>
        <v>0</v>
      </c>
      <c r="V143">
        <f>IF(U143=T143,0,1)</f>
        <v>1</v>
      </c>
      <c r="W143">
        <f>T143</f>
        <v>350</v>
      </c>
      <c r="X143">
        <f>SUMIF(货件明细!J:J,E143,货件明细!H:H)</f>
        <v>0</v>
      </c>
      <c r="Y143">
        <f>N143-X143</f>
        <v>88.6</v>
      </c>
      <c r="Z143">
        <f>SUMIF(货件明细!J:J,E143,货件明细!I:I)</f>
        <v>0</v>
      </c>
      <c r="AA143">
        <f>IF(S143=Z143,0,1)</f>
        <v>1</v>
      </c>
    </row>
    <row r="144" hidden="1" spans="1:27">
      <c r="A144">
        <v>1</v>
      </c>
      <c r="B144">
        <v>3</v>
      </c>
      <c r="C144" s="3">
        <v>46039</v>
      </c>
      <c r="D144" t="s">
        <v>88</v>
      </c>
      <c r="E144" t="s">
        <v>231</v>
      </c>
      <c r="F144" t="s">
        <v>211</v>
      </c>
      <c r="G144" t="s">
        <v>72</v>
      </c>
      <c r="H144" t="s">
        <v>51</v>
      </c>
      <c r="I144" t="s">
        <v>63</v>
      </c>
      <c r="J144" t="s">
        <v>63</v>
      </c>
      <c r="K144" t="s">
        <v>64</v>
      </c>
      <c r="L144" t="s">
        <v>65</v>
      </c>
      <c r="M144" t="s">
        <v>66</v>
      </c>
      <c r="N144">
        <v>306.5</v>
      </c>
      <c r="O144">
        <v>12.5</v>
      </c>
      <c r="P144">
        <v>1223.54545454545</v>
      </c>
      <c r="Q144">
        <v>1236.04545454545</v>
      </c>
      <c r="R144">
        <v>0</v>
      </c>
      <c r="S144">
        <v>1236.04545454545</v>
      </c>
      <c r="T144">
        <v>660</v>
      </c>
      <c r="U144">
        <f>SUMIF(货件明细!J:J,E144,货件明细!AP:AP)</f>
        <v>0</v>
      </c>
      <c r="V144">
        <f>IF(U144=T144,0,1)</f>
        <v>1</v>
      </c>
      <c r="W144">
        <f>T144</f>
        <v>660</v>
      </c>
      <c r="X144">
        <f>SUMIF(货件明细!J:J,E144,货件明细!H:H)</f>
        <v>0</v>
      </c>
      <c r="Y144">
        <f>N144-X144</f>
        <v>306.5</v>
      </c>
      <c r="Z144">
        <f>SUMIF(货件明细!J:J,E144,货件明细!I:I)</f>
        <v>0</v>
      </c>
      <c r="AA144">
        <f>IF(S144=Z144,0,1)</f>
        <v>1</v>
      </c>
    </row>
    <row r="145" hidden="1" spans="1:27">
      <c r="A145">
        <v>1</v>
      </c>
      <c r="B145">
        <v>3</v>
      </c>
      <c r="C145" s="3">
        <v>46039</v>
      </c>
      <c r="D145" t="s">
        <v>88</v>
      </c>
      <c r="E145" t="s">
        <v>232</v>
      </c>
      <c r="F145" t="s">
        <v>211</v>
      </c>
      <c r="G145" t="s">
        <v>72</v>
      </c>
      <c r="H145" t="s">
        <v>59</v>
      </c>
      <c r="I145" t="s">
        <v>63</v>
      </c>
      <c r="J145" t="s">
        <v>63</v>
      </c>
      <c r="K145" t="s">
        <v>64</v>
      </c>
      <c r="L145" t="s">
        <v>65</v>
      </c>
      <c r="M145" t="s">
        <v>66</v>
      </c>
      <c r="N145">
        <v>167.55</v>
      </c>
      <c r="O145">
        <v>12.5</v>
      </c>
      <c r="P145">
        <v>685.185454545454</v>
      </c>
      <c r="Q145">
        <v>697.685454545454</v>
      </c>
      <c r="R145">
        <v>0</v>
      </c>
      <c r="S145">
        <v>697.685454545454</v>
      </c>
      <c r="T145">
        <v>674</v>
      </c>
      <c r="U145">
        <f>SUMIF(货件明细!J:J,E145,货件明细!AP:AP)</f>
        <v>0</v>
      </c>
      <c r="V145">
        <f>IF(U145=T145,0,1)</f>
        <v>1</v>
      </c>
      <c r="W145">
        <f>T145</f>
        <v>674</v>
      </c>
      <c r="X145">
        <f>SUMIF(货件明细!J:J,E145,货件明细!H:H)</f>
        <v>0</v>
      </c>
      <c r="Y145">
        <f>N145-X145</f>
        <v>167.55</v>
      </c>
      <c r="Z145">
        <f>SUMIF(货件明细!J:J,E145,货件明细!I:I)</f>
        <v>0</v>
      </c>
      <c r="AA145">
        <f>IF(S145=Z145,0,1)</f>
        <v>1</v>
      </c>
    </row>
    <row r="146" hidden="1" spans="1:27">
      <c r="A146">
        <v>1</v>
      </c>
      <c r="B146">
        <v>3</v>
      </c>
      <c r="C146" s="3">
        <v>46039</v>
      </c>
      <c r="D146" t="s">
        <v>88</v>
      </c>
      <c r="E146" t="s">
        <v>233</v>
      </c>
      <c r="F146" t="s">
        <v>211</v>
      </c>
      <c r="G146" t="s">
        <v>72</v>
      </c>
      <c r="H146" t="s">
        <v>54</v>
      </c>
      <c r="I146" t="s">
        <v>63</v>
      </c>
      <c r="J146" t="s">
        <v>63</v>
      </c>
      <c r="K146" t="s">
        <v>64</v>
      </c>
      <c r="L146" t="s">
        <v>65</v>
      </c>
      <c r="M146" t="s">
        <v>66</v>
      </c>
      <c r="N146">
        <v>180</v>
      </c>
      <c r="O146">
        <v>12.5</v>
      </c>
      <c r="P146">
        <v>489.418181818182</v>
      </c>
      <c r="Q146">
        <v>501.918181818182</v>
      </c>
      <c r="R146">
        <v>0</v>
      </c>
      <c r="S146">
        <v>501.918181818182</v>
      </c>
      <c r="T146">
        <v>490</v>
      </c>
      <c r="U146">
        <f>SUMIF(货件明细!J:J,E146,货件明细!AP:AP)</f>
        <v>0</v>
      </c>
      <c r="V146">
        <f>IF(U146=T146,0,1)</f>
        <v>1</v>
      </c>
      <c r="W146">
        <f>T146</f>
        <v>490</v>
      </c>
      <c r="X146">
        <f>SUMIF(货件明细!J:J,E146,货件明细!H:H)</f>
        <v>0</v>
      </c>
      <c r="Y146">
        <f>N146-X146</f>
        <v>180</v>
      </c>
      <c r="Z146">
        <f>SUMIF(货件明细!J:J,E146,货件明细!I:I)</f>
        <v>0</v>
      </c>
      <c r="AA146">
        <f>IF(S146=Z146,0,1)</f>
        <v>1</v>
      </c>
    </row>
    <row r="147" hidden="1" spans="1:27">
      <c r="A147">
        <v>1</v>
      </c>
      <c r="B147">
        <v>3</v>
      </c>
      <c r="C147" s="3">
        <v>46039</v>
      </c>
      <c r="D147" t="s">
        <v>27</v>
      </c>
      <c r="E147" t="s">
        <v>234</v>
      </c>
      <c r="F147" t="s">
        <v>195</v>
      </c>
      <c r="G147" t="s">
        <v>30</v>
      </c>
      <c r="H147" t="s">
        <v>56</v>
      </c>
      <c r="I147" t="s">
        <v>63</v>
      </c>
      <c r="J147" t="s">
        <v>63</v>
      </c>
      <c r="K147" t="s">
        <v>64</v>
      </c>
      <c r="L147" t="s">
        <v>65</v>
      </c>
      <c r="M147" t="s">
        <v>66</v>
      </c>
      <c r="N147">
        <v>11.2</v>
      </c>
      <c r="O147">
        <v>20</v>
      </c>
      <c r="P147">
        <v>96.1272727272727</v>
      </c>
      <c r="Q147">
        <v>116.127272727273</v>
      </c>
      <c r="R147">
        <v>0</v>
      </c>
      <c r="S147">
        <v>116.127272727273</v>
      </c>
      <c r="T147">
        <v>81</v>
      </c>
      <c r="U147">
        <f>SUMIF(货件明细!J:J,E147,货件明细!AP:AP)</f>
        <v>0</v>
      </c>
      <c r="V147">
        <f>IF(U147=T147,0,1)</f>
        <v>1</v>
      </c>
      <c r="W147">
        <f>T147</f>
        <v>81</v>
      </c>
      <c r="X147">
        <f>SUMIF(货件明细!J:J,E147,货件明细!H:H)</f>
        <v>0</v>
      </c>
      <c r="Y147">
        <f>N147-X147</f>
        <v>11.2</v>
      </c>
      <c r="Z147">
        <f>SUMIF(货件明细!J:J,E147,货件明细!I:I)</f>
        <v>0</v>
      </c>
      <c r="AA147">
        <f>IF(S147=Z147,0,1)</f>
        <v>1</v>
      </c>
    </row>
    <row r="148" hidden="1" spans="1:27">
      <c r="A148">
        <v>1</v>
      </c>
      <c r="B148">
        <v>3</v>
      </c>
      <c r="C148" s="3">
        <v>46039</v>
      </c>
      <c r="D148" t="s">
        <v>27</v>
      </c>
      <c r="E148" t="s">
        <v>235</v>
      </c>
      <c r="F148" t="s">
        <v>62</v>
      </c>
      <c r="G148" t="s">
        <v>30</v>
      </c>
      <c r="H148" t="s">
        <v>56</v>
      </c>
      <c r="I148" t="s">
        <v>63</v>
      </c>
      <c r="J148" t="s">
        <v>63</v>
      </c>
      <c r="K148" t="s">
        <v>64</v>
      </c>
      <c r="L148" t="s">
        <v>65</v>
      </c>
      <c r="M148" t="s">
        <v>66</v>
      </c>
      <c r="N148">
        <v>11.2</v>
      </c>
      <c r="O148">
        <v>20</v>
      </c>
      <c r="P148">
        <v>94.3666666666667</v>
      </c>
      <c r="Q148">
        <v>114.366666666667</v>
      </c>
      <c r="R148">
        <v>0</v>
      </c>
      <c r="S148">
        <v>114.366666666667</v>
      </c>
      <c r="T148">
        <v>81</v>
      </c>
      <c r="U148">
        <f>SUMIF(货件明细!J:J,E148,货件明细!AP:AP)</f>
        <v>0</v>
      </c>
      <c r="V148">
        <f>IF(U148=T148,0,1)</f>
        <v>1</v>
      </c>
      <c r="W148">
        <f>T148</f>
        <v>81</v>
      </c>
      <c r="X148">
        <f>SUMIF(货件明细!J:J,E148,货件明细!H:H)</f>
        <v>0</v>
      </c>
      <c r="Y148">
        <f>N148-X148</f>
        <v>11.2</v>
      </c>
      <c r="Z148">
        <f>SUMIF(货件明细!J:J,E148,货件明细!I:I)</f>
        <v>0</v>
      </c>
      <c r="AA148">
        <f>IF(S148=Z148,0,1)</f>
        <v>1</v>
      </c>
    </row>
    <row r="149" hidden="1" spans="1:27">
      <c r="A149">
        <v>1</v>
      </c>
      <c r="B149">
        <v>3</v>
      </c>
      <c r="C149" s="3">
        <v>46039</v>
      </c>
      <c r="D149" t="s">
        <v>27</v>
      </c>
      <c r="E149" t="s">
        <v>236</v>
      </c>
      <c r="F149" t="s">
        <v>71</v>
      </c>
      <c r="G149" t="s">
        <v>72</v>
      </c>
      <c r="H149" t="s">
        <v>56</v>
      </c>
      <c r="I149" t="s">
        <v>63</v>
      </c>
      <c r="J149" t="s">
        <v>63</v>
      </c>
      <c r="K149" t="s">
        <v>64</v>
      </c>
      <c r="L149" t="s">
        <v>65</v>
      </c>
      <c r="M149" t="s">
        <v>66</v>
      </c>
      <c r="N149">
        <v>11.2</v>
      </c>
      <c r="O149">
        <v>12.5</v>
      </c>
      <c r="P149">
        <v>57</v>
      </c>
      <c r="Q149">
        <v>69.5</v>
      </c>
      <c r="R149">
        <v>0</v>
      </c>
      <c r="S149">
        <v>69.5</v>
      </c>
      <c r="T149">
        <v>81</v>
      </c>
      <c r="U149">
        <f>SUMIF(货件明细!J:J,E149,货件明细!AP:AP)</f>
        <v>0</v>
      </c>
      <c r="V149">
        <f>IF(U149=T149,0,1)</f>
        <v>1</v>
      </c>
      <c r="W149">
        <f>T149</f>
        <v>81</v>
      </c>
      <c r="X149">
        <f>SUMIF(货件明细!J:J,E149,货件明细!H:H)</f>
        <v>0</v>
      </c>
      <c r="Y149">
        <f>N149-X149</f>
        <v>11.2</v>
      </c>
      <c r="Z149">
        <f>SUMIF(货件明细!J:J,E149,货件明细!I:I)</f>
        <v>0</v>
      </c>
      <c r="AA149">
        <f>IF(S149=Z149,0,1)</f>
        <v>1</v>
      </c>
    </row>
    <row r="150" hidden="1" spans="1:27">
      <c r="A150">
        <v>1</v>
      </c>
      <c r="B150">
        <v>3</v>
      </c>
      <c r="C150" s="3">
        <v>46039</v>
      </c>
      <c r="D150" t="s">
        <v>27</v>
      </c>
      <c r="E150" t="s">
        <v>237</v>
      </c>
      <c r="F150" t="s">
        <v>187</v>
      </c>
      <c r="G150" t="s">
        <v>72</v>
      </c>
      <c r="H150" t="s">
        <v>56</v>
      </c>
      <c r="I150" t="s">
        <v>63</v>
      </c>
      <c r="J150" t="s">
        <v>63</v>
      </c>
      <c r="K150" t="s">
        <v>64</v>
      </c>
      <c r="L150" t="s">
        <v>65</v>
      </c>
      <c r="M150" t="s">
        <v>66</v>
      </c>
      <c r="N150">
        <v>11.2</v>
      </c>
      <c r="O150">
        <v>12.5</v>
      </c>
      <c r="P150">
        <v>50.2769230769231</v>
      </c>
      <c r="Q150">
        <v>62.7769230769231</v>
      </c>
      <c r="R150">
        <v>0</v>
      </c>
      <c r="S150">
        <v>62.7769230769231</v>
      </c>
      <c r="T150">
        <v>81</v>
      </c>
      <c r="U150">
        <f>SUMIF(货件明细!J:J,E150,货件明细!AP:AP)</f>
        <v>0</v>
      </c>
      <c r="V150">
        <f>IF(U150=T150,0,1)</f>
        <v>1</v>
      </c>
      <c r="W150">
        <f>T150</f>
        <v>81</v>
      </c>
      <c r="X150">
        <f>SUMIF(货件明细!J:J,E150,货件明细!H:H)</f>
        <v>0</v>
      </c>
      <c r="Y150">
        <f>N150-X150</f>
        <v>11.2</v>
      </c>
      <c r="Z150">
        <f>SUMIF(货件明细!J:J,E150,货件明细!I:I)</f>
        <v>0</v>
      </c>
      <c r="AA150">
        <f>IF(S150=Z150,0,1)</f>
        <v>1</v>
      </c>
    </row>
    <row r="151" hidden="1" spans="1:27">
      <c r="A151">
        <v>1</v>
      </c>
      <c r="B151">
        <v>3</v>
      </c>
      <c r="C151" s="3">
        <v>46039</v>
      </c>
      <c r="D151" t="s">
        <v>27</v>
      </c>
      <c r="E151" t="s">
        <v>238</v>
      </c>
      <c r="F151" t="s">
        <v>239</v>
      </c>
      <c r="G151" t="s">
        <v>72</v>
      </c>
      <c r="H151" t="s">
        <v>56</v>
      </c>
      <c r="I151" t="s">
        <v>63</v>
      </c>
      <c r="J151" t="s">
        <v>63</v>
      </c>
      <c r="K151" t="s">
        <v>64</v>
      </c>
      <c r="L151" t="s">
        <v>65</v>
      </c>
      <c r="M151" t="s">
        <v>66</v>
      </c>
      <c r="N151">
        <v>11.2</v>
      </c>
      <c r="O151">
        <v>12.5</v>
      </c>
      <c r="P151">
        <v>57</v>
      </c>
      <c r="Q151">
        <v>69.5</v>
      </c>
      <c r="R151">
        <v>0</v>
      </c>
      <c r="S151">
        <v>69.5</v>
      </c>
      <c r="T151">
        <v>81</v>
      </c>
      <c r="U151">
        <f>SUMIF(货件明细!J:J,E151,货件明细!AP:AP)</f>
        <v>0</v>
      </c>
      <c r="V151">
        <f>IF(U151=T151,0,1)</f>
        <v>1</v>
      </c>
      <c r="W151">
        <f>T151</f>
        <v>81</v>
      </c>
      <c r="X151">
        <f>SUMIF(货件明细!J:J,E151,货件明细!H:H)</f>
        <v>0</v>
      </c>
      <c r="Y151">
        <f>N151-X151</f>
        <v>11.2</v>
      </c>
      <c r="Z151">
        <f>SUMIF(货件明细!J:J,E151,货件明细!I:I)</f>
        <v>0</v>
      </c>
      <c r="AA151">
        <f>IF(S151=Z151,0,1)</f>
        <v>1</v>
      </c>
    </row>
    <row r="152" hidden="1" spans="1:27">
      <c r="A152">
        <v>1</v>
      </c>
      <c r="B152">
        <v>3</v>
      </c>
      <c r="C152" s="3">
        <v>46039</v>
      </c>
      <c r="D152" t="s">
        <v>27</v>
      </c>
      <c r="E152" t="s">
        <v>240</v>
      </c>
      <c r="F152" t="s">
        <v>185</v>
      </c>
      <c r="G152" t="s">
        <v>30</v>
      </c>
      <c r="H152" t="s">
        <v>224</v>
      </c>
      <c r="I152" t="s">
        <v>63</v>
      </c>
      <c r="J152" t="s">
        <v>63</v>
      </c>
      <c r="K152" t="s">
        <v>64</v>
      </c>
      <c r="L152" t="s">
        <v>65</v>
      </c>
      <c r="M152" t="s">
        <v>66</v>
      </c>
      <c r="N152">
        <v>23.4</v>
      </c>
      <c r="O152">
        <v>20</v>
      </c>
      <c r="P152">
        <v>155.5</v>
      </c>
      <c r="Q152">
        <v>175.5</v>
      </c>
      <c r="R152">
        <v>0</v>
      </c>
      <c r="S152">
        <v>175.5</v>
      </c>
      <c r="T152">
        <v>172</v>
      </c>
      <c r="U152">
        <f>SUMIF(货件明细!J:J,E152,货件明细!AP:AP)</f>
        <v>0</v>
      </c>
      <c r="V152">
        <f>IF(U152=T152,0,1)</f>
        <v>1</v>
      </c>
      <c r="W152">
        <f>T152</f>
        <v>172</v>
      </c>
      <c r="X152">
        <f>SUMIF(货件明细!J:J,E152,货件明细!H:H)</f>
        <v>0</v>
      </c>
      <c r="Y152">
        <f>N152-X152</f>
        <v>23.4</v>
      </c>
      <c r="Z152">
        <f>SUMIF(货件明细!J:J,E152,货件明细!I:I)</f>
        <v>0</v>
      </c>
      <c r="AA152">
        <f>IF(S152=Z152,0,1)</f>
        <v>1</v>
      </c>
    </row>
    <row r="153" hidden="1" spans="1:27">
      <c r="A153">
        <v>1</v>
      </c>
      <c r="B153">
        <v>3</v>
      </c>
      <c r="C153" s="3">
        <v>46039</v>
      </c>
      <c r="D153" t="s">
        <v>27</v>
      </c>
      <c r="E153" t="s">
        <v>241</v>
      </c>
      <c r="F153" t="s">
        <v>68</v>
      </c>
      <c r="G153" t="s">
        <v>69</v>
      </c>
      <c r="H153" t="s">
        <v>224</v>
      </c>
      <c r="I153" t="s">
        <v>63</v>
      </c>
      <c r="J153" t="s">
        <v>63</v>
      </c>
      <c r="K153" t="s">
        <v>64</v>
      </c>
      <c r="L153" t="s">
        <v>65</v>
      </c>
      <c r="M153" t="s">
        <v>66</v>
      </c>
      <c r="N153">
        <v>23.4</v>
      </c>
      <c r="O153">
        <v>20</v>
      </c>
      <c r="P153">
        <v>144.1</v>
      </c>
      <c r="Q153">
        <v>164.1</v>
      </c>
      <c r="R153">
        <v>0</v>
      </c>
      <c r="S153">
        <v>164.1</v>
      </c>
      <c r="T153">
        <v>172</v>
      </c>
      <c r="U153">
        <f>SUMIF(货件明细!J:J,E153,货件明细!AP:AP)</f>
        <v>0</v>
      </c>
      <c r="V153">
        <f>IF(U153=T153,0,1)</f>
        <v>1</v>
      </c>
      <c r="W153">
        <f>T153</f>
        <v>172</v>
      </c>
      <c r="X153">
        <f>SUMIF(货件明细!J:J,E153,货件明细!H:H)</f>
        <v>0</v>
      </c>
      <c r="Y153">
        <f>N153-X153</f>
        <v>23.4</v>
      </c>
      <c r="Z153">
        <f>SUMIF(货件明细!J:J,E153,货件明细!I:I)</f>
        <v>0</v>
      </c>
      <c r="AA153">
        <f>IF(S153=Z153,0,1)</f>
        <v>1</v>
      </c>
    </row>
    <row r="154" hidden="1" spans="1:27">
      <c r="A154">
        <v>1</v>
      </c>
      <c r="B154">
        <v>3</v>
      </c>
      <c r="C154" s="3">
        <v>46039</v>
      </c>
      <c r="D154" t="s">
        <v>27</v>
      </c>
      <c r="E154" t="s">
        <v>242</v>
      </c>
      <c r="F154" t="s">
        <v>243</v>
      </c>
      <c r="G154" t="s">
        <v>72</v>
      </c>
      <c r="H154" t="s">
        <v>224</v>
      </c>
      <c r="I154" t="s">
        <v>63</v>
      </c>
      <c r="J154" t="s">
        <v>63</v>
      </c>
      <c r="K154" t="s">
        <v>64</v>
      </c>
      <c r="L154" t="s">
        <v>65</v>
      </c>
      <c r="M154" t="s">
        <v>66</v>
      </c>
      <c r="N154">
        <v>23.4</v>
      </c>
      <c r="O154">
        <v>12.5</v>
      </c>
      <c r="P154">
        <v>95</v>
      </c>
      <c r="Q154">
        <v>107.5</v>
      </c>
      <c r="R154">
        <v>0</v>
      </c>
      <c r="S154">
        <v>107.5</v>
      </c>
      <c r="T154">
        <v>172</v>
      </c>
      <c r="U154">
        <f>SUMIF(货件明细!J:J,E154,货件明细!AP:AP)</f>
        <v>0</v>
      </c>
      <c r="V154">
        <f>IF(U154=T154,0,1)</f>
        <v>1</v>
      </c>
      <c r="W154">
        <f>T154</f>
        <v>172</v>
      </c>
      <c r="X154">
        <f>SUMIF(货件明细!J:J,E154,货件明细!H:H)</f>
        <v>0</v>
      </c>
      <c r="Y154">
        <f>N154-X154</f>
        <v>23.4</v>
      </c>
      <c r="Z154">
        <f>SUMIF(货件明细!J:J,E154,货件明细!I:I)</f>
        <v>0</v>
      </c>
      <c r="AA154">
        <f>IF(S154=Z154,0,1)</f>
        <v>1</v>
      </c>
    </row>
    <row r="155" hidden="1" spans="1:27">
      <c r="A155">
        <v>1</v>
      </c>
      <c r="B155">
        <v>3</v>
      </c>
      <c r="C155" s="3">
        <v>46039</v>
      </c>
      <c r="D155" t="s">
        <v>27</v>
      </c>
      <c r="E155" t="s">
        <v>244</v>
      </c>
      <c r="F155" t="s">
        <v>198</v>
      </c>
      <c r="G155" t="s">
        <v>69</v>
      </c>
      <c r="H155" t="s">
        <v>224</v>
      </c>
      <c r="I155" t="s">
        <v>63</v>
      </c>
      <c r="J155" t="s">
        <v>63</v>
      </c>
      <c r="K155" t="s">
        <v>64</v>
      </c>
      <c r="L155" t="s">
        <v>65</v>
      </c>
      <c r="M155" t="s">
        <v>66</v>
      </c>
      <c r="N155">
        <v>23.4</v>
      </c>
      <c r="O155">
        <v>20</v>
      </c>
      <c r="P155">
        <v>131</v>
      </c>
      <c r="Q155">
        <v>151</v>
      </c>
      <c r="R155">
        <v>0</v>
      </c>
      <c r="S155">
        <v>151</v>
      </c>
      <c r="T155">
        <v>172</v>
      </c>
      <c r="U155">
        <f>SUMIF(货件明细!J:J,E155,货件明细!AP:AP)</f>
        <v>0</v>
      </c>
      <c r="V155">
        <f>IF(U155=T155,0,1)</f>
        <v>1</v>
      </c>
      <c r="W155">
        <f>T155</f>
        <v>172</v>
      </c>
      <c r="X155">
        <f>SUMIF(货件明细!J:J,E155,货件明细!H:H)</f>
        <v>0</v>
      </c>
      <c r="Y155">
        <f>N155-X155</f>
        <v>23.4</v>
      </c>
      <c r="Z155">
        <f>SUMIF(货件明细!J:J,E155,货件明细!I:I)</f>
        <v>0</v>
      </c>
      <c r="AA155">
        <f>IF(S155=Z155,0,1)</f>
        <v>1</v>
      </c>
    </row>
    <row r="156" hidden="1" spans="1:27">
      <c r="A156">
        <v>1</v>
      </c>
      <c r="B156">
        <v>3</v>
      </c>
      <c r="C156" s="3">
        <v>46039</v>
      </c>
      <c r="D156" t="s">
        <v>27</v>
      </c>
      <c r="E156" t="s">
        <v>245</v>
      </c>
      <c r="F156" t="s">
        <v>187</v>
      </c>
      <c r="G156" t="s">
        <v>72</v>
      </c>
      <c r="H156" t="s">
        <v>224</v>
      </c>
      <c r="I156" t="s">
        <v>63</v>
      </c>
      <c r="J156" t="s">
        <v>63</v>
      </c>
      <c r="K156" t="s">
        <v>64</v>
      </c>
      <c r="L156" t="s">
        <v>65</v>
      </c>
      <c r="M156" t="s">
        <v>66</v>
      </c>
      <c r="N156">
        <v>23.4</v>
      </c>
      <c r="O156">
        <v>12.5</v>
      </c>
      <c r="P156">
        <v>100.553846153846</v>
      </c>
      <c r="Q156">
        <v>113.053846153846</v>
      </c>
      <c r="R156">
        <v>0</v>
      </c>
      <c r="S156">
        <v>113.053846153846</v>
      </c>
      <c r="T156">
        <v>172</v>
      </c>
      <c r="U156">
        <f>SUMIF(货件明细!J:J,E156,货件明细!AP:AP)</f>
        <v>0</v>
      </c>
      <c r="V156">
        <f>IF(U156=T156,0,1)</f>
        <v>1</v>
      </c>
      <c r="W156">
        <f>T156</f>
        <v>172</v>
      </c>
      <c r="X156">
        <f>SUMIF(货件明细!J:J,E156,货件明细!H:H)</f>
        <v>0</v>
      </c>
      <c r="Y156">
        <f>N156-X156</f>
        <v>23.4</v>
      </c>
      <c r="Z156">
        <f>SUMIF(货件明细!J:J,E156,货件明细!I:I)</f>
        <v>0</v>
      </c>
      <c r="AA156">
        <f>IF(S156=Z156,0,1)</f>
        <v>1</v>
      </c>
    </row>
    <row r="157" hidden="1" spans="1:27">
      <c r="A157">
        <v>1</v>
      </c>
      <c r="B157">
        <v>3</v>
      </c>
      <c r="C157" s="3">
        <v>46039</v>
      </c>
      <c r="D157" t="s">
        <v>27</v>
      </c>
      <c r="E157" t="s">
        <v>246</v>
      </c>
      <c r="F157" t="s">
        <v>195</v>
      </c>
      <c r="G157" t="s">
        <v>30</v>
      </c>
      <c r="H157" t="s">
        <v>59</v>
      </c>
      <c r="I157" t="s">
        <v>63</v>
      </c>
      <c r="J157" t="s">
        <v>63</v>
      </c>
      <c r="K157" t="s">
        <v>64</v>
      </c>
      <c r="L157" t="s">
        <v>65</v>
      </c>
      <c r="M157" t="s">
        <v>66</v>
      </c>
      <c r="N157">
        <v>35.4</v>
      </c>
      <c r="O157">
        <v>20</v>
      </c>
      <c r="P157">
        <v>192.254545454545</v>
      </c>
      <c r="Q157">
        <v>212.254545454545</v>
      </c>
      <c r="R157">
        <v>0</v>
      </c>
      <c r="S157">
        <v>212.254545454545</v>
      </c>
      <c r="T157">
        <v>94</v>
      </c>
      <c r="U157">
        <f>SUMIF(货件明细!J:J,E157,货件明细!AP:AP)</f>
        <v>0</v>
      </c>
      <c r="V157">
        <f>IF(U157=T157,0,1)</f>
        <v>1</v>
      </c>
      <c r="W157">
        <f>T157</f>
        <v>94</v>
      </c>
      <c r="X157">
        <f>SUMIF(货件明细!J:J,E157,货件明细!H:H)</f>
        <v>0</v>
      </c>
      <c r="Y157">
        <f>N157-X157</f>
        <v>35.4</v>
      </c>
      <c r="Z157">
        <f>SUMIF(货件明细!J:J,E157,货件明细!I:I)</f>
        <v>0</v>
      </c>
      <c r="AA157">
        <f>IF(S157=Z157,0,1)</f>
        <v>1</v>
      </c>
    </row>
    <row r="158" hidden="1" spans="1:27">
      <c r="A158">
        <v>1</v>
      </c>
      <c r="B158">
        <v>3</v>
      </c>
      <c r="C158" s="3">
        <v>46039</v>
      </c>
      <c r="D158" t="s">
        <v>27</v>
      </c>
      <c r="E158" t="s">
        <v>247</v>
      </c>
      <c r="F158" t="s">
        <v>243</v>
      </c>
      <c r="G158" t="s">
        <v>72</v>
      </c>
      <c r="H158" t="s">
        <v>59</v>
      </c>
      <c r="I158" t="s">
        <v>63</v>
      </c>
      <c r="J158" t="s">
        <v>63</v>
      </c>
      <c r="K158" t="s">
        <v>64</v>
      </c>
      <c r="L158" t="s">
        <v>65</v>
      </c>
      <c r="M158" t="s">
        <v>66</v>
      </c>
      <c r="N158">
        <v>35.4</v>
      </c>
      <c r="O158">
        <v>12.5</v>
      </c>
      <c r="P158">
        <v>123.5</v>
      </c>
      <c r="Q158">
        <v>136</v>
      </c>
      <c r="R158">
        <v>0</v>
      </c>
      <c r="S158">
        <v>136</v>
      </c>
      <c r="T158">
        <v>94</v>
      </c>
      <c r="U158">
        <f>SUMIF(货件明细!J:J,E158,货件明细!AP:AP)</f>
        <v>0</v>
      </c>
      <c r="V158">
        <f>IF(U158=T158,0,1)</f>
        <v>1</v>
      </c>
      <c r="W158">
        <f>T158</f>
        <v>94</v>
      </c>
      <c r="X158">
        <f>SUMIF(货件明细!J:J,E158,货件明细!H:H)</f>
        <v>0</v>
      </c>
      <c r="Y158">
        <f>N158-X158</f>
        <v>35.4</v>
      </c>
      <c r="Z158">
        <f>SUMIF(货件明细!J:J,E158,货件明细!I:I)</f>
        <v>0</v>
      </c>
      <c r="AA158">
        <f>IF(S158=Z158,0,1)</f>
        <v>1</v>
      </c>
    </row>
    <row r="159" hidden="1" spans="1:27">
      <c r="A159">
        <v>1</v>
      </c>
      <c r="B159">
        <v>3</v>
      </c>
      <c r="C159" s="3">
        <v>46039</v>
      </c>
      <c r="D159" t="s">
        <v>27</v>
      </c>
      <c r="E159" t="s">
        <v>248</v>
      </c>
      <c r="F159" t="s">
        <v>198</v>
      </c>
      <c r="G159" t="s">
        <v>69</v>
      </c>
      <c r="H159" t="s">
        <v>59</v>
      </c>
      <c r="I159" t="s">
        <v>63</v>
      </c>
      <c r="J159" t="s">
        <v>63</v>
      </c>
      <c r="K159" t="s">
        <v>64</v>
      </c>
      <c r="L159" t="s">
        <v>65</v>
      </c>
      <c r="M159" t="s">
        <v>66</v>
      </c>
      <c r="N159">
        <v>35.4</v>
      </c>
      <c r="O159">
        <v>20</v>
      </c>
      <c r="P159">
        <v>157.2</v>
      </c>
      <c r="Q159">
        <v>177.2</v>
      </c>
      <c r="R159">
        <v>0</v>
      </c>
      <c r="S159">
        <v>177.2</v>
      </c>
      <c r="T159">
        <v>94</v>
      </c>
      <c r="U159">
        <f>SUMIF(货件明细!J:J,E159,货件明细!AP:AP)</f>
        <v>0</v>
      </c>
      <c r="V159">
        <f>IF(U159=T159,0,1)</f>
        <v>1</v>
      </c>
      <c r="W159">
        <f>T159</f>
        <v>94</v>
      </c>
      <c r="X159">
        <f>SUMIF(货件明细!J:J,E159,货件明细!H:H)</f>
        <v>0</v>
      </c>
      <c r="Y159">
        <f>N159-X159</f>
        <v>35.4</v>
      </c>
      <c r="Z159">
        <f>SUMIF(货件明细!J:J,E159,货件明细!I:I)</f>
        <v>0</v>
      </c>
      <c r="AA159">
        <f>IF(S159=Z159,0,1)</f>
        <v>1</v>
      </c>
    </row>
    <row r="160" hidden="1" spans="1:27">
      <c r="A160">
        <v>1</v>
      </c>
      <c r="B160">
        <v>3</v>
      </c>
      <c r="C160" s="3">
        <v>46039</v>
      </c>
      <c r="D160" t="s">
        <v>27</v>
      </c>
      <c r="E160" t="s">
        <v>249</v>
      </c>
      <c r="F160" t="s">
        <v>250</v>
      </c>
      <c r="G160" t="s">
        <v>72</v>
      </c>
      <c r="H160" t="s">
        <v>59</v>
      </c>
      <c r="I160" t="s">
        <v>63</v>
      </c>
      <c r="J160" t="s">
        <v>63</v>
      </c>
      <c r="K160" t="s">
        <v>64</v>
      </c>
      <c r="L160" t="s">
        <v>65</v>
      </c>
      <c r="M160" t="s">
        <v>66</v>
      </c>
      <c r="N160">
        <v>35.4</v>
      </c>
      <c r="O160">
        <v>12.5</v>
      </c>
      <c r="P160">
        <v>123.5</v>
      </c>
      <c r="Q160">
        <v>136</v>
      </c>
      <c r="R160">
        <v>0</v>
      </c>
      <c r="S160">
        <v>136</v>
      </c>
      <c r="T160">
        <v>94</v>
      </c>
      <c r="U160">
        <f>SUMIF(货件明细!J:J,E160,货件明细!AP:AP)</f>
        <v>0</v>
      </c>
      <c r="V160">
        <f>IF(U160=T160,0,1)</f>
        <v>1</v>
      </c>
      <c r="W160">
        <f>T160</f>
        <v>94</v>
      </c>
      <c r="X160">
        <f>SUMIF(货件明细!J:J,E160,货件明细!H:H)</f>
        <v>0</v>
      </c>
      <c r="Y160">
        <f>N160-X160</f>
        <v>35.4</v>
      </c>
      <c r="Z160">
        <f>SUMIF(货件明细!J:J,E160,货件明细!I:I)</f>
        <v>0</v>
      </c>
      <c r="AA160">
        <f>IF(S160=Z160,0,1)</f>
        <v>1</v>
      </c>
    </row>
    <row r="161" hidden="1" spans="1:27">
      <c r="A161">
        <v>1</v>
      </c>
      <c r="B161">
        <v>3</v>
      </c>
      <c r="C161" s="3">
        <v>46039</v>
      </c>
      <c r="D161" t="s">
        <v>27</v>
      </c>
      <c r="E161" t="s">
        <v>251</v>
      </c>
      <c r="F161" t="s">
        <v>187</v>
      </c>
      <c r="G161" t="s">
        <v>72</v>
      </c>
      <c r="H161" t="s">
        <v>59</v>
      </c>
      <c r="I161" t="s">
        <v>63</v>
      </c>
      <c r="J161" t="s">
        <v>63</v>
      </c>
      <c r="K161" t="s">
        <v>64</v>
      </c>
      <c r="L161" t="s">
        <v>65</v>
      </c>
      <c r="M161" t="s">
        <v>66</v>
      </c>
      <c r="N161">
        <v>35.4</v>
      </c>
      <c r="O161">
        <v>12.5</v>
      </c>
      <c r="P161">
        <v>100.553846153846</v>
      </c>
      <c r="Q161">
        <v>113.053846153846</v>
      </c>
      <c r="R161">
        <v>0</v>
      </c>
      <c r="S161">
        <v>113.053846153846</v>
      </c>
      <c r="T161">
        <v>94</v>
      </c>
      <c r="U161">
        <f>SUMIF(货件明细!J:J,E161,货件明细!AP:AP)</f>
        <v>0</v>
      </c>
      <c r="V161">
        <f>IF(U161=T161,0,1)</f>
        <v>1</v>
      </c>
      <c r="W161">
        <f>T161</f>
        <v>94</v>
      </c>
      <c r="X161">
        <f>SUMIF(货件明细!J:J,E161,货件明细!H:H)</f>
        <v>0</v>
      </c>
      <c r="Y161">
        <f>N161-X161</f>
        <v>35.4</v>
      </c>
      <c r="Z161">
        <f>SUMIF(货件明细!J:J,E161,货件明细!I:I)</f>
        <v>0</v>
      </c>
      <c r="AA161">
        <f>IF(S161=Z161,0,1)</f>
        <v>1</v>
      </c>
    </row>
    <row r="162" hidden="1" spans="1:27">
      <c r="A162">
        <v>1</v>
      </c>
      <c r="B162">
        <v>3</v>
      </c>
      <c r="C162" s="3">
        <v>46039</v>
      </c>
      <c r="D162" t="s">
        <v>27</v>
      </c>
      <c r="E162" t="s">
        <v>252</v>
      </c>
      <c r="F162" t="s">
        <v>195</v>
      </c>
      <c r="G162" t="s">
        <v>30</v>
      </c>
      <c r="H162" t="s">
        <v>51</v>
      </c>
      <c r="I162" t="s">
        <v>63</v>
      </c>
      <c r="J162" t="s">
        <v>63</v>
      </c>
      <c r="K162" t="s">
        <v>64</v>
      </c>
      <c r="L162" t="s">
        <v>65</v>
      </c>
      <c r="M162" t="s">
        <v>66</v>
      </c>
      <c r="N162">
        <v>20</v>
      </c>
      <c r="O162">
        <v>20</v>
      </c>
      <c r="P162">
        <v>192.254545454545</v>
      </c>
      <c r="Q162">
        <v>212.254545454545</v>
      </c>
      <c r="R162">
        <v>0</v>
      </c>
      <c r="S162">
        <v>212.254545454545</v>
      </c>
      <c r="T162">
        <v>43</v>
      </c>
      <c r="U162">
        <f>SUMIF(货件明细!J:J,E162,货件明细!AP:AP)</f>
        <v>0</v>
      </c>
      <c r="V162">
        <f>IF(U162=T162,0,1)</f>
        <v>1</v>
      </c>
      <c r="W162">
        <f>T162</f>
        <v>43</v>
      </c>
      <c r="X162">
        <f>SUMIF(货件明细!J:J,E162,货件明细!H:H)</f>
        <v>0</v>
      </c>
      <c r="Y162">
        <f>N162-X162</f>
        <v>20</v>
      </c>
      <c r="Z162">
        <f>SUMIF(货件明细!J:J,E162,货件明细!I:I)</f>
        <v>0</v>
      </c>
      <c r="AA162">
        <f>IF(S162=Z162,0,1)</f>
        <v>1</v>
      </c>
    </row>
    <row r="163" hidden="1" spans="1:27">
      <c r="A163">
        <v>1</v>
      </c>
      <c r="B163">
        <v>3</v>
      </c>
      <c r="C163" s="3">
        <v>46039</v>
      </c>
      <c r="D163" t="s">
        <v>27</v>
      </c>
      <c r="E163" t="s">
        <v>253</v>
      </c>
      <c r="F163" t="s">
        <v>62</v>
      </c>
      <c r="G163" t="s">
        <v>30</v>
      </c>
      <c r="H163" t="s">
        <v>51</v>
      </c>
      <c r="I163" t="s">
        <v>63</v>
      </c>
      <c r="J163" t="s">
        <v>63</v>
      </c>
      <c r="K163" t="s">
        <v>64</v>
      </c>
      <c r="L163" t="s">
        <v>65</v>
      </c>
      <c r="M163" t="s">
        <v>66</v>
      </c>
      <c r="N163">
        <v>20</v>
      </c>
      <c r="O163">
        <v>20</v>
      </c>
      <c r="P163">
        <v>188.733333333333</v>
      </c>
      <c r="Q163">
        <v>208.733333333333</v>
      </c>
      <c r="R163">
        <v>0</v>
      </c>
      <c r="S163">
        <v>208.733333333333</v>
      </c>
      <c r="T163">
        <v>43</v>
      </c>
      <c r="U163">
        <f>SUMIF(货件明细!J:J,E163,货件明细!AP:AP)</f>
        <v>0</v>
      </c>
      <c r="V163">
        <f>IF(U163=T163,0,1)</f>
        <v>1</v>
      </c>
      <c r="W163">
        <f>T163</f>
        <v>43</v>
      </c>
      <c r="X163">
        <f>SUMIF(货件明细!J:J,E163,货件明细!H:H)</f>
        <v>0</v>
      </c>
      <c r="Y163">
        <f>N163-X163</f>
        <v>20</v>
      </c>
      <c r="Z163">
        <f>SUMIF(货件明细!J:J,E163,货件明细!I:I)</f>
        <v>0</v>
      </c>
      <c r="AA163">
        <f>IF(S163=Z163,0,1)</f>
        <v>1</v>
      </c>
    </row>
    <row r="164" hidden="1" spans="1:27">
      <c r="A164">
        <v>1</v>
      </c>
      <c r="B164">
        <v>3</v>
      </c>
      <c r="C164" s="3">
        <v>46039</v>
      </c>
      <c r="D164" t="s">
        <v>27</v>
      </c>
      <c r="E164" t="s">
        <v>254</v>
      </c>
      <c r="F164" t="s">
        <v>71</v>
      </c>
      <c r="G164" t="s">
        <v>72</v>
      </c>
      <c r="H164" t="s">
        <v>51</v>
      </c>
      <c r="I164" t="s">
        <v>63</v>
      </c>
      <c r="J164" t="s">
        <v>63</v>
      </c>
      <c r="K164" t="s">
        <v>64</v>
      </c>
      <c r="L164" t="s">
        <v>65</v>
      </c>
      <c r="M164" t="s">
        <v>66</v>
      </c>
      <c r="N164">
        <v>20</v>
      </c>
      <c r="O164">
        <v>12.5</v>
      </c>
      <c r="P164">
        <v>114</v>
      </c>
      <c r="Q164">
        <v>126.5</v>
      </c>
      <c r="R164">
        <v>0</v>
      </c>
      <c r="S164">
        <v>126.5</v>
      </c>
      <c r="T164">
        <v>43</v>
      </c>
      <c r="U164">
        <f>SUMIF(货件明细!J:J,E164,货件明细!AP:AP)</f>
        <v>0</v>
      </c>
      <c r="V164">
        <f>IF(U164=T164,0,1)</f>
        <v>1</v>
      </c>
      <c r="W164">
        <f>T164</f>
        <v>43</v>
      </c>
      <c r="X164">
        <f>SUMIF(货件明细!J:J,E164,货件明细!H:H)</f>
        <v>0</v>
      </c>
      <c r="Y164">
        <f>N164-X164</f>
        <v>20</v>
      </c>
      <c r="Z164">
        <f>SUMIF(货件明细!J:J,E164,货件明细!I:I)</f>
        <v>0</v>
      </c>
      <c r="AA164">
        <f>IF(S164=Z164,0,1)</f>
        <v>1</v>
      </c>
    </row>
    <row r="165" hidden="1" spans="1:27">
      <c r="A165">
        <v>1</v>
      </c>
      <c r="B165">
        <v>3</v>
      </c>
      <c r="C165" s="3">
        <v>46039</v>
      </c>
      <c r="D165" t="s">
        <v>27</v>
      </c>
      <c r="E165" t="s">
        <v>255</v>
      </c>
      <c r="F165" t="s">
        <v>187</v>
      </c>
      <c r="G165" t="s">
        <v>72</v>
      </c>
      <c r="H165" t="s">
        <v>51</v>
      </c>
      <c r="I165" t="s">
        <v>63</v>
      </c>
      <c r="J165" t="s">
        <v>63</v>
      </c>
      <c r="K165" t="s">
        <v>64</v>
      </c>
      <c r="L165" t="s">
        <v>65</v>
      </c>
      <c r="M165" t="s">
        <v>66</v>
      </c>
      <c r="N165">
        <v>20</v>
      </c>
      <c r="O165">
        <v>12.5</v>
      </c>
      <c r="P165">
        <v>100.553846153846</v>
      </c>
      <c r="Q165">
        <v>113.053846153846</v>
      </c>
      <c r="R165">
        <v>0</v>
      </c>
      <c r="S165">
        <v>113.053846153846</v>
      </c>
      <c r="T165">
        <v>43</v>
      </c>
      <c r="U165">
        <f>SUMIF(货件明细!J:J,E165,货件明细!AP:AP)</f>
        <v>0</v>
      </c>
      <c r="V165">
        <f>IF(U165=T165,0,1)</f>
        <v>1</v>
      </c>
      <c r="W165">
        <f>T165</f>
        <v>43</v>
      </c>
      <c r="X165">
        <f>SUMIF(货件明细!J:J,E165,货件明细!H:H)</f>
        <v>0</v>
      </c>
      <c r="Y165">
        <f>N165-X165</f>
        <v>20</v>
      </c>
      <c r="Z165">
        <f>SUMIF(货件明细!J:J,E165,货件明细!I:I)</f>
        <v>0</v>
      </c>
      <c r="AA165">
        <f>IF(S165=Z165,0,1)</f>
        <v>1</v>
      </c>
    </row>
    <row r="166" hidden="1" spans="1:27">
      <c r="A166">
        <v>1</v>
      </c>
      <c r="B166">
        <v>3</v>
      </c>
      <c r="C166" s="3">
        <v>46039</v>
      </c>
      <c r="D166" t="s">
        <v>27</v>
      </c>
      <c r="E166" t="s">
        <v>256</v>
      </c>
      <c r="F166" t="s">
        <v>239</v>
      </c>
      <c r="G166" t="s">
        <v>72</v>
      </c>
      <c r="H166" t="s">
        <v>51</v>
      </c>
      <c r="I166" t="s">
        <v>63</v>
      </c>
      <c r="J166" t="s">
        <v>63</v>
      </c>
      <c r="K166" t="s">
        <v>64</v>
      </c>
      <c r="L166" t="s">
        <v>65</v>
      </c>
      <c r="M166" t="s">
        <v>66</v>
      </c>
      <c r="N166">
        <v>20</v>
      </c>
      <c r="O166">
        <v>12.5</v>
      </c>
      <c r="P166">
        <v>114</v>
      </c>
      <c r="Q166">
        <v>126.5</v>
      </c>
      <c r="R166">
        <v>0</v>
      </c>
      <c r="S166">
        <v>126.5</v>
      </c>
      <c r="T166">
        <v>43</v>
      </c>
      <c r="U166">
        <f>SUMIF(货件明细!J:J,E166,货件明细!AP:AP)</f>
        <v>0</v>
      </c>
      <c r="V166">
        <f>IF(U166=T166,0,1)</f>
        <v>1</v>
      </c>
      <c r="W166">
        <f>T166</f>
        <v>43</v>
      </c>
      <c r="X166">
        <f>SUMIF(货件明细!J:J,E166,货件明细!H:H)</f>
        <v>0</v>
      </c>
      <c r="Y166">
        <f>N166-X166</f>
        <v>20</v>
      </c>
      <c r="Z166">
        <f>SUMIF(货件明细!J:J,E166,货件明细!I:I)</f>
        <v>0</v>
      </c>
      <c r="AA166">
        <f>IF(S166=Z166,0,1)</f>
        <v>1</v>
      </c>
    </row>
    <row r="167" hidden="1" spans="1:27">
      <c r="A167">
        <v>1</v>
      </c>
      <c r="B167">
        <v>3</v>
      </c>
      <c r="C167" s="3">
        <v>46039</v>
      </c>
      <c r="D167" t="s">
        <v>27</v>
      </c>
      <c r="E167" t="s">
        <v>257</v>
      </c>
      <c r="F167" t="s">
        <v>195</v>
      </c>
      <c r="G167" t="s">
        <v>30</v>
      </c>
      <c r="H167" t="s">
        <v>37</v>
      </c>
      <c r="I167" t="s">
        <v>63</v>
      </c>
      <c r="J167" t="s">
        <v>63</v>
      </c>
      <c r="K167" t="s">
        <v>64</v>
      </c>
      <c r="L167" t="s">
        <v>65</v>
      </c>
      <c r="M167" t="s">
        <v>66</v>
      </c>
      <c r="N167">
        <v>14.1</v>
      </c>
      <c r="O167">
        <v>20</v>
      </c>
      <c r="P167">
        <v>96.1272727272727</v>
      </c>
      <c r="Q167">
        <v>116.127272727273</v>
      </c>
      <c r="R167">
        <v>0</v>
      </c>
      <c r="S167">
        <v>116.127272727273</v>
      </c>
      <c r="T167">
        <v>130</v>
      </c>
      <c r="U167">
        <f>SUMIF(货件明细!J:J,E167,货件明细!AP:AP)</f>
        <v>0</v>
      </c>
      <c r="V167">
        <f>IF(U167=T167,0,1)</f>
        <v>1</v>
      </c>
      <c r="W167">
        <f>T167</f>
        <v>130</v>
      </c>
      <c r="X167">
        <f>SUMIF(货件明细!J:J,E167,货件明细!H:H)</f>
        <v>0</v>
      </c>
      <c r="Y167">
        <f>N167-X167</f>
        <v>14.1</v>
      </c>
      <c r="Z167">
        <f>SUMIF(货件明细!J:J,E167,货件明细!I:I)</f>
        <v>0</v>
      </c>
      <c r="AA167">
        <f>IF(S167=Z167,0,1)</f>
        <v>1</v>
      </c>
    </row>
    <row r="168" hidden="1" spans="1:27">
      <c r="A168">
        <v>1</v>
      </c>
      <c r="B168">
        <v>3</v>
      </c>
      <c r="C168" s="3">
        <v>46039</v>
      </c>
      <c r="D168" t="s">
        <v>27</v>
      </c>
      <c r="E168" t="s">
        <v>258</v>
      </c>
      <c r="F168" t="s">
        <v>62</v>
      </c>
      <c r="G168" t="s">
        <v>30</v>
      </c>
      <c r="H168" t="s">
        <v>37</v>
      </c>
      <c r="I168" t="s">
        <v>63</v>
      </c>
      <c r="J168" t="s">
        <v>63</v>
      </c>
      <c r="K168" t="s">
        <v>64</v>
      </c>
      <c r="L168" t="s">
        <v>65</v>
      </c>
      <c r="M168" t="s">
        <v>66</v>
      </c>
      <c r="N168">
        <v>14.1</v>
      </c>
      <c r="O168">
        <v>20</v>
      </c>
      <c r="P168">
        <v>94.3666666666667</v>
      </c>
      <c r="Q168">
        <v>114.366666666667</v>
      </c>
      <c r="R168">
        <v>0</v>
      </c>
      <c r="S168">
        <v>114.366666666667</v>
      </c>
      <c r="T168">
        <v>130</v>
      </c>
      <c r="U168">
        <f>SUMIF(货件明细!J:J,E168,货件明细!AP:AP)</f>
        <v>0</v>
      </c>
      <c r="V168">
        <f>IF(U168=T168,0,1)</f>
        <v>1</v>
      </c>
      <c r="W168">
        <f>T168</f>
        <v>130</v>
      </c>
      <c r="X168">
        <f>SUMIF(货件明细!J:J,E168,货件明细!H:H)</f>
        <v>0</v>
      </c>
      <c r="Y168">
        <f>N168-X168</f>
        <v>14.1</v>
      </c>
      <c r="Z168">
        <f>SUMIF(货件明细!J:J,E168,货件明细!I:I)</f>
        <v>0</v>
      </c>
      <c r="AA168">
        <f>IF(S168=Z168,0,1)</f>
        <v>1</v>
      </c>
    </row>
    <row r="169" hidden="1" spans="1:27">
      <c r="A169">
        <v>1</v>
      </c>
      <c r="B169">
        <v>3</v>
      </c>
      <c r="C169" s="3">
        <v>46039</v>
      </c>
      <c r="D169" t="s">
        <v>27</v>
      </c>
      <c r="E169" t="s">
        <v>259</v>
      </c>
      <c r="F169" t="s">
        <v>71</v>
      </c>
      <c r="G169" t="s">
        <v>72</v>
      </c>
      <c r="H169" t="s">
        <v>37</v>
      </c>
      <c r="I169" t="s">
        <v>63</v>
      </c>
      <c r="J169" t="s">
        <v>63</v>
      </c>
      <c r="K169" t="s">
        <v>64</v>
      </c>
      <c r="L169" t="s">
        <v>65</v>
      </c>
      <c r="M169" t="s">
        <v>66</v>
      </c>
      <c r="N169">
        <v>14.1</v>
      </c>
      <c r="O169">
        <v>12.5</v>
      </c>
      <c r="P169">
        <v>57</v>
      </c>
      <c r="Q169">
        <v>69.5</v>
      </c>
      <c r="R169">
        <v>0</v>
      </c>
      <c r="S169">
        <v>69.5</v>
      </c>
      <c r="T169">
        <v>130</v>
      </c>
      <c r="U169">
        <f>SUMIF(货件明细!J:J,E169,货件明细!AP:AP)</f>
        <v>0</v>
      </c>
      <c r="V169">
        <f>IF(U169=T169,0,1)</f>
        <v>1</v>
      </c>
      <c r="W169">
        <f>T169</f>
        <v>130</v>
      </c>
      <c r="X169">
        <f>SUMIF(货件明细!J:J,E169,货件明细!H:H)</f>
        <v>0</v>
      </c>
      <c r="Y169">
        <f>N169-X169</f>
        <v>14.1</v>
      </c>
      <c r="Z169">
        <f>SUMIF(货件明细!J:J,E169,货件明细!I:I)</f>
        <v>0</v>
      </c>
      <c r="AA169">
        <f>IF(S169=Z169,0,1)</f>
        <v>1</v>
      </c>
    </row>
    <row r="170" hidden="1" spans="1:27">
      <c r="A170">
        <v>1</v>
      </c>
      <c r="B170">
        <v>3</v>
      </c>
      <c r="C170" s="3">
        <v>46039</v>
      </c>
      <c r="D170" t="s">
        <v>27</v>
      </c>
      <c r="E170" t="s">
        <v>260</v>
      </c>
      <c r="F170" t="s">
        <v>187</v>
      </c>
      <c r="G170" t="s">
        <v>72</v>
      </c>
      <c r="H170" t="s">
        <v>37</v>
      </c>
      <c r="I170" t="s">
        <v>63</v>
      </c>
      <c r="J170" t="s">
        <v>63</v>
      </c>
      <c r="K170" t="s">
        <v>64</v>
      </c>
      <c r="L170" t="s">
        <v>65</v>
      </c>
      <c r="M170" t="s">
        <v>66</v>
      </c>
      <c r="N170">
        <v>14.1</v>
      </c>
      <c r="O170">
        <v>12.5</v>
      </c>
      <c r="P170">
        <v>50.2769230769231</v>
      </c>
      <c r="Q170">
        <v>62.7769230769231</v>
      </c>
      <c r="R170">
        <v>0</v>
      </c>
      <c r="S170">
        <v>62.7769230769231</v>
      </c>
      <c r="T170">
        <v>130</v>
      </c>
      <c r="U170">
        <f>SUMIF(货件明细!J:J,E170,货件明细!AP:AP)</f>
        <v>0</v>
      </c>
      <c r="V170">
        <f>IF(U170=T170,0,1)</f>
        <v>1</v>
      </c>
      <c r="W170">
        <f>T170</f>
        <v>130</v>
      </c>
      <c r="X170">
        <f>SUMIF(货件明细!J:J,E170,货件明细!H:H)</f>
        <v>0</v>
      </c>
      <c r="Y170">
        <f>N170-X170</f>
        <v>14.1</v>
      </c>
      <c r="Z170">
        <f>SUMIF(货件明细!J:J,E170,货件明细!I:I)</f>
        <v>0</v>
      </c>
      <c r="AA170">
        <f>IF(S170=Z170,0,1)</f>
        <v>1</v>
      </c>
    </row>
    <row r="171" hidden="1" spans="1:27">
      <c r="A171">
        <v>1</v>
      </c>
      <c r="B171">
        <v>3</v>
      </c>
      <c r="C171" s="3">
        <v>46039</v>
      </c>
      <c r="D171" t="s">
        <v>27</v>
      </c>
      <c r="E171" t="s">
        <v>261</v>
      </c>
      <c r="F171" t="s">
        <v>239</v>
      </c>
      <c r="G171" t="s">
        <v>72</v>
      </c>
      <c r="H171" t="s">
        <v>37</v>
      </c>
      <c r="I171" t="s">
        <v>63</v>
      </c>
      <c r="J171" t="s">
        <v>63</v>
      </c>
      <c r="K171" t="s">
        <v>64</v>
      </c>
      <c r="L171" t="s">
        <v>65</v>
      </c>
      <c r="M171" t="s">
        <v>66</v>
      </c>
      <c r="N171">
        <v>14.1</v>
      </c>
      <c r="O171">
        <v>12.5</v>
      </c>
      <c r="P171">
        <v>57</v>
      </c>
      <c r="Q171">
        <v>69.5</v>
      </c>
      <c r="R171">
        <v>0</v>
      </c>
      <c r="S171">
        <v>69.5</v>
      </c>
      <c r="T171">
        <v>130</v>
      </c>
      <c r="U171">
        <f>SUMIF(货件明细!J:J,E171,货件明细!AP:AP)</f>
        <v>0</v>
      </c>
      <c r="V171">
        <f>IF(U171=T171,0,1)</f>
        <v>1</v>
      </c>
      <c r="W171">
        <f>T171</f>
        <v>130</v>
      </c>
      <c r="X171">
        <f>SUMIF(货件明细!J:J,E171,货件明细!H:H)</f>
        <v>0</v>
      </c>
      <c r="Y171">
        <f>N171-X171</f>
        <v>14.1</v>
      </c>
      <c r="Z171">
        <f>SUMIF(货件明细!J:J,E171,货件明细!I:I)</f>
        <v>0</v>
      </c>
      <c r="AA171">
        <f>IF(S171=Z171,0,1)</f>
        <v>1</v>
      </c>
    </row>
    <row r="172" hidden="1" spans="1:27">
      <c r="A172">
        <v>1</v>
      </c>
      <c r="B172">
        <v>3</v>
      </c>
      <c r="C172" s="3">
        <v>46039</v>
      </c>
      <c r="D172" t="s">
        <v>27</v>
      </c>
      <c r="E172" t="s">
        <v>262</v>
      </c>
      <c r="F172" t="s">
        <v>195</v>
      </c>
      <c r="G172" t="s">
        <v>30</v>
      </c>
      <c r="H172" t="s">
        <v>39</v>
      </c>
      <c r="I172" t="s">
        <v>63</v>
      </c>
      <c r="J172" t="s">
        <v>63</v>
      </c>
      <c r="K172" t="s">
        <v>64</v>
      </c>
      <c r="L172" t="s">
        <v>65</v>
      </c>
      <c r="M172" t="s">
        <v>66</v>
      </c>
      <c r="N172">
        <v>75.95</v>
      </c>
      <c r="O172">
        <v>20</v>
      </c>
      <c r="P172">
        <v>384.509090909091</v>
      </c>
      <c r="Q172">
        <v>404.509090909091</v>
      </c>
      <c r="R172">
        <v>0</v>
      </c>
      <c r="S172">
        <v>404.509090909091</v>
      </c>
      <c r="T172">
        <v>182</v>
      </c>
      <c r="U172">
        <f>SUMIF(货件明细!J:J,E172,货件明细!AP:AP)</f>
        <v>0</v>
      </c>
      <c r="V172">
        <f>IF(U172=T172,0,1)</f>
        <v>1</v>
      </c>
      <c r="W172">
        <f>T172</f>
        <v>182</v>
      </c>
      <c r="X172">
        <f>SUMIF(货件明细!J:J,E172,货件明细!H:H)</f>
        <v>0</v>
      </c>
      <c r="Y172">
        <f>N172-X172</f>
        <v>75.95</v>
      </c>
      <c r="Z172">
        <f>SUMIF(货件明细!J:J,E172,货件明细!I:I)</f>
        <v>0</v>
      </c>
      <c r="AA172">
        <f>IF(S172=Z172,0,1)</f>
        <v>1</v>
      </c>
    </row>
    <row r="173" hidden="1" spans="1:27">
      <c r="A173">
        <v>1</v>
      </c>
      <c r="B173">
        <v>3</v>
      </c>
      <c r="C173" s="3">
        <v>46039</v>
      </c>
      <c r="D173" t="s">
        <v>27</v>
      </c>
      <c r="E173" t="s">
        <v>263</v>
      </c>
      <c r="F173" t="s">
        <v>62</v>
      </c>
      <c r="G173" t="s">
        <v>30</v>
      </c>
      <c r="H173" t="s">
        <v>39</v>
      </c>
      <c r="I173" t="s">
        <v>63</v>
      </c>
      <c r="J173" t="s">
        <v>63</v>
      </c>
      <c r="K173" t="s">
        <v>64</v>
      </c>
      <c r="L173" t="s">
        <v>65</v>
      </c>
      <c r="M173" t="s">
        <v>66</v>
      </c>
      <c r="N173">
        <v>75.95</v>
      </c>
      <c r="O173">
        <v>20</v>
      </c>
      <c r="P173">
        <v>377.466666666667</v>
      </c>
      <c r="Q173">
        <v>397.466666666667</v>
      </c>
      <c r="R173">
        <v>0</v>
      </c>
      <c r="S173">
        <v>397.466666666667</v>
      </c>
      <c r="T173">
        <v>182</v>
      </c>
      <c r="U173">
        <f>SUMIF(货件明细!J:J,E173,货件明细!AP:AP)</f>
        <v>0</v>
      </c>
      <c r="V173">
        <f>IF(U173=T173,0,1)</f>
        <v>1</v>
      </c>
      <c r="W173">
        <f>T173</f>
        <v>182</v>
      </c>
      <c r="X173">
        <f>SUMIF(货件明细!J:J,E173,货件明细!H:H)</f>
        <v>0</v>
      </c>
      <c r="Y173">
        <f>N173-X173</f>
        <v>75.95</v>
      </c>
      <c r="Z173">
        <f>SUMIF(货件明细!J:J,E173,货件明细!I:I)</f>
        <v>0</v>
      </c>
      <c r="AA173">
        <f>IF(S173=Z173,0,1)</f>
        <v>1</v>
      </c>
    </row>
    <row r="174" hidden="1" spans="1:27">
      <c r="A174">
        <v>1</v>
      </c>
      <c r="B174">
        <v>3</v>
      </c>
      <c r="C174" s="3">
        <v>46039</v>
      </c>
      <c r="D174" t="s">
        <v>27</v>
      </c>
      <c r="E174" t="s">
        <v>264</v>
      </c>
      <c r="F174" t="s">
        <v>187</v>
      </c>
      <c r="G174" t="s">
        <v>72</v>
      </c>
      <c r="H174" t="s">
        <v>39</v>
      </c>
      <c r="I174" t="s">
        <v>63</v>
      </c>
      <c r="J174" t="s">
        <v>63</v>
      </c>
      <c r="K174" t="s">
        <v>64</v>
      </c>
      <c r="L174" t="s">
        <v>65</v>
      </c>
      <c r="M174" t="s">
        <v>66</v>
      </c>
      <c r="N174">
        <v>75.95</v>
      </c>
      <c r="O174">
        <v>12.5</v>
      </c>
      <c r="P174">
        <v>201.107692307692</v>
      </c>
      <c r="Q174">
        <v>213.607692307692</v>
      </c>
      <c r="R174">
        <v>0</v>
      </c>
      <c r="S174">
        <v>213.607692307692</v>
      </c>
      <c r="T174">
        <v>182</v>
      </c>
      <c r="U174">
        <f>SUMIF(货件明细!J:J,E174,货件明细!AP:AP)</f>
        <v>0</v>
      </c>
      <c r="V174">
        <f>IF(U174=T174,0,1)</f>
        <v>1</v>
      </c>
      <c r="W174">
        <f>T174</f>
        <v>182</v>
      </c>
      <c r="X174">
        <f>SUMIF(货件明细!J:J,E174,货件明细!H:H)</f>
        <v>0</v>
      </c>
      <c r="Y174">
        <f>N174-X174</f>
        <v>75.95</v>
      </c>
      <c r="Z174">
        <f>SUMIF(货件明细!J:J,E174,货件明细!I:I)</f>
        <v>0</v>
      </c>
      <c r="AA174">
        <f>IF(S174=Z174,0,1)</f>
        <v>1</v>
      </c>
    </row>
    <row r="175" hidden="1" spans="1:27">
      <c r="A175">
        <v>1</v>
      </c>
      <c r="B175">
        <v>3</v>
      </c>
      <c r="C175" s="3">
        <v>46039</v>
      </c>
      <c r="D175" t="s">
        <v>27</v>
      </c>
      <c r="E175" t="s">
        <v>265</v>
      </c>
      <c r="F175" t="s">
        <v>239</v>
      </c>
      <c r="G175" t="s">
        <v>72</v>
      </c>
      <c r="H175" t="s">
        <v>39</v>
      </c>
      <c r="I175" t="s">
        <v>63</v>
      </c>
      <c r="J175" t="s">
        <v>63</v>
      </c>
      <c r="K175" t="s">
        <v>64</v>
      </c>
      <c r="L175" t="s">
        <v>65</v>
      </c>
      <c r="M175" t="s">
        <v>66</v>
      </c>
      <c r="N175">
        <v>75.95</v>
      </c>
      <c r="O175">
        <v>12.5</v>
      </c>
      <c r="P175">
        <v>228</v>
      </c>
      <c r="Q175">
        <v>240.5</v>
      </c>
      <c r="R175">
        <v>0</v>
      </c>
      <c r="S175">
        <v>240.5</v>
      </c>
      <c r="T175">
        <v>182</v>
      </c>
      <c r="U175">
        <f>SUMIF(货件明细!J:J,E175,货件明细!AP:AP)</f>
        <v>0</v>
      </c>
      <c r="V175">
        <f>IF(U175=T175,0,1)</f>
        <v>1</v>
      </c>
      <c r="W175">
        <f>T175</f>
        <v>182</v>
      </c>
      <c r="X175">
        <f>SUMIF(货件明细!J:J,E175,货件明细!H:H)</f>
        <v>0</v>
      </c>
      <c r="Y175">
        <f>N175-X175</f>
        <v>75.95</v>
      </c>
      <c r="Z175">
        <f>SUMIF(货件明细!J:J,E175,货件明细!I:I)</f>
        <v>0</v>
      </c>
      <c r="AA175">
        <f>IF(S175=Z175,0,1)</f>
        <v>1</v>
      </c>
    </row>
    <row r="176" hidden="1" spans="1:27">
      <c r="A176">
        <v>1</v>
      </c>
      <c r="B176">
        <v>3</v>
      </c>
      <c r="C176" s="3">
        <v>46039</v>
      </c>
      <c r="D176" t="s">
        <v>27</v>
      </c>
      <c r="E176" t="s">
        <v>266</v>
      </c>
      <c r="F176" t="s">
        <v>71</v>
      </c>
      <c r="G176" t="s">
        <v>72</v>
      </c>
      <c r="H176" t="s">
        <v>39</v>
      </c>
      <c r="I176" t="s">
        <v>63</v>
      </c>
      <c r="J176" t="s">
        <v>63</v>
      </c>
      <c r="K176" t="s">
        <v>64</v>
      </c>
      <c r="L176" t="s">
        <v>65</v>
      </c>
      <c r="M176" t="s">
        <v>66</v>
      </c>
      <c r="N176">
        <v>75.95</v>
      </c>
      <c r="O176">
        <v>12.5</v>
      </c>
      <c r="P176">
        <v>228</v>
      </c>
      <c r="Q176">
        <v>240.5</v>
      </c>
      <c r="R176">
        <v>0</v>
      </c>
      <c r="S176">
        <v>240.5</v>
      </c>
      <c r="T176">
        <v>182</v>
      </c>
      <c r="U176">
        <f>SUMIF(货件明细!J:J,E176,货件明细!AP:AP)</f>
        <v>0</v>
      </c>
      <c r="V176">
        <f>IF(U176=T176,0,1)</f>
        <v>1</v>
      </c>
      <c r="W176">
        <f>T176</f>
        <v>182</v>
      </c>
      <c r="X176">
        <f>SUMIF(货件明细!J:J,E176,货件明细!H:H)</f>
        <v>0</v>
      </c>
      <c r="Y176">
        <f>N176-X176</f>
        <v>75.95</v>
      </c>
      <c r="Z176">
        <f>SUMIF(货件明细!J:J,E176,货件明细!I:I)</f>
        <v>0</v>
      </c>
      <c r="AA176">
        <f>IF(S176=Z176,0,1)</f>
        <v>1</v>
      </c>
    </row>
    <row r="177" hidden="1" spans="1:27">
      <c r="A177">
        <v>1</v>
      </c>
      <c r="B177">
        <v>3</v>
      </c>
      <c r="C177" s="3">
        <v>46039</v>
      </c>
      <c r="D177" t="s">
        <v>27</v>
      </c>
      <c r="E177" t="s">
        <v>267</v>
      </c>
      <c r="F177" t="s">
        <v>195</v>
      </c>
      <c r="G177" t="s">
        <v>30</v>
      </c>
      <c r="H177" t="s">
        <v>54</v>
      </c>
      <c r="I177" t="s">
        <v>63</v>
      </c>
      <c r="J177" t="s">
        <v>63</v>
      </c>
      <c r="K177" t="s">
        <v>64</v>
      </c>
      <c r="L177" t="s">
        <v>65</v>
      </c>
      <c r="M177" t="s">
        <v>66</v>
      </c>
      <c r="N177">
        <v>16.5</v>
      </c>
      <c r="O177">
        <v>20</v>
      </c>
      <c r="P177">
        <v>96.1272727272727</v>
      </c>
      <c r="Q177">
        <v>116.127272727273</v>
      </c>
      <c r="R177">
        <v>0</v>
      </c>
      <c r="S177">
        <v>116.127272727273</v>
      </c>
      <c r="T177">
        <v>76</v>
      </c>
      <c r="U177">
        <f>SUMIF(货件明细!J:J,E177,货件明细!AP:AP)</f>
        <v>0</v>
      </c>
      <c r="V177">
        <f>IF(U177=T177,0,1)</f>
        <v>1</v>
      </c>
      <c r="W177">
        <f>T177</f>
        <v>76</v>
      </c>
      <c r="X177">
        <f>SUMIF(货件明细!J:J,E177,货件明细!H:H)</f>
        <v>0</v>
      </c>
      <c r="Y177">
        <f>N177-X177</f>
        <v>16.5</v>
      </c>
      <c r="Z177">
        <f>SUMIF(货件明细!J:J,E177,货件明细!I:I)</f>
        <v>0</v>
      </c>
      <c r="AA177">
        <f>IF(S177=Z177,0,1)</f>
        <v>1</v>
      </c>
    </row>
    <row r="178" hidden="1" spans="1:27">
      <c r="A178">
        <v>1</v>
      </c>
      <c r="B178">
        <v>3</v>
      </c>
      <c r="C178" s="3">
        <v>46039</v>
      </c>
      <c r="D178" t="s">
        <v>27</v>
      </c>
      <c r="E178" t="s">
        <v>268</v>
      </c>
      <c r="F178" t="s">
        <v>62</v>
      </c>
      <c r="G178" t="s">
        <v>30</v>
      </c>
      <c r="H178" t="s">
        <v>54</v>
      </c>
      <c r="I178" t="s">
        <v>63</v>
      </c>
      <c r="J178" t="s">
        <v>63</v>
      </c>
      <c r="K178" t="s">
        <v>64</v>
      </c>
      <c r="L178" t="s">
        <v>65</v>
      </c>
      <c r="M178" t="s">
        <v>66</v>
      </c>
      <c r="N178">
        <v>16.5</v>
      </c>
      <c r="O178">
        <v>20</v>
      </c>
      <c r="P178">
        <v>94.3666666666667</v>
      </c>
      <c r="Q178">
        <v>114.366666666667</v>
      </c>
      <c r="R178">
        <v>0</v>
      </c>
      <c r="S178">
        <v>114.366666666667</v>
      </c>
      <c r="T178">
        <v>76</v>
      </c>
      <c r="U178">
        <f>SUMIF(货件明细!J:J,E178,货件明细!AP:AP)</f>
        <v>0</v>
      </c>
      <c r="V178">
        <f>IF(U178=T178,0,1)</f>
        <v>1</v>
      </c>
      <c r="W178">
        <f>T178</f>
        <v>76</v>
      </c>
      <c r="X178">
        <f>SUMIF(货件明细!J:J,E178,货件明细!H:H)</f>
        <v>0</v>
      </c>
      <c r="Y178">
        <f>N178-X178</f>
        <v>16.5</v>
      </c>
      <c r="Z178">
        <f>SUMIF(货件明细!J:J,E178,货件明细!I:I)</f>
        <v>0</v>
      </c>
      <c r="AA178">
        <f>IF(S178=Z178,0,1)</f>
        <v>1</v>
      </c>
    </row>
    <row r="179" hidden="1" spans="1:27">
      <c r="A179">
        <v>1</v>
      </c>
      <c r="B179">
        <v>3</v>
      </c>
      <c r="C179" s="3">
        <v>46039</v>
      </c>
      <c r="D179" t="s">
        <v>27</v>
      </c>
      <c r="E179" t="s">
        <v>269</v>
      </c>
      <c r="F179" t="s">
        <v>71</v>
      </c>
      <c r="G179" t="s">
        <v>72</v>
      </c>
      <c r="H179" t="s">
        <v>54</v>
      </c>
      <c r="I179" t="s">
        <v>63</v>
      </c>
      <c r="J179" t="s">
        <v>63</v>
      </c>
      <c r="K179" t="s">
        <v>64</v>
      </c>
      <c r="L179" t="s">
        <v>65</v>
      </c>
      <c r="M179" t="s">
        <v>66</v>
      </c>
      <c r="N179">
        <v>16.5</v>
      </c>
      <c r="O179">
        <v>12.5</v>
      </c>
      <c r="P179">
        <v>57</v>
      </c>
      <c r="Q179">
        <v>69.5</v>
      </c>
      <c r="R179">
        <v>0</v>
      </c>
      <c r="S179">
        <v>69.5</v>
      </c>
      <c r="T179">
        <v>76</v>
      </c>
      <c r="U179">
        <f>SUMIF(货件明细!J:J,E179,货件明细!AP:AP)</f>
        <v>0</v>
      </c>
      <c r="V179">
        <f>IF(U179=T179,0,1)</f>
        <v>1</v>
      </c>
      <c r="W179">
        <f>T179</f>
        <v>76</v>
      </c>
      <c r="X179">
        <f>SUMIF(货件明细!J:J,E179,货件明细!H:H)</f>
        <v>0</v>
      </c>
      <c r="Y179">
        <f>N179-X179</f>
        <v>16.5</v>
      </c>
      <c r="Z179">
        <f>SUMIF(货件明细!J:J,E179,货件明细!I:I)</f>
        <v>0</v>
      </c>
      <c r="AA179">
        <f>IF(S179=Z179,0,1)</f>
        <v>1</v>
      </c>
    </row>
    <row r="180" hidden="1" spans="1:27">
      <c r="A180">
        <v>1</v>
      </c>
      <c r="B180">
        <v>3</v>
      </c>
      <c r="C180" s="3">
        <v>46039</v>
      </c>
      <c r="D180" t="s">
        <v>27</v>
      </c>
      <c r="E180" t="s">
        <v>270</v>
      </c>
      <c r="F180" t="s">
        <v>187</v>
      </c>
      <c r="G180" t="s">
        <v>72</v>
      </c>
      <c r="H180" t="s">
        <v>54</v>
      </c>
      <c r="I180" t="s">
        <v>63</v>
      </c>
      <c r="J180" t="s">
        <v>63</v>
      </c>
      <c r="K180" t="s">
        <v>64</v>
      </c>
      <c r="L180" t="s">
        <v>65</v>
      </c>
      <c r="M180" t="s">
        <v>66</v>
      </c>
      <c r="N180">
        <v>16.5</v>
      </c>
      <c r="O180">
        <v>12.5</v>
      </c>
      <c r="P180">
        <v>50.2769230769231</v>
      </c>
      <c r="Q180">
        <v>62.7769230769231</v>
      </c>
      <c r="R180">
        <v>0</v>
      </c>
      <c r="S180">
        <v>62.7769230769231</v>
      </c>
      <c r="T180">
        <v>76</v>
      </c>
      <c r="U180">
        <f>SUMIF(货件明细!J:J,E180,货件明细!AP:AP)</f>
        <v>0</v>
      </c>
      <c r="V180">
        <f>IF(U180=T180,0,1)</f>
        <v>1</v>
      </c>
      <c r="W180">
        <f>T180</f>
        <v>76</v>
      </c>
      <c r="X180">
        <f>SUMIF(货件明细!J:J,E180,货件明细!H:H)</f>
        <v>0</v>
      </c>
      <c r="Y180">
        <f>N180-X180</f>
        <v>16.5</v>
      </c>
      <c r="Z180">
        <f>SUMIF(货件明细!J:J,E180,货件明细!I:I)</f>
        <v>0</v>
      </c>
      <c r="AA180">
        <f>IF(S180=Z180,0,1)</f>
        <v>1</v>
      </c>
    </row>
    <row r="181" hidden="1" spans="1:27">
      <c r="A181">
        <v>1</v>
      </c>
      <c r="B181">
        <v>3</v>
      </c>
      <c r="C181" s="3">
        <v>46039</v>
      </c>
      <c r="D181" t="s">
        <v>27</v>
      </c>
      <c r="E181" t="s">
        <v>271</v>
      </c>
      <c r="F181" t="s">
        <v>239</v>
      </c>
      <c r="G181" t="s">
        <v>72</v>
      </c>
      <c r="H181" t="s">
        <v>54</v>
      </c>
      <c r="I181" t="s">
        <v>63</v>
      </c>
      <c r="J181" t="s">
        <v>63</v>
      </c>
      <c r="K181" t="s">
        <v>64</v>
      </c>
      <c r="L181" t="s">
        <v>65</v>
      </c>
      <c r="M181" t="s">
        <v>66</v>
      </c>
      <c r="N181">
        <v>16.5</v>
      </c>
      <c r="O181">
        <v>12.5</v>
      </c>
      <c r="P181">
        <v>57</v>
      </c>
      <c r="Q181">
        <v>69.5</v>
      </c>
      <c r="R181">
        <v>0</v>
      </c>
      <c r="S181">
        <v>69.5</v>
      </c>
      <c r="T181">
        <v>76</v>
      </c>
      <c r="U181">
        <f>SUMIF(货件明细!J:J,E181,货件明细!AP:AP)</f>
        <v>0</v>
      </c>
      <c r="V181">
        <f>IF(U181=T181,0,1)</f>
        <v>1</v>
      </c>
      <c r="W181">
        <f>T181</f>
        <v>76</v>
      </c>
      <c r="X181">
        <f>SUMIF(货件明细!J:J,E181,货件明细!H:H)</f>
        <v>0</v>
      </c>
      <c r="Y181">
        <f>N181-X181</f>
        <v>16.5</v>
      </c>
      <c r="Z181">
        <f>SUMIF(货件明细!J:J,E181,货件明细!I:I)</f>
        <v>0</v>
      </c>
      <c r="AA181">
        <f>IF(S181=Z181,0,1)</f>
        <v>1</v>
      </c>
    </row>
    <row r="182" hidden="1" spans="1:27">
      <c r="A182">
        <v>1</v>
      </c>
      <c r="B182">
        <v>3</v>
      </c>
      <c r="C182" s="3">
        <v>46039</v>
      </c>
      <c r="D182" t="s">
        <v>27</v>
      </c>
      <c r="E182" t="s">
        <v>272</v>
      </c>
      <c r="F182" t="s">
        <v>195</v>
      </c>
      <c r="G182" t="s">
        <v>30</v>
      </c>
      <c r="H182" t="s">
        <v>59</v>
      </c>
      <c r="I182" t="s">
        <v>92</v>
      </c>
      <c r="J182" t="s">
        <v>92</v>
      </c>
      <c r="K182" t="s">
        <v>64</v>
      </c>
      <c r="L182" t="s">
        <v>65</v>
      </c>
      <c r="M182" t="s">
        <v>93</v>
      </c>
      <c r="N182">
        <v>58.35</v>
      </c>
      <c r="O182">
        <v>7</v>
      </c>
      <c r="P182">
        <v>361.644642857143</v>
      </c>
      <c r="Q182">
        <v>368.644642857143</v>
      </c>
      <c r="R182">
        <v>0</v>
      </c>
      <c r="S182">
        <v>368.644642857143</v>
      </c>
      <c r="T182">
        <v>146</v>
      </c>
      <c r="U182">
        <f>SUMIF(货件明细!J:J,E182,货件明细!AP:AP)</f>
        <v>0</v>
      </c>
      <c r="V182">
        <f>IF(U182=T182,0,1)</f>
        <v>1</v>
      </c>
      <c r="W182">
        <f>T182</f>
        <v>146</v>
      </c>
      <c r="X182">
        <f>SUMIF(货件明细!J:J,E182,货件明细!H:H)</f>
        <v>0</v>
      </c>
      <c r="Y182">
        <f>N182-X182</f>
        <v>58.35</v>
      </c>
      <c r="Z182">
        <f>SUMIF(货件明细!J:J,E182,货件明细!I:I)</f>
        <v>0</v>
      </c>
      <c r="AA182">
        <f>IF(S182=Z182,0,1)</f>
        <v>1</v>
      </c>
    </row>
    <row r="183" hidden="1" spans="1:27">
      <c r="A183">
        <v>1</v>
      </c>
      <c r="B183">
        <v>3</v>
      </c>
      <c r="C183" s="3">
        <v>46039</v>
      </c>
      <c r="D183" t="s">
        <v>27</v>
      </c>
      <c r="E183" t="s">
        <v>273</v>
      </c>
      <c r="F183" t="s">
        <v>243</v>
      </c>
      <c r="G183" t="s">
        <v>72</v>
      </c>
      <c r="H183" t="s">
        <v>59</v>
      </c>
      <c r="I183" t="s">
        <v>92</v>
      </c>
      <c r="J183" t="s">
        <v>92</v>
      </c>
      <c r="K183" t="s">
        <v>64</v>
      </c>
      <c r="L183" t="s">
        <v>65</v>
      </c>
      <c r="M183" t="s">
        <v>93</v>
      </c>
      <c r="N183">
        <v>58.35</v>
      </c>
      <c r="O183">
        <v>7</v>
      </c>
      <c r="P183">
        <v>253.125</v>
      </c>
      <c r="Q183">
        <v>260.125</v>
      </c>
      <c r="R183">
        <v>0</v>
      </c>
      <c r="S183">
        <v>260.125</v>
      </c>
      <c r="T183">
        <v>146</v>
      </c>
      <c r="U183">
        <f>SUMIF(货件明细!J:J,E183,货件明细!AP:AP)</f>
        <v>0</v>
      </c>
      <c r="V183">
        <f>IF(U183=T183,0,1)</f>
        <v>1</v>
      </c>
      <c r="W183">
        <f>T183</f>
        <v>146</v>
      </c>
      <c r="X183">
        <f>SUMIF(货件明细!J:J,E183,货件明细!H:H)</f>
        <v>0</v>
      </c>
      <c r="Y183">
        <f>N183-X183</f>
        <v>58.35</v>
      </c>
      <c r="Z183">
        <f>SUMIF(货件明细!J:J,E183,货件明细!I:I)</f>
        <v>0</v>
      </c>
      <c r="AA183">
        <f>IF(S183=Z183,0,1)</f>
        <v>1</v>
      </c>
    </row>
    <row r="184" hidden="1" spans="1:27">
      <c r="A184">
        <v>1</v>
      </c>
      <c r="B184">
        <v>3</v>
      </c>
      <c r="C184" s="3">
        <v>46039</v>
      </c>
      <c r="D184" t="s">
        <v>27</v>
      </c>
      <c r="E184" t="s">
        <v>274</v>
      </c>
      <c r="F184" t="s">
        <v>198</v>
      </c>
      <c r="G184" t="s">
        <v>69</v>
      </c>
      <c r="H184" t="s">
        <v>59</v>
      </c>
      <c r="I184" t="s">
        <v>92</v>
      </c>
      <c r="J184" t="s">
        <v>92</v>
      </c>
      <c r="K184" t="s">
        <v>64</v>
      </c>
      <c r="L184" t="s">
        <v>65</v>
      </c>
      <c r="M184" t="s">
        <v>93</v>
      </c>
      <c r="N184">
        <v>58.35</v>
      </c>
      <c r="O184">
        <v>7</v>
      </c>
      <c r="P184">
        <v>322</v>
      </c>
      <c r="Q184">
        <v>329</v>
      </c>
      <c r="R184">
        <v>0</v>
      </c>
      <c r="S184">
        <v>329</v>
      </c>
      <c r="T184">
        <v>146</v>
      </c>
      <c r="U184">
        <f>SUMIF(货件明细!J:J,E184,货件明细!AP:AP)</f>
        <v>0</v>
      </c>
      <c r="V184">
        <f>IF(U184=T184,0,1)</f>
        <v>1</v>
      </c>
      <c r="W184">
        <f>T184</f>
        <v>146</v>
      </c>
      <c r="X184">
        <f>SUMIF(货件明细!J:J,E184,货件明细!H:H)</f>
        <v>0</v>
      </c>
      <c r="Y184">
        <f>N184-X184</f>
        <v>58.35</v>
      </c>
      <c r="Z184">
        <f>SUMIF(货件明细!J:J,E184,货件明细!I:I)</f>
        <v>0</v>
      </c>
      <c r="AA184">
        <f>IF(S184=Z184,0,1)</f>
        <v>1</v>
      </c>
    </row>
    <row r="185" hidden="1" spans="1:27">
      <c r="A185">
        <v>1</v>
      </c>
      <c r="B185">
        <v>3</v>
      </c>
      <c r="C185" s="3">
        <v>46039</v>
      </c>
      <c r="D185" t="s">
        <v>27</v>
      </c>
      <c r="E185" t="s">
        <v>275</v>
      </c>
      <c r="F185" t="s">
        <v>250</v>
      </c>
      <c r="G185" t="s">
        <v>72</v>
      </c>
      <c r="H185" t="s">
        <v>59</v>
      </c>
      <c r="I185" t="s">
        <v>92</v>
      </c>
      <c r="J185" t="s">
        <v>92</v>
      </c>
      <c r="K185" t="s">
        <v>64</v>
      </c>
      <c r="L185" t="s">
        <v>65</v>
      </c>
      <c r="M185" t="s">
        <v>93</v>
      </c>
      <c r="N185">
        <v>58.35</v>
      </c>
      <c r="O185">
        <v>7</v>
      </c>
      <c r="P185">
        <v>262.5</v>
      </c>
      <c r="Q185">
        <v>269.5</v>
      </c>
      <c r="R185">
        <v>0</v>
      </c>
      <c r="S185">
        <v>269.5</v>
      </c>
      <c r="T185">
        <v>146</v>
      </c>
      <c r="U185">
        <f>SUMIF(货件明细!J:J,E185,货件明细!AP:AP)</f>
        <v>0</v>
      </c>
      <c r="V185">
        <f>IF(U185=T185,0,1)</f>
        <v>1</v>
      </c>
      <c r="W185">
        <f>T185</f>
        <v>146</v>
      </c>
      <c r="X185">
        <f>SUMIF(货件明细!J:J,E185,货件明细!H:H)</f>
        <v>0</v>
      </c>
      <c r="Y185">
        <f>N185-X185</f>
        <v>58.35</v>
      </c>
      <c r="Z185">
        <f>SUMIF(货件明细!J:J,E185,货件明细!I:I)</f>
        <v>0</v>
      </c>
      <c r="AA185">
        <f>IF(S185=Z185,0,1)</f>
        <v>1</v>
      </c>
    </row>
    <row r="186" hidden="1" spans="1:27">
      <c r="A186">
        <v>1</v>
      </c>
      <c r="B186">
        <v>3</v>
      </c>
      <c r="C186" s="3">
        <v>46039</v>
      </c>
      <c r="D186" t="s">
        <v>27</v>
      </c>
      <c r="E186" t="s">
        <v>276</v>
      </c>
      <c r="F186" t="s">
        <v>187</v>
      </c>
      <c r="G186" t="s">
        <v>72</v>
      </c>
      <c r="H186" t="s">
        <v>59</v>
      </c>
      <c r="I186" t="s">
        <v>92</v>
      </c>
      <c r="J186" t="s">
        <v>92</v>
      </c>
      <c r="K186" t="s">
        <v>64</v>
      </c>
      <c r="L186" t="s">
        <v>65</v>
      </c>
      <c r="M186" t="s">
        <v>93</v>
      </c>
      <c r="N186">
        <v>58.35</v>
      </c>
      <c r="O186">
        <v>7</v>
      </c>
      <c r="P186">
        <v>229.2</v>
      </c>
      <c r="Q186">
        <v>236.2</v>
      </c>
      <c r="R186">
        <v>0</v>
      </c>
      <c r="S186">
        <v>236.2</v>
      </c>
      <c r="T186">
        <v>146</v>
      </c>
      <c r="U186">
        <f>SUMIF(货件明细!J:J,E186,货件明细!AP:AP)</f>
        <v>0</v>
      </c>
      <c r="V186">
        <f>IF(U186=T186,0,1)</f>
        <v>1</v>
      </c>
      <c r="W186">
        <f>T186</f>
        <v>146</v>
      </c>
      <c r="X186">
        <f>SUMIF(货件明细!J:J,E186,货件明细!H:H)</f>
        <v>0</v>
      </c>
      <c r="Y186">
        <f>N186-X186</f>
        <v>58.35</v>
      </c>
      <c r="Z186">
        <f>SUMIF(货件明细!J:J,E186,货件明细!I:I)</f>
        <v>0</v>
      </c>
      <c r="AA186">
        <f>IF(S186=Z186,0,1)</f>
        <v>1</v>
      </c>
    </row>
    <row r="187" hidden="1" spans="1:27">
      <c r="A187">
        <v>1</v>
      </c>
      <c r="B187">
        <v>3</v>
      </c>
      <c r="C187" s="3">
        <v>46039</v>
      </c>
      <c r="D187" t="s">
        <v>27</v>
      </c>
      <c r="E187" t="s">
        <v>277</v>
      </c>
      <c r="F187" t="s">
        <v>195</v>
      </c>
      <c r="G187" t="s">
        <v>30</v>
      </c>
      <c r="H187" t="s">
        <v>37</v>
      </c>
      <c r="I187" t="s">
        <v>92</v>
      </c>
      <c r="J187" t="s">
        <v>92</v>
      </c>
      <c r="K187" t="s">
        <v>64</v>
      </c>
      <c r="L187" t="s">
        <v>65</v>
      </c>
      <c r="M187" t="s">
        <v>93</v>
      </c>
      <c r="N187">
        <v>14.6</v>
      </c>
      <c r="O187">
        <v>7</v>
      </c>
      <c r="P187">
        <v>120.548214285714</v>
      </c>
      <c r="Q187">
        <v>127.548214285714</v>
      </c>
      <c r="R187">
        <v>0</v>
      </c>
      <c r="S187">
        <v>127.548214285714</v>
      </c>
      <c r="T187">
        <v>26</v>
      </c>
      <c r="U187">
        <f>SUMIF(货件明细!J:J,E187,货件明细!AP:AP)</f>
        <v>0</v>
      </c>
      <c r="V187">
        <f>IF(U187=T187,0,1)</f>
        <v>1</v>
      </c>
      <c r="W187">
        <f>T187</f>
        <v>26</v>
      </c>
      <c r="X187">
        <f>SUMIF(货件明细!J:J,E187,货件明细!H:H)</f>
        <v>0</v>
      </c>
      <c r="Y187">
        <f>N187-X187</f>
        <v>14.6</v>
      </c>
      <c r="Z187">
        <f>SUMIF(货件明细!J:J,E187,货件明细!I:I)</f>
        <v>0</v>
      </c>
      <c r="AA187">
        <f>IF(S187=Z187,0,1)</f>
        <v>1</v>
      </c>
    </row>
    <row r="188" hidden="1" spans="1:27">
      <c r="A188">
        <v>1</v>
      </c>
      <c r="B188">
        <v>3</v>
      </c>
      <c r="C188" s="3">
        <v>46039</v>
      </c>
      <c r="D188" t="s">
        <v>27</v>
      </c>
      <c r="E188" t="s">
        <v>278</v>
      </c>
      <c r="F188" t="s">
        <v>62</v>
      </c>
      <c r="G188" t="s">
        <v>30</v>
      </c>
      <c r="H188" t="s">
        <v>37</v>
      </c>
      <c r="I188" t="s">
        <v>92</v>
      </c>
      <c r="J188" t="s">
        <v>92</v>
      </c>
      <c r="K188" t="s">
        <v>64</v>
      </c>
      <c r="L188" t="s">
        <v>65</v>
      </c>
      <c r="M188" t="s">
        <v>93</v>
      </c>
      <c r="N188">
        <v>14.6</v>
      </c>
      <c r="O188">
        <v>7</v>
      </c>
      <c r="P188">
        <v>112.056</v>
      </c>
      <c r="Q188">
        <v>119.056</v>
      </c>
      <c r="R188">
        <v>0</v>
      </c>
      <c r="S188">
        <v>119.056</v>
      </c>
      <c r="T188">
        <v>26</v>
      </c>
      <c r="U188">
        <f>SUMIF(货件明细!J:J,E188,货件明细!AP:AP)</f>
        <v>0</v>
      </c>
      <c r="V188">
        <f>IF(U188=T188,0,1)</f>
        <v>1</v>
      </c>
      <c r="W188">
        <f>T188</f>
        <v>26</v>
      </c>
      <c r="X188">
        <f>SUMIF(货件明细!J:J,E188,货件明细!H:H)</f>
        <v>0</v>
      </c>
      <c r="Y188">
        <f>N188-X188</f>
        <v>14.6</v>
      </c>
      <c r="Z188">
        <f>SUMIF(货件明细!J:J,E188,货件明细!I:I)</f>
        <v>0</v>
      </c>
      <c r="AA188">
        <f>IF(S188=Z188,0,1)</f>
        <v>1</v>
      </c>
    </row>
    <row r="189" hidden="1" spans="1:27">
      <c r="A189">
        <v>1</v>
      </c>
      <c r="B189">
        <v>3</v>
      </c>
      <c r="C189" s="3">
        <v>46039</v>
      </c>
      <c r="D189" t="s">
        <v>27</v>
      </c>
      <c r="E189" t="s">
        <v>279</v>
      </c>
      <c r="F189" t="s">
        <v>71</v>
      </c>
      <c r="G189" t="s">
        <v>72</v>
      </c>
      <c r="H189" t="s">
        <v>37</v>
      </c>
      <c r="I189" t="s">
        <v>92</v>
      </c>
      <c r="J189" t="s">
        <v>92</v>
      </c>
      <c r="K189" t="s">
        <v>64</v>
      </c>
      <c r="L189" t="s">
        <v>65</v>
      </c>
      <c r="M189" t="s">
        <v>93</v>
      </c>
      <c r="N189">
        <v>14.6</v>
      </c>
      <c r="O189">
        <v>7</v>
      </c>
      <c r="P189">
        <v>83.5</v>
      </c>
      <c r="Q189">
        <v>90.5</v>
      </c>
      <c r="R189">
        <v>0</v>
      </c>
      <c r="S189">
        <v>90.5</v>
      </c>
      <c r="T189">
        <v>26</v>
      </c>
      <c r="U189">
        <f>SUMIF(货件明细!J:J,E189,货件明细!AP:AP)</f>
        <v>0</v>
      </c>
      <c r="V189">
        <f>IF(U189=T189,0,1)</f>
        <v>1</v>
      </c>
      <c r="W189">
        <f>T189</f>
        <v>26</v>
      </c>
      <c r="X189">
        <f>SUMIF(货件明细!J:J,E189,货件明细!H:H)</f>
        <v>0</v>
      </c>
      <c r="Y189">
        <f>N189-X189</f>
        <v>14.6</v>
      </c>
      <c r="Z189">
        <f>SUMIF(货件明细!J:J,E189,货件明细!I:I)</f>
        <v>0</v>
      </c>
      <c r="AA189">
        <f>IF(S189=Z189,0,1)</f>
        <v>1</v>
      </c>
    </row>
    <row r="190" hidden="1" spans="1:27">
      <c r="A190">
        <v>1</v>
      </c>
      <c r="B190">
        <v>3</v>
      </c>
      <c r="C190" s="3">
        <v>46039</v>
      </c>
      <c r="D190" t="s">
        <v>27</v>
      </c>
      <c r="E190" t="s">
        <v>280</v>
      </c>
      <c r="F190" t="s">
        <v>187</v>
      </c>
      <c r="G190" t="s">
        <v>72</v>
      </c>
      <c r="H190" t="s">
        <v>37</v>
      </c>
      <c r="I190" t="s">
        <v>92</v>
      </c>
      <c r="J190" t="s">
        <v>92</v>
      </c>
      <c r="K190" t="s">
        <v>64</v>
      </c>
      <c r="L190" t="s">
        <v>65</v>
      </c>
      <c r="M190" t="s">
        <v>93</v>
      </c>
      <c r="N190">
        <v>14.6</v>
      </c>
      <c r="O190">
        <v>7</v>
      </c>
      <c r="P190">
        <v>76.4</v>
      </c>
      <c r="Q190">
        <v>83.4</v>
      </c>
      <c r="R190">
        <v>0</v>
      </c>
      <c r="S190">
        <v>83.4</v>
      </c>
      <c r="T190">
        <v>26</v>
      </c>
      <c r="U190">
        <f>SUMIF(货件明细!J:J,E190,货件明细!AP:AP)</f>
        <v>0</v>
      </c>
      <c r="V190">
        <f>IF(U190=T190,0,1)</f>
        <v>1</v>
      </c>
      <c r="W190">
        <f>T190</f>
        <v>26</v>
      </c>
      <c r="X190">
        <f>SUMIF(货件明细!J:J,E190,货件明细!H:H)</f>
        <v>0</v>
      </c>
      <c r="Y190">
        <f>N190-X190</f>
        <v>14.6</v>
      </c>
      <c r="Z190">
        <f>SUMIF(货件明细!J:J,E190,货件明细!I:I)</f>
        <v>0</v>
      </c>
      <c r="AA190">
        <f>IF(S190=Z190,0,1)</f>
        <v>1</v>
      </c>
    </row>
    <row r="191" hidden="1" spans="1:27">
      <c r="A191">
        <v>1</v>
      </c>
      <c r="B191">
        <v>3</v>
      </c>
      <c r="C191" s="3">
        <v>46039</v>
      </c>
      <c r="D191" t="s">
        <v>27</v>
      </c>
      <c r="E191" t="s">
        <v>281</v>
      </c>
      <c r="F191" t="s">
        <v>239</v>
      </c>
      <c r="G191" t="s">
        <v>72</v>
      </c>
      <c r="H191" t="s">
        <v>37</v>
      </c>
      <c r="I191" t="s">
        <v>92</v>
      </c>
      <c r="J191" t="s">
        <v>92</v>
      </c>
      <c r="K191" t="s">
        <v>64</v>
      </c>
      <c r="L191" t="s">
        <v>65</v>
      </c>
      <c r="M191" t="s">
        <v>93</v>
      </c>
      <c r="N191">
        <v>14.6</v>
      </c>
      <c r="O191">
        <v>7</v>
      </c>
      <c r="P191">
        <v>82</v>
      </c>
      <c r="Q191">
        <v>89</v>
      </c>
      <c r="R191">
        <v>0</v>
      </c>
      <c r="S191">
        <v>89</v>
      </c>
      <c r="T191">
        <v>26</v>
      </c>
      <c r="U191">
        <f>SUMIF(货件明细!J:J,E191,货件明细!AP:AP)</f>
        <v>0</v>
      </c>
      <c r="V191">
        <f>IF(U191=T191,0,1)</f>
        <v>1</v>
      </c>
      <c r="W191">
        <f>T191</f>
        <v>26</v>
      </c>
      <c r="X191">
        <f>SUMIF(货件明细!J:J,E191,货件明细!H:H)</f>
        <v>0</v>
      </c>
      <c r="Y191">
        <f>N191-X191</f>
        <v>14.6</v>
      </c>
      <c r="Z191">
        <f>SUMIF(货件明细!J:J,E191,货件明细!I:I)</f>
        <v>0</v>
      </c>
      <c r="AA191">
        <f>IF(S191=Z191,0,1)</f>
        <v>1</v>
      </c>
    </row>
    <row r="192" hidden="1" spans="1:27">
      <c r="A192">
        <v>1</v>
      </c>
      <c r="B192">
        <v>3</v>
      </c>
      <c r="C192" s="3">
        <v>46039</v>
      </c>
      <c r="D192" t="s">
        <v>27</v>
      </c>
      <c r="E192" t="s">
        <v>282</v>
      </c>
      <c r="F192" t="s">
        <v>195</v>
      </c>
      <c r="G192" t="s">
        <v>30</v>
      </c>
      <c r="H192" t="s">
        <v>54</v>
      </c>
      <c r="I192" t="s">
        <v>92</v>
      </c>
      <c r="J192" t="s">
        <v>92</v>
      </c>
      <c r="K192" t="s">
        <v>64</v>
      </c>
      <c r="L192" t="s">
        <v>65</v>
      </c>
      <c r="M192" t="s">
        <v>93</v>
      </c>
      <c r="N192">
        <v>50</v>
      </c>
      <c r="O192">
        <v>7</v>
      </c>
      <c r="P192">
        <v>361.644642857143</v>
      </c>
      <c r="Q192">
        <v>368.644642857143</v>
      </c>
      <c r="R192">
        <v>0</v>
      </c>
      <c r="S192">
        <v>368.644642857143</v>
      </c>
      <c r="T192">
        <v>175</v>
      </c>
      <c r="U192">
        <f>SUMIF(货件明细!J:J,E192,货件明细!AP:AP)</f>
        <v>0</v>
      </c>
      <c r="V192">
        <f>IF(U192=T192,0,1)</f>
        <v>1</v>
      </c>
      <c r="W192">
        <f>T192</f>
        <v>175</v>
      </c>
      <c r="X192">
        <f>SUMIF(货件明细!J:J,E192,货件明细!H:H)</f>
        <v>0</v>
      </c>
      <c r="Y192">
        <f>N192-X192</f>
        <v>50</v>
      </c>
      <c r="Z192">
        <f>SUMIF(货件明细!J:J,E192,货件明细!I:I)</f>
        <v>0</v>
      </c>
      <c r="AA192">
        <f>IF(S192=Z192,0,1)</f>
        <v>1</v>
      </c>
    </row>
    <row r="193" hidden="1" spans="1:27">
      <c r="A193">
        <v>1</v>
      </c>
      <c r="B193">
        <v>3</v>
      </c>
      <c r="C193" s="3">
        <v>46039</v>
      </c>
      <c r="D193" t="s">
        <v>27</v>
      </c>
      <c r="E193" t="s">
        <v>283</v>
      </c>
      <c r="F193" t="s">
        <v>62</v>
      </c>
      <c r="G193" t="s">
        <v>30</v>
      </c>
      <c r="H193" t="s">
        <v>54</v>
      </c>
      <c r="I193" t="s">
        <v>92</v>
      </c>
      <c r="J193" t="s">
        <v>92</v>
      </c>
      <c r="K193" t="s">
        <v>64</v>
      </c>
      <c r="L193" t="s">
        <v>65</v>
      </c>
      <c r="M193" t="s">
        <v>93</v>
      </c>
      <c r="N193">
        <v>50</v>
      </c>
      <c r="O193">
        <v>7</v>
      </c>
      <c r="P193">
        <v>336.168</v>
      </c>
      <c r="Q193">
        <v>343.168</v>
      </c>
      <c r="R193">
        <v>0</v>
      </c>
      <c r="S193">
        <v>343.168</v>
      </c>
      <c r="T193">
        <v>175</v>
      </c>
      <c r="U193">
        <f>SUMIF(货件明细!J:J,E193,货件明细!AP:AP)</f>
        <v>0</v>
      </c>
      <c r="V193">
        <f>IF(U193=T193,0,1)</f>
        <v>1</v>
      </c>
      <c r="W193">
        <f>T193</f>
        <v>175</v>
      </c>
      <c r="X193">
        <f>SUMIF(货件明细!J:J,E193,货件明细!H:H)</f>
        <v>0</v>
      </c>
      <c r="Y193">
        <f>N193-X193</f>
        <v>50</v>
      </c>
      <c r="Z193">
        <f>SUMIF(货件明细!J:J,E193,货件明细!I:I)</f>
        <v>0</v>
      </c>
      <c r="AA193">
        <f>IF(S193=Z193,0,1)</f>
        <v>1</v>
      </c>
    </row>
    <row r="194" hidden="1" spans="1:27">
      <c r="A194">
        <v>1</v>
      </c>
      <c r="B194">
        <v>3</v>
      </c>
      <c r="C194" s="3">
        <v>46039</v>
      </c>
      <c r="D194" t="s">
        <v>27</v>
      </c>
      <c r="E194" t="s">
        <v>284</v>
      </c>
      <c r="F194" t="s">
        <v>71</v>
      </c>
      <c r="G194" t="s">
        <v>72</v>
      </c>
      <c r="H194" t="s">
        <v>54</v>
      </c>
      <c r="I194" t="s">
        <v>92</v>
      </c>
      <c r="J194" t="s">
        <v>92</v>
      </c>
      <c r="K194" t="s">
        <v>64</v>
      </c>
      <c r="L194" t="s">
        <v>65</v>
      </c>
      <c r="M194" t="s">
        <v>93</v>
      </c>
      <c r="N194">
        <v>50</v>
      </c>
      <c r="O194">
        <v>7</v>
      </c>
      <c r="P194">
        <v>250.5</v>
      </c>
      <c r="Q194">
        <v>257.5</v>
      </c>
      <c r="R194">
        <v>0</v>
      </c>
      <c r="S194">
        <v>257.5</v>
      </c>
      <c r="T194">
        <v>175</v>
      </c>
      <c r="U194">
        <f>SUMIF(货件明细!J:J,E194,货件明细!AP:AP)</f>
        <v>0</v>
      </c>
      <c r="V194">
        <f>IF(U194=T194,0,1)</f>
        <v>1</v>
      </c>
      <c r="W194">
        <f>T194</f>
        <v>175</v>
      </c>
      <c r="X194">
        <f>SUMIF(货件明细!J:J,E194,货件明细!H:H)</f>
        <v>0</v>
      </c>
      <c r="Y194">
        <f>N194-X194</f>
        <v>50</v>
      </c>
      <c r="Z194">
        <f>SUMIF(货件明细!J:J,E194,货件明细!I:I)</f>
        <v>0</v>
      </c>
      <c r="AA194">
        <f>IF(S194=Z194,0,1)</f>
        <v>1</v>
      </c>
    </row>
    <row r="195" hidden="1" spans="1:27">
      <c r="A195">
        <v>1</v>
      </c>
      <c r="B195">
        <v>3</v>
      </c>
      <c r="C195" s="3">
        <v>46039</v>
      </c>
      <c r="D195" t="s">
        <v>27</v>
      </c>
      <c r="E195" t="s">
        <v>285</v>
      </c>
      <c r="F195" t="s">
        <v>187</v>
      </c>
      <c r="G195" t="s">
        <v>72</v>
      </c>
      <c r="H195" t="s">
        <v>54</v>
      </c>
      <c r="I195" t="s">
        <v>92</v>
      </c>
      <c r="J195" t="s">
        <v>92</v>
      </c>
      <c r="K195" t="s">
        <v>64</v>
      </c>
      <c r="L195" t="s">
        <v>65</v>
      </c>
      <c r="M195" t="s">
        <v>93</v>
      </c>
      <c r="N195">
        <v>50</v>
      </c>
      <c r="O195">
        <v>7</v>
      </c>
      <c r="P195">
        <v>229.2</v>
      </c>
      <c r="Q195">
        <v>236.2</v>
      </c>
      <c r="R195">
        <v>0</v>
      </c>
      <c r="S195">
        <v>236.2</v>
      </c>
      <c r="T195">
        <v>175</v>
      </c>
      <c r="U195">
        <f>SUMIF(货件明细!J:J,E195,货件明细!AP:AP)</f>
        <v>0</v>
      </c>
      <c r="V195">
        <f>IF(U195=T195,0,1)</f>
        <v>1</v>
      </c>
      <c r="W195">
        <f>T195</f>
        <v>175</v>
      </c>
      <c r="X195">
        <f>SUMIF(货件明细!J:J,E195,货件明细!H:H)</f>
        <v>0</v>
      </c>
      <c r="Y195">
        <f>N195-X195</f>
        <v>50</v>
      </c>
      <c r="Z195">
        <f>SUMIF(货件明细!J:J,E195,货件明细!I:I)</f>
        <v>0</v>
      </c>
      <c r="AA195">
        <f>IF(S195=Z195,0,1)</f>
        <v>1</v>
      </c>
    </row>
    <row r="196" hidden="1" spans="1:27">
      <c r="A196">
        <v>1</v>
      </c>
      <c r="B196">
        <v>3</v>
      </c>
      <c r="C196" s="3">
        <v>46039</v>
      </c>
      <c r="D196" t="s">
        <v>27</v>
      </c>
      <c r="E196" t="s">
        <v>286</v>
      </c>
      <c r="F196" t="s">
        <v>239</v>
      </c>
      <c r="G196" t="s">
        <v>72</v>
      </c>
      <c r="H196" t="s">
        <v>54</v>
      </c>
      <c r="I196" t="s">
        <v>92</v>
      </c>
      <c r="J196" t="s">
        <v>92</v>
      </c>
      <c r="K196" t="s">
        <v>64</v>
      </c>
      <c r="L196" t="s">
        <v>65</v>
      </c>
      <c r="M196" t="s">
        <v>93</v>
      </c>
      <c r="N196">
        <v>50</v>
      </c>
      <c r="O196">
        <v>7</v>
      </c>
      <c r="P196">
        <v>246</v>
      </c>
      <c r="Q196">
        <v>253</v>
      </c>
      <c r="R196">
        <v>0</v>
      </c>
      <c r="S196">
        <v>253</v>
      </c>
      <c r="T196">
        <v>175</v>
      </c>
      <c r="U196">
        <f>SUMIF(货件明细!J:J,E196,货件明细!AP:AP)</f>
        <v>0</v>
      </c>
      <c r="V196">
        <f>IF(U196=T196,0,1)</f>
        <v>1</v>
      </c>
      <c r="W196">
        <f>T196</f>
        <v>175</v>
      </c>
      <c r="X196">
        <f>SUMIF(货件明细!J:J,E196,货件明细!H:H)</f>
        <v>0</v>
      </c>
      <c r="Y196">
        <f>N196-X196</f>
        <v>50</v>
      </c>
      <c r="Z196">
        <f>SUMIF(货件明细!J:J,E196,货件明细!I:I)</f>
        <v>0</v>
      </c>
      <c r="AA196">
        <f>IF(S196=Z196,0,1)</f>
        <v>1</v>
      </c>
    </row>
    <row r="197" hidden="1" spans="1:27">
      <c r="A197">
        <v>1</v>
      </c>
      <c r="B197">
        <v>3</v>
      </c>
      <c r="C197" s="3">
        <v>46039</v>
      </c>
      <c r="D197" t="s">
        <v>27</v>
      </c>
      <c r="E197" t="s">
        <v>287</v>
      </c>
      <c r="F197" t="s">
        <v>195</v>
      </c>
      <c r="G197" t="s">
        <v>30</v>
      </c>
      <c r="H197" t="s">
        <v>51</v>
      </c>
      <c r="I197" t="s">
        <v>92</v>
      </c>
      <c r="J197" t="s">
        <v>92</v>
      </c>
      <c r="K197" t="s">
        <v>64</v>
      </c>
      <c r="L197" t="s">
        <v>65</v>
      </c>
      <c r="M197" t="s">
        <v>93</v>
      </c>
      <c r="N197">
        <v>47.8</v>
      </c>
      <c r="O197">
        <v>7</v>
      </c>
      <c r="P197">
        <v>482.192857142857</v>
      </c>
      <c r="Q197">
        <v>489.192857142857</v>
      </c>
      <c r="R197">
        <v>0</v>
      </c>
      <c r="S197">
        <v>489.192857142857</v>
      </c>
      <c r="T197">
        <v>122</v>
      </c>
      <c r="U197">
        <f>SUMIF(货件明细!J:J,E197,货件明细!AP:AP)</f>
        <v>0</v>
      </c>
      <c r="V197">
        <f>IF(U197=T197,0,1)</f>
        <v>1</v>
      </c>
      <c r="W197">
        <f>T197</f>
        <v>122</v>
      </c>
      <c r="X197">
        <f>SUMIF(货件明细!J:J,E197,货件明细!H:H)</f>
        <v>0</v>
      </c>
      <c r="Y197">
        <f>N197-X197</f>
        <v>47.8</v>
      </c>
      <c r="Z197">
        <f>SUMIF(货件明细!J:J,E197,货件明细!I:I)</f>
        <v>0</v>
      </c>
      <c r="AA197">
        <f>IF(S197=Z197,0,1)</f>
        <v>1</v>
      </c>
    </row>
    <row r="198" hidden="1" spans="1:27">
      <c r="A198">
        <v>1</v>
      </c>
      <c r="B198">
        <v>3</v>
      </c>
      <c r="C198" s="3">
        <v>46039</v>
      </c>
      <c r="D198" t="s">
        <v>27</v>
      </c>
      <c r="E198" t="s">
        <v>288</v>
      </c>
      <c r="F198" t="s">
        <v>62</v>
      </c>
      <c r="G198" t="s">
        <v>30</v>
      </c>
      <c r="H198" t="s">
        <v>51</v>
      </c>
      <c r="I198" t="s">
        <v>92</v>
      </c>
      <c r="J198" t="s">
        <v>92</v>
      </c>
      <c r="K198" t="s">
        <v>64</v>
      </c>
      <c r="L198" t="s">
        <v>65</v>
      </c>
      <c r="M198" t="s">
        <v>93</v>
      </c>
      <c r="N198">
        <v>47.8</v>
      </c>
      <c r="O198">
        <v>7</v>
      </c>
      <c r="P198">
        <v>448.224</v>
      </c>
      <c r="Q198">
        <v>455.224</v>
      </c>
      <c r="R198">
        <v>0</v>
      </c>
      <c r="S198">
        <v>455.224</v>
      </c>
      <c r="T198">
        <v>122</v>
      </c>
      <c r="U198">
        <f>SUMIF(货件明细!J:J,E198,货件明细!AP:AP)</f>
        <v>0</v>
      </c>
      <c r="V198">
        <f>IF(U198=T198,0,1)</f>
        <v>1</v>
      </c>
      <c r="W198">
        <f>T198</f>
        <v>122</v>
      </c>
      <c r="X198">
        <f>SUMIF(货件明细!J:J,E198,货件明细!H:H)</f>
        <v>0</v>
      </c>
      <c r="Y198">
        <f>N198-X198</f>
        <v>47.8</v>
      </c>
      <c r="Z198">
        <f>SUMIF(货件明细!J:J,E198,货件明细!I:I)</f>
        <v>0</v>
      </c>
      <c r="AA198">
        <f>IF(S198=Z198,0,1)</f>
        <v>1</v>
      </c>
    </row>
    <row r="199" hidden="1" spans="1:27">
      <c r="A199">
        <v>1</v>
      </c>
      <c r="B199">
        <v>3</v>
      </c>
      <c r="C199" s="3">
        <v>46039</v>
      </c>
      <c r="D199" t="s">
        <v>27</v>
      </c>
      <c r="E199" t="s">
        <v>289</v>
      </c>
      <c r="F199" t="s">
        <v>71</v>
      </c>
      <c r="G199" t="s">
        <v>72</v>
      </c>
      <c r="H199" t="s">
        <v>51</v>
      </c>
      <c r="I199" t="s">
        <v>92</v>
      </c>
      <c r="J199" t="s">
        <v>92</v>
      </c>
      <c r="K199" t="s">
        <v>64</v>
      </c>
      <c r="L199" t="s">
        <v>65</v>
      </c>
      <c r="M199" t="s">
        <v>93</v>
      </c>
      <c r="N199">
        <v>47.8</v>
      </c>
      <c r="O199">
        <v>7</v>
      </c>
      <c r="P199">
        <v>334</v>
      </c>
      <c r="Q199">
        <v>341</v>
      </c>
      <c r="R199">
        <v>0</v>
      </c>
      <c r="S199">
        <v>341</v>
      </c>
      <c r="T199">
        <v>122</v>
      </c>
      <c r="U199">
        <f>SUMIF(货件明细!J:J,E199,货件明细!AP:AP)</f>
        <v>0</v>
      </c>
      <c r="V199">
        <f>IF(U199=T199,0,1)</f>
        <v>1</v>
      </c>
      <c r="W199">
        <f>T199</f>
        <v>122</v>
      </c>
      <c r="X199">
        <f>SUMIF(货件明细!J:J,E199,货件明细!H:H)</f>
        <v>0</v>
      </c>
      <c r="Y199">
        <f>N199-X199</f>
        <v>47.8</v>
      </c>
      <c r="Z199">
        <f>SUMIF(货件明细!J:J,E199,货件明细!I:I)</f>
        <v>0</v>
      </c>
      <c r="AA199">
        <f>IF(S199=Z199,0,1)</f>
        <v>1</v>
      </c>
    </row>
    <row r="200" hidden="1" spans="1:27">
      <c r="A200">
        <v>1</v>
      </c>
      <c r="B200">
        <v>3</v>
      </c>
      <c r="C200" s="3">
        <v>46039</v>
      </c>
      <c r="D200" t="s">
        <v>27</v>
      </c>
      <c r="E200" t="s">
        <v>290</v>
      </c>
      <c r="F200" t="s">
        <v>187</v>
      </c>
      <c r="G200" t="s">
        <v>72</v>
      </c>
      <c r="H200" t="s">
        <v>51</v>
      </c>
      <c r="I200" t="s">
        <v>92</v>
      </c>
      <c r="J200" t="s">
        <v>92</v>
      </c>
      <c r="K200" t="s">
        <v>64</v>
      </c>
      <c r="L200" t="s">
        <v>65</v>
      </c>
      <c r="M200" t="s">
        <v>93</v>
      </c>
      <c r="N200">
        <v>47.8</v>
      </c>
      <c r="O200">
        <v>7</v>
      </c>
      <c r="P200">
        <v>305.6</v>
      </c>
      <c r="Q200">
        <v>312.6</v>
      </c>
      <c r="R200">
        <v>0</v>
      </c>
      <c r="S200">
        <v>312.6</v>
      </c>
      <c r="T200">
        <v>122</v>
      </c>
      <c r="U200">
        <f>SUMIF(货件明细!J:J,E200,货件明细!AP:AP)</f>
        <v>0</v>
      </c>
      <c r="V200">
        <f>IF(U200=T200,0,1)</f>
        <v>1</v>
      </c>
      <c r="W200">
        <f>T200</f>
        <v>122</v>
      </c>
      <c r="X200">
        <f>SUMIF(货件明细!J:J,E200,货件明细!H:H)</f>
        <v>0</v>
      </c>
      <c r="Y200">
        <f>N200-X200</f>
        <v>47.8</v>
      </c>
      <c r="Z200">
        <f>SUMIF(货件明细!J:J,E200,货件明细!I:I)</f>
        <v>0</v>
      </c>
      <c r="AA200">
        <f>IF(S200=Z200,0,1)</f>
        <v>1</v>
      </c>
    </row>
    <row r="201" hidden="1" spans="1:27">
      <c r="A201">
        <v>1</v>
      </c>
      <c r="B201">
        <v>3</v>
      </c>
      <c r="C201" s="3">
        <v>46039</v>
      </c>
      <c r="D201" t="s">
        <v>27</v>
      </c>
      <c r="E201" t="s">
        <v>291</v>
      </c>
      <c r="F201" t="s">
        <v>239</v>
      </c>
      <c r="G201" t="s">
        <v>72</v>
      </c>
      <c r="H201" t="s">
        <v>51</v>
      </c>
      <c r="I201" t="s">
        <v>92</v>
      </c>
      <c r="J201" t="s">
        <v>92</v>
      </c>
      <c r="K201" t="s">
        <v>64</v>
      </c>
      <c r="L201" t="s">
        <v>65</v>
      </c>
      <c r="M201" t="s">
        <v>93</v>
      </c>
      <c r="N201">
        <v>47.8</v>
      </c>
      <c r="O201">
        <v>7</v>
      </c>
      <c r="P201">
        <v>328</v>
      </c>
      <c r="Q201">
        <v>335</v>
      </c>
      <c r="R201">
        <v>0</v>
      </c>
      <c r="S201">
        <v>335</v>
      </c>
      <c r="T201">
        <v>122</v>
      </c>
      <c r="U201">
        <f>SUMIF(货件明细!J:J,E201,货件明细!AP:AP)</f>
        <v>0</v>
      </c>
      <c r="V201">
        <f>IF(U201=T201,0,1)</f>
        <v>1</v>
      </c>
      <c r="W201">
        <f>T201</f>
        <v>122</v>
      </c>
      <c r="X201">
        <f>SUMIF(货件明细!J:J,E201,货件明细!H:H)</f>
        <v>0</v>
      </c>
      <c r="Y201">
        <f>N201-X201</f>
        <v>47.8</v>
      </c>
      <c r="Z201">
        <f>SUMIF(货件明细!J:J,E201,货件明细!I:I)</f>
        <v>0</v>
      </c>
      <c r="AA201">
        <f>IF(S201=Z201,0,1)</f>
        <v>1</v>
      </c>
    </row>
    <row r="202" hidden="1" spans="1:27">
      <c r="A202">
        <v>1</v>
      </c>
      <c r="B202">
        <v>3</v>
      </c>
      <c r="C202" s="3">
        <v>46039</v>
      </c>
      <c r="D202" t="s">
        <v>27</v>
      </c>
      <c r="E202" t="s">
        <v>292</v>
      </c>
      <c r="F202" t="s">
        <v>195</v>
      </c>
      <c r="G202" t="s">
        <v>30</v>
      </c>
      <c r="H202" t="s">
        <v>31</v>
      </c>
      <c r="I202" t="s">
        <v>92</v>
      </c>
      <c r="J202" t="s">
        <v>92</v>
      </c>
      <c r="K202" t="s">
        <v>64</v>
      </c>
      <c r="L202" t="s">
        <v>65</v>
      </c>
      <c r="M202" t="s">
        <v>93</v>
      </c>
      <c r="N202">
        <v>82.45</v>
      </c>
      <c r="O202">
        <v>7</v>
      </c>
      <c r="P202">
        <v>482.192857142857</v>
      </c>
      <c r="Q202">
        <v>489.192857142857</v>
      </c>
      <c r="R202">
        <v>0</v>
      </c>
      <c r="S202">
        <v>489.192857142857</v>
      </c>
      <c r="T202">
        <v>227</v>
      </c>
      <c r="U202">
        <f>SUMIF(货件明细!J:J,E202,货件明细!AP:AP)</f>
        <v>0</v>
      </c>
      <c r="V202">
        <f>IF(U202=T202,0,1)</f>
        <v>1</v>
      </c>
      <c r="W202">
        <f>T202</f>
        <v>227</v>
      </c>
      <c r="X202">
        <f>SUMIF(货件明细!J:J,E202,货件明细!H:H)</f>
        <v>0</v>
      </c>
      <c r="Y202">
        <f>N202-X202</f>
        <v>82.45</v>
      </c>
      <c r="Z202">
        <f>SUMIF(货件明细!J:J,E202,货件明细!I:I)</f>
        <v>0</v>
      </c>
      <c r="AA202">
        <f>IF(S202=Z202,0,1)</f>
        <v>1</v>
      </c>
    </row>
    <row r="203" hidden="1" spans="1:27">
      <c r="A203">
        <v>1</v>
      </c>
      <c r="B203">
        <v>3</v>
      </c>
      <c r="C203" s="3">
        <v>46039</v>
      </c>
      <c r="D203" t="s">
        <v>27</v>
      </c>
      <c r="E203" t="s">
        <v>293</v>
      </c>
      <c r="F203" t="s">
        <v>62</v>
      </c>
      <c r="G203" t="s">
        <v>30</v>
      </c>
      <c r="H203" t="s">
        <v>31</v>
      </c>
      <c r="I203" t="s">
        <v>92</v>
      </c>
      <c r="J203" t="s">
        <v>92</v>
      </c>
      <c r="K203" t="s">
        <v>64</v>
      </c>
      <c r="L203" t="s">
        <v>65</v>
      </c>
      <c r="M203" t="s">
        <v>93</v>
      </c>
      <c r="N203">
        <v>82.45</v>
      </c>
      <c r="O203">
        <v>7</v>
      </c>
      <c r="P203">
        <v>448.224</v>
      </c>
      <c r="Q203">
        <v>455.224</v>
      </c>
      <c r="R203">
        <v>0</v>
      </c>
      <c r="S203">
        <v>455.224</v>
      </c>
      <c r="T203">
        <v>227</v>
      </c>
      <c r="U203">
        <f>SUMIF(货件明细!J:J,E203,货件明细!AP:AP)</f>
        <v>0</v>
      </c>
      <c r="V203">
        <f>IF(U203=T203,0,1)</f>
        <v>1</v>
      </c>
      <c r="W203">
        <f>T203</f>
        <v>227</v>
      </c>
      <c r="X203">
        <f>SUMIF(货件明细!J:J,E203,货件明细!H:H)</f>
        <v>0</v>
      </c>
      <c r="Y203">
        <f>N203-X203</f>
        <v>82.45</v>
      </c>
      <c r="Z203">
        <f>SUMIF(货件明细!J:J,E203,货件明细!I:I)</f>
        <v>0</v>
      </c>
      <c r="AA203">
        <f>IF(S203=Z203,0,1)</f>
        <v>1</v>
      </c>
    </row>
    <row r="204" hidden="1" spans="1:27">
      <c r="A204">
        <v>1</v>
      </c>
      <c r="B204">
        <v>3</v>
      </c>
      <c r="C204" s="3">
        <v>46039</v>
      </c>
      <c r="D204" t="s">
        <v>27</v>
      </c>
      <c r="E204" t="s">
        <v>294</v>
      </c>
      <c r="F204" t="s">
        <v>71</v>
      </c>
      <c r="G204" t="s">
        <v>72</v>
      </c>
      <c r="H204" t="s">
        <v>31</v>
      </c>
      <c r="I204" t="s">
        <v>92</v>
      </c>
      <c r="J204" t="s">
        <v>92</v>
      </c>
      <c r="K204" t="s">
        <v>64</v>
      </c>
      <c r="L204" t="s">
        <v>65</v>
      </c>
      <c r="M204" t="s">
        <v>93</v>
      </c>
      <c r="N204">
        <v>82.45</v>
      </c>
      <c r="O204">
        <v>7</v>
      </c>
      <c r="P204">
        <v>334</v>
      </c>
      <c r="Q204">
        <v>341</v>
      </c>
      <c r="R204">
        <v>0</v>
      </c>
      <c r="S204">
        <v>341</v>
      </c>
      <c r="T204">
        <v>227</v>
      </c>
      <c r="U204">
        <f>SUMIF(货件明细!J:J,E204,货件明细!AP:AP)</f>
        <v>0</v>
      </c>
      <c r="V204">
        <f>IF(U204=T204,0,1)</f>
        <v>1</v>
      </c>
      <c r="W204">
        <f>T204</f>
        <v>227</v>
      </c>
      <c r="X204">
        <f>SUMIF(货件明细!J:J,E204,货件明细!H:H)</f>
        <v>0</v>
      </c>
      <c r="Y204">
        <f>N204-X204</f>
        <v>82.45</v>
      </c>
      <c r="Z204">
        <f>SUMIF(货件明细!J:J,E204,货件明细!I:I)</f>
        <v>0</v>
      </c>
      <c r="AA204">
        <f>IF(S204=Z204,0,1)</f>
        <v>1</v>
      </c>
    </row>
    <row r="205" hidden="1" spans="1:27">
      <c r="A205">
        <v>1</v>
      </c>
      <c r="B205">
        <v>3</v>
      </c>
      <c r="C205" s="3">
        <v>46039</v>
      </c>
      <c r="D205" t="s">
        <v>27</v>
      </c>
      <c r="E205" t="s">
        <v>295</v>
      </c>
      <c r="F205" t="s">
        <v>187</v>
      </c>
      <c r="G205" t="s">
        <v>72</v>
      </c>
      <c r="H205" t="s">
        <v>31</v>
      </c>
      <c r="I205" t="s">
        <v>92</v>
      </c>
      <c r="J205" t="s">
        <v>92</v>
      </c>
      <c r="K205" t="s">
        <v>64</v>
      </c>
      <c r="L205" t="s">
        <v>65</v>
      </c>
      <c r="M205" t="s">
        <v>93</v>
      </c>
      <c r="N205">
        <v>82.45</v>
      </c>
      <c r="O205">
        <v>7</v>
      </c>
      <c r="P205">
        <v>305.6</v>
      </c>
      <c r="Q205">
        <v>312.6</v>
      </c>
      <c r="R205">
        <v>0</v>
      </c>
      <c r="S205">
        <v>312.6</v>
      </c>
      <c r="T205">
        <v>227</v>
      </c>
      <c r="U205">
        <f>SUMIF(货件明细!J:J,E205,货件明细!AP:AP)</f>
        <v>0</v>
      </c>
      <c r="V205">
        <f>IF(U205=T205,0,1)</f>
        <v>1</v>
      </c>
      <c r="W205">
        <f>T205</f>
        <v>227</v>
      </c>
      <c r="X205">
        <f>SUMIF(货件明细!J:J,E205,货件明细!H:H)</f>
        <v>0</v>
      </c>
      <c r="Y205">
        <f>N205-X205</f>
        <v>82.45</v>
      </c>
      <c r="Z205">
        <f>SUMIF(货件明细!J:J,E205,货件明细!I:I)</f>
        <v>0</v>
      </c>
      <c r="AA205">
        <f>IF(S205=Z205,0,1)</f>
        <v>1</v>
      </c>
    </row>
    <row r="206" hidden="1" spans="1:27">
      <c r="A206">
        <v>1</v>
      </c>
      <c r="B206">
        <v>3</v>
      </c>
      <c r="C206" s="3">
        <v>46039</v>
      </c>
      <c r="D206" t="s">
        <v>27</v>
      </c>
      <c r="E206" t="s">
        <v>296</v>
      </c>
      <c r="F206" t="s">
        <v>239</v>
      </c>
      <c r="G206" t="s">
        <v>72</v>
      </c>
      <c r="H206" t="s">
        <v>31</v>
      </c>
      <c r="I206" t="s">
        <v>92</v>
      </c>
      <c r="J206" t="s">
        <v>92</v>
      </c>
      <c r="K206" t="s">
        <v>64</v>
      </c>
      <c r="L206" t="s">
        <v>65</v>
      </c>
      <c r="M206" t="s">
        <v>93</v>
      </c>
      <c r="N206">
        <v>82.45</v>
      </c>
      <c r="O206">
        <v>7</v>
      </c>
      <c r="P206">
        <v>328</v>
      </c>
      <c r="Q206">
        <v>335</v>
      </c>
      <c r="R206">
        <v>0</v>
      </c>
      <c r="S206">
        <v>335</v>
      </c>
      <c r="T206">
        <v>227</v>
      </c>
      <c r="U206">
        <f>SUMIF(货件明细!J:J,E206,货件明细!AP:AP)</f>
        <v>0</v>
      </c>
      <c r="V206">
        <f>IF(U206=T206,0,1)</f>
        <v>1</v>
      </c>
      <c r="W206">
        <f>T206</f>
        <v>227</v>
      </c>
      <c r="X206">
        <f>SUMIF(货件明细!J:J,E206,货件明细!H:H)</f>
        <v>0</v>
      </c>
      <c r="Y206">
        <f>N206-X206</f>
        <v>82.45</v>
      </c>
      <c r="Z206">
        <f>SUMIF(货件明细!J:J,E206,货件明细!I:I)</f>
        <v>0</v>
      </c>
      <c r="AA206">
        <f>IF(S206=Z206,0,1)</f>
        <v>1</v>
      </c>
    </row>
    <row r="207" hidden="1" spans="1:27">
      <c r="A207">
        <v>1</v>
      </c>
      <c r="B207">
        <v>3</v>
      </c>
      <c r="C207" s="3">
        <v>46039</v>
      </c>
      <c r="D207" t="s">
        <v>27</v>
      </c>
      <c r="E207" t="s">
        <v>297</v>
      </c>
      <c r="F207" t="s">
        <v>195</v>
      </c>
      <c r="G207" t="s">
        <v>30</v>
      </c>
      <c r="H207" t="s">
        <v>78</v>
      </c>
      <c r="I207" t="s">
        <v>92</v>
      </c>
      <c r="J207" t="s">
        <v>92</v>
      </c>
      <c r="K207" t="s">
        <v>64</v>
      </c>
      <c r="L207" t="s">
        <v>65</v>
      </c>
      <c r="M207" t="s">
        <v>93</v>
      </c>
      <c r="N207">
        <v>32.41</v>
      </c>
      <c r="O207">
        <v>7</v>
      </c>
      <c r="P207">
        <v>241.096428571429</v>
      </c>
      <c r="Q207">
        <v>248.096428571429</v>
      </c>
      <c r="R207">
        <v>0</v>
      </c>
      <c r="S207">
        <v>248.096428571429</v>
      </c>
      <c r="T207">
        <v>191</v>
      </c>
      <c r="U207">
        <f>SUMIF(货件明细!J:J,E207,货件明细!AP:AP)</f>
        <v>0</v>
      </c>
      <c r="V207">
        <f>IF(U207=T207,0,1)</f>
        <v>1</v>
      </c>
      <c r="W207">
        <f>T207</f>
        <v>191</v>
      </c>
      <c r="X207">
        <f>SUMIF(货件明细!J:J,E207,货件明细!H:H)</f>
        <v>0</v>
      </c>
      <c r="Y207">
        <f>N207-X207</f>
        <v>32.41</v>
      </c>
      <c r="Z207">
        <f>SUMIF(货件明细!J:J,E207,货件明细!I:I)</f>
        <v>0</v>
      </c>
      <c r="AA207">
        <f>IF(S207=Z207,0,1)</f>
        <v>1</v>
      </c>
    </row>
    <row r="208" hidden="1" spans="1:27">
      <c r="A208">
        <v>1</v>
      </c>
      <c r="B208">
        <v>3</v>
      </c>
      <c r="C208" s="3">
        <v>46039</v>
      </c>
      <c r="D208" t="s">
        <v>27</v>
      </c>
      <c r="E208" t="s">
        <v>298</v>
      </c>
      <c r="F208" t="s">
        <v>62</v>
      </c>
      <c r="G208" t="s">
        <v>30</v>
      </c>
      <c r="H208" t="s">
        <v>78</v>
      </c>
      <c r="I208" t="s">
        <v>92</v>
      </c>
      <c r="J208" t="s">
        <v>92</v>
      </c>
      <c r="K208" t="s">
        <v>64</v>
      </c>
      <c r="L208" t="s">
        <v>65</v>
      </c>
      <c r="M208" t="s">
        <v>93</v>
      </c>
      <c r="N208">
        <v>32.41</v>
      </c>
      <c r="O208">
        <v>7</v>
      </c>
      <c r="P208">
        <v>224.112</v>
      </c>
      <c r="Q208">
        <v>231.112</v>
      </c>
      <c r="R208">
        <v>0</v>
      </c>
      <c r="S208">
        <v>231.112</v>
      </c>
      <c r="T208">
        <v>191</v>
      </c>
      <c r="U208">
        <f>SUMIF(货件明细!J:J,E208,货件明细!AP:AP)</f>
        <v>0</v>
      </c>
      <c r="V208">
        <f>IF(U208=T208,0,1)</f>
        <v>1</v>
      </c>
      <c r="W208">
        <f>T208</f>
        <v>191</v>
      </c>
      <c r="X208">
        <f>SUMIF(货件明细!J:J,E208,货件明细!H:H)</f>
        <v>0</v>
      </c>
      <c r="Y208">
        <f>N208-X208</f>
        <v>32.41</v>
      </c>
      <c r="Z208">
        <f>SUMIF(货件明细!J:J,E208,货件明细!I:I)</f>
        <v>0</v>
      </c>
      <c r="AA208">
        <f>IF(S208=Z208,0,1)</f>
        <v>1</v>
      </c>
    </row>
    <row r="209" hidden="1" spans="1:27">
      <c r="A209">
        <v>1</v>
      </c>
      <c r="B209">
        <v>3</v>
      </c>
      <c r="C209" s="3">
        <v>46039</v>
      </c>
      <c r="D209" t="s">
        <v>27</v>
      </c>
      <c r="E209" t="s">
        <v>299</v>
      </c>
      <c r="F209" t="s">
        <v>71</v>
      </c>
      <c r="G209" t="s">
        <v>72</v>
      </c>
      <c r="H209" t="s">
        <v>78</v>
      </c>
      <c r="I209" t="s">
        <v>92</v>
      </c>
      <c r="J209" t="s">
        <v>92</v>
      </c>
      <c r="K209" t="s">
        <v>64</v>
      </c>
      <c r="L209" t="s">
        <v>65</v>
      </c>
      <c r="M209" t="s">
        <v>93</v>
      </c>
      <c r="N209">
        <v>32.41</v>
      </c>
      <c r="O209">
        <v>7</v>
      </c>
      <c r="P209">
        <v>167</v>
      </c>
      <c r="Q209">
        <v>174</v>
      </c>
      <c r="R209">
        <v>0</v>
      </c>
      <c r="S209">
        <v>174</v>
      </c>
      <c r="T209">
        <v>191</v>
      </c>
      <c r="U209">
        <f>SUMIF(货件明细!J:J,E209,货件明细!AP:AP)</f>
        <v>0</v>
      </c>
      <c r="V209">
        <f>IF(U209=T209,0,1)</f>
        <v>1</v>
      </c>
      <c r="W209">
        <f>T209</f>
        <v>191</v>
      </c>
      <c r="X209">
        <f>SUMIF(货件明细!J:J,E209,货件明细!H:H)</f>
        <v>0</v>
      </c>
      <c r="Y209">
        <f>N209-X209</f>
        <v>32.41</v>
      </c>
      <c r="Z209">
        <f>SUMIF(货件明细!J:J,E209,货件明细!I:I)</f>
        <v>0</v>
      </c>
      <c r="AA209">
        <f>IF(S209=Z209,0,1)</f>
        <v>1</v>
      </c>
    </row>
    <row r="210" hidden="1" spans="1:27">
      <c r="A210">
        <v>1</v>
      </c>
      <c r="B210">
        <v>3</v>
      </c>
      <c r="C210" s="3">
        <v>46039</v>
      </c>
      <c r="D210" t="s">
        <v>27</v>
      </c>
      <c r="E210" t="s">
        <v>300</v>
      </c>
      <c r="F210" t="s">
        <v>187</v>
      </c>
      <c r="G210" t="s">
        <v>72</v>
      </c>
      <c r="H210" t="s">
        <v>78</v>
      </c>
      <c r="I210" t="s">
        <v>92</v>
      </c>
      <c r="J210" t="s">
        <v>92</v>
      </c>
      <c r="K210" t="s">
        <v>64</v>
      </c>
      <c r="L210" t="s">
        <v>65</v>
      </c>
      <c r="M210" t="s">
        <v>93</v>
      </c>
      <c r="N210">
        <v>32.41</v>
      </c>
      <c r="O210">
        <v>7</v>
      </c>
      <c r="P210">
        <v>152.8</v>
      </c>
      <c r="Q210">
        <v>159.8</v>
      </c>
      <c r="R210">
        <v>0</v>
      </c>
      <c r="S210">
        <v>159.8</v>
      </c>
      <c r="T210">
        <v>191</v>
      </c>
      <c r="U210">
        <f>SUMIF(货件明细!J:J,E210,货件明细!AP:AP)</f>
        <v>0</v>
      </c>
      <c r="V210">
        <f>IF(U210=T210,0,1)</f>
        <v>1</v>
      </c>
      <c r="W210">
        <f>T210</f>
        <v>191</v>
      </c>
      <c r="X210">
        <f>SUMIF(货件明细!J:J,E210,货件明细!H:H)</f>
        <v>0</v>
      </c>
      <c r="Y210">
        <f>N210-X210</f>
        <v>32.41</v>
      </c>
      <c r="Z210">
        <f>SUMIF(货件明细!J:J,E210,货件明细!I:I)</f>
        <v>0</v>
      </c>
      <c r="AA210">
        <f>IF(S210=Z210,0,1)</f>
        <v>1</v>
      </c>
    </row>
    <row r="211" hidden="1" spans="1:27">
      <c r="A211">
        <v>1</v>
      </c>
      <c r="B211">
        <v>3</v>
      </c>
      <c r="C211" s="3">
        <v>46039</v>
      </c>
      <c r="D211" t="s">
        <v>27</v>
      </c>
      <c r="E211" t="s">
        <v>301</v>
      </c>
      <c r="F211" t="s">
        <v>239</v>
      </c>
      <c r="G211" t="s">
        <v>72</v>
      </c>
      <c r="H211" t="s">
        <v>78</v>
      </c>
      <c r="I211" t="s">
        <v>92</v>
      </c>
      <c r="J211" t="s">
        <v>92</v>
      </c>
      <c r="K211" t="s">
        <v>64</v>
      </c>
      <c r="L211" t="s">
        <v>65</v>
      </c>
      <c r="M211" t="s">
        <v>93</v>
      </c>
      <c r="N211">
        <v>32.41</v>
      </c>
      <c r="O211">
        <v>7</v>
      </c>
      <c r="P211">
        <v>164</v>
      </c>
      <c r="Q211">
        <v>171</v>
      </c>
      <c r="R211">
        <v>0</v>
      </c>
      <c r="S211">
        <v>171</v>
      </c>
      <c r="T211">
        <v>191</v>
      </c>
      <c r="U211">
        <f>SUMIF(货件明细!J:J,E211,货件明细!AP:AP)</f>
        <v>0</v>
      </c>
      <c r="V211">
        <f>IF(U211=T211,0,1)</f>
        <v>1</v>
      </c>
      <c r="W211">
        <f>T211</f>
        <v>191</v>
      </c>
      <c r="X211">
        <f>SUMIF(货件明细!J:J,E211,货件明细!H:H)</f>
        <v>0</v>
      </c>
      <c r="Y211">
        <f>N211-X211</f>
        <v>32.41</v>
      </c>
      <c r="Z211">
        <f>SUMIF(货件明细!J:J,E211,货件明细!I:I)</f>
        <v>0</v>
      </c>
      <c r="AA211">
        <f>IF(S211=Z211,0,1)</f>
        <v>1</v>
      </c>
    </row>
    <row r="212" hidden="1" spans="1:27">
      <c r="A212">
        <v>1</v>
      </c>
      <c r="B212">
        <v>3</v>
      </c>
      <c r="C212" s="3">
        <v>46039</v>
      </c>
      <c r="D212" t="s">
        <v>27</v>
      </c>
      <c r="E212" t="s">
        <v>302</v>
      </c>
      <c r="F212" t="s">
        <v>195</v>
      </c>
      <c r="G212" t="s">
        <v>30</v>
      </c>
      <c r="H212" t="s">
        <v>39</v>
      </c>
      <c r="I212" t="s">
        <v>92</v>
      </c>
      <c r="J212" t="s">
        <v>92</v>
      </c>
      <c r="K212" t="s">
        <v>64</v>
      </c>
      <c r="L212" t="s">
        <v>65</v>
      </c>
      <c r="M212" t="s">
        <v>93</v>
      </c>
      <c r="N212">
        <v>98.1</v>
      </c>
      <c r="O212">
        <v>7</v>
      </c>
      <c r="P212">
        <v>602.741071428571</v>
      </c>
      <c r="Q212">
        <v>609.741071428571</v>
      </c>
      <c r="R212">
        <v>0</v>
      </c>
      <c r="S212">
        <v>609.741071428571</v>
      </c>
      <c r="T212">
        <v>204</v>
      </c>
      <c r="U212">
        <f>SUMIF(货件明细!J:J,E212,货件明细!AP:AP)</f>
        <v>0</v>
      </c>
      <c r="V212">
        <f>IF(U212=T212,0,1)</f>
        <v>1</v>
      </c>
      <c r="W212">
        <f>T212</f>
        <v>204</v>
      </c>
      <c r="X212">
        <f>SUMIF(货件明细!J:J,E212,货件明细!H:H)</f>
        <v>0</v>
      </c>
      <c r="Y212">
        <f>N212-X212</f>
        <v>98.1</v>
      </c>
      <c r="Z212">
        <f>SUMIF(货件明细!J:J,E212,货件明细!I:I)</f>
        <v>0</v>
      </c>
      <c r="AA212">
        <f>IF(S212=Z212,0,1)</f>
        <v>1</v>
      </c>
    </row>
    <row r="213" hidden="1" spans="1:27">
      <c r="A213">
        <v>1</v>
      </c>
      <c r="B213">
        <v>3</v>
      </c>
      <c r="C213" s="3">
        <v>46039</v>
      </c>
      <c r="D213" t="s">
        <v>27</v>
      </c>
      <c r="E213" t="s">
        <v>303</v>
      </c>
      <c r="F213" t="s">
        <v>62</v>
      </c>
      <c r="G213" t="s">
        <v>30</v>
      </c>
      <c r="H213" t="s">
        <v>39</v>
      </c>
      <c r="I213" t="s">
        <v>92</v>
      </c>
      <c r="J213" t="s">
        <v>92</v>
      </c>
      <c r="K213" t="s">
        <v>64</v>
      </c>
      <c r="L213" t="s">
        <v>65</v>
      </c>
      <c r="M213" t="s">
        <v>93</v>
      </c>
      <c r="N213">
        <v>98.1</v>
      </c>
      <c r="O213">
        <v>7</v>
      </c>
      <c r="P213">
        <v>560.28</v>
      </c>
      <c r="Q213">
        <v>567.28</v>
      </c>
      <c r="R213">
        <v>0</v>
      </c>
      <c r="S213">
        <v>567.28</v>
      </c>
      <c r="T213">
        <v>204</v>
      </c>
      <c r="U213">
        <f>SUMIF(货件明细!J:J,E213,货件明细!AP:AP)</f>
        <v>0</v>
      </c>
      <c r="V213">
        <f>IF(U213=T213,0,1)</f>
        <v>1</v>
      </c>
      <c r="W213">
        <f>T213</f>
        <v>204</v>
      </c>
      <c r="X213">
        <f>SUMIF(货件明细!J:J,E213,货件明细!H:H)</f>
        <v>0</v>
      </c>
      <c r="Y213">
        <f>N213-X213</f>
        <v>98.1</v>
      </c>
      <c r="Z213">
        <f>SUMIF(货件明细!J:J,E213,货件明细!I:I)</f>
        <v>0</v>
      </c>
      <c r="AA213">
        <f>IF(S213=Z213,0,1)</f>
        <v>1</v>
      </c>
    </row>
    <row r="214" hidden="1" spans="1:27">
      <c r="A214">
        <v>1</v>
      </c>
      <c r="B214">
        <v>3</v>
      </c>
      <c r="C214" s="3">
        <v>46039</v>
      </c>
      <c r="D214" t="s">
        <v>27</v>
      </c>
      <c r="E214" t="s">
        <v>304</v>
      </c>
      <c r="F214" t="s">
        <v>71</v>
      </c>
      <c r="G214" t="s">
        <v>72</v>
      </c>
      <c r="H214" t="s">
        <v>39</v>
      </c>
      <c r="I214" t="s">
        <v>92</v>
      </c>
      <c r="J214" t="s">
        <v>92</v>
      </c>
      <c r="K214" t="s">
        <v>64</v>
      </c>
      <c r="L214" t="s">
        <v>65</v>
      </c>
      <c r="M214" t="s">
        <v>93</v>
      </c>
      <c r="N214">
        <v>98.1</v>
      </c>
      <c r="O214">
        <v>7</v>
      </c>
      <c r="P214">
        <v>417.5</v>
      </c>
      <c r="Q214">
        <v>424.5</v>
      </c>
      <c r="R214">
        <v>0</v>
      </c>
      <c r="S214">
        <v>424.5</v>
      </c>
      <c r="T214">
        <v>204</v>
      </c>
      <c r="U214">
        <f>SUMIF(货件明细!J:J,E214,货件明细!AP:AP)</f>
        <v>0</v>
      </c>
      <c r="V214">
        <f>IF(U214=T214,0,1)</f>
        <v>1</v>
      </c>
      <c r="W214">
        <f>T214</f>
        <v>204</v>
      </c>
      <c r="X214">
        <f>SUMIF(货件明细!J:J,E214,货件明细!H:H)</f>
        <v>0</v>
      </c>
      <c r="Y214">
        <f>N214-X214</f>
        <v>98.1</v>
      </c>
      <c r="Z214">
        <f>SUMIF(货件明细!J:J,E214,货件明细!I:I)</f>
        <v>0</v>
      </c>
      <c r="AA214">
        <f>IF(S214=Z214,0,1)</f>
        <v>1</v>
      </c>
    </row>
    <row r="215" hidden="1" spans="1:27">
      <c r="A215">
        <v>1</v>
      </c>
      <c r="B215">
        <v>3</v>
      </c>
      <c r="C215" s="3">
        <v>46039</v>
      </c>
      <c r="D215" t="s">
        <v>27</v>
      </c>
      <c r="E215" t="s">
        <v>305</v>
      </c>
      <c r="F215" t="s">
        <v>187</v>
      </c>
      <c r="G215" t="s">
        <v>72</v>
      </c>
      <c r="H215" t="s">
        <v>39</v>
      </c>
      <c r="I215" t="s">
        <v>92</v>
      </c>
      <c r="J215" t="s">
        <v>92</v>
      </c>
      <c r="K215" t="s">
        <v>64</v>
      </c>
      <c r="L215" t="s">
        <v>65</v>
      </c>
      <c r="M215" t="s">
        <v>93</v>
      </c>
      <c r="N215">
        <v>98.1</v>
      </c>
      <c r="O215">
        <v>7</v>
      </c>
      <c r="P215">
        <v>382</v>
      </c>
      <c r="Q215">
        <v>389</v>
      </c>
      <c r="R215">
        <v>0</v>
      </c>
      <c r="S215">
        <v>389</v>
      </c>
      <c r="T215">
        <v>204</v>
      </c>
      <c r="U215">
        <f>SUMIF(货件明细!J:J,E215,货件明细!AP:AP)</f>
        <v>0</v>
      </c>
      <c r="V215">
        <f>IF(U215=T215,0,1)</f>
        <v>1</v>
      </c>
      <c r="W215">
        <f>T215</f>
        <v>204</v>
      </c>
      <c r="X215">
        <f>SUMIF(货件明细!J:J,E215,货件明细!H:H)</f>
        <v>0</v>
      </c>
      <c r="Y215">
        <f>N215-X215</f>
        <v>98.1</v>
      </c>
      <c r="Z215">
        <f>SUMIF(货件明细!J:J,E215,货件明细!I:I)</f>
        <v>0</v>
      </c>
      <c r="AA215">
        <f>IF(S215=Z215,0,1)</f>
        <v>1</v>
      </c>
    </row>
    <row r="216" hidden="1" spans="1:27">
      <c r="A216">
        <v>1</v>
      </c>
      <c r="B216">
        <v>3</v>
      </c>
      <c r="C216" s="3">
        <v>46039</v>
      </c>
      <c r="D216" t="s">
        <v>27</v>
      </c>
      <c r="E216" t="s">
        <v>306</v>
      </c>
      <c r="F216" t="s">
        <v>239</v>
      </c>
      <c r="G216" t="s">
        <v>72</v>
      </c>
      <c r="H216" t="s">
        <v>39</v>
      </c>
      <c r="I216" t="s">
        <v>92</v>
      </c>
      <c r="J216" t="s">
        <v>92</v>
      </c>
      <c r="K216" t="s">
        <v>64</v>
      </c>
      <c r="L216" t="s">
        <v>65</v>
      </c>
      <c r="M216" t="s">
        <v>93</v>
      </c>
      <c r="N216">
        <v>98.1</v>
      </c>
      <c r="O216">
        <v>7</v>
      </c>
      <c r="P216">
        <v>410</v>
      </c>
      <c r="Q216">
        <v>417</v>
      </c>
      <c r="R216">
        <v>0</v>
      </c>
      <c r="S216">
        <v>417</v>
      </c>
      <c r="T216">
        <v>204</v>
      </c>
      <c r="U216">
        <f>SUMIF(货件明细!J:J,E216,货件明细!AP:AP)</f>
        <v>0</v>
      </c>
      <c r="V216">
        <f>IF(U216=T216,0,1)</f>
        <v>1</v>
      </c>
      <c r="W216">
        <f>T216</f>
        <v>204</v>
      </c>
      <c r="X216">
        <f>SUMIF(货件明细!J:J,E216,货件明细!H:H)</f>
        <v>0</v>
      </c>
      <c r="Y216">
        <f>N216-X216</f>
        <v>98.1</v>
      </c>
      <c r="Z216">
        <f>SUMIF(货件明细!J:J,E216,货件明细!I:I)</f>
        <v>0</v>
      </c>
      <c r="AA216">
        <f>IF(S216=Z216,0,1)</f>
        <v>1</v>
      </c>
    </row>
    <row r="217" hidden="1" spans="1:27">
      <c r="A217">
        <v>1</v>
      </c>
      <c r="B217">
        <v>3</v>
      </c>
      <c r="C217" s="3">
        <v>46039</v>
      </c>
      <c r="D217" t="s">
        <v>27</v>
      </c>
      <c r="E217" t="s">
        <v>307</v>
      </c>
      <c r="F217" t="s">
        <v>195</v>
      </c>
      <c r="G217" t="s">
        <v>30</v>
      </c>
      <c r="H217" t="s">
        <v>37</v>
      </c>
      <c r="I217" t="s">
        <v>92</v>
      </c>
      <c r="J217" t="s">
        <v>92</v>
      </c>
      <c r="K217" t="s">
        <v>64</v>
      </c>
      <c r="L217" t="s">
        <v>65</v>
      </c>
      <c r="M217" t="s">
        <v>93</v>
      </c>
      <c r="N217">
        <v>25.6</v>
      </c>
      <c r="O217">
        <v>7</v>
      </c>
      <c r="P217">
        <v>241.096428571429</v>
      </c>
      <c r="Q217">
        <v>248.096428571429</v>
      </c>
      <c r="R217">
        <v>0</v>
      </c>
      <c r="S217">
        <v>248.096428571429</v>
      </c>
      <c r="T217">
        <v>237</v>
      </c>
      <c r="U217">
        <f>SUMIF(货件明细!J:J,E217,货件明细!AP:AP)</f>
        <v>0</v>
      </c>
      <c r="V217">
        <f>IF(U217=T217,0,1)</f>
        <v>1</v>
      </c>
      <c r="W217">
        <f>T217</f>
        <v>237</v>
      </c>
      <c r="X217">
        <f>SUMIF(货件明细!J:J,E217,货件明细!H:H)</f>
        <v>0</v>
      </c>
      <c r="Y217">
        <f>N217-X217</f>
        <v>25.6</v>
      </c>
      <c r="Z217">
        <f>SUMIF(货件明细!J:J,E217,货件明细!I:I)</f>
        <v>0</v>
      </c>
      <c r="AA217">
        <f>IF(S217=Z217,0,1)</f>
        <v>1</v>
      </c>
    </row>
    <row r="218" hidden="1" spans="1:27">
      <c r="A218">
        <v>1</v>
      </c>
      <c r="B218">
        <v>3</v>
      </c>
      <c r="C218" s="3">
        <v>46039</v>
      </c>
      <c r="D218" t="s">
        <v>27</v>
      </c>
      <c r="E218" t="s">
        <v>308</v>
      </c>
      <c r="F218" t="s">
        <v>62</v>
      </c>
      <c r="G218" t="s">
        <v>30</v>
      </c>
      <c r="H218" t="s">
        <v>37</v>
      </c>
      <c r="I218" t="s">
        <v>92</v>
      </c>
      <c r="J218" t="s">
        <v>92</v>
      </c>
      <c r="K218" t="s">
        <v>64</v>
      </c>
      <c r="L218" t="s">
        <v>65</v>
      </c>
      <c r="M218" t="s">
        <v>93</v>
      </c>
      <c r="N218">
        <v>25.6</v>
      </c>
      <c r="O218">
        <v>7</v>
      </c>
      <c r="P218">
        <v>224.112</v>
      </c>
      <c r="Q218">
        <v>231.112</v>
      </c>
      <c r="R218">
        <v>0</v>
      </c>
      <c r="S218">
        <v>231.112</v>
      </c>
      <c r="T218">
        <v>237</v>
      </c>
      <c r="U218">
        <f>SUMIF(货件明细!J:J,E218,货件明细!AP:AP)</f>
        <v>0</v>
      </c>
      <c r="V218">
        <f>IF(U218=T218,0,1)</f>
        <v>1</v>
      </c>
      <c r="W218">
        <f>T218</f>
        <v>237</v>
      </c>
      <c r="X218">
        <f>SUMIF(货件明细!J:J,E218,货件明细!H:H)</f>
        <v>0</v>
      </c>
      <c r="Y218">
        <f>N218-X218</f>
        <v>25.6</v>
      </c>
      <c r="Z218">
        <f>SUMIF(货件明细!J:J,E218,货件明细!I:I)</f>
        <v>0</v>
      </c>
      <c r="AA218">
        <f>IF(S218=Z218,0,1)</f>
        <v>1</v>
      </c>
    </row>
    <row r="219" hidden="1" spans="1:27">
      <c r="A219">
        <v>1</v>
      </c>
      <c r="B219">
        <v>3</v>
      </c>
      <c r="C219" s="3">
        <v>46039</v>
      </c>
      <c r="D219" t="s">
        <v>27</v>
      </c>
      <c r="E219" t="s">
        <v>309</v>
      </c>
      <c r="F219" t="s">
        <v>71</v>
      </c>
      <c r="G219" t="s">
        <v>72</v>
      </c>
      <c r="H219" t="s">
        <v>37</v>
      </c>
      <c r="I219" t="s">
        <v>92</v>
      </c>
      <c r="J219" t="s">
        <v>92</v>
      </c>
      <c r="K219" t="s">
        <v>64</v>
      </c>
      <c r="L219" t="s">
        <v>65</v>
      </c>
      <c r="M219" t="s">
        <v>93</v>
      </c>
      <c r="N219">
        <v>25.6</v>
      </c>
      <c r="O219">
        <v>7</v>
      </c>
      <c r="P219">
        <v>167</v>
      </c>
      <c r="Q219">
        <v>174</v>
      </c>
      <c r="R219">
        <v>0</v>
      </c>
      <c r="S219">
        <v>174</v>
      </c>
      <c r="T219">
        <v>237</v>
      </c>
      <c r="U219">
        <f>SUMIF(货件明细!J:J,E219,货件明细!AP:AP)</f>
        <v>0</v>
      </c>
      <c r="V219">
        <f>IF(U219=T219,0,1)</f>
        <v>1</v>
      </c>
      <c r="W219">
        <f>T219</f>
        <v>237</v>
      </c>
      <c r="X219">
        <f>SUMIF(货件明细!J:J,E219,货件明细!H:H)</f>
        <v>0</v>
      </c>
      <c r="Y219">
        <f>N219-X219</f>
        <v>25.6</v>
      </c>
      <c r="Z219">
        <f>SUMIF(货件明细!J:J,E219,货件明细!I:I)</f>
        <v>0</v>
      </c>
      <c r="AA219">
        <f>IF(S219=Z219,0,1)</f>
        <v>1</v>
      </c>
    </row>
    <row r="220" hidden="1" spans="1:27">
      <c r="A220">
        <v>1</v>
      </c>
      <c r="B220">
        <v>3</v>
      </c>
      <c r="C220" s="3">
        <v>46039</v>
      </c>
      <c r="D220" t="s">
        <v>27</v>
      </c>
      <c r="E220" t="s">
        <v>310</v>
      </c>
      <c r="F220" t="s">
        <v>187</v>
      </c>
      <c r="G220" t="s">
        <v>72</v>
      </c>
      <c r="H220" t="s">
        <v>37</v>
      </c>
      <c r="I220" t="s">
        <v>92</v>
      </c>
      <c r="J220" t="s">
        <v>92</v>
      </c>
      <c r="K220" t="s">
        <v>64</v>
      </c>
      <c r="L220" t="s">
        <v>65</v>
      </c>
      <c r="M220" t="s">
        <v>93</v>
      </c>
      <c r="N220">
        <v>25.6</v>
      </c>
      <c r="O220">
        <v>7</v>
      </c>
      <c r="P220">
        <v>152.8</v>
      </c>
      <c r="Q220">
        <v>159.8</v>
      </c>
      <c r="R220">
        <v>0</v>
      </c>
      <c r="S220">
        <v>159.8</v>
      </c>
      <c r="T220">
        <v>237</v>
      </c>
      <c r="U220">
        <f>SUMIF(货件明细!J:J,E220,货件明细!AP:AP)</f>
        <v>0</v>
      </c>
      <c r="V220">
        <f>IF(U220=T220,0,1)</f>
        <v>1</v>
      </c>
      <c r="W220">
        <f>T220</f>
        <v>237</v>
      </c>
      <c r="X220">
        <f>SUMIF(货件明细!J:J,E220,货件明细!H:H)</f>
        <v>0</v>
      </c>
      <c r="Y220">
        <f>N220-X220</f>
        <v>25.6</v>
      </c>
      <c r="Z220">
        <f>SUMIF(货件明细!J:J,E220,货件明细!I:I)</f>
        <v>0</v>
      </c>
      <c r="AA220">
        <f>IF(S220=Z220,0,1)</f>
        <v>1</v>
      </c>
    </row>
    <row r="221" hidden="1" spans="1:27">
      <c r="A221">
        <v>1</v>
      </c>
      <c r="B221">
        <v>3</v>
      </c>
      <c r="C221" s="3">
        <v>46039</v>
      </c>
      <c r="D221" t="s">
        <v>27</v>
      </c>
      <c r="E221" t="s">
        <v>311</v>
      </c>
      <c r="F221" t="s">
        <v>239</v>
      </c>
      <c r="G221" t="s">
        <v>72</v>
      </c>
      <c r="H221" t="s">
        <v>37</v>
      </c>
      <c r="I221" t="s">
        <v>92</v>
      </c>
      <c r="J221" t="s">
        <v>92</v>
      </c>
      <c r="K221" t="s">
        <v>64</v>
      </c>
      <c r="L221" t="s">
        <v>65</v>
      </c>
      <c r="M221" t="s">
        <v>93</v>
      </c>
      <c r="N221">
        <v>25.6</v>
      </c>
      <c r="O221">
        <v>7</v>
      </c>
      <c r="P221">
        <v>164</v>
      </c>
      <c r="Q221">
        <v>171</v>
      </c>
      <c r="R221">
        <v>0</v>
      </c>
      <c r="S221">
        <v>171</v>
      </c>
      <c r="T221">
        <v>237</v>
      </c>
      <c r="U221">
        <f>SUMIF(货件明细!J:J,E221,货件明细!AP:AP)</f>
        <v>0</v>
      </c>
      <c r="V221">
        <f>IF(U221=T221,0,1)</f>
        <v>1</v>
      </c>
      <c r="W221">
        <f>T221</f>
        <v>237</v>
      </c>
      <c r="X221">
        <f>SUMIF(货件明细!J:J,E221,货件明细!H:H)</f>
        <v>0</v>
      </c>
      <c r="Y221">
        <f>N221-X221</f>
        <v>25.6</v>
      </c>
      <c r="Z221">
        <f>SUMIF(货件明细!J:J,E221,货件明细!I:I)</f>
        <v>0</v>
      </c>
      <c r="AA221">
        <f>IF(S221=Z221,0,1)</f>
        <v>1</v>
      </c>
    </row>
    <row r="222" hidden="1" spans="1:27">
      <c r="A222">
        <v>1</v>
      </c>
      <c r="B222">
        <v>3</v>
      </c>
      <c r="C222" s="3">
        <v>46039</v>
      </c>
      <c r="D222" t="s">
        <v>27</v>
      </c>
      <c r="E222" t="s">
        <v>312</v>
      </c>
      <c r="F222" t="s">
        <v>195</v>
      </c>
      <c r="G222" t="s">
        <v>30</v>
      </c>
      <c r="H222" t="s">
        <v>56</v>
      </c>
      <c r="I222" t="s">
        <v>92</v>
      </c>
      <c r="J222" t="s">
        <v>92</v>
      </c>
      <c r="K222" t="s">
        <v>64</v>
      </c>
      <c r="L222" t="s">
        <v>65</v>
      </c>
      <c r="M222" t="s">
        <v>93</v>
      </c>
      <c r="N222">
        <v>65.7</v>
      </c>
      <c r="O222">
        <v>7</v>
      </c>
      <c r="P222">
        <v>482.192857142857</v>
      </c>
      <c r="Q222">
        <v>489.192857142857</v>
      </c>
      <c r="R222">
        <v>0</v>
      </c>
      <c r="S222">
        <v>489.192857142857</v>
      </c>
      <c r="T222">
        <v>439</v>
      </c>
      <c r="U222">
        <f>SUMIF(货件明细!J:J,E222,货件明细!AP:AP)</f>
        <v>0</v>
      </c>
      <c r="V222">
        <f>IF(U222=T222,0,1)</f>
        <v>1</v>
      </c>
      <c r="W222">
        <f>T222</f>
        <v>439</v>
      </c>
      <c r="X222">
        <f>SUMIF(货件明细!J:J,E222,货件明细!H:H)</f>
        <v>0</v>
      </c>
      <c r="Y222">
        <f>N222-X222</f>
        <v>65.7</v>
      </c>
      <c r="Z222">
        <f>SUMIF(货件明细!J:J,E222,货件明细!I:I)</f>
        <v>0</v>
      </c>
      <c r="AA222">
        <f>IF(S222=Z222,0,1)</f>
        <v>1</v>
      </c>
    </row>
    <row r="223" hidden="1" spans="1:27">
      <c r="A223">
        <v>1</v>
      </c>
      <c r="B223">
        <v>3</v>
      </c>
      <c r="C223" s="3">
        <v>46039</v>
      </c>
      <c r="D223" t="s">
        <v>27</v>
      </c>
      <c r="E223" t="s">
        <v>313</v>
      </c>
      <c r="F223" t="s">
        <v>62</v>
      </c>
      <c r="G223" t="s">
        <v>30</v>
      </c>
      <c r="H223" t="s">
        <v>56</v>
      </c>
      <c r="I223" t="s">
        <v>92</v>
      </c>
      <c r="J223" t="s">
        <v>92</v>
      </c>
      <c r="K223" t="s">
        <v>64</v>
      </c>
      <c r="L223" t="s">
        <v>65</v>
      </c>
      <c r="M223" t="s">
        <v>93</v>
      </c>
      <c r="N223">
        <v>65.7</v>
      </c>
      <c r="O223">
        <v>7</v>
      </c>
      <c r="P223">
        <v>448.224</v>
      </c>
      <c r="Q223">
        <v>455.224</v>
      </c>
      <c r="R223">
        <v>0</v>
      </c>
      <c r="S223">
        <v>455.224</v>
      </c>
      <c r="T223">
        <v>439</v>
      </c>
      <c r="U223">
        <f>SUMIF(货件明细!J:J,E223,货件明细!AP:AP)</f>
        <v>0</v>
      </c>
      <c r="V223">
        <f>IF(U223=T223,0,1)</f>
        <v>1</v>
      </c>
      <c r="W223">
        <f>T223</f>
        <v>439</v>
      </c>
      <c r="X223">
        <f>SUMIF(货件明细!J:J,E223,货件明细!H:H)</f>
        <v>0</v>
      </c>
      <c r="Y223">
        <f>N223-X223</f>
        <v>65.7</v>
      </c>
      <c r="Z223">
        <f>SUMIF(货件明细!J:J,E223,货件明细!I:I)</f>
        <v>0</v>
      </c>
      <c r="AA223">
        <f>IF(S223=Z223,0,1)</f>
        <v>1</v>
      </c>
    </row>
    <row r="224" hidden="1" spans="1:27">
      <c r="A224">
        <v>1</v>
      </c>
      <c r="B224">
        <v>3</v>
      </c>
      <c r="C224" s="3">
        <v>46039</v>
      </c>
      <c r="D224" t="s">
        <v>27</v>
      </c>
      <c r="E224" t="s">
        <v>314</v>
      </c>
      <c r="F224" t="s">
        <v>71</v>
      </c>
      <c r="G224" t="s">
        <v>72</v>
      </c>
      <c r="H224" t="s">
        <v>56</v>
      </c>
      <c r="I224" t="s">
        <v>92</v>
      </c>
      <c r="J224" t="s">
        <v>92</v>
      </c>
      <c r="K224" t="s">
        <v>64</v>
      </c>
      <c r="L224" t="s">
        <v>65</v>
      </c>
      <c r="M224" t="s">
        <v>93</v>
      </c>
      <c r="N224">
        <v>65.7</v>
      </c>
      <c r="O224">
        <v>7</v>
      </c>
      <c r="P224">
        <v>334</v>
      </c>
      <c r="Q224">
        <v>341</v>
      </c>
      <c r="R224">
        <v>0</v>
      </c>
      <c r="S224">
        <v>341</v>
      </c>
      <c r="T224">
        <v>439</v>
      </c>
      <c r="U224">
        <f>SUMIF(货件明细!J:J,E224,货件明细!AP:AP)</f>
        <v>0</v>
      </c>
      <c r="V224">
        <f>IF(U224=T224,0,1)</f>
        <v>1</v>
      </c>
      <c r="W224">
        <f>T224</f>
        <v>439</v>
      </c>
      <c r="X224">
        <f>SUMIF(货件明细!J:J,E224,货件明细!H:H)</f>
        <v>0</v>
      </c>
      <c r="Y224">
        <f>N224-X224</f>
        <v>65.7</v>
      </c>
      <c r="Z224">
        <f>SUMIF(货件明细!J:J,E224,货件明细!I:I)</f>
        <v>0</v>
      </c>
      <c r="AA224">
        <f>IF(S224=Z224,0,1)</f>
        <v>1</v>
      </c>
    </row>
    <row r="225" hidden="1" spans="1:27">
      <c r="A225">
        <v>1</v>
      </c>
      <c r="B225">
        <v>3</v>
      </c>
      <c r="C225" s="3">
        <v>46039</v>
      </c>
      <c r="D225" t="s">
        <v>27</v>
      </c>
      <c r="E225" t="s">
        <v>315</v>
      </c>
      <c r="F225" t="s">
        <v>187</v>
      </c>
      <c r="G225" t="s">
        <v>72</v>
      </c>
      <c r="H225" t="s">
        <v>56</v>
      </c>
      <c r="I225" t="s">
        <v>92</v>
      </c>
      <c r="J225" t="s">
        <v>92</v>
      </c>
      <c r="K225" t="s">
        <v>64</v>
      </c>
      <c r="L225" t="s">
        <v>65</v>
      </c>
      <c r="M225" t="s">
        <v>93</v>
      </c>
      <c r="N225">
        <v>65.7</v>
      </c>
      <c r="O225">
        <v>7</v>
      </c>
      <c r="P225">
        <v>305.6</v>
      </c>
      <c r="Q225">
        <v>312.6</v>
      </c>
      <c r="R225">
        <v>0</v>
      </c>
      <c r="S225">
        <v>312.6</v>
      </c>
      <c r="T225">
        <v>439</v>
      </c>
      <c r="U225">
        <f>SUMIF(货件明细!J:J,E225,货件明细!AP:AP)</f>
        <v>0</v>
      </c>
      <c r="V225">
        <f>IF(U225=T225,0,1)</f>
        <v>1</v>
      </c>
      <c r="W225">
        <f>T225</f>
        <v>439</v>
      </c>
      <c r="X225">
        <f>SUMIF(货件明细!J:J,E225,货件明细!H:H)</f>
        <v>0</v>
      </c>
      <c r="Y225">
        <f>N225-X225</f>
        <v>65.7</v>
      </c>
      <c r="Z225">
        <f>SUMIF(货件明细!J:J,E225,货件明细!I:I)</f>
        <v>0</v>
      </c>
      <c r="AA225">
        <f>IF(S225=Z225,0,1)</f>
        <v>1</v>
      </c>
    </row>
    <row r="226" hidden="1" spans="1:27">
      <c r="A226">
        <v>1</v>
      </c>
      <c r="B226">
        <v>3</v>
      </c>
      <c r="C226" s="3">
        <v>46039</v>
      </c>
      <c r="D226" t="s">
        <v>27</v>
      </c>
      <c r="E226" t="s">
        <v>316</v>
      </c>
      <c r="F226" t="s">
        <v>239</v>
      </c>
      <c r="G226" t="s">
        <v>72</v>
      </c>
      <c r="H226" t="s">
        <v>56</v>
      </c>
      <c r="I226" t="s">
        <v>92</v>
      </c>
      <c r="J226" t="s">
        <v>92</v>
      </c>
      <c r="K226" t="s">
        <v>64</v>
      </c>
      <c r="L226" t="s">
        <v>65</v>
      </c>
      <c r="M226" t="s">
        <v>93</v>
      </c>
      <c r="N226">
        <v>65.7</v>
      </c>
      <c r="O226">
        <v>7</v>
      </c>
      <c r="P226">
        <v>328</v>
      </c>
      <c r="Q226">
        <v>335</v>
      </c>
      <c r="R226">
        <v>0</v>
      </c>
      <c r="S226">
        <v>335</v>
      </c>
      <c r="T226">
        <v>439</v>
      </c>
      <c r="U226">
        <f>SUMIF(货件明细!J:J,E226,货件明细!AP:AP)</f>
        <v>0</v>
      </c>
      <c r="V226">
        <f>IF(U226=T226,0,1)</f>
        <v>1</v>
      </c>
      <c r="W226">
        <f>T226</f>
        <v>439</v>
      </c>
      <c r="X226">
        <f>SUMIF(货件明细!J:J,E226,货件明细!H:H)</f>
        <v>0</v>
      </c>
      <c r="Y226">
        <f>N226-X226</f>
        <v>65.7</v>
      </c>
      <c r="Z226">
        <f>SUMIF(货件明细!J:J,E226,货件明细!I:I)</f>
        <v>0</v>
      </c>
      <c r="AA226">
        <f>IF(S226=Z226,0,1)</f>
        <v>1</v>
      </c>
    </row>
    <row r="227" hidden="1" spans="1:27">
      <c r="A227">
        <v>1</v>
      </c>
      <c r="B227">
        <v>3</v>
      </c>
      <c r="C227" s="3">
        <v>46039</v>
      </c>
      <c r="D227" t="s">
        <v>27</v>
      </c>
      <c r="E227" t="s">
        <v>317</v>
      </c>
      <c r="F227" t="s">
        <v>185</v>
      </c>
      <c r="G227" t="s">
        <v>30</v>
      </c>
      <c r="H227" t="s">
        <v>224</v>
      </c>
      <c r="I227" t="s">
        <v>92</v>
      </c>
      <c r="J227" t="s">
        <v>92</v>
      </c>
      <c r="K227" t="s">
        <v>64</v>
      </c>
      <c r="L227" t="s">
        <v>65</v>
      </c>
      <c r="M227" t="s">
        <v>188</v>
      </c>
      <c r="N227">
        <v>14.5</v>
      </c>
      <c r="O227">
        <v>7</v>
      </c>
      <c r="P227">
        <v>153.45</v>
      </c>
      <c r="Q227">
        <v>160.45</v>
      </c>
      <c r="R227">
        <v>0</v>
      </c>
      <c r="S227">
        <v>160.45</v>
      </c>
      <c r="T227">
        <v>122</v>
      </c>
      <c r="U227">
        <f>SUMIF(货件明细!J:J,E227,货件明细!AP:AP)</f>
        <v>0</v>
      </c>
      <c r="V227">
        <f>IF(U227=T227,0,1)</f>
        <v>1</v>
      </c>
      <c r="W227">
        <f>T227</f>
        <v>122</v>
      </c>
      <c r="X227">
        <f>SUMIF(货件明细!J:J,E227,货件明细!H:H)</f>
        <v>0</v>
      </c>
      <c r="Y227">
        <f>N227-X227</f>
        <v>14.5</v>
      </c>
      <c r="Z227">
        <f>SUMIF(货件明细!J:J,E227,货件明细!I:I)</f>
        <v>0</v>
      </c>
      <c r="AA227">
        <f>IF(S227=Z227,0,1)</f>
        <v>1</v>
      </c>
    </row>
    <row r="228" hidden="1" spans="1:27">
      <c r="A228">
        <v>1</v>
      </c>
      <c r="B228">
        <v>3</v>
      </c>
      <c r="C228" s="3">
        <v>46039</v>
      </c>
      <c r="D228" t="s">
        <v>27</v>
      </c>
      <c r="E228" t="s">
        <v>318</v>
      </c>
      <c r="F228" t="s">
        <v>68</v>
      </c>
      <c r="G228" t="s">
        <v>69</v>
      </c>
      <c r="H228" t="s">
        <v>224</v>
      </c>
      <c r="I228" t="s">
        <v>92</v>
      </c>
      <c r="J228" t="s">
        <v>92</v>
      </c>
      <c r="K228" t="s">
        <v>64</v>
      </c>
      <c r="L228" t="s">
        <v>65</v>
      </c>
      <c r="M228" t="s">
        <v>188</v>
      </c>
      <c r="N228">
        <v>14.5</v>
      </c>
      <c r="O228">
        <v>7</v>
      </c>
      <c r="P228">
        <v>134.25</v>
      </c>
      <c r="Q228">
        <v>141.25</v>
      </c>
      <c r="R228">
        <v>0</v>
      </c>
      <c r="S228">
        <v>141.25</v>
      </c>
      <c r="T228">
        <v>122</v>
      </c>
      <c r="U228">
        <f>SUMIF(货件明细!J:J,E228,货件明细!AP:AP)</f>
        <v>0</v>
      </c>
      <c r="V228">
        <f>IF(U228=T228,0,1)</f>
        <v>1</v>
      </c>
      <c r="W228">
        <f>T228</f>
        <v>122</v>
      </c>
      <c r="X228">
        <f>SUMIF(货件明细!J:J,E228,货件明细!H:H)</f>
        <v>0</v>
      </c>
      <c r="Y228">
        <f>N228-X228</f>
        <v>14.5</v>
      </c>
      <c r="Z228">
        <f>SUMIF(货件明细!J:J,E228,货件明细!I:I)</f>
        <v>0</v>
      </c>
      <c r="AA228">
        <f>IF(S228=Z228,0,1)</f>
        <v>1</v>
      </c>
    </row>
    <row r="229" hidden="1" spans="1:27">
      <c r="A229">
        <v>1</v>
      </c>
      <c r="B229">
        <v>3</v>
      </c>
      <c r="C229" s="3">
        <v>46039</v>
      </c>
      <c r="D229" t="s">
        <v>27</v>
      </c>
      <c r="E229" t="s">
        <v>319</v>
      </c>
      <c r="F229" t="s">
        <v>243</v>
      </c>
      <c r="G229" t="s">
        <v>72</v>
      </c>
      <c r="H229" t="s">
        <v>224</v>
      </c>
      <c r="I229" t="s">
        <v>92</v>
      </c>
      <c r="J229" t="s">
        <v>92</v>
      </c>
      <c r="K229" t="s">
        <v>64</v>
      </c>
      <c r="L229" t="s">
        <v>65</v>
      </c>
      <c r="M229" t="s">
        <v>93</v>
      </c>
      <c r="N229">
        <v>14.5</v>
      </c>
      <c r="O229">
        <v>7</v>
      </c>
      <c r="P229">
        <v>84.375</v>
      </c>
      <c r="Q229">
        <v>91.375</v>
      </c>
      <c r="R229">
        <v>0</v>
      </c>
      <c r="S229">
        <v>91.375</v>
      </c>
      <c r="T229">
        <v>122</v>
      </c>
      <c r="U229">
        <f>SUMIF(货件明细!J:J,E229,货件明细!AP:AP)</f>
        <v>0</v>
      </c>
      <c r="V229">
        <f>IF(U229=T229,0,1)</f>
        <v>1</v>
      </c>
      <c r="W229">
        <f>T229</f>
        <v>122</v>
      </c>
      <c r="X229">
        <f>SUMIF(货件明细!J:J,E229,货件明细!H:H)</f>
        <v>0</v>
      </c>
      <c r="Y229">
        <f>N229-X229</f>
        <v>14.5</v>
      </c>
      <c r="Z229">
        <f>SUMIF(货件明细!J:J,E229,货件明细!I:I)</f>
        <v>0</v>
      </c>
      <c r="AA229">
        <f>IF(S229=Z229,0,1)</f>
        <v>1</v>
      </c>
    </row>
    <row r="230" hidden="1" spans="1:27">
      <c r="A230">
        <v>1</v>
      </c>
      <c r="B230">
        <v>3</v>
      </c>
      <c r="C230" s="3">
        <v>46039</v>
      </c>
      <c r="D230" t="s">
        <v>27</v>
      </c>
      <c r="E230" t="s">
        <v>320</v>
      </c>
      <c r="F230" t="s">
        <v>198</v>
      </c>
      <c r="G230" t="s">
        <v>69</v>
      </c>
      <c r="H230" t="s">
        <v>224</v>
      </c>
      <c r="I230" t="s">
        <v>92</v>
      </c>
      <c r="J230" t="s">
        <v>92</v>
      </c>
      <c r="K230" t="s">
        <v>64</v>
      </c>
      <c r="L230" t="s">
        <v>65</v>
      </c>
      <c r="M230" t="s">
        <v>93</v>
      </c>
      <c r="N230">
        <v>14.5</v>
      </c>
      <c r="O230">
        <v>7</v>
      </c>
      <c r="P230">
        <v>112.7</v>
      </c>
      <c r="Q230">
        <v>119.7</v>
      </c>
      <c r="R230">
        <v>0</v>
      </c>
      <c r="S230">
        <v>119.7</v>
      </c>
      <c r="T230">
        <v>122</v>
      </c>
      <c r="U230">
        <f>SUMIF(货件明细!J:J,E230,货件明细!AP:AP)</f>
        <v>0</v>
      </c>
      <c r="V230">
        <f>IF(U230=T230,0,1)</f>
        <v>1</v>
      </c>
      <c r="W230">
        <f>T230</f>
        <v>122</v>
      </c>
      <c r="X230">
        <f>SUMIF(货件明细!J:J,E230,货件明细!H:H)</f>
        <v>0</v>
      </c>
      <c r="Y230">
        <f>N230-X230</f>
        <v>14.5</v>
      </c>
      <c r="Z230">
        <f>SUMIF(货件明细!J:J,E230,货件明细!I:I)</f>
        <v>0</v>
      </c>
      <c r="AA230">
        <f>IF(S230=Z230,0,1)</f>
        <v>1</v>
      </c>
    </row>
    <row r="231" hidden="1" spans="1:27">
      <c r="A231">
        <v>1</v>
      </c>
      <c r="B231">
        <v>3</v>
      </c>
      <c r="C231" s="3">
        <v>46039</v>
      </c>
      <c r="D231" t="s">
        <v>27</v>
      </c>
      <c r="E231" t="s">
        <v>321</v>
      </c>
      <c r="F231" t="s">
        <v>187</v>
      </c>
      <c r="G231" t="s">
        <v>72</v>
      </c>
      <c r="H231" t="s">
        <v>224</v>
      </c>
      <c r="I231" t="s">
        <v>92</v>
      </c>
      <c r="J231" t="s">
        <v>92</v>
      </c>
      <c r="K231" t="s">
        <v>64</v>
      </c>
      <c r="L231" t="s">
        <v>65</v>
      </c>
      <c r="M231" t="s">
        <v>93</v>
      </c>
      <c r="N231">
        <v>14.5</v>
      </c>
      <c r="O231">
        <v>7</v>
      </c>
      <c r="P231">
        <v>76.4</v>
      </c>
      <c r="Q231">
        <v>83.4</v>
      </c>
      <c r="R231">
        <v>0</v>
      </c>
      <c r="S231">
        <v>83.4</v>
      </c>
      <c r="T231">
        <v>122</v>
      </c>
      <c r="U231">
        <f>SUMIF(货件明细!J:J,E231,货件明细!AP:AP)</f>
        <v>0</v>
      </c>
      <c r="V231">
        <f>IF(U231=T231,0,1)</f>
        <v>1</v>
      </c>
      <c r="W231">
        <f>T231</f>
        <v>122</v>
      </c>
      <c r="X231">
        <f>SUMIF(货件明细!J:J,E231,货件明细!H:H)</f>
        <v>0</v>
      </c>
      <c r="Y231">
        <f>N231-X231</f>
        <v>14.5</v>
      </c>
      <c r="Z231">
        <f>SUMIF(货件明细!J:J,E231,货件明细!I:I)</f>
        <v>0</v>
      </c>
      <c r="AA231">
        <f>IF(S231=Z231,0,1)</f>
        <v>1</v>
      </c>
    </row>
    <row r="232" spans="1:27">
      <c r="A232">
        <v>1</v>
      </c>
      <c r="B232">
        <v>3</v>
      </c>
      <c r="C232" s="3">
        <v>46039</v>
      </c>
      <c r="D232" t="s">
        <v>27</v>
      </c>
      <c r="E232" t="s">
        <v>322</v>
      </c>
      <c r="F232" t="s">
        <v>41</v>
      </c>
      <c r="G232" t="s">
        <v>30</v>
      </c>
      <c r="H232" t="s">
        <v>59</v>
      </c>
      <c r="I232" t="s">
        <v>32</v>
      </c>
      <c r="J232" t="s">
        <v>32</v>
      </c>
      <c r="K232" t="s">
        <v>33</v>
      </c>
      <c r="L232" t="s">
        <v>323</v>
      </c>
      <c r="M232" t="s">
        <v>47</v>
      </c>
      <c r="N232">
        <v>72.75</v>
      </c>
      <c r="O232">
        <v>33.3333333333333</v>
      </c>
      <c r="P232">
        <v>2701</v>
      </c>
      <c r="Q232">
        <v>2734.33333333333</v>
      </c>
      <c r="R232">
        <v>411.44</v>
      </c>
      <c r="S232">
        <v>3145.77333333333</v>
      </c>
      <c r="T232">
        <v>295</v>
      </c>
      <c r="U232">
        <f>SUMIF(货件明细!J:J,E232,货件明细!AP:AP)</f>
        <v>295</v>
      </c>
      <c r="V232">
        <f>IF(U232=T232,0,1)</f>
        <v>0</v>
      </c>
      <c r="W232">
        <f>T232</f>
        <v>295</v>
      </c>
      <c r="X232">
        <f>SUMIF(货件明细!J:J,E232,货件明细!H:H)</f>
        <v>71.04</v>
      </c>
      <c r="Y232">
        <f>N232-X232</f>
        <v>1.70999999999998</v>
      </c>
      <c r="Z232">
        <f>SUMIF(货件明细!J:J,E232,货件明细!I:I)</f>
        <v>3145.77333333333</v>
      </c>
      <c r="AA232">
        <f>IF(S232=Z232,0,1)</f>
        <v>0</v>
      </c>
    </row>
    <row r="233" spans="1:27">
      <c r="A233">
        <v>1</v>
      </c>
      <c r="B233">
        <v>3</v>
      </c>
      <c r="C233" s="3">
        <v>46039</v>
      </c>
      <c r="D233" t="s">
        <v>27</v>
      </c>
      <c r="E233" t="s">
        <v>324</v>
      </c>
      <c r="F233" t="s">
        <v>41</v>
      </c>
      <c r="G233" t="s">
        <v>30</v>
      </c>
      <c r="H233" t="s">
        <v>51</v>
      </c>
      <c r="I233" t="s">
        <v>32</v>
      </c>
      <c r="J233" t="s">
        <v>32</v>
      </c>
      <c r="K233" t="s">
        <v>33</v>
      </c>
      <c r="L233" t="s">
        <v>323</v>
      </c>
      <c r="M233" t="s">
        <v>47</v>
      </c>
      <c r="N233">
        <v>12.65</v>
      </c>
      <c r="O233">
        <v>33.3333333333333</v>
      </c>
      <c r="P233">
        <v>481</v>
      </c>
      <c r="Q233">
        <v>514.333333333333</v>
      </c>
      <c r="R233">
        <v>107.725</v>
      </c>
      <c r="S233">
        <v>622.058333333333</v>
      </c>
      <c r="T233">
        <v>75</v>
      </c>
      <c r="U233">
        <f>SUMIF(货件明细!J:J,E233,货件明细!AP:AP)</f>
        <v>75</v>
      </c>
      <c r="V233">
        <f>IF(U233=T233,0,1)</f>
        <v>0</v>
      </c>
      <c r="W233">
        <f>T233</f>
        <v>75</v>
      </c>
      <c r="X233">
        <f>SUMIF(货件明细!J:J,E233,货件明细!H:H)</f>
        <v>11.56</v>
      </c>
      <c r="Y233">
        <f>N233-X233</f>
        <v>1.09</v>
      </c>
      <c r="Z233">
        <f>SUMIF(货件明细!J:J,E233,货件明细!I:I)</f>
        <v>622.058333333333</v>
      </c>
      <c r="AA233">
        <f>IF(S233=Z233,0,1)</f>
        <v>0</v>
      </c>
    </row>
    <row r="234" spans="1:27">
      <c r="A234">
        <v>1</v>
      </c>
      <c r="B234">
        <v>3</v>
      </c>
      <c r="C234" s="3">
        <v>46039</v>
      </c>
      <c r="D234" t="s">
        <v>27</v>
      </c>
      <c r="E234" t="s">
        <v>325</v>
      </c>
      <c r="F234" t="s">
        <v>41</v>
      </c>
      <c r="G234" t="s">
        <v>30</v>
      </c>
      <c r="H234" t="s">
        <v>46</v>
      </c>
      <c r="I234" t="s">
        <v>32</v>
      </c>
      <c r="J234" t="s">
        <v>32</v>
      </c>
      <c r="K234" t="s">
        <v>33</v>
      </c>
      <c r="L234" t="s">
        <v>323</v>
      </c>
      <c r="M234" t="s">
        <v>47</v>
      </c>
      <c r="N234">
        <v>12.86</v>
      </c>
      <c r="O234">
        <v>33.3333333333333</v>
      </c>
      <c r="P234">
        <v>481</v>
      </c>
      <c r="Q234">
        <v>514.333333333333</v>
      </c>
      <c r="R234">
        <v>100.08</v>
      </c>
      <c r="S234">
        <v>614.413333333333</v>
      </c>
      <c r="T234">
        <v>60</v>
      </c>
      <c r="U234">
        <f>SUMIF(货件明细!J:J,E234,货件明细!AP:AP)</f>
        <v>60</v>
      </c>
      <c r="V234">
        <f>IF(U234=T234,0,1)</f>
        <v>0</v>
      </c>
      <c r="W234">
        <f>T234</f>
        <v>60</v>
      </c>
      <c r="X234">
        <f>SUMIF(货件明细!J:J,E234,货件明细!H:H)</f>
        <v>11.82</v>
      </c>
      <c r="Y234">
        <f>N234-X234</f>
        <v>1.04</v>
      </c>
      <c r="Z234">
        <f>SUMIF(货件明细!J:J,E234,货件明细!I:I)</f>
        <v>614.413333333333</v>
      </c>
      <c r="AA234">
        <f>IF(S234=Z234,0,1)</f>
        <v>0</v>
      </c>
    </row>
    <row r="235" spans="1:27">
      <c r="A235">
        <v>1</v>
      </c>
      <c r="B235">
        <v>3</v>
      </c>
      <c r="C235" s="3">
        <v>46039</v>
      </c>
      <c r="D235" t="s">
        <v>27</v>
      </c>
      <c r="E235" t="s">
        <v>326</v>
      </c>
      <c r="F235" t="s">
        <v>41</v>
      </c>
      <c r="G235" t="s">
        <v>30</v>
      </c>
      <c r="H235" t="s">
        <v>78</v>
      </c>
      <c r="I235" t="s">
        <v>32</v>
      </c>
      <c r="J235" t="s">
        <v>32</v>
      </c>
      <c r="K235" t="s">
        <v>33</v>
      </c>
      <c r="L235" t="s">
        <v>323</v>
      </c>
      <c r="M235" t="s">
        <v>47</v>
      </c>
      <c r="N235">
        <v>28</v>
      </c>
      <c r="O235">
        <v>33.3333333333333</v>
      </c>
      <c r="P235">
        <v>1036</v>
      </c>
      <c r="Q235">
        <v>1069.33333333333</v>
      </c>
      <c r="R235">
        <v>194.6</v>
      </c>
      <c r="S235">
        <v>1263.93333333333</v>
      </c>
      <c r="T235">
        <v>175</v>
      </c>
      <c r="U235">
        <f>SUMIF(货件明细!J:J,E235,货件明细!AP:AP)</f>
        <v>175</v>
      </c>
      <c r="V235">
        <f>IF(U235=T235,0,1)</f>
        <v>0</v>
      </c>
      <c r="W235">
        <f>T235</f>
        <v>175</v>
      </c>
      <c r="X235">
        <f>SUMIF(货件明细!J:J,E235,货件明细!H:H)</f>
        <v>25.875</v>
      </c>
      <c r="Y235">
        <f>N235-X235</f>
        <v>2.125</v>
      </c>
      <c r="Z235">
        <f>SUMIF(货件明细!J:J,E235,货件明细!I:I)</f>
        <v>1263.93333333333</v>
      </c>
      <c r="AA235">
        <f>IF(S235=Z235,0,1)</f>
        <v>0</v>
      </c>
    </row>
    <row r="236" spans="1:27">
      <c r="A236">
        <v>1</v>
      </c>
      <c r="B236">
        <v>3</v>
      </c>
      <c r="C236" s="3">
        <v>46039</v>
      </c>
      <c r="D236" t="s">
        <v>27</v>
      </c>
      <c r="E236" t="s">
        <v>327</v>
      </c>
      <c r="F236" t="s">
        <v>41</v>
      </c>
      <c r="G236" t="s">
        <v>30</v>
      </c>
      <c r="H236" t="s">
        <v>31</v>
      </c>
      <c r="I236" t="s">
        <v>32</v>
      </c>
      <c r="J236" t="s">
        <v>32</v>
      </c>
      <c r="K236" t="s">
        <v>33</v>
      </c>
      <c r="L236" t="s">
        <v>323</v>
      </c>
      <c r="M236" t="s">
        <v>47</v>
      </c>
      <c r="N236">
        <v>12.57</v>
      </c>
      <c r="O236">
        <v>33.3333333333333</v>
      </c>
      <c r="P236">
        <v>444</v>
      </c>
      <c r="Q236">
        <v>477.333333333333</v>
      </c>
      <c r="R236">
        <v>74.365</v>
      </c>
      <c r="S236">
        <v>551.698333333333</v>
      </c>
      <c r="T236">
        <v>65</v>
      </c>
      <c r="U236">
        <f>SUMIF(货件明细!J:J,E236,货件明细!AP:AP)</f>
        <v>65</v>
      </c>
      <c r="V236">
        <f>IF(U236=T236,0,1)</f>
        <v>0</v>
      </c>
      <c r="W236">
        <f>T236</f>
        <v>65</v>
      </c>
      <c r="X236">
        <f>SUMIF(货件明细!J:J,E236,货件明细!H:H)</f>
        <v>13.82</v>
      </c>
      <c r="Y236">
        <f>N236-X236</f>
        <v>-1.25</v>
      </c>
      <c r="Z236">
        <f>SUMIF(货件明细!J:J,E236,货件明细!I:I)</f>
        <v>551.698333333333</v>
      </c>
      <c r="AA236">
        <f>IF(S236=Z236,0,1)</f>
        <v>0</v>
      </c>
    </row>
    <row r="237" spans="1:27">
      <c r="A237">
        <v>1</v>
      </c>
      <c r="B237">
        <v>3</v>
      </c>
      <c r="C237" s="3">
        <v>46039</v>
      </c>
      <c r="D237" t="s">
        <v>27</v>
      </c>
      <c r="E237" t="s">
        <v>328</v>
      </c>
      <c r="F237" t="s">
        <v>41</v>
      </c>
      <c r="G237" t="s">
        <v>30</v>
      </c>
      <c r="H237" t="s">
        <v>56</v>
      </c>
      <c r="I237" t="s">
        <v>32</v>
      </c>
      <c r="J237" t="s">
        <v>32</v>
      </c>
      <c r="K237" t="s">
        <v>33</v>
      </c>
      <c r="L237" t="s">
        <v>323</v>
      </c>
      <c r="M237" t="s">
        <v>47</v>
      </c>
      <c r="N237">
        <v>39.95</v>
      </c>
      <c r="O237">
        <v>33.3333333333333</v>
      </c>
      <c r="P237">
        <v>1480</v>
      </c>
      <c r="Q237">
        <v>1513.33333333333</v>
      </c>
      <c r="R237">
        <v>208.5</v>
      </c>
      <c r="S237">
        <v>1721.83333333333</v>
      </c>
      <c r="T237">
        <v>170</v>
      </c>
      <c r="U237">
        <f>SUMIF(货件明细!J:J,E237,货件明细!AP:AP)</f>
        <v>170</v>
      </c>
      <c r="V237">
        <f>IF(U237=T237,0,1)</f>
        <v>0</v>
      </c>
      <c r="W237">
        <f>T237</f>
        <v>170</v>
      </c>
      <c r="X237">
        <f>SUMIF(货件明细!J:J,E237,货件明细!H:H)</f>
        <v>37.73</v>
      </c>
      <c r="Y237">
        <f>N237-X237</f>
        <v>2.22000000000001</v>
      </c>
      <c r="Z237">
        <f>SUMIF(货件明细!J:J,E237,货件明细!I:I)</f>
        <v>1721.83333333333</v>
      </c>
      <c r="AA237">
        <f>IF(S237=Z237,0,1)</f>
        <v>0</v>
      </c>
    </row>
    <row r="238" spans="1:27">
      <c r="A238">
        <v>1</v>
      </c>
      <c r="B238">
        <v>3</v>
      </c>
      <c r="C238" s="3">
        <v>46039</v>
      </c>
      <c r="D238" t="s">
        <v>27</v>
      </c>
      <c r="E238" t="s">
        <v>329</v>
      </c>
      <c r="F238" t="s">
        <v>41</v>
      </c>
      <c r="G238" t="s">
        <v>30</v>
      </c>
      <c r="H238" t="s">
        <v>56</v>
      </c>
      <c r="I238" t="s">
        <v>42</v>
      </c>
      <c r="J238" t="s">
        <v>42</v>
      </c>
      <c r="K238" t="s">
        <v>33</v>
      </c>
      <c r="L238" t="s">
        <v>207</v>
      </c>
      <c r="M238" t="s">
        <v>130</v>
      </c>
      <c r="N238">
        <v>14.9</v>
      </c>
      <c r="O238">
        <v>100</v>
      </c>
      <c r="P238">
        <v>954.2</v>
      </c>
      <c r="Q238">
        <v>1054.2</v>
      </c>
      <c r="R238">
        <v>75.06</v>
      </c>
      <c r="S238">
        <v>1129.26</v>
      </c>
      <c r="T238">
        <v>60</v>
      </c>
      <c r="U238">
        <f>SUMIF(货件明细!J:J,E238,货件明细!AP:AP)</f>
        <v>60</v>
      </c>
      <c r="V238">
        <f>IF(U238=T238,0,1)</f>
        <v>0</v>
      </c>
      <c r="W238">
        <f>T238</f>
        <v>60</v>
      </c>
      <c r="X238">
        <f>SUMIF(货件明细!J:J,E238,货件明细!H:H)</f>
        <v>14.1</v>
      </c>
      <c r="Y238">
        <f>N238-X238</f>
        <v>0.800000000000001</v>
      </c>
      <c r="Z238">
        <f>SUMIF(货件明细!J:J,E238,货件明细!I:I)</f>
        <v>1129.26</v>
      </c>
      <c r="AA238">
        <f>IF(S238=Z238,0,1)</f>
        <v>0</v>
      </c>
    </row>
    <row r="239" spans="1:27">
      <c r="A239">
        <v>1</v>
      </c>
      <c r="B239">
        <v>3</v>
      </c>
      <c r="C239" s="3">
        <v>46039</v>
      </c>
      <c r="D239" t="s">
        <v>27</v>
      </c>
      <c r="E239" t="s">
        <v>330</v>
      </c>
      <c r="F239" t="s">
        <v>41</v>
      </c>
      <c r="G239" t="s">
        <v>30</v>
      </c>
      <c r="H239" t="s">
        <v>46</v>
      </c>
      <c r="I239" t="s">
        <v>42</v>
      </c>
      <c r="J239" t="s">
        <v>42</v>
      </c>
      <c r="K239" t="s">
        <v>33</v>
      </c>
      <c r="L239" t="s">
        <v>207</v>
      </c>
      <c r="M239" t="s">
        <v>130</v>
      </c>
      <c r="N239">
        <v>12.9</v>
      </c>
      <c r="O239">
        <v>100</v>
      </c>
      <c r="P239">
        <v>838.2</v>
      </c>
      <c r="Q239">
        <v>938.2</v>
      </c>
      <c r="R239">
        <v>100.08</v>
      </c>
      <c r="S239">
        <v>1038.28</v>
      </c>
      <c r="T239">
        <v>60</v>
      </c>
      <c r="U239">
        <f>SUMIF(货件明细!J:J,E239,货件明细!AP:AP)</f>
        <v>60</v>
      </c>
      <c r="V239">
        <f>IF(U239=T239,0,1)</f>
        <v>0</v>
      </c>
      <c r="W239">
        <f>T239</f>
        <v>60</v>
      </c>
      <c r="X239">
        <f>SUMIF(货件明细!J:J,E239,货件明细!H:H)</f>
        <v>11.82</v>
      </c>
      <c r="Y239">
        <f>N239-X239</f>
        <v>1.08</v>
      </c>
      <c r="Z239">
        <f>SUMIF(货件明细!J:J,E239,货件明细!I:I)</f>
        <v>1038.28</v>
      </c>
      <c r="AA239">
        <f>IF(S239=Z239,0,1)</f>
        <v>0</v>
      </c>
    </row>
    <row r="240" spans="1:27">
      <c r="A240">
        <v>1</v>
      </c>
      <c r="B240">
        <v>3</v>
      </c>
      <c r="C240" s="3">
        <v>46039</v>
      </c>
      <c r="D240" t="s">
        <v>27</v>
      </c>
      <c r="E240" t="s">
        <v>331</v>
      </c>
      <c r="F240" t="s">
        <v>332</v>
      </c>
      <c r="G240" t="s">
        <v>30</v>
      </c>
      <c r="H240" t="s">
        <v>224</v>
      </c>
      <c r="I240" t="s">
        <v>32</v>
      </c>
      <c r="J240" t="s">
        <v>32</v>
      </c>
      <c r="K240" t="s">
        <v>33</v>
      </c>
      <c r="L240" t="s">
        <v>323</v>
      </c>
      <c r="M240" t="s">
        <v>47</v>
      </c>
      <c r="N240">
        <v>9.7</v>
      </c>
      <c r="O240">
        <v>50</v>
      </c>
      <c r="P240">
        <v>456</v>
      </c>
      <c r="Q240">
        <v>506</v>
      </c>
      <c r="R240">
        <v>72.28</v>
      </c>
      <c r="S240">
        <v>578.28</v>
      </c>
      <c r="T240">
        <v>65</v>
      </c>
      <c r="U240">
        <f>SUMIF(货件明细!J:J,E240,货件明细!AP:AP)</f>
        <v>65</v>
      </c>
      <c r="V240">
        <f>IF(U240=T240,0,1)</f>
        <v>0</v>
      </c>
      <c r="W240">
        <f>T240</f>
        <v>65</v>
      </c>
      <c r="X240">
        <f>SUMIF(货件明细!J:J,E240,货件明细!H:H)</f>
        <v>9.165</v>
      </c>
      <c r="Y240">
        <f>N240-X240</f>
        <v>0.535</v>
      </c>
      <c r="Z240">
        <f>SUMIF(货件明细!J:J,E240,货件明细!I:I)</f>
        <v>578.28</v>
      </c>
      <c r="AA240">
        <f>IF(S240=Z240,0,1)</f>
        <v>0</v>
      </c>
    </row>
    <row r="241" spans="1:27">
      <c r="A241">
        <v>1</v>
      </c>
      <c r="B241">
        <v>3</v>
      </c>
      <c r="C241" s="3">
        <v>46039</v>
      </c>
      <c r="D241" t="s">
        <v>27</v>
      </c>
      <c r="E241" t="s">
        <v>333</v>
      </c>
      <c r="F241" t="s">
        <v>332</v>
      </c>
      <c r="G241" t="s">
        <v>30</v>
      </c>
      <c r="H241" t="s">
        <v>54</v>
      </c>
      <c r="I241" t="s">
        <v>32</v>
      </c>
      <c r="J241" t="s">
        <v>32</v>
      </c>
      <c r="K241" t="s">
        <v>33</v>
      </c>
      <c r="L241" t="s">
        <v>323</v>
      </c>
      <c r="M241" t="s">
        <v>47</v>
      </c>
      <c r="N241">
        <v>14.9</v>
      </c>
      <c r="O241">
        <v>50</v>
      </c>
      <c r="P241">
        <v>570</v>
      </c>
      <c r="Q241">
        <v>620</v>
      </c>
      <c r="R241">
        <v>177.92</v>
      </c>
      <c r="S241">
        <v>797.92</v>
      </c>
      <c r="T241">
        <v>160</v>
      </c>
      <c r="U241">
        <f>SUMIF(货件明细!J:J,E241,货件明细!AP:AP)</f>
        <v>160</v>
      </c>
      <c r="V241">
        <f>IF(U241=T241,0,1)</f>
        <v>0</v>
      </c>
      <c r="W241">
        <f>T241</f>
        <v>160</v>
      </c>
      <c r="X241">
        <f>SUMIF(货件明细!J:J,E241,货件明细!H:H)</f>
        <v>14</v>
      </c>
      <c r="Y241">
        <f>N241-X241</f>
        <v>0.9</v>
      </c>
      <c r="Z241">
        <f>SUMIF(货件明细!J:J,E241,货件明细!I:I)</f>
        <v>797.92</v>
      </c>
      <c r="AA241">
        <f>IF(S241=Z241,0,1)</f>
        <v>0</v>
      </c>
    </row>
    <row r="242" spans="1:27">
      <c r="A242">
        <v>1</v>
      </c>
      <c r="B242">
        <v>3</v>
      </c>
      <c r="C242" s="3">
        <v>46039</v>
      </c>
      <c r="D242" t="s">
        <v>27</v>
      </c>
      <c r="E242" t="s">
        <v>334</v>
      </c>
      <c r="F242" t="s">
        <v>332</v>
      </c>
      <c r="G242" t="s">
        <v>30</v>
      </c>
      <c r="H242" t="s">
        <v>51</v>
      </c>
      <c r="I242" t="s">
        <v>32</v>
      </c>
      <c r="J242" t="s">
        <v>32</v>
      </c>
      <c r="K242" t="s">
        <v>33</v>
      </c>
      <c r="L242" t="s">
        <v>323</v>
      </c>
      <c r="M242" t="s">
        <v>47</v>
      </c>
      <c r="N242">
        <v>14.14</v>
      </c>
      <c r="O242">
        <v>50</v>
      </c>
      <c r="P242">
        <v>532</v>
      </c>
      <c r="Q242">
        <v>582</v>
      </c>
      <c r="R242">
        <v>133.44</v>
      </c>
      <c r="S242">
        <v>715.44</v>
      </c>
      <c r="T242">
        <v>120</v>
      </c>
      <c r="U242">
        <f>SUMIF(货件明细!J:J,E242,货件明细!AP:AP)</f>
        <v>120</v>
      </c>
      <c r="V242">
        <f>IF(U242=T242,0,1)</f>
        <v>0</v>
      </c>
      <c r="W242">
        <f>T242</f>
        <v>120</v>
      </c>
      <c r="X242">
        <f>SUMIF(货件明细!J:J,E242,货件明细!H:H)</f>
        <v>13.43</v>
      </c>
      <c r="Y242">
        <f>N242-X242</f>
        <v>0.710000000000001</v>
      </c>
      <c r="Z242">
        <f>SUMIF(货件明细!J:J,E242,货件明细!I:I)</f>
        <v>715.44</v>
      </c>
      <c r="AA242">
        <f>IF(S242=Z242,0,1)</f>
        <v>0</v>
      </c>
    </row>
    <row r="243" spans="1:27">
      <c r="A243">
        <v>1</v>
      </c>
      <c r="B243">
        <v>3</v>
      </c>
      <c r="C243" s="3">
        <v>46039</v>
      </c>
      <c r="D243" t="s">
        <v>27</v>
      </c>
      <c r="E243" t="s">
        <v>335</v>
      </c>
      <c r="F243" t="s">
        <v>332</v>
      </c>
      <c r="G243" t="s">
        <v>30</v>
      </c>
      <c r="H243" t="s">
        <v>37</v>
      </c>
      <c r="I243" t="s">
        <v>32</v>
      </c>
      <c r="J243" t="s">
        <v>32</v>
      </c>
      <c r="K243" t="s">
        <v>33</v>
      </c>
      <c r="L243" t="s">
        <v>323</v>
      </c>
      <c r="M243" t="s">
        <v>47</v>
      </c>
      <c r="N243">
        <v>62.7</v>
      </c>
      <c r="O243">
        <v>50</v>
      </c>
      <c r="P243">
        <v>2394</v>
      </c>
      <c r="Q243">
        <v>2444</v>
      </c>
      <c r="R243">
        <v>198.77</v>
      </c>
      <c r="S243">
        <v>2642.77</v>
      </c>
      <c r="T243">
        <v>110</v>
      </c>
      <c r="U243">
        <f>SUMIF(货件明细!J:J,E243,货件明细!AP:AP)</f>
        <v>110</v>
      </c>
      <c r="V243">
        <f>IF(U243=T243,0,1)</f>
        <v>0</v>
      </c>
      <c r="W243">
        <f>T243</f>
        <v>110</v>
      </c>
      <c r="X243">
        <f>SUMIF(货件明细!J:J,E243,货件明细!H:H)</f>
        <v>57.53</v>
      </c>
      <c r="Y243">
        <f>N243-X243</f>
        <v>5.17</v>
      </c>
      <c r="Z243">
        <f>SUMIF(货件明细!J:J,E243,货件明细!I:I)</f>
        <v>2642.77</v>
      </c>
      <c r="AA243">
        <f>IF(S243=Z243,0,1)</f>
        <v>0</v>
      </c>
    </row>
    <row r="244" hidden="1" spans="1:27">
      <c r="A244">
        <v>1</v>
      </c>
      <c r="B244">
        <v>3</v>
      </c>
      <c r="C244" s="3">
        <v>46039</v>
      </c>
      <c r="D244" t="s">
        <v>27</v>
      </c>
      <c r="E244" t="s">
        <v>336</v>
      </c>
      <c r="F244" t="s">
        <v>195</v>
      </c>
      <c r="G244" t="s">
        <v>30</v>
      </c>
      <c r="H244" t="s">
        <v>59</v>
      </c>
      <c r="I244" t="s">
        <v>92</v>
      </c>
      <c r="J244" t="s">
        <v>92</v>
      </c>
      <c r="K244" t="s">
        <v>64</v>
      </c>
      <c r="L244" t="s">
        <v>65</v>
      </c>
      <c r="M244" t="s">
        <v>93</v>
      </c>
      <c r="N244">
        <v>44.3</v>
      </c>
      <c r="O244">
        <v>8.97435897435897</v>
      </c>
      <c r="P244">
        <v>349.513636363636</v>
      </c>
      <c r="Q244">
        <v>358.487995337995</v>
      </c>
      <c r="R244">
        <v>0</v>
      </c>
      <c r="S244">
        <v>358.487995337995</v>
      </c>
      <c r="T244">
        <v>237</v>
      </c>
      <c r="U244">
        <f>SUMIF(货件明细!J:J,E244,货件明细!AP:AP)</f>
        <v>0</v>
      </c>
      <c r="V244">
        <f>IF(U244=T244,0,1)</f>
        <v>1</v>
      </c>
      <c r="W244">
        <f>T244</f>
        <v>237</v>
      </c>
      <c r="X244">
        <f>SUMIF(货件明细!J:J,E244,货件明细!H:H)</f>
        <v>0</v>
      </c>
      <c r="Y244">
        <f>N244-X244</f>
        <v>44.3</v>
      </c>
      <c r="Z244">
        <f>SUMIF(货件明细!J:J,E244,货件明细!I:I)</f>
        <v>0</v>
      </c>
      <c r="AA244">
        <f>IF(S244=Z244,0,1)</f>
        <v>1</v>
      </c>
    </row>
    <row r="245" hidden="1" spans="1:27">
      <c r="A245">
        <v>1</v>
      </c>
      <c r="B245">
        <v>3</v>
      </c>
      <c r="C245" s="3">
        <v>46039</v>
      </c>
      <c r="D245" t="s">
        <v>27</v>
      </c>
      <c r="E245" t="s">
        <v>337</v>
      </c>
      <c r="F245" t="s">
        <v>138</v>
      </c>
      <c r="G245" t="s">
        <v>69</v>
      </c>
      <c r="H245" t="s">
        <v>59</v>
      </c>
      <c r="I245" t="s">
        <v>92</v>
      </c>
      <c r="J245" t="s">
        <v>92</v>
      </c>
      <c r="K245" t="s">
        <v>64</v>
      </c>
      <c r="L245" t="s">
        <v>65</v>
      </c>
      <c r="M245" t="s">
        <v>93</v>
      </c>
      <c r="N245">
        <v>44.3</v>
      </c>
      <c r="O245">
        <v>8.97435897435897</v>
      </c>
      <c r="P245">
        <v>257.6</v>
      </c>
      <c r="Q245">
        <v>266.574358974359</v>
      </c>
      <c r="R245">
        <v>0</v>
      </c>
      <c r="S245">
        <v>266.574358974359</v>
      </c>
      <c r="T245">
        <v>237</v>
      </c>
      <c r="U245">
        <f>SUMIF(货件明细!J:J,E245,货件明细!AP:AP)</f>
        <v>0</v>
      </c>
      <c r="V245">
        <f>IF(U245=T245,0,1)</f>
        <v>1</v>
      </c>
      <c r="W245">
        <f>T245</f>
        <v>237</v>
      </c>
      <c r="X245">
        <f>SUMIF(货件明细!J:J,E245,货件明细!H:H)</f>
        <v>0</v>
      </c>
      <c r="Y245">
        <f>N245-X245</f>
        <v>44.3</v>
      </c>
      <c r="Z245">
        <f>SUMIF(货件明细!J:J,E245,货件明细!I:I)</f>
        <v>0</v>
      </c>
      <c r="AA245">
        <f>IF(S245=Z245,0,1)</f>
        <v>1</v>
      </c>
    </row>
    <row r="246" hidden="1" spans="1:27">
      <c r="A246">
        <v>1</v>
      </c>
      <c r="B246">
        <v>3</v>
      </c>
      <c r="C246" s="3">
        <v>46039</v>
      </c>
      <c r="D246" t="s">
        <v>27</v>
      </c>
      <c r="E246" t="s">
        <v>338</v>
      </c>
      <c r="F246" t="s">
        <v>339</v>
      </c>
      <c r="G246" t="s">
        <v>72</v>
      </c>
      <c r="H246" t="s">
        <v>59</v>
      </c>
      <c r="I246" t="s">
        <v>92</v>
      </c>
      <c r="J246" t="s">
        <v>92</v>
      </c>
      <c r="K246" t="s">
        <v>64</v>
      </c>
      <c r="L246" t="s">
        <v>65</v>
      </c>
      <c r="M246" t="s">
        <v>93</v>
      </c>
      <c r="N246">
        <v>44.3</v>
      </c>
      <c r="O246">
        <v>8.97435897435897</v>
      </c>
      <c r="P246">
        <v>227.028571428571</v>
      </c>
      <c r="Q246">
        <v>236.00293040293</v>
      </c>
      <c r="R246">
        <v>0</v>
      </c>
      <c r="S246">
        <v>236.00293040293</v>
      </c>
      <c r="T246">
        <v>237</v>
      </c>
      <c r="U246">
        <f>SUMIF(货件明细!J:J,E246,货件明细!AP:AP)</f>
        <v>0</v>
      </c>
      <c r="V246">
        <f>IF(U246=T246,0,1)</f>
        <v>1</v>
      </c>
      <c r="W246">
        <f>T246</f>
        <v>237</v>
      </c>
      <c r="X246">
        <f>SUMIF(货件明细!J:J,E246,货件明细!H:H)</f>
        <v>0</v>
      </c>
      <c r="Y246">
        <f>N246-X246</f>
        <v>44.3</v>
      </c>
      <c r="Z246">
        <f>SUMIF(货件明细!J:J,E246,货件明细!I:I)</f>
        <v>0</v>
      </c>
      <c r="AA246">
        <f>IF(S246=Z246,0,1)</f>
        <v>1</v>
      </c>
    </row>
    <row r="247" hidden="1" spans="1:27">
      <c r="A247">
        <v>1</v>
      </c>
      <c r="B247">
        <v>3</v>
      </c>
      <c r="C247" s="3">
        <v>46039</v>
      </c>
      <c r="D247" t="s">
        <v>27</v>
      </c>
      <c r="E247" t="s">
        <v>340</v>
      </c>
      <c r="F247" t="s">
        <v>200</v>
      </c>
      <c r="G247" t="s">
        <v>30</v>
      </c>
      <c r="H247" t="s">
        <v>59</v>
      </c>
      <c r="I247" t="s">
        <v>92</v>
      </c>
      <c r="J247" t="s">
        <v>92</v>
      </c>
      <c r="K247" t="s">
        <v>64</v>
      </c>
      <c r="L247" t="s">
        <v>65</v>
      </c>
      <c r="M247" t="s">
        <v>93</v>
      </c>
      <c r="N247">
        <v>44.3</v>
      </c>
      <c r="O247">
        <v>8.97435897435897</v>
      </c>
      <c r="P247">
        <v>283.2</v>
      </c>
      <c r="Q247">
        <v>292.174358974359</v>
      </c>
      <c r="R247">
        <v>0</v>
      </c>
      <c r="S247">
        <v>292.174358974359</v>
      </c>
      <c r="T247">
        <v>237</v>
      </c>
      <c r="U247">
        <f>SUMIF(货件明细!J:J,E247,货件明细!AP:AP)</f>
        <v>0</v>
      </c>
      <c r="V247">
        <f>IF(U247=T247,0,1)</f>
        <v>1</v>
      </c>
      <c r="W247">
        <f>T247</f>
        <v>237</v>
      </c>
      <c r="X247">
        <f>SUMIF(货件明细!J:J,E247,货件明细!H:H)</f>
        <v>0</v>
      </c>
      <c r="Y247">
        <f>N247-X247</f>
        <v>44.3</v>
      </c>
      <c r="Z247">
        <f>SUMIF(货件明细!J:J,E247,货件明细!I:I)</f>
        <v>0</v>
      </c>
      <c r="AA247">
        <f>IF(S247=Z247,0,1)</f>
        <v>1</v>
      </c>
    </row>
    <row r="248" hidden="1" spans="1:27">
      <c r="A248">
        <v>1</v>
      </c>
      <c r="B248">
        <v>3</v>
      </c>
      <c r="C248" s="3">
        <v>46039</v>
      </c>
      <c r="D248" t="s">
        <v>27</v>
      </c>
      <c r="E248" t="s">
        <v>341</v>
      </c>
      <c r="F248" t="s">
        <v>239</v>
      </c>
      <c r="G248" t="s">
        <v>72</v>
      </c>
      <c r="H248" t="s">
        <v>59</v>
      </c>
      <c r="I248" t="s">
        <v>92</v>
      </c>
      <c r="J248" t="s">
        <v>92</v>
      </c>
      <c r="K248" t="s">
        <v>64</v>
      </c>
      <c r="L248" t="s">
        <v>65</v>
      </c>
      <c r="M248" t="s">
        <v>93</v>
      </c>
      <c r="N248">
        <v>44.3</v>
      </c>
      <c r="O248">
        <v>8.97435897435897</v>
      </c>
      <c r="P248">
        <v>200</v>
      </c>
      <c r="Q248">
        <v>208.974358974359</v>
      </c>
      <c r="R248">
        <v>0</v>
      </c>
      <c r="S248">
        <v>208.974358974359</v>
      </c>
      <c r="T248">
        <v>237</v>
      </c>
      <c r="U248">
        <f>SUMIF(货件明细!J:J,E248,货件明细!AP:AP)</f>
        <v>0</v>
      </c>
      <c r="V248">
        <f>IF(U248=T248,0,1)</f>
        <v>1</v>
      </c>
      <c r="W248">
        <f>T248</f>
        <v>237</v>
      </c>
      <c r="X248">
        <f>SUMIF(货件明细!J:J,E248,货件明细!H:H)</f>
        <v>0</v>
      </c>
      <c r="Y248">
        <f>N248-X248</f>
        <v>44.3</v>
      </c>
      <c r="Z248">
        <f>SUMIF(货件明细!J:J,E248,货件明细!I:I)</f>
        <v>0</v>
      </c>
      <c r="AA248">
        <f>IF(S248=Z248,0,1)</f>
        <v>1</v>
      </c>
    </row>
    <row r="249" hidden="1" spans="1:27">
      <c r="A249">
        <v>1</v>
      </c>
      <c r="B249">
        <v>3</v>
      </c>
      <c r="C249" s="3">
        <v>46039</v>
      </c>
      <c r="D249" t="s">
        <v>27</v>
      </c>
      <c r="E249" t="s">
        <v>342</v>
      </c>
      <c r="F249" t="s">
        <v>195</v>
      </c>
      <c r="G249" t="s">
        <v>30</v>
      </c>
      <c r="H249" t="s">
        <v>54</v>
      </c>
      <c r="I249" t="s">
        <v>92</v>
      </c>
      <c r="J249" t="s">
        <v>92</v>
      </c>
      <c r="K249" t="s">
        <v>64</v>
      </c>
      <c r="L249" t="s">
        <v>65</v>
      </c>
      <c r="M249" t="s">
        <v>93</v>
      </c>
      <c r="N249">
        <v>42.15</v>
      </c>
      <c r="O249">
        <v>8.97435897435897</v>
      </c>
      <c r="P249">
        <v>233.009090909091</v>
      </c>
      <c r="Q249">
        <v>241.98344988345</v>
      </c>
      <c r="R249">
        <v>0</v>
      </c>
      <c r="S249">
        <v>241.98344988345</v>
      </c>
      <c r="T249">
        <v>354</v>
      </c>
      <c r="U249">
        <f>SUMIF(货件明细!J:J,E249,货件明细!AP:AP)</f>
        <v>0</v>
      </c>
      <c r="V249">
        <f>IF(U249=T249,0,1)</f>
        <v>1</v>
      </c>
      <c r="W249">
        <f>T249</f>
        <v>354</v>
      </c>
      <c r="X249">
        <f>SUMIF(货件明细!J:J,E249,货件明细!H:H)</f>
        <v>0</v>
      </c>
      <c r="Y249">
        <f>N249-X249</f>
        <v>42.15</v>
      </c>
      <c r="Z249">
        <f>SUMIF(货件明细!J:J,E249,货件明细!I:I)</f>
        <v>0</v>
      </c>
      <c r="AA249">
        <f>IF(S249=Z249,0,1)</f>
        <v>1</v>
      </c>
    </row>
    <row r="250" hidden="1" spans="1:27">
      <c r="A250">
        <v>1</v>
      </c>
      <c r="B250">
        <v>3</v>
      </c>
      <c r="C250" s="3">
        <v>46039</v>
      </c>
      <c r="D250" t="s">
        <v>27</v>
      </c>
      <c r="E250" t="s">
        <v>343</v>
      </c>
      <c r="F250" t="s">
        <v>339</v>
      </c>
      <c r="G250" t="s">
        <v>72</v>
      </c>
      <c r="H250" t="s">
        <v>54</v>
      </c>
      <c r="I250" t="s">
        <v>92</v>
      </c>
      <c r="J250" t="s">
        <v>92</v>
      </c>
      <c r="K250" t="s">
        <v>64</v>
      </c>
      <c r="L250" t="s">
        <v>65</v>
      </c>
      <c r="M250" t="s">
        <v>93</v>
      </c>
      <c r="N250">
        <v>42.15</v>
      </c>
      <c r="O250">
        <v>8.97435897435897</v>
      </c>
      <c r="P250">
        <v>151.352380952381</v>
      </c>
      <c r="Q250">
        <v>160.32673992674</v>
      </c>
      <c r="R250">
        <v>0</v>
      </c>
      <c r="S250">
        <v>160.32673992674</v>
      </c>
      <c r="T250">
        <v>354</v>
      </c>
      <c r="U250">
        <f>SUMIF(货件明细!J:J,E250,货件明细!AP:AP)</f>
        <v>0</v>
      </c>
      <c r="V250">
        <f>IF(U250=T250,0,1)</f>
        <v>1</v>
      </c>
      <c r="W250">
        <f>T250</f>
        <v>354</v>
      </c>
      <c r="X250">
        <f>SUMIF(货件明细!J:J,E250,货件明细!H:H)</f>
        <v>0</v>
      </c>
      <c r="Y250">
        <f>N250-X250</f>
        <v>42.15</v>
      </c>
      <c r="Z250">
        <f>SUMIF(货件明细!J:J,E250,货件明细!I:I)</f>
        <v>0</v>
      </c>
      <c r="AA250">
        <f>IF(S250=Z250,0,1)</f>
        <v>1</v>
      </c>
    </row>
    <row r="251" hidden="1" spans="1:27">
      <c r="A251">
        <v>1</v>
      </c>
      <c r="B251">
        <v>3</v>
      </c>
      <c r="C251" s="3">
        <v>46039</v>
      </c>
      <c r="D251" t="s">
        <v>27</v>
      </c>
      <c r="E251" t="s">
        <v>344</v>
      </c>
      <c r="F251" t="s">
        <v>143</v>
      </c>
      <c r="G251" t="s">
        <v>72</v>
      </c>
      <c r="H251" t="s">
        <v>54</v>
      </c>
      <c r="I251" t="s">
        <v>92</v>
      </c>
      <c r="J251" t="s">
        <v>92</v>
      </c>
      <c r="K251" t="s">
        <v>64</v>
      </c>
      <c r="L251" t="s">
        <v>65</v>
      </c>
      <c r="M251" t="s">
        <v>93</v>
      </c>
      <c r="N251">
        <v>42.15</v>
      </c>
      <c r="O251">
        <v>8.97435897435897</v>
      </c>
      <c r="P251">
        <v>204</v>
      </c>
      <c r="Q251">
        <v>212.974358974359</v>
      </c>
      <c r="R251">
        <v>0</v>
      </c>
      <c r="S251">
        <v>212.974358974359</v>
      </c>
      <c r="T251">
        <v>354</v>
      </c>
      <c r="U251">
        <f>SUMIF(货件明细!J:J,E251,货件明细!AP:AP)</f>
        <v>0</v>
      </c>
      <c r="V251">
        <f>IF(U251=T251,0,1)</f>
        <v>1</v>
      </c>
      <c r="W251">
        <f>T251</f>
        <v>354</v>
      </c>
      <c r="X251">
        <f>SUMIF(货件明细!J:J,E251,货件明细!H:H)</f>
        <v>0</v>
      </c>
      <c r="Y251">
        <f>N251-X251</f>
        <v>42.15</v>
      </c>
      <c r="Z251">
        <f>SUMIF(货件明细!J:J,E251,货件明细!I:I)</f>
        <v>0</v>
      </c>
      <c r="AA251">
        <f>IF(S251=Z251,0,1)</f>
        <v>1</v>
      </c>
    </row>
    <row r="252" hidden="1" spans="1:27">
      <c r="A252">
        <v>1</v>
      </c>
      <c r="B252">
        <v>3</v>
      </c>
      <c r="C252" s="3">
        <v>46039</v>
      </c>
      <c r="D252" t="s">
        <v>27</v>
      </c>
      <c r="E252" t="s">
        <v>345</v>
      </c>
      <c r="F252" t="s">
        <v>200</v>
      </c>
      <c r="G252" t="s">
        <v>30</v>
      </c>
      <c r="H252" t="s">
        <v>54</v>
      </c>
      <c r="I252" t="s">
        <v>92</v>
      </c>
      <c r="J252" t="s">
        <v>92</v>
      </c>
      <c r="K252" t="s">
        <v>64</v>
      </c>
      <c r="L252" t="s">
        <v>65</v>
      </c>
      <c r="M252" t="s">
        <v>93</v>
      </c>
      <c r="N252">
        <v>42.15</v>
      </c>
      <c r="O252">
        <v>8.97435897435897</v>
      </c>
      <c r="P252">
        <v>300.9</v>
      </c>
      <c r="Q252">
        <v>309.874358974359</v>
      </c>
      <c r="R252">
        <v>0</v>
      </c>
      <c r="S252">
        <v>309.874358974359</v>
      </c>
      <c r="T252">
        <v>354</v>
      </c>
      <c r="U252">
        <f>SUMIF(货件明细!J:J,E252,货件明细!AP:AP)</f>
        <v>0</v>
      </c>
      <c r="V252">
        <f>IF(U252=T252,0,1)</f>
        <v>1</v>
      </c>
      <c r="W252">
        <f>T252</f>
        <v>354</v>
      </c>
      <c r="X252">
        <f>SUMIF(货件明细!J:J,E252,货件明细!H:H)</f>
        <v>0</v>
      </c>
      <c r="Y252">
        <f>N252-X252</f>
        <v>42.15</v>
      </c>
      <c r="Z252">
        <f>SUMIF(货件明细!J:J,E252,货件明细!I:I)</f>
        <v>0</v>
      </c>
      <c r="AA252">
        <f>IF(S252=Z252,0,1)</f>
        <v>1</v>
      </c>
    </row>
    <row r="253" hidden="1" spans="1:27">
      <c r="A253">
        <v>1</v>
      </c>
      <c r="B253">
        <v>3</v>
      </c>
      <c r="C253" s="3">
        <v>46039</v>
      </c>
      <c r="D253" t="s">
        <v>27</v>
      </c>
      <c r="E253" t="s">
        <v>346</v>
      </c>
      <c r="F253" t="s">
        <v>239</v>
      </c>
      <c r="G253" t="s">
        <v>72</v>
      </c>
      <c r="H253" t="s">
        <v>54</v>
      </c>
      <c r="I253" t="s">
        <v>92</v>
      </c>
      <c r="J253" t="s">
        <v>92</v>
      </c>
      <c r="K253" t="s">
        <v>64</v>
      </c>
      <c r="L253" t="s">
        <v>65</v>
      </c>
      <c r="M253" t="s">
        <v>93</v>
      </c>
      <c r="N253">
        <v>42.15</v>
      </c>
      <c r="O253">
        <v>8.97435897435897</v>
      </c>
      <c r="P253">
        <v>212.5</v>
      </c>
      <c r="Q253">
        <v>221.474358974359</v>
      </c>
      <c r="R253">
        <v>0</v>
      </c>
      <c r="S253">
        <v>221.474358974359</v>
      </c>
      <c r="T253">
        <v>354</v>
      </c>
      <c r="U253">
        <f>SUMIF(货件明细!J:J,E253,货件明细!AP:AP)</f>
        <v>0</v>
      </c>
      <c r="V253">
        <f>IF(U253=T253,0,1)</f>
        <v>1</v>
      </c>
      <c r="W253">
        <f>T253</f>
        <v>354</v>
      </c>
      <c r="X253">
        <f>SUMIF(货件明细!J:J,E253,货件明细!H:H)</f>
        <v>0</v>
      </c>
      <c r="Y253">
        <f>N253-X253</f>
        <v>42.15</v>
      </c>
      <c r="Z253">
        <f>SUMIF(货件明细!J:J,E253,货件明细!I:I)</f>
        <v>0</v>
      </c>
      <c r="AA253">
        <f>IF(S253=Z253,0,1)</f>
        <v>1</v>
      </c>
    </row>
    <row r="254" hidden="1" spans="1:27">
      <c r="A254">
        <v>1</v>
      </c>
      <c r="B254">
        <v>3</v>
      </c>
      <c r="C254" s="3">
        <v>46039</v>
      </c>
      <c r="D254" t="s">
        <v>27</v>
      </c>
      <c r="E254" t="s">
        <v>347</v>
      </c>
      <c r="F254" t="s">
        <v>195</v>
      </c>
      <c r="G254" t="s">
        <v>30</v>
      </c>
      <c r="H254" t="s">
        <v>31</v>
      </c>
      <c r="I254" t="s">
        <v>92</v>
      </c>
      <c r="J254" t="s">
        <v>92</v>
      </c>
      <c r="K254" t="s">
        <v>64</v>
      </c>
      <c r="L254" t="s">
        <v>65</v>
      </c>
      <c r="M254" t="s">
        <v>93</v>
      </c>
      <c r="N254">
        <v>26.5</v>
      </c>
      <c r="O254">
        <v>8.97435897435897</v>
      </c>
      <c r="P254">
        <v>233.009090909091</v>
      </c>
      <c r="Q254">
        <v>241.98344988345</v>
      </c>
      <c r="R254">
        <v>0</v>
      </c>
      <c r="S254">
        <v>241.98344988345</v>
      </c>
      <c r="T254">
        <v>98</v>
      </c>
      <c r="U254">
        <f>SUMIF(货件明细!J:J,E254,货件明细!AP:AP)</f>
        <v>0</v>
      </c>
      <c r="V254">
        <f>IF(U254=T254,0,1)</f>
        <v>1</v>
      </c>
      <c r="W254">
        <f>T254</f>
        <v>98</v>
      </c>
      <c r="X254">
        <f>SUMIF(货件明细!J:J,E254,货件明细!H:H)</f>
        <v>0</v>
      </c>
      <c r="Y254">
        <f>N254-X254</f>
        <v>26.5</v>
      </c>
      <c r="Z254">
        <f>SUMIF(货件明细!J:J,E254,货件明细!I:I)</f>
        <v>0</v>
      </c>
      <c r="AA254">
        <f>IF(S254=Z254,0,1)</f>
        <v>1</v>
      </c>
    </row>
    <row r="255" hidden="1" spans="1:27">
      <c r="A255">
        <v>1</v>
      </c>
      <c r="B255">
        <v>3</v>
      </c>
      <c r="C255" s="3">
        <v>46039</v>
      </c>
      <c r="D255" t="s">
        <v>27</v>
      </c>
      <c r="E255" t="s">
        <v>348</v>
      </c>
      <c r="F255" t="s">
        <v>339</v>
      </c>
      <c r="G255" t="s">
        <v>72</v>
      </c>
      <c r="H255" t="s">
        <v>31</v>
      </c>
      <c r="I255" t="s">
        <v>92</v>
      </c>
      <c r="J255" t="s">
        <v>92</v>
      </c>
      <c r="K255" t="s">
        <v>64</v>
      </c>
      <c r="L255" t="s">
        <v>65</v>
      </c>
      <c r="M255" t="s">
        <v>93</v>
      </c>
      <c r="N255">
        <v>26.5</v>
      </c>
      <c r="O255">
        <v>8.97435897435897</v>
      </c>
      <c r="P255">
        <v>151.352380952381</v>
      </c>
      <c r="Q255">
        <v>160.32673992674</v>
      </c>
      <c r="R255">
        <v>0</v>
      </c>
      <c r="S255">
        <v>160.32673992674</v>
      </c>
      <c r="T255">
        <v>98</v>
      </c>
      <c r="U255">
        <f>SUMIF(货件明细!J:J,E255,货件明细!AP:AP)</f>
        <v>0</v>
      </c>
      <c r="V255">
        <f>IF(U255=T255,0,1)</f>
        <v>1</v>
      </c>
      <c r="W255">
        <f>T255</f>
        <v>98</v>
      </c>
      <c r="X255">
        <f>SUMIF(货件明细!J:J,E255,货件明细!H:H)</f>
        <v>0</v>
      </c>
      <c r="Y255">
        <f>N255-X255</f>
        <v>26.5</v>
      </c>
      <c r="Z255">
        <f>SUMIF(货件明细!J:J,E255,货件明细!I:I)</f>
        <v>0</v>
      </c>
      <c r="AA255">
        <f>IF(S255=Z255,0,1)</f>
        <v>1</v>
      </c>
    </row>
    <row r="256" hidden="1" spans="1:27">
      <c r="A256">
        <v>1</v>
      </c>
      <c r="B256">
        <v>3</v>
      </c>
      <c r="C256" s="3">
        <v>46039</v>
      </c>
      <c r="D256" t="s">
        <v>27</v>
      </c>
      <c r="E256" t="s">
        <v>349</v>
      </c>
      <c r="F256" t="s">
        <v>143</v>
      </c>
      <c r="G256" t="s">
        <v>72</v>
      </c>
      <c r="H256" t="s">
        <v>31</v>
      </c>
      <c r="I256" t="s">
        <v>92</v>
      </c>
      <c r="J256" t="s">
        <v>92</v>
      </c>
      <c r="K256" t="s">
        <v>64</v>
      </c>
      <c r="L256" t="s">
        <v>65</v>
      </c>
      <c r="M256" t="s">
        <v>93</v>
      </c>
      <c r="N256">
        <v>26.5</v>
      </c>
      <c r="O256">
        <v>8.97435897435897</v>
      </c>
      <c r="P256">
        <v>120</v>
      </c>
      <c r="Q256">
        <v>128.974358974359</v>
      </c>
      <c r="R256">
        <v>0</v>
      </c>
      <c r="S256">
        <v>128.974358974359</v>
      </c>
      <c r="T256">
        <v>98</v>
      </c>
      <c r="U256">
        <f>SUMIF(货件明细!J:J,E256,货件明细!AP:AP)</f>
        <v>0</v>
      </c>
      <c r="V256">
        <f>IF(U256=T256,0,1)</f>
        <v>1</v>
      </c>
      <c r="W256">
        <f>T256</f>
        <v>98</v>
      </c>
      <c r="X256">
        <f>SUMIF(货件明细!J:J,E256,货件明细!H:H)</f>
        <v>0</v>
      </c>
      <c r="Y256">
        <f>N256-X256</f>
        <v>26.5</v>
      </c>
      <c r="Z256">
        <f>SUMIF(货件明细!J:J,E256,货件明细!I:I)</f>
        <v>0</v>
      </c>
      <c r="AA256">
        <f>IF(S256=Z256,0,1)</f>
        <v>1</v>
      </c>
    </row>
    <row r="257" hidden="1" spans="1:27">
      <c r="A257">
        <v>1</v>
      </c>
      <c r="B257">
        <v>3</v>
      </c>
      <c r="C257" s="3">
        <v>46039</v>
      </c>
      <c r="D257" t="s">
        <v>27</v>
      </c>
      <c r="E257" t="s">
        <v>350</v>
      </c>
      <c r="F257" t="s">
        <v>200</v>
      </c>
      <c r="G257" t="s">
        <v>30</v>
      </c>
      <c r="H257" t="s">
        <v>31</v>
      </c>
      <c r="I257" t="s">
        <v>92</v>
      </c>
      <c r="J257" t="s">
        <v>92</v>
      </c>
      <c r="K257" t="s">
        <v>64</v>
      </c>
      <c r="L257" t="s">
        <v>65</v>
      </c>
      <c r="M257" t="s">
        <v>93</v>
      </c>
      <c r="N257">
        <v>26.5</v>
      </c>
      <c r="O257">
        <v>8.97435897435897</v>
      </c>
      <c r="P257">
        <v>177</v>
      </c>
      <c r="Q257">
        <v>185.974358974359</v>
      </c>
      <c r="R257">
        <v>0</v>
      </c>
      <c r="S257">
        <v>185.974358974359</v>
      </c>
      <c r="T257">
        <v>98</v>
      </c>
      <c r="U257">
        <f>SUMIF(货件明细!J:J,E257,货件明细!AP:AP)</f>
        <v>0</v>
      </c>
      <c r="V257">
        <f>IF(U257=T257,0,1)</f>
        <v>1</v>
      </c>
      <c r="W257">
        <f>T257</f>
        <v>98</v>
      </c>
      <c r="X257">
        <f>SUMIF(货件明细!J:J,E257,货件明细!H:H)</f>
        <v>0</v>
      </c>
      <c r="Y257">
        <f>N257-X257</f>
        <v>26.5</v>
      </c>
      <c r="Z257">
        <f>SUMIF(货件明细!J:J,E257,货件明细!I:I)</f>
        <v>0</v>
      </c>
      <c r="AA257">
        <f>IF(S257=Z257,0,1)</f>
        <v>1</v>
      </c>
    </row>
    <row r="258" hidden="1" spans="1:27">
      <c r="A258">
        <v>1</v>
      </c>
      <c r="B258">
        <v>3</v>
      </c>
      <c r="C258" s="3">
        <v>46039</v>
      </c>
      <c r="D258" t="s">
        <v>27</v>
      </c>
      <c r="E258" t="s">
        <v>351</v>
      </c>
      <c r="F258" t="s">
        <v>239</v>
      </c>
      <c r="G258" t="s">
        <v>72</v>
      </c>
      <c r="H258" t="s">
        <v>31</v>
      </c>
      <c r="I258" t="s">
        <v>92</v>
      </c>
      <c r="J258" t="s">
        <v>92</v>
      </c>
      <c r="K258" t="s">
        <v>64</v>
      </c>
      <c r="L258" t="s">
        <v>65</v>
      </c>
      <c r="M258" t="s">
        <v>93</v>
      </c>
      <c r="N258">
        <v>26.5</v>
      </c>
      <c r="O258">
        <v>8.97435897435897</v>
      </c>
      <c r="P258">
        <v>125</v>
      </c>
      <c r="Q258">
        <v>133.974358974359</v>
      </c>
      <c r="R258">
        <v>0</v>
      </c>
      <c r="S258">
        <v>133.974358974359</v>
      </c>
      <c r="T258">
        <v>98</v>
      </c>
      <c r="U258">
        <f>SUMIF(货件明细!J:J,E258,货件明细!AP:AP)</f>
        <v>0</v>
      </c>
      <c r="V258">
        <f>IF(U258=T258,0,1)</f>
        <v>1</v>
      </c>
      <c r="W258">
        <f>T258</f>
        <v>98</v>
      </c>
      <c r="X258">
        <f>SUMIF(货件明细!J:J,E258,货件明细!H:H)</f>
        <v>0</v>
      </c>
      <c r="Y258">
        <f>N258-X258</f>
        <v>26.5</v>
      </c>
      <c r="Z258">
        <f>SUMIF(货件明细!J:J,E258,货件明细!I:I)</f>
        <v>0</v>
      </c>
      <c r="AA258">
        <f>IF(S258=Z258,0,1)</f>
        <v>1</v>
      </c>
    </row>
    <row r="259" hidden="1" spans="1:27">
      <c r="A259">
        <v>1</v>
      </c>
      <c r="B259">
        <v>3</v>
      </c>
      <c r="C259" s="3">
        <v>46039</v>
      </c>
      <c r="D259" t="s">
        <v>27</v>
      </c>
      <c r="E259" t="s">
        <v>352</v>
      </c>
      <c r="F259" t="s">
        <v>195</v>
      </c>
      <c r="G259" t="s">
        <v>30</v>
      </c>
      <c r="H259" t="s">
        <v>56</v>
      </c>
      <c r="I259" t="s">
        <v>92</v>
      </c>
      <c r="J259" t="s">
        <v>92</v>
      </c>
      <c r="K259" t="s">
        <v>64</v>
      </c>
      <c r="L259" t="s">
        <v>65</v>
      </c>
      <c r="M259" t="s">
        <v>93</v>
      </c>
      <c r="N259">
        <v>61.78</v>
      </c>
      <c r="O259">
        <v>8.97435897435897</v>
      </c>
      <c r="P259">
        <v>349.513636363636</v>
      </c>
      <c r="Q259">
        <v>358.487995337995</v>
      </c>
      <c r="R259">
        <v>0</v>
      </c>
      <c r="S259">
        <v>358.487995337995</v>
      </c>
      <c r="T259">
        <v>367</v>
      </c>
      <c r="U259">
        <f>SUMIF(货件明细!J:J,E259,货件明细!AP:AP)</f>
        <v>0</v>
      </c>
      <c r="V259">
        <f>IF(U259=T259,0,1)</f>
        <v>1</v>
      </c>
      <c r="W259">
        <f>T259</f>
        <v>367</v>
      </c>
      <c r="X259">
        <f>SUMIF(货件明细!J:J,E259,货件明细!H:H)</f>
        <v>0</v>
      </c>
      <c r="Y259">
        <f>N259-X259</f>
        <v>61.78</v>
      </c>
      <c r="Z259">
        <f>SUMIF(货件明细!J:J,E259,货件明细!I:I)</f>
        <v>0</v>
      </c>
      <c r="AA259">
        <f>IF(S259=Z259,0,1)</f>
        <v>1</v>
      </c>
    </row>
    <row r="260" hidden="1" spans="1:27">
      <c r="A260">
        <v>1</v>
      </c>
      <c r="B260">
        <v>3</v>
      </c>
      <c r="C260" s="3">
        <v>46039</v>
      </c>
      <c r="D260" t="s">
        <v>27</v>
      </c>
      <c r="E260" t="s">
        <v>353</v>
      </c>
      <c r="F260" t="s">
        <v>339</v>
      </c>
      <c r="G260" t="s">
        <v>72</v>
      </c>
      <c r="H260" t="s">
        <v>56</v>
      </c>
      <c r="I260" t="s">
        <v>92</v>
      </c>
      <c r="J260" t="s">
        <v>92</v>
      </c>
      <c r="K260" t="s">
        <v>64</v>
      </c>
      <c r="L260" t="s">
        <v>65</v>
      </c>
      <c r="M260" t="s">
        <v>93</v>
      </c>
      <c r="N260">
        <v>61.78</v>
      </c>
      <c r="O260">
        <v>8.97435897435897</v>
      </c>
      <c r="P260">
        <v>227.028571428571</v>
      </c>
      <c r="Q260">
        <v>236.00293040293</v>
      </c>
      <c r="R260">
        <v>0</v>
      </c>
      <c r="S260">
        <v>236.00293040293</v>
      </c>
      <c r="T260">
        <v>367</v>
      </c>
      <c r="U260">
        <f>SUMIF(货件明细!J:J,E260,货件明细!AP:AP)</f>
        <v>0</v>
      </c>
      <c r="V260">
        <f>IF(U260=T260,0,1)</f>
        <v>1</v>
      </c>
      <c r="W260">
        <f>T260</f>
        <v>367</v>
      </c>
      <c r="X260">
        <f>SUMIF(货件明细!J:J,E260,货件明细!H:H)</f>
        <v>0</v>
      </c>
      <c r="Y260">
        <f>N260-X260</f>
        <v>61.78</v>
      </c>
      <c r="Z260">
        <f>SUMIF(货件明细!J:J,E260,货件明细!I:I)</f>
        <v>0</v>
      </c>
      <c r="AA260">
        <f>IF(S260=Z260,0,1)</f>
        <v>1</v>
      </c>
    </row>
    <row r="261" hidden="1" spans="1:27">
      <c r="A261">
        <v>1</v>
      </c>
      <c r="B261">
        <v>3</v>
      </c>
      <c r="C261" s="3">
        <v>46039</v>
      </c>
      <c r="D261" t="s">
        <v>27</v>
      </c>
      <c r="E261" t="s">
        <v>354</v>
      </c>
      <c r="F261" t="s">
        <v>143</v>
      </c>
      <c r="G261" t="s">
        <v>72</v>
      </c>
      <c r="H261" t="s">
        <v>56</v>
      </c>
      <c r="I261" t="s">
        <v>92</v>
      </c>
      <c r="J261" t="s">
        <v>92</v>
      </c>
      <c r="K261" t="s">
        <v>64</v>
      </c>
      <c r="L261" t="s">
        <v>65</v>
      </c>
      <c r="M261" t="s">
        <v>93</v>
      </c>
      <c r="N261">
        <v>61.78</v>
      </c>
      <c r="O261">
        <v>8.97435897435897</v>
      </c>
      <c r="P261">
        <v>288</v>
      </c>
      <c r="Q261">
        <v>296.974358974359</v>
      </c>
      <c r="R261">
        <v>0</v>
      </c>
      <c r="S261">
        <v>296.974358974359</v>
      </c>
      <c r="T261">
        <v>367</v>
      </c>
      <c r="U261">
        <f>SUMIF(货件明细!J:J,E261,货件明细!AP:AP)</f>
        <v>0</v>
      </c>
      <c r="V261">
        <f>IF(U261=T261,0,1)</f>
        <v>1</v>
      </c>
      <c r="W261">
        <f>T261</f>
        <v>367</v>
      </c>
      <c r="X261">
        <f>SUMIF(货件明细!J:J,E261,货件明细!H:H)</f>
        <v>0</v>
      </c>
      <c r="Y261">
        <f>N261-X261</f>
        <v>61.78</v>
      </c>
      <c r="Z261">
        <f>SUMIF(货件明细!J:J,E261,货件明细!I:I)</f>
        <v>0</v>
      </c>
      <c r="AA261">
        <f>IF(S261=Z261,0,1)</f>
        <v>1</v>
      </c>
    </row>
    <row r="262" hidden="1" spans="1:27">
      <c r="A262">
        <v>1</v>
      </c>
      <c r="B262">
        <v>3</v>
      </c>
      <c r="C262" s="3">
        <v>46039</v>
      </c>
      <c r="D262" t="s">
        <v>27</v>
      </c>
      <c r="E262" t="s">
        <v>355</v>
      </c>
      <c r="F262" t="s">
        <v>200</v>
      </c>
      <c r="G262" t="s">
        <v>30</v>
      </c>
      <c r="H262" t="s">
        <v>56</v>
      </c>
      <c r="I262" t="s">
        <v>92</v>
      </c>
      <c r="J262" t="s">
        <v>92</v>
      </c>
      <c r="K262" t="s">
        <v>64</v>
      </c>
      <c r="L262" t="s">
        <v>65</v>
      </c>
      <c r="M262" t="s">
        <v>93</v>
      </c>
      <c r="N262">
        <v>61.78</v>
      </c>
      <c r="O262">
        <v>8.97435897435897</v>
      </c>
      <c r="P262">
        <v>424.8</v>
      </c>
      <c r="Q262">
        <v>433.774358974359</v>
      </c>
      <c r="R262">
        <v>0</v>
      </c>
      <c r="S262">
        <v>433.774358974359</v>
      </c>
      <c r="T262">
        <v>367</v>
      </c>
      <c r="U262">
        <f>SUMIF(货件明细!J:J,E262,货件明细!AP:AP)</f>
        <v>0</v>
      </c>
      <c r="V262">
        <f>IF(U262=T262,0,1)</f>
        <v>1</v>
      </c>
      <c r="W262">
        <f>T262</f>
        <v>367</v>
      </c>
      <c r="X262">
        <f>SUMIF(货件明细!J:J,E262,货件明细!H:H)</f>
        <v>0</v>
      </c>
      <c r="Y262">
        <f>N262-X262</f>
        <v>61.78</v>
      </c>
      <c r="Z262">
        <f>SUMIF(货件明细!J:J,E262,货件明细!I:I)</f>
        <v>0</v>
      </c>
      <c r="AA262">
        <f>IF(S262=Z262,0,1)</f>
        <v>1</v>
      </c>
    </row>
    <row r="263" hidden="1" spans="1:27">
      <c r="A263">
        <v>1</v>
      </c>
      <c r="B263">
        <v>3</v>
      </c>
      <c r="C263" s="3">
        <v>46039</v>
      </c>
      <c r="D263" t="s">
        <v>27</v>
      </c>
      <c r="E263" t="s">
        <v>356</v>
      </c>
      <c r="F263" t="s">
        <v>239</v>
      </c>
      <c r="G263" t="s">
        <v>72</v>
      </c>
      <c r="H263" t="s">
        <v>56</v>
      </c>
      <c r="I263" t="s">
        <v>92</v>
      </c>
      <c r="J263" t="s">
        <v>92</v>
      </c>
      <c r="K263" t="s">
        <v>64</v>
      </c>
      <c r="L263" t="s">
        <v>65</v>
      </c>
      <c r="M263" t="s">
        <v>93</v>
      </c>
      <c r="N263">
        <v>61.78</v>
      </c>
      <c r="O263">
        <v>8.97435897435897</v>
      </c>
      <c r="P263">
        <v>300</v>
      </c>
      <c r="Q263">
        <v>308.974358974359</v>
      </c>
      <c r="R263">
        <v>0</v>
      </c>
      <c r="S263">
        <v>308.974358974359</v>
      </c>
      <c r="T263">
        <v>367</v>
      </c>
      <c r="U263">
        <f>SUMIF(货件明细!J:J,E263,货件明细!AP:AP)</f>
        <v>0</v>
      </c>
      <c r="V263">
        <f>IF(U263=T263,0,1)</f>
        <v>1</v>
      </c>
      <c r="W263">
        <f>T263</f>
        <v>367</v>
      </c>
      <c r="X263">
        <f>SUMIF(货件明细!J:J,E263,货件明细!H:H)</f>
        <v>0</v>
      </c>
      <c r="Y263">
        <f>N263-X263</f>
        <v>61.78</v>
      </c>
      <c r="Z263">
        <f>SUMIF(货件明细!J:J,E263,货件明细!I:I)</f>
        <v>0</v>
      </c>
      <c r="AA263">
        <f>IF(S263=Z263,0,1)</f>
        <v>1</v>
      </c>
    </row>
    <row r="264" hidden="1" spans="1:27">
      <c r="A264">
        <v>1</v>
      </c>
      <c r="B264">
        <v>3</v>
      </c>
      <c r="C264" s="3">
        <v>46039</v>
      </c>
      <c r="D264" t="s">
        <v>27</v>
      </c>
      <c r="E264" t="s">
        <v>357</v>
      </c>
      <c r="F264" t="s">
        <v>195</v>
      </c>
      <c r="G264" t="s">
        <v>30</v>
      </c>
      <c r="H264" t="s">
        <v>51</v>
      </c>
      <c r="I264" t="s">
        <v>92</v>
      </c>
      <c r="J264" t="s">
        <v>92</v>
      </c>
      <c r="K264" t="s">
        <v>64</v>
      </c>
      <c r="L264" t="s">
        <v>65</v>
      </c>
      <c r="M264" t="s">
        <v>93</v>
      </c>
      <c r="N264">
        <v>32.55</v>
      </c>
      <c r="O264">
        <v>12.5</v>
      </c>
      <c r="P264">
        <v>233.009090909091</v>
      </c>
      <c r="Q264">
        <v>245.509090909091</v>
      </c>
      <c r="R264">
        <v>0</v>
      </c>
      <c r="S264">
        <v>245.509090909091</v>
      </c>
      <c r="T264">
        <v>140</v>
      </c>
      <c r="U264">
        <f>SUMIF(货件明细!J:J,E264,货件明细!AP:AP)</f>
        <v>0</v>
      </c>
      <c r="V264">
        <f>IF(U264=T264,0,1)</f>
        <v>1</v>
      </c>
      <c r="W264">
        <f>T264</f>
        <v>140</v>
      </c>
      <c r="X264">
        <f>SUMIF(货件明细!J:J,E264,货件明细!H:H)</f>
        <v>0</v>
      </c>
      <c r="Y264">
        <f>N264-X264</f>
        <v>32.55</v>
      </c>
      <c r="Z264">
        <f>SUMIF(货件明细!J:J,E264,货件明细!I:I)</f>
        <v>0</v>
      </c>
      <c r="AA264">
        <f>IF(S264=Z264,0,1)</f>
        <v>1</v>
      </c>
    </row>
    <row r="265" hidden="1" spans="1:27">
      <c r="A265">
        <v>1</v>
      </c>
      <c r="B265">
        <v>3</v>
      </c>
      <c r="C265" s="3">
        <v>46039</v>
      </c>
      <c r="D265" t="s">
        <v>27</v>
      </c>
      <c r="E265" t="s">
        <v>358</v>
      </c>
      <c r="F265" t="s">
        <v>339</v>
      </c>
      <c r="G265" t="s">
        <v>72</v>
      </c>
      <c r="H265" t="s">
        <v>51</v>
      </c>
      <c r="I265" t="s">
        <v>92</v>
      </c>
      <c r="J265" t="s">
        <v>92</v>
      </c>
      <c r="K265" t="s">
        <v>64</v>
      </c>
      <c r="L265" t="s">
        <v>65</v>
      </c>
      <c r="M265" t="s">
        <v>93</v>
      </c>
      <c r="N265">
        <v>32.55</v>
      </c>
      <c r="O265">
        <v>12.5</v>
      </c>
      <c r="P265">
        <v>151.352380952381</v>
      </c>
      <c r="Q265">
        <v>163.852380952381</v>
      </c>
      <c r="R265">
        <v>0</v>
      </c>
      <c r="S265">
        <v>163.852380952381</v>
      </c>
      <c r="T265">
        <v>140</v>
      </c>
      <c r="U265">
        <f>SUMIF(货件明细!J:J,E265,货件明细!AP:AP)</f>
        <v>0</v>
      </c>
      <c r="V265">
        <f>IF(U265=T265,0,1)</f>
        <v>1</v>
      </c>
      <c r="W265">
        <f>T265</f>
        <v>140</v>
      </c>
      <c r="X265">
        <f>SUMIF(货件明细!J:J,E265,货件明细!H:H)</f>
        <v>0</v>
      </c>
      <c r="Y265">
        <f>N265-X265</f>
        <v>32.55</v>
      </c>
      <c r="Z265">
        <f>SUMIF(货件明细!J:J,E265,货件明细!I:I)</f>
        <v>0</v>
      </c>
      <c r="AA265">
        <f>IF(S265=Z265,0,1)</f>
        <v>1</v>
      </c>
    </row>
    <row r="266" hidden="1" spans="1:27">
      <c r="A266">
        <v>1</v>
      </c>
      <c r="B266">
        <v>3</v>
      </c>
      <c r="C266" s="3">
        <v>46039</v>
      </c>
      <c r="D266" t="s">
        <v>27</v>
      </c>
      <c r="E266" t="s">
        <v>359</v>
      </c>
      <c r="F266" t="s">
        <v>143</v>
      </c>
      <c r="G266" t="s">
        <v>72</v>
      </c>
      <c r="H266" t="s">
        <v>51</v>
      </c>
      <c r="I266" t="s">
        <v>92</v>
      </c>
      <c r="J266" t="s">
        <v>92</v>
      </c>
      <c r="K266" t="s">
        <v>64</v>
      </c>
      <c r="L266" t="s">
        <v>65</v>
      </c>
      <c r="M266" t="s">
        <v>93</v>
      </c>
      <c r="N266">
        <v>32.55</v>
      </c>
      <c r="O266">
        <v>12.5</v>
      </c>
      <c r="P266">
        <v>192</v>
      </c>
      <c r="Q266">
        <v>204.5</v>
      </c>
      <c r="R266">
        <v>0</v>
      </c>
      <c r="S266">
        <v>204.5</v>
      </c>
      <c r="T266">
        <v>140</v>
      </c>
      <c r="U266">
        <f>SUMIF(货件明细!J:J,E266,货件明细!AP:AP)</f>
        <v>0</v>
      </c>
      <c r="V266">
        <f>IF(U266=T266,0,1)</f>
        <v>1</v>
      </c>
      <c r="W266">
        <f>T266</f>
        <v>140</v>
      </c>
      <c r="X266">
        <f>SUMIF(货件明细!J:J,E266,货件明细!H:H)</f>
        <v>0</v>
      </c>
      <c r="Y266">
        <f>N266-X266</f>
        <v>32.55</v>
      </c>
      <c r="Z266">
        <f>SUMIF(货件明细!J:J,E266,货件明细!I:I)</f>
        <v>0</v>
      </c>
      <c r="AA266">
        <f>IF(S266=Z266,0,1)</f>
        <v>1</v>
      </c>
    </row>
    <row r="267" hidden="1" spans="1:27">
      <c r="A267">
        <v>1</v>
      </c>
      <c r="B267">
        <v>3</v>
      </c>
      <c r="C267" s="3">
        <v>46039</v>
      </c>
      <c r="D267" t="s">
        <v>27</v>
      </c>
      <c r="E267" t="s">
        <v>360</v>
      </c>
      <c r="F267" t="s">
        <v>200</v>
      </c>
      <c r="G267" t="s">
        <v>30</v>
      </c>
      <c r="H267" t="s">
        <v>51</v>
      </c>
      <c r="I267" t="s">
        <v>92</v>
      </c>
      <c r="J267" t="s">
        <v>92</v>
      </c>
      <c r="K267" t="s">
        <v>64</v>
      </c>
      <c r="L267" t="s">
        <v>65</v>
      </c>
      <c r="M267" t="s">
        <v>93</v>
      </c>
      <c r="N267">
        <v>32.55</v>
      </c>
      <c r="O267">
        <v>12.5</v>
      </c>
      <c r="P267">
        <v>283.2</v>
      </c>
      <c r="Q267">
        <v>295.7</v>
      </c>
      <c r="R267">
        <v>0</v>
      </c>
      <c r="S267">
        <v>295.7</v>
      </c>
      <c r="T267">
        <v>140</v>
      </c>
      <c r="U267">
        <f>SUMIF(货件明细!J:J,E267,货件明细!AP:AP)</f>
        <v>0</v>
      </c>
      <c r="V267">
        <f>IF(U267=T267,0,1)</f>
        <v>1</v>
      </c>
      <c r="W267">
        <f>T267</f>
        <v>140</v>
      </c>
      <c r="X267">
        <f>SUMIF(货件明细!J:J,E267,货件明细!H:H)</f>
        <v>0</v>
      </c>
      <c r="Y267">
        <f>N267-X267</f>
        <v>32.55</v>
      </c>
      <c r="Z267">
        <f>SUMIF(货件明细!J:J,E267,货件明细!I:I)</f>
        <v>0</v>
      </c>
      <c r="AA267">
        <f>IF(S267=Z267,0,1)</f>
        <v>1</v>
      </c>
    </row>
    <row r="268" hidden="1" spans="1:27">
      <c r="A268">
        <v>1</v>
      </c>
      <c r="B268">
        <v>3</v>
      </c>
      <c r="C268" s="3">
        <v>46039</v>
      </c>
      <c r="D268" t="s">
        <v>27</v>
      </c>
      <c r="E268" t="s">
        <v>361</v>
      </c>
      <c r="F268" t="s">
        <v>239</v>
      </c>
      <c r="G268" t="s">
        <v>72</v>
      </c>
      <c r="H268" t="s">
        <v>51</v>
      </c>
      <c r="I268" t="s">
        <v>92</v>
      </c>
      <c r="J268" t="s">
        <v>92</v>
      </c>
      <c r="K268" t="s">
        <v>64</v>
      </c>
      <c r="L268" t="s">
        <v>65</v>
      </c>
      <c r="M268" t="s">
        <v>93</v>
      </c>
      <c r="N268">
        <v>32.55</v>
      </c>
      <c r="O268">
        <v>12.5</v>
      </c>
      <c r="P268">
        <v>200</v>
      </c>
      <c r="Q268">
        <v>212.5</v>
      </c>
      <c r="R268">
        <v>0</v>
      </c>
      <c r="S268">
        <v>212.5</v>
      </c>
      <c r="T268">
        <v>140</v>
      </c>
      <c r="U268">
        <f>SUMIF(货件明细!J:J,E268,货件明细!AP:AP)</f>
        <v>0</v>
      </c>
      <c r="V268">
        <f>IF(U268=T268,0,1)</f>
        <v>1</v>
      </c>
      <c r="W268">
        <f>T268</f>
        <v>140</v>
      </c>
      <c r="X268">
        <f>SUMIF(货件明细!J:J,E268,货件明细!H:H)</f>
        <v>0</v>
      </c>
      <c r="Y268">
        <f>N268-X268</f>
        <v>32.55</v>
      </c>
      <c r="Z268">
        <f>SUMIF(货件明细!J:J,E268,货件明细!I:I)</f>
        <v>0</v>
      </c>
      <c r="AA268">
        <f>IF(S268=Z268,0,1)</f>
        <v>1</v>
      </c>
    </row>
    <row r="269" hidden="1" spans="1:27">
      <c r="A269">
        <v>1</v>
      </c>
      <c r="B269">
        <v>3</v>
      </c>
      <c r="C269" s="3">
        <v>46039</v>
      </c>
      <c r="D269" t="s">
        <v>27</v>
      </c>
      <c r="E269" t="s">
        <v>362</v>
      </c>
      <c r="F269" t="s">
        <v>195</v>
      </c>
      <c r="G269" t="s">
        <v>30</v>
      </c>
      <c r="H269" t="s">
        <v>39</v>
      </c>
      <c r="I269" t="s">
        <v>92</v>
      </c>
      <c r="J269" t="s">
        <v>92</v>
      </c>
      <c r="K269" t="s">
        <v>64</v>
      </c>
      <c r="L269" t="s">
        <v>65</v>
      </c>
      <c r="M269" t="s">
        <v>93</v>
      </c>
      <c r="N269">
        <v>10.95</v>
      </c>
      <c r="O269">
        <v>8.97435897435897</v>
      </c>
      <c r="P269">
        <v>116.504545454545</v>
      </c>
      <c r="Q269">
        <v>125.478904428904</v>
      </c>
      <c r="R269">
        <v>0</v>
      </c>
      <c r="S269">
        <v>125.478904428904</v>
      </c>
      <c r="T269">
        <v>59</v>
      </c>
      <c r="U269">
        <f>SUMIF(货件明细!J:J,E269,货件明细!AP:AP)</f>
        <v>0</v>
      </c>
      <c r="V269">
        <f>IF(U269=T269,0,1)</f>
        <v>1</v>
      </c>
      <c r="W269">
        <f>T269</f>
        <v>59</v>
      </c>
      <c r="X269">
        <f>SUMIF(货件明细!J:J,E269,货件明细!H:H)</f>
        <v>0</v>
      </c>
      <c r="Y269">
        <f>N269-X269</f>
        <v>10.95</v>
      </c>
      <c r="Z269">
        <f>SUMIF(货件明细!J:J,E269,货件明细!I:I)</f>
        <v>0</v>
      </c>
      <c r="AA269">
        <f>IF(S269=Z269,0,1)</f>
        <v>1</v>
      </c>
    </row>
    <row r="270" hidden="1" spans="1:27">
      <c r="A270">
        <v>1</v>
      </c>
      <c r="B270">
        <v>3</v>
      </c>
      <c r="C270" s="3">
        <v>46039</v>
      </c>
      <c r="D270" t="s">
        <v>27</v>
      </c>
      <c r="E270" t="s">
        <v>363</v>
      </c>
      <c r="F270" t="s">
        <v>339</v>
      </c>
      <c r="G270" t="s">
        <v>72</v>
      </c>
      <c r="H270" t="s">
        <v>39</v>
      </c>
      <c r="I270" t="s">
        <v>92</v>
      </c>
      <c r="J270" t="s">
        <v>92</v>
      </c>
      <c r="K270" t="s">
        <v>64</v>
      </c>
      <c r="L270" t="s">
        <v>65</v>
      </c>
      <c r="M270" t="s">
        <v>93</v>
      </c>
      <c r="N270">
        <v>10.95</v>
      </c>
      <c r="O270">
        <v>8.97435897435897</v>
      </c>
      <c r="P270">
        <v>75.6761904761905</v>
      </c>
      <c r="Q270">
        <v>84.6505494505495</v>
      </c>
      <c r="R270">
        <v>0</v>
      </c>
      <c r="S270">
        <v>84.6505494505495</v>
      </c>
      <c r="T270">
        <v>59</v>
      </c>
      <c r="U270">
        <f>SUMIF(货件明细!J:J,E270,货件明细!AP:AP)</f>
        <v>0</v>
      </c>
      <c r="V270">
        <f>IF(U270=T270,0,1)</f>
        <v>1</v>
      </c>
      <c r="W270">
        <f>T270</f>
        <v>59</v>
      </c>
      <c r="X270">
        <f>SUMIF(货件明细!J:J,E270,货件明细!H:H)</f>
        <v>0</v>
      </c>
      <c r="Y270">
        <f>N270-X270</f>
        <v>10.95</v>
      </c>
      <c r="Z270">
        <f>SUMIF(货件明细!J:J,E270,货件明细!I:I)</f>
        <v>0</v>
      </c>
      <c r="AA270">
        <f>IF(S270=Z270,0,1)</f>
        <v>1</v>
      </c>
    </row>
    <row r="271" hidden="1" spans="1:27">
      <c r="A271">
        <v>1</v>
      </c>
      <c r="B271">
        <v>3</v>
      </c>
      <c r="C271" s="3">
        <v>46039</v>
      </c>
      <c r="D271" t="s">
        <v>27</v>
      </c>
      <c r="E271" t="s">
        <v>364</v>
      </c>
      <c r="F271" t="s">
        <v>143</v>
      </c>
      <c r="G271" t="s">
        <v>72</v>
      </c>
      <c r="H271" t="s">
        <v>39</v>
      </c>
      <c r="I271" t="s">
        <v>92</v>
      </c>
      <c r="J271" t="s">
        <v>92</v>
      </c>
      <c r="K271" t="s">
        <v>64</v>
      </c>
      <c r="L271" t="s">
        <v>65</v>
      </c>
      <c r="M271" t="s">
        <v>93</v>
      </c>
      <c r="N271">
        <v>10.95</v>
      </c>
      <c r="O271">
        <v>8.97435897435897</v>
      </c>
      <c r="P271">
        <v>72</v>
      </c>
      <c r="Q271">
        <v>80.974358974359</v>
      </c>
      <c r="R271">
        <v>0</v>
      </c>
      <c r="S271">
        <v>80.974358974359</v>
      </c>
      <c r="T271">
        <v>59</v>
      </c>
      <c r="U271">
        <f>SUMIF(货件明细!J:J,E271,货件明细!AP:AP)</f>
        <v>0</v>
      </c>
      <c r="V271">
        <f>IF(U271=T271,0,1)</f>
        <v>1</v>
      </c>
      <c r="W271">
        <f>T271</f>
        <v>59</v>
      </c>
      <c r="X271">
        <f>SUMIF(货件明细!J:J,E271,货件明细!H:H)</f>
        <v>0</v>
      </c>
      <c r="Y271">
        <f>N271-X271</f>
        <v>10.95</v>
      </c>
      <c r="Z271">
        <f>SUMIF(货件明细!J:J,E271,货件明细!I:I)</f>
        <v>0</v>
      </c>
      <c r="AA271">
        <f>IF(S271=Z271,0,1)</f>
        <v>1</v>
      </c>
    </row>
    <row r="272" hidden="1" spans="1:27">
      <c r="A272">
        <v>1</v>
      </c>
      <c r="B272">
        <v>3</v>
      </c>
      <c r="C272" s="3">
        <v>46039</v>
      </c>
      <c r="D272" t="s">
        <v>27</v>
      </c>
      <c r="E272" t="s">
        <v>365</v>
      </c>
      <c r="F272" t="s">
        <v>200</v>
      </c>
      <c r="G272" t="s">
        <v>30</v>
      </c>
      <c r="H272" t="s">
        <v>39</v>
      </c>
      <c r="I272" t="s">
        <v>92</v>
      </c>
      <c r="J272" t="s">
        <v>92</v>
      </c>
      <c r="K272" t="s">
        <v>64</v>
      </c>
      <c r="L272" t="s">
        <v>65</v>
      </c>
      <c r="M272" t="s">
        <v>93</v>
      </c>
      <c r="N272">
        <v>10.95</v>
      </c>
      <c r="O272">
        <v>8.97435897435897</v>
      </c>
      <c r="P272">
        <v>106.2</v>
      </c>
      <c r="Q272">
        <v>115.174358974359</v>
      </c>
      <c r="R272">
        <v>0</v>
      </c>
      <c r="S272">
        <v>115.174358974359</v>
      </c>
      <c r="T272">
        <v>59</v>
      </c>
      <c r="U272">
        <f>SUMIF(货件明细!J:J,E272,货件明细!AP:AP)</f>
        <v>0</v>
      </c>
      <c r="V272">
        <f>IF(U272=T272,0,1)</f>
        <v>1</v>
      </c>
      <c r="W272">
        <f>T272</f>
        <v>59</v>
      </c>
      <c r="X272">
        <f>SUMIF(货件明细!J:J,E272,货件明细!H:H)</f>
        <v>0</v>
      </c>
      <c r="Y272">
        <f>N272-X272</f>
        <v>10.95</v>
      </c>
      <c r="Z272">
        <f>SUMIF(货件明细!J:J,E272,货件明细!I:I)</f>
        <v>0</v>
      </c>
      <c r="AA272">
        <f>IF(S272=Z272,0,1)</f>
        <v>1</v>
      </c>
    </row>
    <row r="273" hidden="1" spans="1:27">
      <c r="A273">
        <v>1</v>
      </c>
      <c r="B273">
        <v>3</v>
      </c>
      <c r="C273" s="3">
        <v>46039</v>
      </c>
      <c r="D273" t="s">
        <v>27</v>
      </c>
      <c r="E273" t="s">
        <v>366</v>
      </c>
      <c r="F273" t="s">
        <v>239</v>
      </c>
      <c r="G273" t="s">
        <v>72</v>
      </c>
      <c r="H273" t="s">
        <v>39</v>
      </c>
      <c r="I273" t="s">
        <v>92</v>
      </c>
      <c r="J273" t="s">
        <v>92</v>
      </c>
      <c r="K273" t="s">
        <v>64</v>
      </c>
      <c r="L273" t="s">
        <v>65</v>
      </c>
      <c r="M273" t="s">
        <v>93</v>
      </c>
      <c r="N273">
        <v>10.95</v>
      </c>
      <c r="O273">
        <v>8.97435897435897</v>
      </c>
      <c r="P273">
        <v>75</v>
      </c>
      <c r="Q273">
        <v>83.974358974359</v>
      </c>
      <c r="R273">
        <v>0</v>
      </c>
      <c r="S273">
        <v>83.974358974359</v>
      </c>
      <c r="T273">
        <v>59</v>
      </c>
      <c r="U273">
        <f>SUMIF(货件明细!J:J,E273,货件明细!AP:AP)</f>
        <v>0</v>
      </c>
      <c r="V273">
        <f>IF(U273=T273,0,1)</f>
        <v>1</v>
      </c>
      <c r="W273">
        <f>T273</f>
        <v>59</v>
      </c>
      <c r="X273">
        <f>SUMIF(货件明细!J:J,E273,货件明细!H:H)</f>
        <v>0</v>
      </c>
      <c r="Y273">
        <f>N273-X273</f>
        <v>10.95</v>
      </c>
      <c r="Z273">
        <f>SUMIF(货件明细!J:J,E273,货件明细!I:I)</f>
        <v>0</v>
      </c>
      <c r="AA273">
        <f>IF(S273=Z273,0,1)</f>
        <v>1</v>
      </c>
    </row>
    <row r="274" hidden="1" spans="1:27">
      <c r="A274">
        <v>1</v>
      </c>
      <c r="B274">
        <v>3</v>
      </c>
      <c r="C274" s="3">
        <v>46039</v>
      </c>
      <c r="D274" t="s">
        <v>27</v>
      </c>
      <c r="E274" t="s">
        <v>367</v>
      </c>
      <c r="F274" t="s">
        <v>195</v>
      </c>
      <c r="G274" t="s">
        <v>30</v>
      </c>
      <c r="H274" t="s">
        <v>224</v>
      </c>
      <c r="I274" t="s">
        <v>92</v>
      </c>
      <c r="J274" t="s">
        <v>92</v>
      </c>
      <c r="K274" t="s">
        <v>64</v>
      </c>
      <c r="L274" t="s">
        <v>65</v>
      </c>
      <c r="M274" t="s">
        <v>93</v>
      </c>
      <c r="N274">
        <v>12.15</v>
      </c>
      <c r="O274">
        <v>8.97435897435897</v>
      </c>
      <c r="P274">
        <v>116.504545454545</v>
      </c>
      <c r="Q274">
        <v>125.478904428904</v>
      </c>
      <c r="R274">
        <v>0</v>
      </c>
      <c r="S274">
        <v>125.478904428904</v>
      </c>
      <c r="T274">
        <v>71</v>
      </c>
      <c r="U274">
        <f>SUMIF(货件明细!J:J,E274,货件明细!AP:AP)</f>
        <v>0</v>
      </c>
      <c r="V274">
        <f>IF(U274=T274,0,1)</f>
        <v>1</v>
      </c>
      <c r="W274">
        <f>T274</f>
        <v>71</v>
      </c>
      <c r="X274">
        <f>SUMIF(货件明细!J:J,E274,货件明细!H:H)</f>
        <v>0</v>
      </c>
      <c r="Y274">
        <f>N274-X274</f>
        <v>12.15</v>
      </c>
      <c r="Z274">
        <f>SUMIF(货件明细!J:J,E274,货件明细!I:I)</f>
        <v>0</v>
      </c>
      <c r="AA274">
        <f>IF(S274=Z274,0,1)</f>
        <v>1</v>
      </c>
    </row>
    <row r="275" hidden="1" spans="1:27">
      <c r="A275">
        <v>1</v>
      </c>
      <c r="B275">
        <v>3</v>
      </c>
      <c r="C275" s="3">
        <v>46039</v>
      </c>
      <c r="D275" t="s">
        <v>27</v>
      </c>
      <c r="E275" t="s">
        <v>368</v>
      </c>
      <c r="F275" t="s">
        <v>198</v>
      </c>
      <c r="G275" t="s">
        <v>69</v>
      </c>
      <c r="H275" t="s">
        <v>224</v>
      </c>
      <c r="I275" t="s">
        <v>92</v>
      </c>
      <c r="J275" t="s">
        <v>92</v>
      </c>
      <c r="K275" t="s">
        <v>64</v>
      </c>
      <c r="L275" t="s">
        <v>65</v>
      </c>
      <c r="M275" t="s">
        <v>188</v>
      </c>
      <c r="N275">
        <v>12.15</v>
      </c>
      <c r="O275">
        <v>8.97435897435897</v>
      </c>
      <c r="P275">
        <v>116.35</v>
      </c>
      <c r="Q275">
        <v>125.324358974359</v>
      </c>
      <c r="R275">
        <v>0</v>
      </c>
      <c r="S275">
        <v>125.324358974359</v>
      </c>
      <c r="T275">
        <v>71</v>
      </c>
      <c r="U275">
        <f>SUMIF(货件明细!J:J,E275,货件明细!AP:AP)</f>
        <v>0</v>
      </c>
      <c r="V275">
        <f>IF(U275=T275,0,1)</f>
        <v>1</v>
      </c>
      <c r="W275">
        <f>T275</f>
        <v>71</v>
      </c>
      <c r="X275">
        <f>SUMIF(货件明细!J:J,E275,货件明细!H:H)</f>
        <v>0</v>
      </c>
      <c r="Y275">
        <f>N275-X275</f>
        <v>12.15</v>
      </c>
      <c r="Z275">
        <f>SUMIF(货件明细!J:J,E275,货件明细!I:I)</f>
        <v>0</v>
      </c>
      <c r="AA275">
        <f>IF(S275=Z275,0,1)</f>
        <v>1</v>
      </c>
    </row>
    <row r="276" hidden="1" spans="1:27">
      <c r="A276">
        <v>1</v>
      </c>
      <c r="B276">
        <v>3</v>
      </c>
      <c r="C276" s="3">
        <v>46039</v>
      </c>
      <c r="D276" t="s">
        <v>27</v>
      </c>
      <c r="E276" t="s">
        <v>369</v>
      </c>
      <c r="F276" t="s">
        <v>143</v>
      </c>
      <c r="G276" t="s">
        <v>72</v>
      </c>
      <c r="H276" t="s">
        <v>224</v>
      </c>
      <c r="I276" t="s">
        <v>92</v>
      </c>
      <c r="J276" t="s">
        <v>92</v>
      </c>
      <c r="K276" t="s">
        <v>64</v>
      </c>
      <c r="L276" t="s">
        <v>65</v>
      </c>
      <c r="M276" t="s">
        <v>93</v>
      </c>
      <c r="N276">
        <v>12.15</v>
      </c>
      <c r="O276">
        <v>8.97435897435897</v>
      </c>
      <c r="P276">
        <v>60</v>
      </c>
      <c r="Q276">
        <v>68.974358974359</v>
      </c>
      <c r="R276">
        <v>0</v>
      </c>
      <c r="S276">
        <v>68.974358974359</v>
      </c>
      <c r="T276">
        <v>71</v>
      </c>
      <c r="U276">
        <f>SUMIF(货件明细!J:J,E276,货件明细!AP:AP)</f>
        <v>0</v>
      </c>
      <c r="V276">
        <f>IF(U276=T276,0,1)</f>
        <v>1</v>
      </c>
      <c r="W276">
        <f>T276</f>
        <v>71</v>
      </c>
      <c r="X276">
        <f>SUMIF(货件明细!J:J,E276,货件明细!H:H)</f>
        <v>0</v>
      </c>
      <c r="Y276">
        <f>N276-X276</f>
        <v>12.15</v>
      </c>
      <c r="Z276">
        <f>SUMIF(货件明细!J:J,E276,货件明细!I:I)</f>
        <v>0</v>
      </c>
      <c r="AA276">
        <f>IF(S276=Z276,0,1)</f>
        <v>1</v>
      </c>
    </row>
    <row r="277" hidden="1" spans="1:27">
      <c r="A277">
        <v>1</v>
      </c>
      <c r="B277">
        <v>3</v>
      </c>
      <c r="C277" s="3">
        <v>46039</v>
      </c>
      <c r="D277" t="s">
        <v>27</v>
      </c>
      <c r="E277" t="s">
        <v>370</v>
      </c>
      <c r="F277" t="s">
        <v>76</v>
      </c>
      <c r="G277" t="s">
        <v>72</v>
      </c>
      <c r="H277" t="s">
        <v>224</v>
      </c>
      <c r="I277" t="s">
        <v>92</v>
      </c>
      <c r="J277" t="s">
        <v>92</v>
      </c>
      <c r="K277" t="s">
        <v>64</v>
      </c>
      <c r="L277" t="s">
        <v>65</v>
      </c>
      <c r="M277" t="s">
        <v>188</v>
      </c>
      <c r="N277">
        <v>12.15</v>
      </c>
      <c r="O277">
        <v>8.97435897435897</v>
      </c>
      <c r="P277">
        <v>76.05</v>
      </c>
      <c r="Q277">
        <v>85.024358974359</v>
      </c>
      <c r="R277">
        <v>0</v>
      </c>
      <c r="S277">
        <v>85.024358974359</v>
      </c>
      <c r="T277">
        <v>71</v>
      </c>
      <c r="U277">
        <f>SUMIF(货件明细!J:J,E277,货件明细!AP:AP)</f>
        <v>0</v>
      </c>
      <c r="V277">
        <f>IF(U277=T277,0,1)</f>
        <v>1</v>
      </c>
      <c r="W277">
        <f>T277</f>
        <v>71</v>
      </c>
      <c r="X277">
        <f>SUMIF(货件明细!J:J,E277,货件明细!H:H)</f>
        <v>0</v>
      </c>
      <c r="Y277">
        <f>N277-X277</f>
        <v>12.15</v>
      </c>
      <c r="Z277">
        <f>SUMIF(货件明细!J:J,E277,货件明细!I:I)</f>
        <v>0</v>
      </c>
      <c r="AA277">
        <f>IF(S277=Z277,0,1)</f>
        <v>1</v>
      </c>
    </row>
    <row r="278" hidden="1" spans="1:27">
      <c r="A278">
        <v>1</v>
      </c>
      <c r="B278">
        <v>3</v>
      </c>
      <c r="C278" s="3">
        <v>46039</v>
      </c>
      <c r="D278" t="s">
        <v>27</v>
      </c>
      <c r="E278" t="s">
        <v>371</v>
      </c>
      <c r="F278" t="s">
        <v>239</v>
      </c>
      <c r="G278" t="s">
        <v>72</v>
      </c>
      <c r="H278" t="s">
        <v>224</v>
      </c>
      <c r="I278" t="s">
        <v>92</v>
      </c>
      <c r="J278" t="s">
        <v>92</v>
      </c>
      <c r="K278" t="s">
        <v>64</v>
      </c>
      <c r="L278" t="s">
        <v>65</v>
      </c>
      <c r="M278" t="s">
        <v>93</v>
      </c>
      <c r="N278">
        <v>12.5</v>
      </c>
      <c r="O278">
        <v>8.97435897435897</v>
      </c>
      <c r="P278">
        <v>62.5</v>
      </c>
      <c r="Q278">
        <v>71.474358974359</v>
      </c>
      <c r="R278">
        <v>0</v>
      </c>
      <c r="S278">
        <v>71.474358974359</v>
      </c>
      <c r="T278">
        <v>71</v>
      </c>
      <c r="U278">
        <f>SUMIF(货件明细!J:J,E278,货件明细!AP:AP)</f>
        <v>0</v>
      </c>
      <c r="V278">
        <f>IF(U278=T278,0,1)</f>
        <v>1</v>
      </c>
      <c r="W278">
        <f>T278</f>
        <v>71</v>
      </c>
      <c r="X278">
        <f>SUMIF(货件明细!J:J,E278,货件明细!H:H)</f>
        <v>0</v>
      </c>
      <c r="Y278">
        <f>N278-X278</f>
        <v>12.5</v>
      </c>
      <c r="Z278">
        <f>SUMIF(货件明细!J:J,E278,货件明细!I:I)</f>
        <v>0</v>
      </c>
      <c r="AA278">
        <f>IF(S278=Z278,0,1)</f>
        <v>1</v>
      </c>
    </row>
    <row r="279" hidden="1" spans="1:27">
      <c r="A279">
        <v>1</v>
      </c>
      <c r="B279">
        <v>3</v>
      </c>
      <c r="C279" s="3">
        <v>46039</v>
      </c>
      <c r="D279" t="s">
        <v>27</v>
      </c>
      <c r="E279" t="s">
        <v>372</v>
      </c>
      <c r="F279" t="s">
        <v>195</v>
      </c>
      <c r="G279" t="s">
        <v>30</v>
      </c>
      <c r="H279" t="s">
        <v>51</v>
      </c>
      <c r="I279" t="s">
        <v>92</v>
      </c>
      <c r="J279" t="s">
        <v>92</v>
      </c>
      <c r="K279" t="s">
        <v>64</v>
      </c>
      <c r="L279" t="s">
        <v>65</v>
      </c>
      <c r="M279" t="s">
        <v>93</v>
      </c>
      <c r="N279">
        <v>77.62</v>
      </c>
      <c r="O279">
        <v>12.5</v>
      </c>
      <c r="P279">
        <v>582.522727272727</v>
      </c>
      <c r="Q279">
        <v>595.022727272727</v>
      </c>
      <c r="R279">
        <v>0</v>
      </c>
      <c r="S279">
        <v>595.022727272727</v>
      </c>
      <c r="T279">
        <v>372</v>
      </c>
      <c r="U279">
        <f>SUMIF(货件明细!J:J,E279,货件明细!AP:AP)</f>
        <v>0</v>
      </c>
      <c r="V279">
        <f>IF(U279=T279,0,1)</f>
        <v>1</v>
      </c>
      <c r="W279">
        <f>T279</f>
        <v>372</v>
      </c>
      <c r="X279">
        <f>SUMIF(货件明细!J:J,E279,货件明细!H:H)</f>
        <v>0</v>
      </c>
      <c r="Y279">
        <f>N279-X279</f>
        <v>77.62</v>
      </c>
      <c r="Z279">
        <f>SUMIF(货件明细!J:J,E279,货件明细!I:I)</f>
        <v>0</v>
      </c>
      <c r="AA279">
        <f>IF(S279=Z279,0,1)</f>
        <v>1</v>
      </c>
    </row>
    <row r="280" hidden="1" spans="1:27">
      <c r="A280">
        <v>1</v>
      </c>
      <c r="B280">
        <v>3</v>
      </c>
      <c r="C280" s="3">
        <v>46039</v>
      </c>
      <c r="D280" t="s">
        <v>27</v>
      </c>
      <c r="E280" t="s">
        <v>373</v>
      </c>
      <c r="F280" t="s">
        <v>339</v>
      </c>
      <c r="G280" t="s">
        <v>72</v>
      </c>
      <c r="H280" t="s">
        <v>51</v>
      </c>
      <c r="I280" t="s">
        <v>92</v>
      </c>
      <c r="J280" t="s">
        <v>92</v>
      </c>
      <c r="K280" t="s">
        <v>64</v>
      </c>
      <c r="L280" t="s">
        <v>65</v>
      </c>
      <c r="M280" t="s">
        <v>93</v>
      </c>
      <c r="N280">
        <v>77.62</v>
      </c>
      <c r="O280">
        <v>12.5</v>
      </c>
      <c r="P280">
        <v>378.380952380952</v>
      </c>
      <c r="Q280">
        <v>390.880952380952</v>
      </c>
      <c r="R280">
        <v>0</v>
      </c>
      <c r="S280">
        <v>390.880952380952</v>
      </c>
      <c r="T280">
        <v>372</v>
      </c>
      <c r="U280">
        <f>SUMIF(货件明细!J:J,E280,货件明细!AP:AP)</f>
        <v>0</v>
      </c>
      <c r="V280">
        <f>IF(U280=T280,0,1)</f>
        <v>1</v>
      </c>
      <c r="W280">
        <f>T280</f>
        <v>372</v>
      </c>
      <c r="X280">
        <f>SUMIF(货件明细!J:J,E280,货件明细!H:H)</f>
        <v>0</v>
      </c>
      <c r="Y280">
        <f>N280-X280</f>
        <v>77.62</v>
      </c>
      <c r="Z280">
        <f>SUMIF(货件明细!J:J,E280,货件明细!I:I)</f>
        <v>0</v>
      </c>
      <c r="AA280">
        <f>IF(S280=Z280,0,1)</f>
        <v>1</v>
      </c>
    </row>
    <row r="281" hidden="1" spans="1:27">
      <c r="A281">
        <v>1</v>
      </c>
      <c r="B281">
        <v>3</v>
      </c>
      <c r="C281" s="3">
        <v>46039</v>
      </c>
      <c r="D281" t="s">
        <v>27</v>
      </c>
      <c r="E281" t="s">
        <v>374</v>
      </c>
      <c r="F281" t="s">
        <v>143</v>
      </c>
      <c r="G281" t="s">
        <v>72</v>
      </c>
      <c r="H281" t="s">
        <v>51</v>
      </c>
      <c r="I281" t="s">
        <v>92</v>
      </c>
      <c r="J281" t="s">
        <v>92</v>
      </c>
      <c r="K281" t="s">
        <v>64</v>
      </c>
      <c r="L281" t="s">
        <v>65</v>
      </c>
      <c r="M281" t="s">
        <v>93</v>
      </c>
      <c r="N281">
        <v>77.62</v>
      </c>
      <c r="O281">
        <v>12.5</v>
      </c>
      <c r="P281">
        <v>360</v>
      </c>
      <c r="Q281">
        <v>372.5</v>
      </c>
      <c r="R281">
        <v>0</v>
      </c>
      <c r="S281">
        <v>372.5</v>
      </c>
      <c r="T281">
        <v>372</v>
      </c>
      <c r="U281">
        <f>SUMIF(货件明细!J:J,E281,货件明细!AP:AP)</f>
        <v>0</v>
      </c>
      <c r="V281">
        <f>IF(U281=T281,0,1)</f>
        <v>1</v>
      </c>
      <c r="W281">
        <f>T281</f>
        <v>372</v>
      </c>
      <c r="X281">
        <f>SUMIF(货件明细!J:J,E281,货件明细!H:H)</f>
        <v>0</v>
      </c>
      <c r="Y281">
        <f>N281-X281</f>
        <v>77.62</v>
      </c>
      <c r="Z281">
        <f>SUMIF(货件明细!J:J,E281,货件明细!I:I)</f>
        <v>0</v>
      </c>
      <c r="AA281">
        <f>IF(S281=Z281,0,1)</f>
        <v>1</v>
      </c>
    </row>
    <row r="282" hidden="1" spans="1:27">
      <c r="A282">
        <v>1</v>
      </c>
      <c r="B282">
        <v>3</v>
      </c>
      <c r="C282" s="3">
        <v>46039</v>
      </c>
      <c r="D282" t="s">
        <v>27</v>
      </c>
      <c r="E282" t="s">
        <v>375</v>
      </c>
      <c r="F282" t="s">
        <v>200</v>
      </c>
      <c r="G282" t="s">
        <v>30</v>
      </c>
      <c r="H282" t="s">
        <v>51</v>
      </c>
      <c r="I282" t="s">
        <v>92</v>
      </c>
      <c r="J282" t="s">
        <v>92</v>
      </c>
      <c r="K282" t="s">
        <v>64</v>
      </c>
      <c r="L282" t="s">
        <v>65</v>
      </c>
      <c r="M282" t="s">
        <v>93</v>
      </c>
      <c r="N282">
        <v>77.62</v>
      </c>
      <c r="O282">
        <v>12.5</v>
      </c>
      <c r="P282">
        <v>531</v>
      </c>
      <c r="Q282">
        <v>543.5</v>
      </c>
      <c r="R282">
        <v>0</v>
      </c>
      <c r="S282">
        <v>543.5</v>
      </c>
      <c r="T282">
        <v>372</v>
      </c>
      <c r="U282">
        <f>SUMIF(货件明细!J:J,E282,货件明细!AP:AP)</f>
        <v>0</v>
      </c>
      <c r="V282">
        <f>IF(U282=T282,0,1)</f>
        <v>1</v>
      </c>
      <c r="W282">
        <f>T282</f>
        <v>372</v>
      </c>
      <c r="X282">
        <f>SUMIF(货件明细!J:J,E282,货件明细!H:H)</f>
        <v>0</v>
      </c>
      <c r="Y282">
        <f>N282-X282</f>
        <v>77.62</v>
      </c>
      <c r="Z282">
        <f>SUMIF(货件明细!J:J,E282,货件明细!I:I)</f>
        <v>0</v>
      </c>
      <c r="AA282">
        <f>IF(S282=Z282,0,1)</f>
        <v>1</v>
      </c>
    </row>
    <row r="283" hidden="1" spans="1:27">
      <c r="A283">
        <v>1</v>
      </c>
      <c r="B283">
        <v>3</v>
      </c>
      <c r="C283" s="3">
        <v>46039</v>
      </c>
      <c r="D283" t="s">
        <v>27</v>
      </c>
      <c r="E283" t="s">
        <v>376</v>
      </c>
      <c r="F283" t="s">
        <v>239</v>
      </c>
      <c r="G283" t="s">
        <v>72</v>
      </c>
      <c r="H283" t="s">
        <v>51</v>
      </c>
      <c r="I283" t="s">
        <v>92</v>
      </c>
      <c r="J283" t="s">
        <v>92</v>
      </c>
      <c r="K283" t="s">
        <v>64</v>
      </c>
      <c r="L283" t="s">
        <v>65</v>
      </c>
      <c r="M283" t="s">
        <v>93</v>
      </c>
      <c r="N283">
        <v>77.62</v>
      </c>
      <c r="O283">
        <v>12.5</v>
      </c>
      <c r="P283">
        <v>375</v>
      </c>
      <c r="Q283">
        <v>387.5</v>
      </c>
      <c r="R283">
        <v>0</v>
      </c>
      <c r="S283">
        <v>387.5</v>
      </c>
      <c r="T283">
        <v>372</v>
      </c>
      <c r="U283">
        <f>SUMIF(货件明细!J:J,E283,货件明细!AP:AP)</f>
        <v>0</v>
      </c>
      <c r="V283">
        <f>IF(U283=T283,0,1)</f>
        <v>1</v>
      </c>
      <c r="W283">
        <f>T283</f>
        <v>372</v>
      </c>
      <c r="X283">
        <f>SUMIF(货件明细!J:J,E283,货件明细!H:H)</f>
        <v>0</v>
      </c>
      <c r="Y283">
        <f>N283-X283</f>
        <v>77.62</v>
      </c>
      <c r="Z283">
        <f>SUMIF(货件明细!J:J,E283,货件明细!I:I)</f>
        <v>0</v>
      </c>
      <c r="AA283">
        <f>IF(S283=Z283,0,1)</f>
        <v>1</v>
      </c>
    </row>
    <row r="284" hidden="1" spans="1:27">
      <c r="A284">
        <v>1</v>
      </c>
      <c r="B284">
        <v>3</v>
      </c>
      <c r="C284" s="3">
        <v>46039</v>
      </c>
      <c r="D284" t="s">
        <v>27</v>
      </c>
      <c r="E284" t="s">
        <v>377</v>
      </c>
      <c r="F284" t="s">
        <v>195</v>
      </c>
      <c r="G284" t="s">
        <v>30</v>
      </c>
      <c r="H284" t="s">
        <v>37</v>
      </c>
      <c r="I284" t="s">
        <v>92</v>
      </c>
      <c r="J284" t="s">
        <v>92</v>
      </c>
      <c r="K284" t="s">
        <v>64</v>
      </c>
      <c r="L284" t="s">
        <v>65</v>
      </c>
      <c r="M284" t="s">
        <v>93</v>
      </c>
      <c r="N284">
        <v>10.9</v>
      </c>
      <c r="O284">
        <v>12.5</v>
      </c>
      <c r="P284">
        <v>116.504545454545</v>
      </c>
      <c r="Q284">
        <v>129.004545454545</v>
      </c>
      <c r="R284">
        <v>0</v>
      </c>
      <c r="S284">
        <v>129.004545454545</v>
      </c>
      <c r="T284">
        <v>73</v>
      </c>
      <c r="U284">
        <f>SUMIF(货件明细!J:J,E284,货件明细!AP:AP)</f>
        <v>0</v>
      </c>
      <c r="V284">
        <f>IF(U284=T284,0,1)</f>
        <v>1</v>
      </c>
      <c r="W284">
        <f>T284</f>
        <v>73</v>
      </c>
      <c r="X284">
        <f>SUMIF(货件明细!J:J,E284,货件明细!H:H)</f>
        <v>0</v>
      </c>
      <c r="Y284">
        <f>N284-X284</f>
        <v>10.9</v>
      </c>
      <c r="Z284">
        <f>SUMIF(货件明细!J:J,E284,货件明细!I:I)</f>
        <v>0</v>
      </c>
      <c r="AA284">
        <f>IF(S284=Z284,0,1)</f>
        <v>1</v>
      </c>
    </row>
    <row r="285" hidden="1" spans="1:27">
      <c r="A285">
        <v>1</v>
      </c>
      <c r="B285">
        <v>3</v>
      </c>
      <c r="C285" s="3">
        <v>46039</v>
      </c>
      <c r="D285" t="s">
        <v>27</v>
      </c>
      <c r="E285" t="s">
        <v>378</v>
      </c>
      <c r="F285" t="s">
        <v>339</v>
      </c>
      <c r="G285" t="s">
        <v>72</v>
      </c>
      <c r="H285" t="s">
        <v>37</v>
      </c>
      <c r="I285" t="s">
        <v>92</v>
      </c>
      <c r="J285" t="s">
        <v>92</v>
      </c>
      <c r="K285" t="s">
        <v>64</v>
      </c>
      <c r="L285" t="s">
        <v>65</v>
      </c>
      <c r="M285" t="s">
        <v>93</v>
      </c>
      <c r="N285">
        <v>10.9</v>
      </c>
      <c r="O285">
        <v>12.5</v>
      </c>
      <c r="P285">
        <v>75.6761904761905</v>
      </c>
      <c r="Q285">
        <v>88.1761904761905</v>
      </c>
      <c r="R285">
        <v>0</v>
      </c>
      <c r="S285">
        <v>88.1761904761905</v>
      </c>
      <c r="T285">
        <v>73</v>
      </c>
      <c r="U285">
        <f>SUMIF(货件明细!J:J,E285,货件明细!AP:AP)</f>
        <v>0</v>
      </c>
      <c r="V285">
        <f>IF(U285=T285,0,1)</f>
        <v>1</v>
      </c>
      <c r="W285">
        <f>T285</f>
        <v>73</v>
      </c>
      <c r="X285">
        <f>SUMIF(货件明细!J:J,E285,货件明细!H:H)</f>
        <v>0</v>
      </c>
      <c r="Y285">
        <f>N285-X285</f>
        <v>10.9</v>
      </c>
      <c r="Z285">
        <f>SUMIF(货件明细!J:J,E285,货件明细!I:I)</f>
        <v>0</v>
      </c>
      <c r="AA285">
        <f>IF(S285=Z285,0,1)</f>
        <v>1</v>
      </c>
    </row>
    <row r="286" hidden="1" spans="1:27">
      <c r="A286">
        <v>1</v>
      </c>
      <c r="B286">
        <v>3</v>
      </c>
      <c r="C286" s="3">
        <v>46039</v>
      </c>
      <c r="D286" t="s">
        <v>27</v>
      </c>
      <c r="E286" t="s">
        <v>379</v>
      </c>
      <c r="F286" t="s">
        <v>143</v>
      </c>
      <c r="G286" t="s">
        <v>72</v>
      </c>
      <c r="H286" t="s">
        <v>37</v>
      </c>
      <c r="I286" t="s">
        <v>92</v>
      </c>
      <c r="J286" t="s">
        <v>92</v>
      </c>
      <c r="K286" t="s">
        <v>64</v>
      </c>
      <c r="L286" t="s">
        <v>65</v>
      </c>
      <c r="M286" t="s">
        <v>93</v>
      </c>
      <c r="N286">
        <v>10.9</v>
      </c>
      <c r="O286">
        <v>12.5</v>
      </c>
      <c r="P286">
        <v>48</v>
      </c>
      <c r="Q286">
        <v>60.5</v>
      </c>
      <c r="R286">
        <v>0</v>
      </c>
      <c r="S286">
        <v>60.5</v>
      </c>
      <c r="T286">
        <v>73</v>
      </c>
      <c r="U286">
        <f>SUMIF(货件明细!J:J,E286,货件明细!AP:AP)</f>
        <v>0</v>
      </c>
      <c r="V286">
        <f>IF(U286=T286,0,1)</f>
        <v>1</v>
      </c>
      <c r="W286">
        <f>T286</f>
        <v>73</v>
      </c>
      <c r="X286">
        <f>SUMIF(货件明细!J:J,E286,货件明细!H:H)</f>
        <v>0</v>
      </c>
      <c r="Y286">
        <f>N286-X286</f>
        <v>10.9</v>
      </c>
      <c r="Z286">
        <f>SUMIF(货件明细!J:J,E286,货件明细!I:I)</f>
        <v>0</v>
      </c>
      <c r="AA286">
        <f>IF(S286=Z286,0,1)</f>
        <v>1</v>
      </c>
    </row>
    <row r="287" hidden="1" spans="1:27">
      <c r="A287">
        <v>1</v>
      </c>
      <c r="B287">
        <v>3</v>
      </c>
      <c r="C287" s="3">
        <v>46039</v>
      </c>
      <c r="D287" t="s">
        <v>27</v>
      </c>
      <c r="E287" t="s">
        <v>380</v>
      </c>
      <c r="F287" t="s">
        <v>200</v>
      </c>
      <c r="G287" t="s">
        <v>30</v>
      </c>
      <c r="H287" t="s">
        <v>37</v>
      </c>
      <c r="I287" t="s">
        <v>92</v>
      </c>
      <c r="J287" t="s">
        <v>92</v>
      </c>
      <c r="K287" t="s">
        <v>64</v>
      </c>
      <c r="L287" t="s">
        <v>65</v>
      </c>
      <c r="M287" t="s">
        <v>93</v>
      </c>
      <c r="N287">
        <v>10.9</v>
      </c>
      <c r="O287">
        <v>12.5</v>
      </c>
      <c r="P287">
        <v>70.8</v>
      </c>
      <c r="Q287">
        <v>83.3</v>
      </c>
      <c r="R287">
        <v>0</v>
      </c>
      <c r="S287">
        <v>83.3</v>
      </c>
      <c r="T287">
        <v>73</v>
      </c>
      <c r="U287">
        <f>SUMIF(货件明细!J:J,E287,货件明细!AP:AP)</f>
        <v>0</v>
      </c>
      <c r="V287">
        <f>IF(U287=T287,0,1)</f>
        <v>1</v>
      </c>
      <c r="W287">
        <f>T287</f>
        <v>73</v>
      </c>
      <c r="X287">
        <f>SUMIF(货件明细!J:J,E287,货件明细!H:H)</f>
        <v>0</v>
      </c>
      <c r="Y287">
        <f>N287-X287</f>
        <v>10.9</v>
      </c>
      <c r="Z287">
        <f>SUMIF(货件明细!J:J,E287,货件明细!I:I)</f>
        <v>0</v>
      </c>
      <c r="AA287">
        <f>IF(S287=Z287,0,1)</f>
        <v>1</v>
      </c>
    </row>
    <row r="288" hidden="1" spans="1:27">
      <c r="A288">
        <v>1</v>
      </c>
      <c r="B288">
        <v>3</v>
      </c>
      <c r="C288" s="3">
        <v>46039</v>
      </c>
      <c r="D288" t="s">
        <v>27</v>
      </c>
      <c r="E288" t="s">
        <v>381</v>
      </c>
      <c r="F288" t="s">
        <v>239</v>
      </c>
      <c r="G288" t="s">
        <v>72</v>
      </c>
      <c r="H288" t="s">
        <v>37</v>
      </c>
      <c r="I288" t="s">
        <v>92</v>
      </c>
      <c r="J288" t="s">
        <v>92</v>
      </c>
      <c r="K288" t="s">
        <v>64</v>
      </c>
      <c r="L288" t="s">
        <v>65</v>
      </c>
      <c r="M288" t="s">
        <v>93</v>
      </c>
      <c r="N288">
        <v>10.9</v>
      </c>
      <c r="O288">
        <v>12.5</v>
      </c>
      <c r="P288">
        <v>50</v>
      </c>
      <c r="Q288">
        <v>62.5</v>
      </c>
      <c r="R288">
        <v>0</v>
      </c>
      <c r="S288">
        <v>62.5</v>
      </c>
      <c r="T288">
        <v>73</v>
      </c>
      <c r="U288">
        <f>SUMIF(货件明细!J:J,E288,货件明细!AP:AP)</f>
        <v>0</v>
      </c>
      <c r="V288">
        <f>IF(U288=T288,0,1)</f>
        <v>1</v>
      </c>
      <c r="W288">
        <f>T288</f>
        <v>73</v>
      </c>
      <c r="X288">
        <f>SUMIF(货件明细!J:J,E288,货件明细!H:H)</f>
        <v>0</v>
      </c>
      <c r="Y288">
        <f>N288-X288</f>
        <v>10.9</v>
      </c>
      <c r="Z288">
        <f>SUMIF(货件明细!J:J,E288,货件明细!I:I)</f>
        <v>0</v>
      </c>
      <c r="AA288">
        <f>IF(S288=Z288,0,1)</f>
        <v>1</v>
      </c>
    </row>
    <row r="289" hidden="1" spans="1:27">
      <c r="A289">
        <v>1</v>
      </c>
      <c r="B289">
        <v>3</v>
      </c>
      <c r="C289" s="3">
        <v>46039</v>
      </c>
      <c r="D289" t="s">
        <v>27</v>
      </c>
      <c r="E289" t="s">
        <v>382</v>
      </c>
      <c r="F289" t="s">
        <v>195</v>
      </c>
      <c r="G289" t="s">
        <v>30</v>
      </c>
      <c r="H289" t="s">
        <v>37</v>
      </c>
      <c r="I289" t="s">
        <v>92</v>
      </c>
      <c r="J289" t="s">
        <v>92</v>
      </c>
      <c r="K289" t="s">
        <v>64</v>
      </c>
      <c r="L289" t="s">
        <v>65</v>
      </c>
      <c r="M289" t="s">
        <v>93</v>
      </c>
      <c r="N289">
        <v>20.2</v>
      </c>
      <c r="O289">
        <v>12.5</v>
      </c>
      <c r="P289">
        <v>116.504545454545</v>
      </c>
      <c r="Q289">
        <v>129.004545454545</v>
      </c>
      <c r="R289">
        <v>0</v>
      </c>
      <c r="S289">
        <v>129.004545454545</v>
      </c>
      <c r="T289">
        <v>164</v>
      </c>
      <c r="U289">
        <f>SUMIF(货件明细!J:J,E289,货件明细!AP:AP)</f>
        <v>0</v>
      </c>
      <c r="V289">
        <f>IF(U289=T289,0,1)</f>
        <v>1</v>
      </c>
      <c r="W289">
        <f>T289</f>
        <v>164</v>
      </c>
      <c r="X289">
        <f>SUMIF(货件明细!J:J,E289,货件明细!H:H)</f>
        <v>0</v>
      </c>
      <c r="Y289">
        <f>N289-X289</f>
        <v>20.2</v>
      </c>
      <c r="Z289">
        <f>SUMIF(货件明细!J:J,E289,货件明细!I:I)</f>
        <v>0</v>
      </c>
      <c r="AA289">
        <f>IF(S289=Z289,0,1)</f>
        <v>1</v>
      </c>
    </row>
    <row r="290" hidden="1" spans="1:27">
      <c r="A290">
        <v>1</v>
      </c>
      <c r="B290">
        <v>3</v>
      </c>
      <c r="C290" s="3">
        <v>46039</v>
      </c>
      <c r="D290" t="s">
        <v>27</v>
      </c>
      <c r="E290" t="s">
        <v>383</v>
      </c>
      <c r="F290" t="s">
        <v>339</v>
      </c>
      <c r="G290" t="s">
        <v>72</v>
      </c>
      <c r="H290" t="s">
        <v>37</v>
      </c>
      <c r="I290" t="s">
        <v>92</v>
      </c>
      <c r="J290" t="s">
        <v>92</v>
      </c>
      <c r="K290" t="s">
        <v>64</v>
      </c>
      <c r="L290" t="s">
        <v>65</v>
      </c>
      <c r="M290" t="s">
        <v>93</v>
      </c>
      <c r="N290">
        <v>20.2</v>
      </c>
      <c r="O290">
        <v>12.5</v>
      </c>
      <c r="P290">
        <v>75.6761904761905</v>
      </c>
      <c r="Q290">
        <v>88.1761904761905</v>
      </c>
      <c r="R290">
        <v>0</v>
      </c>
      <c r="S290">
        <v>88.1761904761905</v>
      </c>
      <c r="T290">
        <v>164</v>
      </c>
      <c r="U290">
        <f>SUMIF(货件明细!J:J,E290,货件明细!AP:AP)</f>
        <v>0</v>
      </c>
      <c r="V290">
        <f>IF(U290=T290,0,1)</f>
        <v>1</v>
      </c>
      <c r="W290">
        <f>T290</f>
        <v>164</v>
      </c>
      <c r="X290">
        <f>SUMIF(货件明细!J:J,E290,货件明细!H:H)</f>
        <v>0</v>
      </c>
      <c r="Y290">
        <f>N290-X290</f>
        <v>20.2</v>
      </c>
      <c r="Z290">
        <f>SUMIF(货件明细!J:J,E290,货件明细!I:I)</f>
        <v>0</v>
      </c>
      <c r="AA290">
        <f>IF(S290=Z290,0,1)</f>
        <v>1</v>
      </c>
    </row>
    <row r="291" hidden="1" spans="1:27">
      <c r="A291">
        <v>1</v>
      </c>
      <c r="B291">
        <v>3</v>
      </c>
      <c r="C291" s="3">
        <v>46039</v>
      </c>
      <c r="D291" t="s">
        <v>27</v>
      </c>
      <c r="E291" t="s">
        <v>384</v>
      </c>
      <c r="F291" t="s">
        <v>143</v>
      </c>
      <c r="G291" t="s">
        <v>72</v>
      </c>
      <c r="H291" t="s">
        <v>37</v>
      </c>
      <c r="I291" t="s">
        <v>92</v>
      </c>
      <c r="J291" t="s">
        <v>92</v>
      </c>
      <c r="K291" t="s">
        <v>64</v>
      </c>
      <c r="L291" t="s">
        <v>65</v>
      </c>
      <c r="M291" t="s">
        <v>93</v>
      </c>
      <c r="N291">
        <v>20.2</v>
      </c>
      <c r="O291">
        <v>12.5</v>
      </c>
      <c r="P291">
        <v>84</v>
      </c>
      <c r="Q291">
        <v>96.5</v>
      </c>
      <c r="R291">
        <v>0</v>
      </c>
      <c r="S291">
        <v>96.5</v>
      </c>
      <c r="T291">
        <v>164</v>
      </c>
      <c r="U291">
        <f>SUMIF(货件明细!J:J,E291,货件明细!AP:AP)</f>
        <v>0</v>
      </c>
      <c r="V291">
        <f>IF(U291=T291,0,1)</f>
        <v>1</v>
      </c>
      <c r="W291">
        <f>T291</f>
        <v>164</v>
      </c>
      <c r="X291">
        <f>SUMIF(货件明细!J:J,E291,货件明细!H:H)</f>
        <v>0</v>
      </c>
      <c r="Y291">
        <f>N291-X291</f>
        <v>20.2</v>
      </c>
      <c r="Z291">
        <f>SUMIF(货件明细!J:J,E291,货件明细!I:I)</f>
        <v>0</v>
      </c>
      <c r="AA291">
        <f>IF(S291=Z291,0,1)</f>
        <v>1</v>
      </c>
    </row>
    <row r="292" hidden="1" spans="1:27">
      <c r="A292">
        <v>1</v>
      </c>
      <c r="B292">
        <v>3</v>
      </c>
      <c r="C292" s="3">
        <v>46039</v>
      </c>
      <c r="D292" t="s">
        <v>27</v>
      </c>
      <c r="E292" t="s">
        <v>385</v>
      </c>
      <c r="F292" t="s">
        <v>200</v>
      </c>
      <c r="G292" t="s">
        <v>30</v>
      </c>
      <c r="H292" t="s">
        <v>37</v>
      </c>
      <c r="I292" t="s">
        <v>92</v>
      </c>
      <c r="J292" t="s">
        <v>92</v>
      </c>
      <c r="K292" t="s">
        <v>64</v>
      </c>
      <c r="L292" t="s">
        <v>65</v>
      </c>
      <c r="M292" t="s">
        <v>93</v>
      </c>
      <c r="N292">
        <v>20.2</v>
      </c>
      <c r="O292">
        <v>12.5</v>
      </c>
      <c r="P292">
        <v>123.9</v>
      </c>
      <c r="Q292">
        <v>136.4</v>
      </c>
      <c r="R292">
        <v>0</v>
      </c>
      <c r="S292">
        <v>136.4</v>
      </c>
      <c r="T292">
        <v>164</v>
      </c>
      <c r="U292">
        <f>SUMIF(货件明细!J:J,E292,货件明细!AP:AP)</f>
        <v>0</v>
      </c>
      <c r="V292">
        <f>IF(U292=T292,0,1)</f>
        <v>1</v>
      </c>
      <c r="W292">
        <f>T292</f>
        <v>164</v>
      </c>
      <c r="X292">
        <f>SUMIF(货件明细!J:J,E292,货件明细!H:H)</f>
        <v>0</v>
      </c>
      <c r="Y292">
        <f>N292-X292</f>
        <v>20.2</v>
      </c>
      <c r="Z292">
        <f>SUMIF(货件明细!J:J,E292,货件明细!I:I)</f>
        <v>0</v>
      </c>
      <c r="AA292">
        <f>IF(S292=Z292,0,1)</f>
        <v>1</v>
      </c>
    </row>
    <row r="293" hidden="1" spans="1:27">
      <c r="A293">
        <v>1</v>
      </c>
      <c r="B293">
        <v>3</v>
      </c>
      <c r="C293" s="3">
        <v>46039</v>
      </c>
      <c r="D293" t="s">
        <v>27</v>
      </c>
      <c r="E293" t="s">
        <v>386</v>
      </c>
      <c r="F293" t="s">
        <v>239</v>
      </c>
      <c r="G293" t="s">
        <v>72</v>
      </c>
      <c r="H293" t="s">
        <v>37</v>
      </c>
      <c r="I293" t="s">
        <v>92</v>
      </c>
      <c r="J293" t="s">
        <v>92</v>
      </c>
      <c r="K293" t="s">
        <v>64</v>
      </c>
      <c r="L293" t="s">
        <v>65</v>
      </c>
      <c r="M293" t="s">
        <v>93</v>
      </c>
      <c r="N293">
        <v>20.2</v>
      </c>
      <c r="O293">
        <v>12.5</v>
      </c>
      <c r="P293">
        <v>87.5</v>
      </c>
      <c r="Q293">
        <v>100</v>
      </c>
      <c r="R293">
        <v>0</v>
      </c>
      <c r="S293">
        <v>100</v>
      </c>
      <c r="T293">
        <v>164</v>
      </c>
      <c r="U293">
        <f>SUMIF(货件明细!J:J,E293,货件明细!AP:AP)</f>
        <v>0</v>
      </c>
      <c r="V293">
        <f>IF(U293=T293,0,1)</f>
        <v>1</v>
      </c>
      <c r="W293">
        <f>T293</f>
        <v>164</v>
      </c>
      <c r="X293">
        <f>SUMIF(货件明细!J:J,E293,货件明细!H:H)</f>
        <v>0</v>
      </c>
      <c r="Y293">
        <f>N293-X293</f>
        <v>20.2</v>
      </c>
      <c r="Z293">
        <f>SUMIF(货件明细!J:J,E293,货件明细!I:I)</f>
        <v>0</v>
      </c>
      <c r="AA293">
        <f>IF(S293=Z293,0,1)</f>
        <v>1</v>
      </c>
    </row>
    <row r="294" hidden="1" spans="1:27">
      <c r="A294">
        <v>1</v>
      </c>
      <c r="B294">
        <v>3</v>
      </c>
      <c r="C294" s="3">
        <v>46039</v>
      </c>
      <c r="D294" t="s">
        <v>27</v>
      </c>
      <c r="E294" t="s">
        <v>387</v>
      </c>
      <c r="F294" t="s">
        <v>62</v>
      </c>
      <c r="G294" t="s">
        <v>30</v>
      </c>
      <c r="H294" t="s">
        <v>46</v>
      </c>
      <c r="I294" t="s">
        <v>92</v>
      </c>
      <c r="J294" t="s">
        <v>92</v>
      </c>
      <c r="K294" t="s">
        <v>64</v>
      </c>
      <c r="L294" t="s">
        <v>65</v>
      </c>
      <c r="M294" t="s">
        <v>188</v>
      </c>
      <c r="N294">
        <v>11.85</v>
      </c>
      <c r="O294">
        <v>8.97435897435897</v>
      </c>
      <c r="P294">
        <v>118.8</v>
      </c>
      <c r="Q294">
        <v>127.774358974359</v>
      </c>
      <c r="R294">
        <v>0</v>
      </c>
      <c r="S294">
        <v>127.774358974359</v>
      </c>
      <c r="T294">
        <v>22</v>
      </c>
      <c r="U294">
        <f>SUMIF(货件明细!J:J,E294,货件明细!AP:AP)</f>
        <v>0</v>
      </c>
      <c r="V294">
        <f>IF(U294=T294,0,1)</f>
        <v>1</v>
      </c>
      <c r="W294">
        <f>T294</f>
        <v>22</v>
      </c>
      <c r="X294">
        <f>SUMIF(货件明细!J:J,E294,货件明细!H:H)</f>
        <v>0</v>
      </c>
      <c r="Y294">
        <f>N294-X294</f>
        <v>11.85</v>
      </c>
      <c r="Z294">
        <f>SUMIF(货件明细!J:J,E294,货件明细!I:I)</f>
        <v>0</v>
      </c>
      <c r="AA294">
        <f>IF(S294=Z294,0,1)</f>
        <v>1</v>
      </c>
    </row>
    <row r="295" hidden="1" spans="1:27">
      <c r="A295">
        <v>1</v>
      </c>
      <c r="B295">
        <v>3</v>
      </c>
      <c r="C295" s="3">
        <v>46039</v>
      </c>
      <c r="D295" t="s">
        <v>27</v>
      </c>
      <c r="E295" t="s">
        <v>388</v>
      </c>
      <c r="F295" t="s">
        <v>138</v>
      </c>
      <c r="G295" t="s">
        <v>69</v>
      </c>
      <c r="H295" t="s">
        <v>46</v>
      </c>
      <c r="I295" t="s">
        <v>92</v>
      </c>
      <c r="J295" t="s">
        <v>92</v>
      </c>
      <c r="K295" t="s">
        <v>64</v>
      </c>
      <c r="L295" t="s">
        <v>65</v>
      </c>
      <c r="M295" t="s">
        <v>93</v>
      </c>
      <c r="N295">
        <v>11.85</v>
      </c>
      <c r="O295">
        <v>8.97435897435897</v>
      </c>
      <c r="P295">
        <v>128.8</v>
      </c>
      <c r="Q295">
        <v>137.774358974359</v>
      </c>
      <c r="R295">
        <v>0</v>
      </c>
      <c r="S295">
        <v>137.774358974359</v>
      </c>
      <c r="T295">
        <v>22</v>
      </c>
      <c r="U295">
        <f>SUMIF(货件明细!J:J,E295,货件明细!AP:AP)</f>
        <v>0</v>
      </c>
      <c r="V295">
        <f>IF(U295=T295,0,1)</f>
        <v>1</v>
      </c>
      <c r="W295">
        <f>T295</f>
        <v>22</v>
      </c>
      <c r="X295">
        <f>SUMIF(货件明细!J:J,E295,货件明细!H:H)</f>
        <v>0</v>
      </c>
      <c r="Y295">
        <f>N295-X295</f>
        <v>11.85</v>
      </c>
      <c r="Z295">
        <f>SUMIF(货件明细!J:J,E295,货件明细!I:I)</f>
        <v>0</v>
      </c>
      <c r="AA295">
        <f>IF(S295=Z295,0,1)</f>
        <v>1</v>
      </c>
    </row>
    <row r="296" hidden="1" spans="1:27">
      <c r="A296">
        <v>1</v>
      </c>
      <c r="B296">
        <v>3</v>
      </c>
      <c r="C296" s="3">
        <v>46039</v>
      </c>
      <c r="D296" t="s">
        <v>27</v>
      </c>
      <c r="E296" t="s">
        <v>389</v>
      </c>
      <c r="F296" t="s">
        <v>390</v>
      </c>
      <c r="G296" t="s">
        <v>30</v>
      </c>
      <c r="H296" t="s">
        <v>46</v>
      </c>
      <c r="I296" t="s">
        <v>92</v>
      </c>
      <c r="J296" t="s">
        <v>92</v>
      </c>
      <c r="K296" t="s">
        <v>64</v>
      </c>
      <c r="L296" t="s">
        <v>65</v>
      </c>
      <c r="M296" t="s">
        <v>188</v>
      </c>
      <c r="N296">
        <v>11.85</v>
      </c>
      <c r="O296">
        <v>8.97435897435897</v>
      </c>
      <c r="P296">
        <v>146.64</v>
      </c>
      <c r="Q296">
        <v>155.614358974359</v>
      </c>
      <c r="R296">
        <v>0</v>
      </c>
      <c r="S296">
        <v>155.614358974359</v>
      </c>
      <c r="T296">
        <v>22</v>
      </c>
      <c r="U296">
        <f>SUMIF(货件明细!J:J,E296,货件明细!AP:AP)</f>
        <v>0</v>
      </c>
      <c r="V296">
        <f>IF(U296=T296,0,1)</f>
        <v>1</v>
      </c>
      <c r="W296">
        <f>T296</f>
        <v>22</v>
      </c>
      <c r="X296">
        <f>SUMIF(货件明细!J:J,E296,货件明细!H:H)</f>
        <v>0</v>
      </c>
      <c r="Y296">
        <f>N296-X296</f>
        <v>11.85</v>
      </c>
      <c r="Z296">
        <f>SUMIF(货件明细!J:J,E296,货件明细!I:I)</f>
        <v>0</v>
      </c>
      <c r="AA296">
        <f>IF(S296=Z296,0,1)</f>
        <v>1</v>
      </c>
    </row>
    <row r="297" hidden="1" spans="1:27">
      <c r="A297">
        <v>1</v>
      </c>
      <c r="B297">
        <v>3</v>
      </c>
      <c r="C297" s="3">
        <v>46039</v>
      </c>
      <c r="D297" t="s">
        <v>27</v>
      </c>
      <c r="E297" t="s">
        <v>391</v>
      </c>
      <c r="F297" t="s">
        <v>68</v>
      </c>
      <c r="G297" t="s">
        <v>69</v>
      </c>
      <c r="H297" t="s">
        <v>46</v>
      </c>
      <c r="I297" t="s">
        <v>92</v>
      </c>
      <c r="J297" t="s">
        <v>92</v>
      </c>
      <c r="K297" t="s">
        <v>64</v>
      </c>
      <c r="L297" t="s">
        <v>65</v>
      </c>
      <c r="M297" t="s">
        <v>93</v>
      </c>
      <c r="N297">
        <v>23.7</v>
      </c>
      <c r="O297">
        <v>8.97435897435897</v>
      </c>
      <c r="P297">
        <v>225.4</v>
      </c>
      <c r="Q297">
        <v>234.374358974359</v>
      </c>
      <c r="R297">
        <v>0</v>
      </c>
      <c r="S297">
        <v>234.374358974359</v>
      </c>
      <c r="T297">
        <v>44</v>
      </c>
      <c r="U297">
        <f>SUMIF(货件明细!J:J,E297,货件明细!AP:AP)</f>
        <v>0</v>
      </c>
      <c r="V297">
        <f>IF(U297=T297,0,1)</f>
        <v>1</v>
      </c>
      <c r="W297">
        <f>T297</f>
        <v>44</v>
      </c>
      <c r="X297">
        <f>SUMIF(货件明细!J:J,E297,货件明细!H:H)</f>
        <v>0</v>
      </c>
      <c r="Y297">
        <f>N297-X297</f>
        <v>23.7</v>
      </c>
      <c r="Z297">
        <f>SUMIF(货件明细!J:J,E297,货件明细!I:I)</f>
        <v>0</v>
      </c>
      <c r="AA297">
        <f>IF(S297=Z297,0,1)</f>
        <v>1</v>
      </c>
    </row>
    <row r="298" hidden="1" spans="1:27">
      <c r="A298">
        <v>1</v>
      </c>
      <c r="B298">
        <v>3</v>
      </c>
      <c r="C298" s="3">
        <v>46039</v>
      </c>
      <c r="D298" t="s">
        <v>27</v>
      </c>
      <c r="E298" t="s">
        <v>392</v>
      </c>
      <c r="F298" t="s">
        <v>195</v>
      </c>
      <c r="G298" t="s">
        <v>30</v>
      </c>
      <c r="H298" t="s">
        <v>78</v>
      </c>
      <c r="I298" t="s">
        <v>92</v>
      </c>
      <c r="J298" t="s">
        <v>92</v>
      </c>
      <c r="K298" t="s">
        <v>64</v>
      </c>
      <c r="L298" t="s">
        <v>65</v>
      </c>
      <c r="M298" t="s">
        <v>93</v>
      </c>
      <c r="N298">
        <v>16.6</v>
      </c>
      <c r="O298">
        <v>8.97435897435897</v>
      </c>
      <c r="P298">
        <v>116.504545454545</v>
      </c>
      <c r="Q298">
        <v>125.478904428904</v>
      </c>
      <c r="R298">
        <v>0</v>
      </c>
      <c r="S298">
        <v>125.478904428904</v>
      </c>
      <c r="T298">
        <v>77</v>
      </c>
      <c r="U298">
        <f>SUMIF(货件明细!J:J,E298,货件明细!AP:AP)</f>
        <v>0</v>
      </c>
      <c r="V298">
        <f>IF(U298=T298,0,1)</f>
        <v>1</v>
      </c>
      <c r="W298">
        <f>T298</f>
        <v>77</v>
      </c>
      <c r="X298">
        <f>SUMIF(货件明细!J:J,E298,货件明细!H:H)</f>
        <v>0</v>
      </c>
      <c r="Y298">
        <f>N298-X298</f>
        <v>16.6</v>
      </c>
      <c r="Z298">
        <f>SUMIF(货件明细!J:J,E298,货件明细!I:I)</f>
        <v>0</v>
      </c>
      <c r="AA298">
        <f>IF(S298=Z298,0,1)</f>
        <v>1</v>
      </c>
    </row>
    <row r="299" hidden="1" spans="1:27">
      <c r="A299">
        <v>1</v>
      </c>
      <c r="B299">
        <v>3</v>
      </c>
      <c r="C299" s="3">
        <v>46039</v>
      </c>
      <c r="D299" t="s">
        <v>27</v>
      </c>
      <c r="E299" t="s">
        <v>393</v>
      </c>
      <c r="F299" t="s">
        <v>339</v>
      </c>
      <c r="G299" t="s">
        <v>72</v>
      </c>
      <c r="H299" t="s">
        <v>78</v>
      </c>
      <c r="I299" t="s">
        <v>92</v>
      </c>
      <c r="J299" t="s">
        <v>92</v>
      </c>
      <c r="K299" t="s">
        <v>64</v>
      </c>
      <c r="L299" t="s">
        <v>65</v>
      </c>
      <c r="M299" t="s">
        <v>93</v>
      </c>
      <c r="N299">
        <v>16.6</v>
      </c>
      <c r="O299">
        <v>8.97435897435897</v>
      </c>
      <c r="P299">
        <v>75.6761904761905</v>
      </c>
      <c r="Q299">
        <v>84.6505494505495</v>
      </c>
      <c r="R299">
        <v>0</v>
      </c>
      <c r="S299">
        <v>84.6505494505495</v>
      </c>
      <c r="T299">
        <v>77</v>
      </c>
      <c r="U299">
        <f>SUMIF(货件明细!J:J,E299,货件明细!AP:AP)</f>
        <v>0</v>
      </c>
      <c r="V299">
        <f>IF(U299=T299,0,1)</f>
        <v>1</v>
      </c>
      <c r="W299">
        <f>T299</f>
        <v>77</v>
      </c>
      <c r="X299">
        <f>SUMIF(货件明细!J:J,E299,货件明细!H:H)</f>
        <v>0</v>
      </c>
      <c r="Y299">
        <f>N299-X299</f>
        <v>16.6</v>
      </c>
      <c r="Z299">
        <f>SUMIF(货件明细!J:J,E299,货件明细!I:I)</f>
        <v>0</v>
      </c>
      <c r="AA299">
        <f>IF(S299=Z299,0,1)</f>
        <v>1</v>
      </c>
    </row>
    <row r="300" hidden="1" spans="1:27">
      <c r="A300">
        <v>1</v>
      </c>
      <c r="B300">
        <v>3</v>
      </c>
      <c r="C300" s="3">
        <v>46039</v>
      </c>
      <c r="D300" t="s">
        <v>27</v>
      </c>
      <c r="E300" t="s">
        <v>394</v>
      </c>
      <c r="F300" t="s">
        <v>143</v>
      </c>
      <c r="G300" t="s">
        <v>72</v>
      </c>
      <c r="H300" t="s">
        <v>78</v>
      </c>
      <c r="I300" t="s">
        <v>92</v>
      </c>
      <c r="J300" t="s">
        <v>92</v>
      </c>
      <c r="K300" t="s">
        <v>64</v>
      </c>
      <c r="L300" t="s">
        <v>65</v>
      </c>
      <c r="M300" t="s">
        <v>93</v>
      </c>
      <c r="N300">
        <v>16.6</v>
      </c>
      <c r="O300">
        <v>8.97435897435897</v>
      </c>
      <c r="P300">
        <v>72</v>
      </c>
      <c r="Q300">
        <v>80.974358974359</v>
      </c>
      <c r="R300">
        <v>0</v>
      </c>
      <c r="S300">
        <v>80.974358974359</v>
      </c>
      <c r="T300">
        <v>77</v>
      </c>
      <c r="U300">
        <f>SUMIF(货件明细!J:J,E300,货件明细!AP:AP)</f>
        <v>0</v>
      </c>
      <c r="V300">
        <f>IF(U300=T300,0,1)</f>
        <v>1</v>
      </c>
      <c r="W300">
        <f>T300</f>
        <v>77</v>
      </c>
      <c r="X300">
        <f>SUMIF(货件明细!J:J,E300,货件明细!H:H)</f>
        <v>0</v>
      </c>
      <c r="Y300">
        <f>N300-X300</f>
        <v>16.6</v>
      </c>
      <c r="Z300">
        <f>SUMIF(货件明细!J:J,E300,货件明细!I:I)</f>
        <v>0</v>
      </c>
      <c r="AA300">
        <f>IF(S300=Z300,0,1)</f>
        <v>1</v>
      </c>
    </row>
    <row r="301" hidden="1" spans="1:27">
      <c r="A301">
        <v>1</v>
      </c>
      <c r="B301">
        <v>3</v>
      </c>
      <c r="C301" s="3">
        <v>46039</v>
      </c>
      <c r="D301" t="s">
        <v>27</v>
      </c>
      <c r="E301" t="s">
        <v>395</v>
      </c>
      <c r="F301" t="s">
        <v>200</v>
      </c>
      <c r="G301" t="s">
        <v>30</v>
      </c>
      <c r="H301" t="s">
        <v>78</v>
      </c>
      <c r="I301" t="s">
        <v>92</v>
      </c>
      <c r="J301" t="s">
        <v>92</v>
      </c>
      <c r="K301" t="s">
        <v>64</v>
      </c>
      <c r="L301" t="s">
        <v>65</v>
      </c>
      <c r="M301" t="s">
        <v>93</v>
      </c>
      <c r="N301">
        <v>16.6</v>
      </c>
      <c r="O301">
        <v>8.97435897435897</v>
      </c>
      <c r="P301">
        <v>106.2</v>
      </c>
      <c r="Q301">
        <v>115.174358974359</v>
      </c>
      <c r="R301">
        <v>0</v>
      </c>
      <c r="S301">
        <v>115.174358974359</v>
      </c>
      <c r="T301">
        <v>77</v>
      </c>
      <c r="U301">
        <f>SUMIF(货件明细!J:J,E301,货件明细!AP:AP)</f>
        <v>0</v>
      </c>
      <c r="V301">
        <f>IF(U301=T301,0,1)</f>
        <v>1</v>
      </c>
      <c r="W301">
        <f>T301</f>
        <v>77</v>
      </c>
      <c r="X301">
        <f>SUMIF(货件明细!J:J,E301,货件明细!H:H)</f>
        <v>0</v>
      </c>
      <c r="Y301">
        <f>N301-X301</f>
        <v>16.6</v>
      </c>
      <c r="Z301">
        <f>SUMIF(货件明细!J:J,E301,货件明细!I:I)</f>
        <v>0</v>
      </c>
      <c r="AA301">
        <f>IF(S301=Z301,0,1)</f>
        <v>1</v>
      </c>
    </row>
    <row r="302" hidden="1" spans="1:27">
      <c r="A302">
        <v>1</v>
      </c>
      <c r="B302">
        <v>3</v>
      </c>
      <c r="C302" s="3">
        <v>46039</v>
      </c>
      <c r="D302" t="s">
        <v>27</v>
      </c>
      <c r="E302" t="s">
        <v>396</v>
      </c>
      <c r="F302" t="s">
        <v>239</v>
      </c>
      <c r="G302" t="s">
        <v>72</v>
      </c>
      <c r="H302" t="s">
        <v>78</v>
      </c>
      <c r="I302" t="s">
        <v>92</v>
      </c>
      <c r="J302" t="s">
        <v>92</v>
      </c>
      <c r="K302" t="s">
        <v>64</v>
      </c>
      <c r="L302" t="s">
        <v>65</v>
      </c>
      <c r="M302" t="s">
        <v>93</v>
      </c>
      <c r="N302">
        <v>16.6</v>
      </c>
      <c r="O302">
        <v>8.97435897435897</v>
      </c>
      <c r="P302">
        <v>75</v>
      </c>
      <c r="Q302">
        <v>83.974358974359</v>
      </c>
      <c r="R302">
        <v>0</v>
      </c>
      <c r="S302">
        <v>83.974358974359</v>
      </c>
      <c r="T302">
        <v>77</v>
      </c>
      <c r="U302">
        <f>SUMIF(货件明细!J:J,E302,货件明细!AP:AP)</f>
        <v>0</v>
      </c>
      <c r="V302">
        <f>IF(U302=T302,0,1)</f>
        <v>1</v>
      </c>
      <c r="W302">
        <f>T302</f>
        <v>77</v>
      </c>
      <c r="X302">
        <f>SUMIF(货件明细!J:J,E302,货件明细!H:H)</f>
        <v>0</v>
      </c>
      <c r="Y302">
        <f>N302-X302</f>
        <v>16.6</v>
      </c>
      <c r="Z302">
        <f>SUMIF(货件明细!J:J,E302,货件明细!I:I)</f>
        <v>0</v>
      </c>
      <c r="AA302">
        <f>IF(S302=Z302,0,1)</f>
        <v>1</v>
      </c>
    </row>
    <row r="303" hidden="1" spans="1:27">
      <c r="A303">
        <v>1</v>
      </c>
      <c r="B303">
        <v>3</v>
      </c>
      <c r="C303" s="3">
        <v>46039</v>
      </c>
      <c r="D303" t="s">
        <v>27</v>
      </c>
      <c r="E303" t="s">
        <v>397</v>
      </c>
      <c r="F303" t="s">
        <v>398</v>
      </c>
      <c r="G303" t="s">
        <v>72</v>
      </c>
      <c r="H303" t="s">
        <v>39</v>
      </c>
      <c r="I303" t="s">
        <v>92</v>
      </c>
      <c r="J303" t="s">
        <v>92</v>
      </c>
      <c r="K303" t="s">
        <v>64</v>
      </c>
      <c r="L303" t="s">
        <v>65</v>
      </c>
      <c r="M303" t="s">
        <v>188</v>
      </c>
      <c r="N303">
        <v>19.1</v>
      </c>
      <c r="P303">
        <v>126.4</v>
      </c>
      <c r="Q303">
        <v>126.4</v>
      </c>
      <c r="R303">
        <v>375.3</v>
      </c>
      <c r="S303">
        <v>501.7</v>
      </c>
      <c r="T303">
        <v>180</v>
      </c>
      <c r="U303">
        <f>SUMIF(货件明细!J:J,E303,货件明细!AP:AP)</f>
        <v>0</v>
      </c>
      <c r="V303">
        <f>IF(U303=T303,0,1)</f>
        <v>1</v>
      </c>
      <c r="W303">
        <f>T303</f>
        <v>180</v>
      </c>
      <c r="X303">
        <f>SUMIF(货件明细!J:J,E303,货件明细!H:H)</f>
        <v>0</v>
      </c>
      <c r="Y303">
        <f>N303-X303</f>
        <v>19.1</v>
      </c>
      <c r="Z303">
        <f>SUMIF(货件明细!J:J,E303,货件明细!I:I)</f>
        <v>0</v>
      </c>
      <c r="AA303">
        <f>IF(S303=Z303,0,1)</f>
        <v>1</v>
      </c>
    </row>
    <row r="304" hidden="1" spans="1:27">
      <c r="A304">
        <v>1</v>
      </c>
      <c r="B304">
        <v>3</v>
      </c>
      <c r="C304" s="3">
        <v>46039</v>
      </c>
      <c r="D304" t="s">
        <v>27</v>
      </c>
      <c r="E304" t="s">
        <v>399</v>
      </c>
      <c r="F304" t="s">
        <v>195</v>
      </c>
      <c r="G304" t="s">
        <v>30</v>
      </c>
      <c r="H304" t="s">
        <v>78</v>
      </c>
      <c r="I304" t="s">
        <v>92</v>
      </c>
      <c r="J304" t="s">
        <v>146</v>
      </c>
      <c r="K304" t="s">
        <v>64</v>
      </c>
      <c r="L304" t="s">
        <v>147</v>
      </c>
      <c r="M304" t="s">
        <v>148</v>
      </c>
      <c r="N304">
        <v>13.4</v>
      </c>
      <c r="P304">
        <v>105.333333333333</v>
      </c>
      <c r="Q304">
        <v>105.333333333333</v>
      </c>
      <c r="R304">
        <v>0</v>
      </c>
      <c r="S304">
        <v>105.333333333333</v>
      </c>
      <c r="T304">
        <v>87</v>
      </c>
      <c r="U304">
        <f>SUMIF(货件明细!J:J,E304,货件明细!AP:AP)</f>
        <v>0</v>
      </c>
      <c r="V304">
        <f>IF(U304=T304,0,1)</f>
        <v>1</v>
      </c>
      <c r="W304">
        <f>T304</f>
        <v>87</v>
      </c>
      <c r="X304">
        <f>SUMIF(货件明细!J:J,E304,货件明细!H:H)</f>
        <v>0</v>
      </c>
      <c r="Y304">
        <f>N304-X304</f>
        <v>13.4</v>
      </c>
      <c r="Z304">
        <f>SUMIF(货件明细!J:J,E304,货件明细!I:I)</f>
        <v>0</v>
      </c>
      <c r="AA304">
        <f>IF(S304=Z304,0,1)</f>
        <v>1</v>
      </c>
    </row>
    <row r="305" hidden="1" spans="1:27">
      <c r="A305">
        <v>1</v>
      </c>
      <c r="B305">
        <v>3</v>
      </c>
      <c r="C305" s="3">
        <v>46039</v>
      </c>
      <c r="D305" t="s">
        <v>27</v>
      </c>
      <c r="E305" t="s">
        <v>400</v>
      </c>
      <c r="F305" t="s">
        <v>339</v>
      </c>
      <c r="G305" t="s">
        <v>72</v>
      </c>
      <c r="H305" t="s">
        <v>78</v>
      </c>
      <c r="I305" t="s">
        <v>92</v>
      </c>
      <c r="J305" t="s">
        <v>92</v>
      </c>
      <c r="K305" t="s">
        <v>64</v>
      </c>
      <c r="L305" t="s">
        <v>65</v>
      </c>
      <c r="M305" t="s">
        <v>93</v>
      </c>
      <c r="N305">
        <v>13.85</v>
      </c>
      <c r="P305">
        <v>58</v>
      </c>
      <c r="Q305">
        <v>58</v>
      </c>
      <c r="R305">
        <v>0</v>
      </c>
      <c r="S305">
        <v>58</v>
      </c>
      <c r="T305">
        <v>88</v>
      </c>
      <c r="U305">
        <f>SUMIF(货件明细!J:J,E305,货件明细!AP:AP)</f>
        <v>0</v>
      </c>
      <c r="V305">
        <f>IF(U305=T305,0,1)</f>
        <v>1</v>
      </c>
      <c r="W305">
        <f>T305</f>
        <v>88</v>
      </c>
      <c r="X305">
        <f>SUMIF(货件明细!J:J,E305,货件明细!H:H)</f>
        <v>0</v>
      </c>
      <c r="Y305">
        <f>N305-X305</f>
        <v>13.85</v>
      </c>
      <c r="Z305">
        <f>SUMIF(货件明细!J:J,E305,货件明细!I:I)</f>
        <v>0</v>
      </c>
      <c r="AA305">
        <f>IF(S305=Z305,0,1)</f>
        <v>1</v>
      </c>
    </row>
    <row r="306" hidden="1" spans="1:27">
      <c r="A306">
        <v>1</v>
      </c>
      <c r="B306">
        <v>3</v>
      </c>
      <c r="C306" s="3">
        <v>46039</v>
      </c>
      <c r="D306" t="s">
        <v>27</v>
      </c>
      <c r="E306" t="s">
        <v>401</v>
      </c>
      <c r="F306" t="s">
        <v>143</v>
      </c>
      <c r="G306" t="s">
        <v>72</v>
      </c>
      <c r="H306" t="s">
        <v>78</v>
      </c>
      <c r="I306" t="s">
        <v>92</v>
      </c>
      <c r="J306" t="s">
        <v>92</v>
      </c>
      <c r="K306" t="s">
        <v>64</v>
      </c>
      <c r="L306" t="s">
        <v>65</v>
      </c>
      <c r="M306" t="s">
        <v>93</v>
      </c>
      <c r="N306">
        <v>13.85</v>
      </c>
      <c r="P306">
        <v>60</v>
      </c>
      <c r="Q306">
        <v>60</v>
      </c>
      <c r="R306">
        <v>0</v>
      </c>
      <c r="S306">
        <v>60</v>
      </c>
      <c r="T306">
        <v>88</v>
      </c>
      <c r="U306">
        <f>SUMIF(货件明细!J:J,E306,货件明细!AP:AP)</f>
        <v>0</v>
      </c>
      <c r="V306">
        <f>IF(U306=T306,0,1)</f>
        <v>1</v>
      </c>
      <c r="W306">
        <f>T306</f>
        <v>88</v>
      </c>
      <c r="X306">
        <f>SUMIF(货件明细!J:J,E306,货件明细!H:H)</f>
        <v>0</v>
      </c>
      <c r="Y306">
        <f>N306-X306</f>
        <v>13.85</v>
      </c>
      <c r="Z306">
        <f>SUMIF(货件明细!J:J,E306,货件明细!I:I)</f>
        <v>0</v>
      </c>
      <c r="AA306">
        <f>IF(S306=Z306,0,1)</f>
        <v>1</v>
      </c>
    </row>
    <row r="307" hidden="1" spans="1:27">
      <c r="A307">
        <v>1</v>
      </c>
      <c r="B307">
        <v>3</v>
      </c>
      <c r="C307" s="3">
        <v>46039</v>
      </c>
      <c r="D307" t="s">
        <v>27</v>
      </c>
      <c r="E307" t="s">
        <v>402</v>
      </c>
      <c r="F307" t="s">
        <v>200</v>
      </c>
      <c r="G307" t="s">
        <v>30</v>
      </c>
      <c r="H307" t="s">
        <v>78</v>
      </c>
      <c r="I307" t="s">
        <v>92</v>
      </c>
      <c r="J307" t="s">
        <v>146</v>
      </c>
      <c r="K307" t="s">
        <v>64</v>
      </c>
      <c r="L307" t="s">
        <v>147</v>
      </c>
      <c r="M307" t="s">
        <v>148</v>
      </c>
      <c r="N307">
        <v>13.85</v>
      </c>
      <c r="P307">
        <v>102.85</v>
      </c>
      <c r="Q307">
        <v>102.85</v>
      </c>
      <c r="R307">
        <v>0</v>
      </c>
      <c r="S307">
        <v>102.85</v>
      </c>
      <c r="T307">
        <v>88</v>
      </c>
      <c r="U307">
        <f>SUMIF(货件明细!J:J,E307,货件明细!AP:AP)</f>
        <v>0</v>
      </c>
      <c r="V307">
        <f>IF(U307=T307,0,1)</f>
        <v>1</v>
      </c>
      <c r="W307">
        <f>T307</f>
        <v>88</v>
      </c>
      <c r="X307">
        <f>SUMIF(货件明细!J:J,E307,货件明细!H:H)</f>
        <v>0</v>
      </c>
      <c r="Y307">
        <f>N307-X307</f>
        <v>13.85</v>
      </c>
      <c r="Z307">
        <f>SUMIF(货件明细!J:J,E307,货件明细!I:I)</f>
        <v>0</v>
      </c>
      <c r="AA307">
        <f>IF(S307=Z307,0,1)</f>
        <v>1</v>
      </c>
    </row>
    <row r="308" hidden="1" spans="1:27">
      <c r="A308">
        <v>1</v>
      </c>
      <c r="B308">
        <v>3</v>
      </c>
      <c r="C308" s="3">
        <v>46039</v>
      </c>
      <c r="D308" t="s">
        <v>27</v>
      </c>
      <c r="E308" t="s">
        <v>403</v>
      </c>
      <c r="F308" t="s">
        <v>239</v>
      </c>
      <c r="G308" t="s">
        <v>72</v>
      </c>
      <c r="H308" t="s">
        <v>78</v>
      </c>
      <c r="I308" t="s">
        <v>92</v>
      </c>
      <c r="J308" t="s">
        <v>92</v>
      </c>
      <c r="K308" t="s">
        <v>64</v>
      </c>
      <c r="L308" t="s">
        <v>65</v>
      </c>
      <c r="M308" t="s">
        <v>93</v>
      </c>
      <c r="N308">
        <v>13.85</v>
      </c>
      <c r="P308">
        <v>62.5</v>
      </c>
      <c r="Q308">
        <v>62.5</v>
      </c>
      <c r="R308">
        <v>0</v>
      </c>
      <c r="S308">
        <v>62.5</v>
      </c>
      <c r="T308">
        <v>88</v>
      </c>
      <c r="U308">
        <f>SUMIF(货件明细!J:J,E308,货件明细!AP:AP)</f>
        <v>0</v>
      </c>
      <c r="V308">
        <f>IF(U308=T308,0,1)</f>
        <v>1</v>
      </c>
      <c r="W308">
        <f>T308</f>
        <v>88</v>
      </c>
      <c r="X308">
        <f>SUMIF(货件明细!J:J,E308,货件明细!H:H)</f>
        <v>0</v>
      </c>
      <c r="Y308">
        <f>N308-X308</f>
        <v>13.85</v>
      </c>
      <c r="Z308">
        <f>SUMIF(货件明细!J:J,E308,货件明细!I:I)</f>
        <v>0</v>
      </c>
      <c r="AA308">
        <f>IF(S308=Z308,0,1)</f>
        <v>1</v>
      </c>
    </row>
    <row r="309" hidden="1" spans="1:27">
      <c r="A309">
        <v>1</v>
      </c>
      <c r="B309">
        <v>3</v>
      </c>
      <c r="C309" s="3">
        <v>46039</v>
      </c>
      <c r="D309" t="s">
        <v>27</v>
      </c>
      <c r="E309" t="s">
        <v>404</v>
      </c>
      <c r="F309" t="s">
        <v>195</v>
      </c>
      <c r="G309" t="s">
        <v>30</v>
      </c>
      <c r="H309" t="s">
        <v>31</v>
      </c>
      <c r="I309" t="s">
        <v>92</v>
      </c>
      <c r="J309" t="s">
        <v>146</v>
      </c>
      <c r="K309" t="s">
        <v>64</v>
      </c>
      <c r="L309" t="s">
        <v>147</v>
      </c>
      <c r="M309" t="s">
        <v>148</v>
      </c>
      <c r="N309">
        <v>16.65</v>
      </c>
      <c r="P309">
        <v>105.333333333333</v>
      </c>
      <c r="Q309">
        <v>105.333333333333</v>
      </c>
      <c r="R309">
        <v>0</v>
      </c>
      <c r="S309">
        <v>105.333333333333</v>
      </c>
      <c r="T309">
        <v>136</v>
      </c>
      <c r="U309">
        <f>SUMIF(货件明细!J:J,E309,货件明细!AP:AP)</f>
        <v>0</v>
      </c>
      <c r="V309">
        <f>IF(U309=T309,0,1)</f>
        <v>1</v>
      </c>
      <c r="W309">
        <f>T309</f>
        <v>136</v>
      </c>
      <c r="X309">
        <f>SUMIF(货件明细!J:J,E309,货件明细!H:H)</f>
        <v>0</v>
      </c>
      <c r="Y309">
        <f>N309-X309</f>
        <v>16.65</v>
      </c>
      <c r="Z309">
        <f>SUMIF(货件明细!J:J,E309,货件明细!I:I)</f>
        <v>0</v>
      </c>
      <c r="AA309">
        <f>IF(S309=Z309,0,1)</f>
        <v>1</v>
      </c>
    </row>
    <row r="310" hidden="1" spans="1:27">
      <c r="A310">
        <v>1</v>
      </c>
      <c r="B310">
        <v>3</v>
      </c>
      <c r="C310" s="3">
        <v>46039</v>
      </c>
      <c r="D310" t="s">
        <v>27</v>
      </c>
      <c r="E310" t="s">
        <v>405</v>
      </c>
      <c r="F310" t="s">
        <v>339</v>
      </c>
      <c r="G310" t="s">
        <v>72</v>
      </c>
      <c r="H310" t="s">
        <v>31</v>
      </c>
      <c r="I310" t="s">
        <v>92</v>
      </c>
      <c r="J310" t="s">
        <v>92</v>
      </c>
      <c r="K310" t="s">
        <v>64</v>
      </c>
      <c r="L310" t="s">
        <v>65</v>
      </c>
      <c r="M310" t="s">
        <v>93</v>
      </c>
      <c r="N310">
        <v>16.65</v>
      </c>
      <c r="P310">
        <v>69.6</v>
      </c>
      <c r="Q310">
        <v>69.6</v>
      </c>
      <c r="R310">
        <v>0</v>
      </c>
      <c r="S310">
        <v>69.6</v>
      </c>
      <c r="T310">
        <v>136</v>
      </c>
      <c r="U310">
        <f>SUMIF(货件明细!J:J,E310,货件明细!AP:AP)</f>
        <v>0</v>
      </c>
      <c r="V310">
        <f>IF(U310=T310,0,1)</f>
        <v>1</v>
      </c>
      <c r="W310">
        <f>T310</f>
        <v>136</v>
      </c>
      <c r="X310">
        <f>SUMIF(货件明细!J:J,E310,货件明细!H:H)</f>
        <v>0</v>
      </c>
      <c r="Y310">
        <f>N310-X310</f>
        <v>16.65</v>
      </c>
      <c r="Z310">
        <f>SUMIF(货件明细!J:J,E310,货件明细!I:I)</f>
        <v>0</v>
      </c>
      <c r="AA310">
        <f>IF(S310=Z310,0,1)</f>
        <v>1</v>
      </c>
    </row>
    <row r="311" hidden="1" spans="1:27">
      <c r="A311">
        <v>1</v>
      </c>
      <c r="B311">
        <v>3</v>
      </c>
      <c r="C311" s="3">
        <v>46039</v>
      </c>
      <c r="D311" t="s">
        <v>27</v>
      </c>
      <c r="E311" t="s">
        <v>406</v>
      </c>
      <c r="F311" t="s">
        <v>143</v>
      </c>
      <c r="G311" t="s">
        <v>72</v>
      </c>
      <c r="H311" t="s">
        <v>31</v>
      </c>
      <c r="I311" t="s">
        <v>92</v>
      </c>
      <c r="J311" t="s">
        <v>92</v>
      </c>
      <c r="K311" t="s">
        <v>64</v>
      </c>
      <c r="L311" t="s">
        <v>65</v>
      </c>
      <c r="M311" t="s">
        <v>93</v>
      </c>
      <c r="N311">
        <v>16.65</v>
      </c>
      <c r="P311">
        <v>60</v>
      </c>
      <c r="Q311">
        <v>60</v>
      </c>
      <c r="R311">
        <v>0</v>
      </c>
      <c r="S311">
        <v>60</v>
      </c>
      <c r="T311">
        <v>136</v>
      </c>
      <c r="U311">
        <f>SUMIF(货件明细!J:J,E311,货件明细!AP:AP)</f>
        <v>0</v>
      </c>
      <c r="V311">
        <f>IF(U311=T311,0,1)</f>
        <v>1</v>
      </c>
      <c r="W311">
        <f>T311</f>
        <v>136</v>
      </c>
      <c r="X311">
        <f>SUMIF(货件明细!J:J,E311,货件明细!H:H)</f>
        <v>0</v>
      </c>
      <c r="Y311">
        <f>N311-X311</f>
        <v>16.65</v>
      </c>
      <c r="Z311">
        <f>SUMIF(货件明细!J:J,E311,货件明细!I:I)</f>
        <v>0</v>
      </c>
      <c r="AA311">
        <f>IF(S311=Z311,0,1)</f>
        <v>1</v>
      </c>
    </row>
    <row r="312" hidden="1" spans="1:27">
      <c r="A312">
        <v>1</v>
      </c>
      <c r="B312">
        <v>3</v>
      </c>
      <c r="C312" s="3">
        <v>46039</v>
      </c>
      <c r="D312" t="s">
        <v>27</v>
      </c>
      <c r="E312" t="s">
        <v>407</v>
      </c>
      <c r="F312" t="s">
        <v>200</v>
      </c>
      <c r="G312" t="s">
        <v>30</v>
      </c>
      <c r="H312" t="s">
        <v>31</v>
      </c>
      <c r="I312" t="s">
        <v>92</v>
      </c>
      <c r="J312" t="s">
        <v>146</v>
      </c>
      <c r="K312" t="s">
        <v>64</v>
      </c>
      <c r="L312" t="s">
        <v>147</v>
      </c>
      <c r="M312" t="s">
        <v>148</v>
      </c>
      <c r="N312">
        <v>16.65</v>
      </c>
      <c r="P312">
        <v>102.85</v>
      </c>
      <c r="Q312">
        <v>102.85</v>
      </c>
      <c r="R312">
        <v>0</v>
      </c>
      <c r="S312">
        <v>102.85</v>
      </c>
      <c r="T312">
        <v>136</v>
      </c>
      <c r="U312">
        <f>SUMIF(货件明细!J:J,E312,货件明细!AP:AP)</f>
        <v>0</v>
      </c>
      <c r="V312">
        <f>IF(U312=T312,0,1)</f>
        <v>1</v>
      </c>
      <c r="W312">
        <f>T312</f>
        <v>136</v>
      </c>
      <c r="X312">
        <f>SUMIF(货件明细!J:J,E312,货件明细!H:H)</f>
        <v>0</v>
      </c>
      <c r="Y312">
        <f>N312-X312</f>
        <v>16.65</v>
      </c>
      <c r="Z312">
        <f>SUMIF(货件明细!J:J,E312,货件明细!I:I)</f>
        <v>0</v>
      </c>
      <c r="AA312">
        <f>IF(S312=Z312,0,1)</f>
        <v>1</v>
      </c>
    </row>
    <row r="313" hidden="1" spans="1:27">
      <c r="A313">
        <v>1</v>
      </c>
      <c r="B313">
        <v>3</v>
      </c>
      <c r="C313" s="3">
        <v>46039</v>
      </c>
      <c r="D313" t="s">
        <v>27</v>
      </c>
      <c r="E313" t="s">
        <v>408</v>
      </c>
      <c r="F313" t="s">
        <v>239</v>
      </c>
      <c r="G313" t="s">
        <v>72</v>
      </c>
      <c r="H313" t="s">
        <v>31</v>
      </c>
      <c r="I313" t="s">
        <v>92</v>
      </c>
      <c r="J313" t="s">
        <v>92</v>
      </c>
      <c r="K313" t="s">
        <v>64</v>
      </c>
      <c r="L313" t="s">
        <v>65</v>
      </c>
      <c r="M313" t="s">
        <v>93</v>
      </c>
      <c r="N313">
        <v>16.65</v>
      </c>
      <c r="P313">
        <v>62.5</v>
      </c>
      <c r="Q313">
        <v>62.5</v>
      </c>
      <c r="R313">
        <v>0</v>
      </c>
      <c r="S313">
        <v>62.5</v>
      </c>
      <c r="T313">
        <v>136</v>
      </c>
      <c r="U313">
        <f>SUMIF(货件明细!J:J,E313,货件明细!AP:AP)</f>
        <v>0</v>
      </c>
      <c r="V313">
        <f>IF(U313=T313,0,1)</f>
        <v>1</v>
      </c>
      <c r="W313">
        <f>T313</f>
        <v>136</v>
      </c>
      <c r="X313">
        <f>SUMIF(货件明细!J:J,E313,货件明细!H:H)</f>
        <v>0</v>
      </c>
      <c r="Y313">
        <f>N313-X313</f>
        <v>16.65</v>
      </c>
      <c r="Z313">
        <f>SUMIF(货件明细!J:J,E313,货件明细!I:I)</f>
        <v>0</v>
      </c>
      <c r="AA313">
        <f>IF(S313=Z313,0,1)</f>
        <v>1</v>
      </c>
    </row>
    <row r="314" hidden="1" spans="1:27">
      <c r="A314">
        <v>1</v>
      </c>
      <c r="B314">
        <v>3</v>
      </c>
      <c r="C314" s="3">
        <v>46039</v>
      </c>
      <c r="D314" t="s">
        <v>27</v>
      </c>
      <c r="E314" t="s">
        <v>409</v>
      </c>
      <c r="F314" t="s">
        <v>195</v>
      </c>
      <c r="G314" t="s">
        <v>30</v>
      </c>
      <c r="H314" t="s">
        <v>224</v>
      </c>
      <c r="I314" t="s">
        <v>92</v>
      </c>
      <c r="J314" t="s">
        <v>146</v>
      </c>
      <c r="K314" t="s">
        <v>64</v>
      </c>
      <c r="L314" t="s">
        <v>147</v>
      </c>
      <c r="M314" t="s">
        <v>148</v>
      </c>
      <c r="N314">
        <v>19.83</v>
      </c>
      <c r="P314">
        <v>105.333333333333</v>
      </c>
      <c r="Q314">
        <v>105.333333333333</v>
      </c>
      <c r="R314">
        <v>0</v>
      </c>
      <c r="S314">
        <v>105.333333333333</v>
      </c>
      <c r="T314">
        <v>89</v>
      </c>
      <c r="U314">
        <f>SUMIF(货件明细!J:J,E314,货件明细!AP:AP)</f>
        <v>0</v>
      </c>
      <c r="V314">
        <f>IF(U314=T314,0,1)</f>
        <v>1</v>
      </c>
      <c r="W314">
        <f>T314</f>
        <v>89</v>
      </c>
      <c r="X314">
        <f>SUMIF(货件明细!J:J,E314,货件明细!H:H)</f>
        <v>0</v>
      </c>
      <c r="Y314">
        <f>N314-X314</f>
        <v>19.83</v>
      </c>
      <c r="Z314">
        <f>SUMIF(货件明细!J:J,E314,货件明细!I:I)</f>
        <v>0</v>
      </c>
      <c r="AA314">
        <f>IF(S314=Z314,0,1)</f>
        <v>1</v>
      </c>
    </row>
    <row r="315" hidden="1" spans="1:27">
      <c r="A315">
        <v>1</v>
      </c>
      <c r="B315">
        <v>3</v>
      </c>
      <c r="C315" s="3">
        <v>46039</v>
      </c>
      <c r="D315" t="s">
        <v>27</v>
      </c>
      <c r="E315" t="s">
        <v>410</v>
      </c>
      <c r="F315" t="s">
        <v>198</v>
      </c>
      <c r="G315" t="s">
        <v>69</v>
      </c>
      <c r="H315" t="s">
        <v>224</v>
      </c>
      <c r="I315" t="s">
        <v>92</v>
      </c>
      <c r="J315" t="s">
        <v>92</v>
      </c>
      <c r="K315" t="s">
        <v>64</v>
      </c>
      <c r="L315" t="s">
        <v>65</v>
      </c>
      <c r="M315" t="s">
        <v>188</v>
      </c>
      <c r="N315">
        <v>19.83</v>
      </c>
      <c r="P315">
        <v>179</v>
      </c>
      <c r="Q315">
        <v>179</v>
      </c>
      <c r="R315">
        <v>0</v>
      </c>
      <c r="S315">
        <v>179</v>
      </c>
      <c r="T315">
        <v>89</v>
      </c>
      <c r="U315">
        <f>SUMIF(货件明细!J:J,E315,货件明细!AP:AP)</f>
        <v>0</v>
      </c>
      <c r="V315">
        <f>IF(U315=T315,0,1)</f>
        <v>1</v>
      </c>
      <c r="W315">
        <f>T315</f>
        <v>89</v>
      </c>
      <c r="X315">
        <f>SUMIF(货件明细!J:J,E315,货件明细!H:H)</f>
        <v>0</v>
      </c>
      <c r="Y315">
        <f>N315-X315</f>
        <v>19.83</v>
      </c>
      <c r="Z315">
        <f>SUMIF(货件明细!J:J,E315,货件明细!I:I)</f>
        <v>0</v>
      </c>
      <c r="AA315">
        <f>IF(S315=Z315,0,1)</f>
        <v>1</v>
      </c>
    </row>
    <row r="316" hidden="1" spans="1:27">
      <c r="A316">
        <v>1</v>
      </c>
      <c r="B316">
        <v>3</v>
      </c>
      <c r="C316" s="3">
        <v>46039</v>
      </c>
      <c r="D316" t="s">
        <v>27</v>
      </c>
      <c r="E316" t="s">
        <v>411</v>
      </c>
      <c r="F316" t="s">
        <v>143</v>
      </c>
      <c r="G316" t="s">
        <v>72</v>
      </c>
      <c r="H316" t="s">
        <v>224</v>
      </c>
      <c r="I316" t="s">
        <v>92</v>
      </c>
      <c r="J316" t="s">
        <v>92</v>
      </c>
      <c r="K316" t="s">
        <v>64</v>
      </c>
      <c r="L316" t="s">
        <v>65</v>
      </c>
      <c r="M316" t="s">
        <v>93</v>
      </c>
      <c r="N316">
        <v>19.83</v>
      </c>
      <c r="P316">
        <v>120</v>
      </c>
      <c r="Q316">
        <v>120</v>
      </c>
      <c r="R316">
        <v>0</v>
      </c>
      <c r="S316">
        <v>120</v>
      </c>
      <c r="T316">
        <v>89</v>
      </c>
      <c r="U316">
        <f>SUMIF(货件明细!J:J,E316,货件明细!AP:AP)</f>
        <v>0</v>
      </c>
      <c r="V316">
        <f>IF(U316=T316,0,1)</f>
        <v>1</v>
      </c>
      <c r="W316">
        <f>T316</f>
        <v>89</v>
      </c>
      <c r="X316">
        <f>SUMIF(货件明细!J:J,E316,货件明细!H:H)</f>
        <v>0</v>
      </c>
      <c r="Y316">
        <f>N316-X316</f>
        <v>19.83</v>
      </c>
      <c r="Z316">
        <f>SUMIF(货件明细!J:J,E316,货件明细!I:I)</f>
        <v>0</v>
      </c>
      <c r="AA316">
        <f>IF(S316=Z316,0,1)</f>
        <v>1</v>
      </c>
    </row>
    <row r="317" hidden="1" spans="1:27">
      <c r="A317">
        <v>1</v>
      </c>
      <c r="B317">
        <v>3</v>
      </c>
      <c r="C317" s="3">
        <v>46039</v>
      </c>
      <c r="D317" t="s">
        <v>27</v>
      </c>
      <c r="E317" t="s">
        <v>412</v>
      </c>
      <c r="F317" t="s">
        <v>76</v>
      </c>
      <c r="G317" t="s">
        <v>72</v>
      </c>
      <c r="H317" t="s">
        <v>224</v>
      </c>
      <c r="I317" t="s">
        <v>92</v>
      </c>
      <c r="J317" t="s">
        <v>92</v>
      </c>
      <c r="K317" t="s">
        <v>64</v>
      </c>
      <c r="L317" t="s">
        <v>65</v>
      </c>
      <c r="M317" t="s">
        <v>188</v>
      </c>
      <c r="N317">
        <v>19.83</v>
      </c>
      <c r="P317">
        <v>117</v>
      </c>
      <c r="Q317">
        <v>117</v>
      </c>
      <c r="R317">
        <v>0</v>
      </c>
      <c r="S317">
        <v>117</v>
      </c>
      <c r="T317">
        <v>89</v>
      </c>
      <c r="U317">
        <f>SUMIF(货件明细!J:J,E317,货件明细!AP:AP)</f>
        <v>0</v>
      </c>
      <c r="V317">
        <f>IF(U317=T317,0,1)</f>
        <v>1</v>
      </c>
      <c r="W317">
        <f>T317</f>
        <v>89</v>
      </c>
      <c r="X317">
        <f>SUMIF(货件明细!J:J,E317,货件明细!H:H)</f>
        <v>0</v>
      </c>
      <c r="Y317">
        <f>N317-X317</f>
        <v>19.83</v>
      </c>
      <c r="Z317">
        <f>SUMIF(货件明细!J:J,E317,货件明细!I:I)</f>
        <v>0</v>
      </c>
      <c r="AA317">
        <f>IF(S317=Z317,0,1)</f>
        <v>1</v>
      </c>
    </row>
    <row r="318" hidden="1" spans="1:27">
      <c r="A318">
        <v>1</v>
      </c>
      <c r="B318">
        <v>3</v>
      </c>
      <c r="C318" s="3">
        <v>46039</v>
      </c>
      <c r="D318" t="s">
        <v>27</v>
      </c>
      <c r="E318" t="s">
        <v>413</v>
      </c>
      <c r="F318" t="s">
        <v>239</v>
      </c>
      <c r="G318" t="s">
        <v>72</v>
      </c>
      <c r="H318" t="s">
        <v>224</v>
      </c>
      <c r="I318" t="s">
        <v>92</v>
      </c>
      <c r="J318" t="s">
        <v>92</v>
      </c>
      <c r="K318" t="s">
        <v>64</v>
      </c>
      <c r="L318" t="s">
        <v>65</v>
      </c>
      <c r="M318" t="s">
        <v>93</v>
      </c>
      <c r="N318">
        <v>19.83</v>
      </c>
      <c r="P318">
        <v>125</v>
      </c>
      <c r="Q318">
        <v>125</v>
      </c>
      <c r="R318">
        <v>0</v>
      </c>
      <c r="S318">
        <v>125</v>
      </c>
      <c r="T318">
        <v>89</v>
      </c>
      <c r="U318">
        <f>SUMIF(货件明细!J:J,E318,货件明细!AP:AP)</f>
        <v>0</v>
      </c>
      <c r="V318">
        <f>IF(U318=T318,0,1)</f>
        <v>1</v>
      </c>
      <c r="W318">
        <f>T318</f>
        <v>89</v>
      </c>
      <c r="X318">
        <f>SUMIF(货件明细!J:J,E318,货件明细!H:H)</f>
        <v>0</v>
      </c>
      <c r="Y318">
        <f>N318-X318</f>
        <v>19.83</v>
      </c>
      <c r="Z318">
        <f>SUMIF(货件明细!J:J,E318,货件明细!I:I)</f>
        <v>0</v>
      </c>
      <c r="AA318">
        <f>IF(S318=Z318,0,1)</f>
        <v>1</v>
      </c>
    </row>
    <row r="319" hidden="1" spans="1:27">
      <c r="A319">
        <v>1</v>
      </c>
      <c r="B319">
        <v>3</v>
      </c>
      <c r="C319" s="3">
        <v>46039</v>
      </c>
      <c r="D319" t="s">
        <v>27</v>
      </c>
      <c r="E319" t="s">
        <v>414</v>
      </c>
      <c r="F319" t="s">
        <v>398</v>
      </c>
      <c r="G319" t="s">
        <v>72</v>
      </c>
      <c r="H319" t="s">
        <v>37</v>
      </c>
      <c r="I319" t="s">
        <v>92</v>
      </c>
      <c r="J319" t="s">
        <v>92</v>
      </c>
      <c r="K319" t="s">
        <v>64</v>
      </c>
      <c r="L319" t="s">
        <v>65</v>
      </c>
      <c r="M319" t="s">
        <v>188</v>
      </c>
      <c r="N319">
        <v>40.2</v>
      </c>
      <c r="P319">
        <v>252.8</v>
      </c>
      <c r="Q319">
        <v>252.8</v>
      </c>
      <c r="R319">
        <v>511.52</v>
      </c>
      <c r="S319">
        <v>764.32</v>
      </c>
      <c r="T319">
        <v>210</v>
      </c>
      <c r="U319">
        <f>SUMIF(货件明细!J:J,E319,货件明细!AP:AP)</f>
        <v>0</v>
      </c>
      <c r="V319">
        <f>IF(U319=T319,0,1)</f>
        <v>1</v>
      </c>
      <c r="W319">
        <f>T319</f>
        <v>210</v>
      </c>
      <c r="X319">
        <f>SUMIF(货件明细!J:J,E319,货件明细!H:H)</f>
        <v>0</v>
      </c>
      <c r="Y319">
        <f>N319-X319</f>
        <v>40.2</v>
      </c>
      <c r="Z319">
        <f>SUMIF(货件明细!J:J,E319,货件明细!I:I)</f>
        <v>0</v>
      </c>
      <c r="AA319">
        <f>IF(S319=Z319,0,1)</f>
        <v>1</v>
      </c>
    </row>
    <row r="320" spans="1:27">
      <c r="A320">
        <v>1</v>
      </c>
      <c r="B320">
        <v>4</v>
      </c>
      <c r="C320" s="3">
        <v>46041</v>
      </c>
      <c r="D320" t="s">
        <v>27</v>
      </c>
      <c r="E320" t="s">
        <v>415</v>
      </c>
      <c r="F320" t="s">
        <v>416</v>
      </c>
      <c r="G320" t="s">
        <v>30</v>
      </c>
      <c r="H320" t="s">
        <v>224</v>
      </c>
      <c r="I320" t="s">
        <v>42</v>
      </c>
      <c r="J320" t="s">
        <v>42</v>
      </c>
      <c r="K320" t="s">
        <v>33</v>
      </c>
      <c r="L320" t="s">
        <v>207</v>
      </c>
      <c r="M320" t="s">
        <v>218</v>
      </c>
      <c r="N320">
        <v>21.7</v>
      </c>
      <c r="P320">
        <v>1300.4</v>
      </c>
      <c r="Q320">
        <v>1300.4</v>
      </c>
      <c r="R320">
        <v>127.88</v>
      </c>
      <c r="S320">
        <v>1428.28</v>
      </c>
      <c r="T320">
        <v>115</v>
      </c>
      <c r="U320">
        <f>SUMIF(货件明细!J:J,E320,货件明细!AP:AP)</f>
        <v>115</v>
      </c>
      <c r="V320">
        <f>IF(U320=T320,0,1)</f>
        <v>0</v>
      </c>
      <c r="W320">
        <f>T320</f>
        <v>115</v>
      </c>
      <c r="X320">
        <f>SUMIF(货件明细!J:J,E320,货件明细!H:H)</f>
        <v>20.24</v>
      </c>
      <c r="Y320">
        <f>N320-X320</f>
        <v>1.46</v>
      </c>
      <c r="Z320">
        <f>SUMIF(货件明细!J:J,E320,货件明细!I:I)</f>
        <v>1428.28</v>
      </c>
      <c r="AA320">
        <f>IF(S320=Z320,0,1)</f>
        <v>0</v>
      </c>
    </row>
    <row r="321" spans="1:27">
      <c r="A321">
        <v>1</v>
      </c>
      <c r="B321">
        <v>4</v>
      </c>
      <c r="C321" s="3">
        <v>46041</v>
      </c>
      <c r="D321" t="s">
        <v>27</v>
      </c>
      <c r="E321" t="s">
        <v>417</v>
      </c>
      <c r="F321" t="s">
        <v>41</v>
      </c>
      <c r="G321" t="s">
        <v>30</v>
      </c>
      <c r="H321" t="s">
        <v>78</v>
      </c>
      <c r="I321" t="s">
        <v>32</v>
      </c>
      <c r="J321" t="s">
        <v>32</v>
      </c>
      <c r="K321" t="s">
        <v>33</v>
      </c>
      <c r="L321" t="s">
        <v>34</v>
      </c>
      <c r="M321" t="s">
        <v>47</v>
      </c>
      <c r="N321">
        <v>14.7</v>
      </c>
      <c r="P321">
        <v>649.5</v>
      </c>
      <c r="Q321">
        <v>649.5</v>
      </c>
      <c r="R321">
        <v>42.534</v>
      </c>
      <c r="S321">
        <v>692.034</v>
      </c>
      <c r="T321">
        <v>34</v>
      </c>
      <c r="U321">
        <f>SUMIF(货件明细!J:J,E321,货件明细!AP:AP)</f>
        <v>34</v>
      </c>
      <c r="V321">
        <f>IF(U321=T321,0,1)</f>
        <v>0</v>
      </c>
      <c r="W321">
        <f>T321</f>
        <v>34</v>
      </c>
      <c r="X321">
        <f>SUMIF(货件明细!J:J,E321,货件明细!H:H)</f>
        <v>14.96</v>
      </c>
      <c r="Y321">
        <f>N321-X321</f>
        <v>-0.260000000000002</v>
      </c>
      <c r="Z321">
        <f>SUMIF(货件明细!J:J,E321,货件明细!I:I)</f>
        <v>692.034</v>
      </c>
      <c r="AA321">
        <f>IF(S321=Z321,0,1)</f>
        <v>0</v>
      </c>
    </row>
    <row r="322" spans="1:27">
      <c r="A322">
        <v>1</v>
      </c>
      <c r="B322">
        <v>4</v>
      </c>
      <c r="C322" s="3">
        <v>46041</v>
      </c>
      <c r="D322" t="s">
        <v>27</v>
      </c>
      <c r="E322" t="s">
        <v>418</v>
      </c>
      <c r="F322" t="s">
        <v>41</v>
      </c>
      <c r="G322" t="s">
        <v>30</v>
      </c>
      <c r="H322" t="s">
        <v>59</v>
      </c>
      <c r="I322" t="s">
        <v>32</v>
      </c>
      <c r="J322" t="s">
        <v>32</v>
      </c>
      <c r="K322" t="s">
        <v>33</v>
      </c>
      <c r="L322" t="s">
        <v>323</v>
      </c>
      <c r="M322" t="s">
        <v>47</v>
      </c>
      <c r="N322">
        <v>20</v>
      </c>
      <c r="O322">
        <v>100</v>
      </c>
      <c r="P322">
        <v>880</v>
      </c>
      <c r="Q322">
        <v>980</v>
      </c>
      <c r="R322">
        <v>180.7</v>
      </c>
      <c r="S322">
        <v>1160.7</v>
      </c>
      <c r="T322">
        <v>100</v>
      </c>
      <c r="U322">
        <f>SUMIF(货件明细!J:J,E322,货件明细!AP:AP)</f>
        <v>100</v>
      </c>
      <c r="V322">
        <f>IF(U322=T322,0,1)</f>
        <v>0</v>
      </c>
      <c r="W322">
        <f>T322</f>
        <v>100</v>
      </c>
      <c r="X322">
        <f>SUMIF(货件明细!J:J,E322,货件明细!H:H)</f>
        <v>19.2</v>
      </c>
      <c r="Y322">
        <f>N322-X322</f>
        <v>0.800000000000001</v>
      </c>
      <c r="Z322">
        <f>SUMIF(货件明细!J:J,E322,货件明细!I:I)</f>
        <v>1160.7</v>
      </c>
      <c r="AA322">
        <f>IF(S322=Z322,0,1)</f>
        <v>0</v>
      </c>
    </row>
    <row r="323" spans="1:27">
      <c r="A323">
        <v>1</v>
      </c>
      <c r="B323">
        <v>4</v>
      </c>
      <c r="C323" s="3">
        <v>46041</v>
      </c>
      <c r="D323" t="s">
        <v>27</v>
      </c>
      <c r="E323" t="s">
        <v>419</v>
      </c>
      <c r="F323" t="s">
        <v>41</v>
      </c>
      <c r="G323" t="s">
        <v>30</v>
      </c>
      <c r="H323" t="s">
        <v>39</v>
      </c>
      <c r="I323" t="s">
        <v>32</v>
      </c>
      <c r="J323" t="s">
        <v>32</v>
      </c>
      <c r="K323" t="s">
        <v>33</v>
      </c>
      <c r="L323" t="s">
        <v>323</v>
      </c>
      <c r="M323" t="s">
        <v>47</v>
      </c>
      <c r="N323">
        <v>36.3</v>
      </c>
      <c r="O323">
        <v>100</v>
      </c>
      <c r="P323">
        <v>1628</v>
      </c>
      <c r="Q323">
        <v>1728</v>
      </c>
      <c r="R323">
        <v>135.525</v>
      </c>
      <c r="S323">
        <v>1863.525</v>
      </c>
      <c r="T323">
        <v>75</v>
      </c>
      <c r="U323">
        <f>SUMIF(货件明细!J:J,E323,货件明细!AP:AP)</f>
        <v>75</v>
      </c>
      <c r="V323">
        <f>IF(U323=T323,0,1)</f>
        <v>0</v>
      </c>
      <c r="W323">
        <f>T323</f>
        <v>75</v>
      </c>
      <c r="X323">
        <f>SUMIF(货件明细!J:J,E323,货件明细!H:H)</f>
        <v>35.565</v>
      </c>
      <c r="Y323">
        <f>N323-X323</f>
        <v>0.734999999999999</v>
      </c>
      <c r="Z323">
        <f>SUMIF(货件明细!J:J,E323,货件明细!I:I)</f>
        <v>1863.525</v>
      </c>
      <c r="AA323">
        <f>IF(S323=Z323,0,1)</f>
        <v>0</v>
      </c>
    </row>
    <row r="324" spans="1:27">
      <c r="A324">
        <v>1</v>
      </c>
      <c r="B324">
        <v>4</v>
      </c>
      <c r="C324" s="3">
        <v>46041</v>
      </c>
      <c r="D324" t="s">
        <v>27</v>
      </c>
      <c r="E324" t="s">
        <v>420</v>
      </c>
      <c r="F324" t="s">
        <v>41</v>
      </c>
      <c r="G324" t="s">
        <v>30</v>
      </c>
      <c r="H324" t="s">
        <v>31</v>
      </c>
      <c r="I324" t="s">
        <v>32</v>
      </c>
      <c r="J324" t="s">
        <v>32</v>
      </c>
      <c r="K324" t="s">
        <v>33</v>
      </c>
      <c r="L324" t="s">
        <v>323</v>
      </c>
      <c r="M324" t="s">
        <v>47</v>
      </c>
      <c r="N324">
        <v>12.6</v>
      </c>
      <c r="O324">
        <v>100</v>
      </c>
      <c r="P324">
        <v>528</v>
      </c>
      <c r="Q324">
        <v>628</v>
      </c>
      <c r="R324">
        <v>111.2</v>
      </c>
      <c r="S324">
        <v>739.2</v>
      </c>
      <c r="T324">
        <v>100</v>
      </c>
      <c r="U324">
        <f>SUMIF(货件明细!J:J,E324,货件明细!AP:AP)</f>
        <v>100</v>
      </c>
      <c r="V324">
        <f>IF(U324=T324,0,1)</f>
        <v>0</v>
      </c>
      <c r="W324">
        <f>T324</f>
        <v>100</v>
      </c>
      <c r="X324">
        <f>SUMIF(货件明细!J:J,E324,货件明细!H:H)</f>
        <v>11.9</v>
      </c>
      <c r="Y324">
        <f>N324-X324</f>
        <v>0.699999999999999</v>
      </c>
      <c r="Z324">
        <f>SUMIF(货件明细!J:J,E324,货件明细!I:I)</f>
        <v>739.2</v>
      </c>
      <c r="AA324">
        <f>IF(S324=Z324,0,1)</f>
        <v>0</v>
      </c>
    </row>
    <row r="325" spans="1:27">
      <c r="A325">
        <v>1</v>
      </c>
      <c r="B325">
        <v>4</v>
      </c>
      <c r="C325" s="3">
        <v>46042</v>
      </c>
      <c r="D325" t="s">
        <v>27</v>
      </c>
      <c r="E325" t="s">
        <v>421</v>
      </c>
      <c r="F325" t="s">
        <v>41</v>
      </c>
      <c r="G325" t="s">
        <v>30</v>
      </c>
      <c r="H325" t="s">
        <v>37</v>
      </c>
      <c r="I325" t="s">
        <v>42</v>
      </c>
      <c r="J325" t="s">
        <v>42</v>
      </c>
      <c r="K325" t="s">
        <v>33</v>
      </c>
      <c r="L325" t="s">
        <v>323</v>
      </c>
      <c r="M325" t="s">
        <v>218</v>
      </c>
      <c r="N325">
        <v>28.05</v>
      </c>
      <c r="O325">
        <v>100</v>
      </c>
      <c r="P325">
        <v>1787</v>
      </c>
      <c r="Q325">
        <v>1887</v>
      </c>
      <c r="R325">
        <v>300.24</v>
      </c>
      <c r="S325">
        <v>2187.24</v>
      </c>
      <c r="T325">
        <v>270</v>
      </c>
      <c r="U325">
        <f>SUMIF(货件明细!J:J,E325,货件明细!AP:AP)</f>
        <v>270</v>
      </c>
      <c r="V325">
        <f>IF(U325=T325,0,1)</f>
        <v>0</v>
      </c>
      <c r="W325">
        <f>T325</f>
        <v>270</v>
      </c>
      <c r="X325">
        <f>SUMIF(货件明细!J:J,E325,货件明细!H:H)</f>
        <v>26.619</v>
      </c>
      <c r="Y325">
        <f>N325-X325</f>
        <v>1.431</v>
      </c>
      <c r="Z325">
        <f>SUMIF(货件明细!J:J,E325,货件明细!I:I)</f>
        <v>2187.24</v>
      </c>
      <c r="AA325">
        <f>IF(S325=Z325,0,1)</f>
        <v>0</v>
      </c>
    </row>
    <row r="326" spans="1:27">
      <c r="A326">
        <v>1</v>
      </c>
      <c r="B326">
        <v>4</v>
      </c>
      <c r="C326" s="3">
        <v>46042</v>
      </c>
      <c r="D326" t="s">
        <v>27</v>
      </c>
      <c r="E326" t="s">
        <v>422</v>
      </c>
      <c r="F326" t="s">
        <v>41</v>
      </c>
      <c r="G326" t="s">
        <v>30</v>
      </c>
      <c r="H326" t="s">
        <v>39</v>
      </c>
      <c r="I326" t="s">
        <v>42</v>
      </c>
      <c r="J326" t="s">
        <v>42</v>
      </c>
      <c r="K326" t="s">
        <v>33</v>
      </c>
      <c r="L326" t="s">
        <v>323</v>
      </c>
      <c r="M326" t="s">
        <v>218</v>
      </c>
      <c r="N326">
        <v>25.05</v>
      </c>
      <c r="O326">
        <v>100</v>
      </c>
      <c r="P326">
        <v>1555</v>
      </c>
      <c r="Q326">
        <v>1655</v>
      </c>
      <c r="R326">
        <v>194.6</v>
      </c>
      <c r="S326">
        <v>1849.6</v>
      </c>
      <c r="T326">
        <v>175</v>
      </c>
      <c r="U326">
        <f>SUMIF(货件明细!J:J,E326,货件明细!AP:AP)</f>
        <v>175</v>
      </c>
      <c r="V326">
        <f>IF(U326=T326,0,1)</f>
        <v>0</v>
      </c>
      <c r="W326">
        <f>T326</f>
        <v>175</v>
      </c>
      <c r="X326">
        <f>SUMIF(货件明细!J:J,E326,货件明细!H:H)</f>
        <v>23.595</v>
      </c>
      <c r="Y326">
        <f>N326-X326</f>
        <v>1.455</v>
      </c>
      <c r="Z326">
        <f>SUMIF(货件明细!J:J,E326,货件明细!I:I)</f>
        <v>1849.6</v>
      </c>
      <c r="AA326">
        <f>IF(S326=Z326,0,1)</f>
        <v>0</v>
      </c>
    </row>
    <row r="327" spans="1:27">
      <c r="A327">
        <v>1</v>
      </c>
      <c r="B327">
        <v>4</v>
      </c>
      <c r="C327" s="3">
        <v>46043</v>
      </c>
      <c r="D327" t="s">
        <v>27</v>
      </c>
      <c r="E327" t="s">
        <v>423</v>
      </c>
      <c r="F327" t="s">
        <v>41</v>
      </c>
      <c r="G327" t="s">
        <v>30</v>
      </c>
      <c r="H327" t="s">
        <v>224</v>
      </c>
      <c r="I327" t="s">
        <v>42</v>
      </c>
      <c r="J327" t="s">
        <v>42</v>
      </c>
      <c r="K327" t="s">
        <v>33</v>
      </c>
      <c r="L327" t="s">
        <v>207</v>
      </c>
      <c r="M327" t="s">
        <v>218</v>
      </c>
      <c r="N327">
        <v>20.3</v>
      </c>
      <c r="O327">
        <v>200</v>
      </c>
      <c r="P327">
        <v>1300.6</v>
      </c>
      <c r="Q327">
        <v>1500.6</v>
      </c>
      <c r="R327">
        <v>166.8</v>
      </c>
      <c r="S327">
        <v>1667.4</v>
      </c>
      <c r="T327">
        <v>150</v>
      </c>
      <c r="U327">
        <f>SUMIF(货件明细!J:J,E327,货件明细!AP:AP)</f>
        <v>150</v>
      </c>
      <c r="V327">
        <f>IF(U327=T327,0,1)</f>
        <v>0</v>
      </c>
      <c r="W327">
        <f>T327</f>
        <v>150</v>
      </c>
      <c r="X327">
        <f>SUMIF(货件明细!J:J,E327,货件明细!H:H)</f>
        <v>19.05</v>
      </c>
      <c r="Y327">
        <f>N327-X327</f>
        <v>1.25</v>
      </c>
      <c r="Z327">
        <f>SUMIF(货件明细!J:J,E327,货件明细!I:I)</f>
        <v>1667.4</v>
      </c>
      <c r="AA327">
        <f>IF(S327=Z327,0,1)</f>
        <v>0</v>
      </c>
    </row>
    <row r="328" hidden="1" spans="1:27">
      <c r="A328">
        <v>1</v>
      </c>
      <c r="B328">
        <v>4</v>
      </c>
      <c r="C328" s="3">
        <v>46045</v>
      </c>
      <c r="D328" t="s">
        <v>88</v>
      </c>
      <c r="E328" t="s">
        <v>424</v>
      </c>
      <c r="F328" t="s">
        <v>211</v>
      </c>
      <c r="G328" t="s">
        <v>72</v>
      </c>
      <c r="H328" t="s">
        <v>78</v>
      </c>
      <c r="I328" t="s">
        <v>63</v>
      </c>
      <c r="J328" t="s">
        <v>63</v>
      </c>
      <c r="K328" t="s">
        <v>64</v>
      </c>
      <c r="L328" t="s">
        <v>147</v>
      </c>
      <c r="M328" t="s">
        <v>425</v>
      </c>
      <c r="N328">
        <v>261.95</v>
      </c>
      <c r="O328">
        <v>25</v>
      </c>
      <c r="P328">
        <v>806.769230769231</v>
      </c>
      <c r="Q328">
        <v>831.769230769231</v>
      </c>
      <c r="R328">
        <v>0</v>
      </c>
      <c r="S328">
        <v>831.769230769231</v>
      </c>
      <c r="T328">
        <v>960</v>
      </c>
      <c r="U328">
        <f>SUMIF(货件明细!J:J,E328,货件明细!AP:AP)</f>
        <v>0</v>
      </c>
      <c r="V328">
        <f>IF(U328=T328,0,1)</f>
        <v>1</v>
      </c>
      <c r="W328">
        <f>T328</f>
        <v>960</v>
      </c>
      <c r="X328">
        <f>SUMIF(货件明细!J:J,E328,货件明细!H:H)</f>
        <v>0</v>
      </c>
      <c r="Y328">
        <f>N328-X328</f>
        <v>261.95</v>
      </c>
      <c r="Z328">
        <f>SUMIF(货件明细!J:J,E328,货件明细!I:I)</f>
        <v>0</v>
      </c>
      <c r="AA328">
        <f>IF(S328=Z328,0,1)</f>
        <v>1</v>
      </c>
    </row>
    <row r="329" hidden="1" spans="1:27">
      <c r="A329">
        <v>1</v>
      </c>
      <c r="B329">
        <v>4</v>
      </c>
      <c r="C329" s="3">
        <v>46045</v>
      </c>
      <c r="D329" t="s">
        <v>88</v>
      </c>
      <c r="E329" t="s">
        <v>426</v>
      </c>
      <c r="F329" t="s">
        <v>427</v>
      </c>
      <c r="G329" t="s">
        <v>72</v>
      </c>
      <c r="H329" t="s">
        <v>59</v>
      </c>
      <c r="I329" t="s">
        <v>63</v>
      </c>
      <c r="J329" t="s">
        <v>63</v>
      </c>
      <c r="K329" t="s">
        <v>64</v>
      </c>
      <c r="L329" t="s">
        <v>147</v>
      </c>
      <c r="M329" t="s">
        <v>425</v>
      </c>
      <c r="N329">
        <v>223.1</v>
      </c>
      <c r="O329">
        <v>25</v>
      </c>
      <c r="P329">
        <v>704</v>
      </c>
      <c r="Q329">
        <v>729</v>
      </c>
      <c r="R329">
        <v>0</v>
      </c>
      <c r="S329">
        <v>729</v>
      </c>
      <c r="T329">
        <v>1224</v>
      </c>
      <c r="U329">
        <f>SUMIF(货件明细!J:J,E329,货件明细!AP:AP)</f>
        <v>0</v>
      </c>
      <c r="V329">
        <f>IF(U329=T329,0,1)</f>
        <v>1</v>
      </c>
      <c r="W329">
        <f>T329</f>
        <v>1224</v>
      </c>
      <c r="X329">
        <f>SUMIF(货件明细!J:J,E329,货件明细!H:H)</f>
        <v>0</v>
      </c>
      <c r="Y329">
        <f>N329-X329</f>
        <v>223.1</v>
      </c>
      <c r="Z329">
        <f>SUMIF(货件明细!J:J,E329,货件明细!I:I)</f>
        <v>0</v>
      </c>
      <c r="AA329">
        <f>IF(S329=Z329,0,1)</f>
        <v>1</v>
      </c>
    </row>
    <row r="330" hidden="1" spans="1:27">
      <c r="A330">
        <v>1</v>
      </c>
      <c r="B330">
        <v>4</v>
      </c>
      <c r="C330" s="3">
        <v>46045</v>
      </c>
      <c r="D330" t="s">
        <v>88</v>
      </c>
      <c r="E330" t="s">
        <v>428</v>
      </c>
      <c r="F330" t="s">
        <v>211</v>
      </c>
      <c r="G330" t="s">
        <v>72</v>
      </c>
      <c r="H330" t="s">
        <v>31</v>
      </c>
      <c r="I330" t="s">
        <v>63</v>
      </c>
      <c r="J330" t="s">
        <v>63</v>
      </c>
      <c r="K330" t="s">
        <v>64</v>
      </c>
      <c r="L330" t="s">
        <v>147</v>
      </c>
      <c r="M330" t="s">
        <v>425</v>
      </c>
      <c r="N330">
        <v>175.86</v>
      </c>
      <c r="O330">
        <v>25</v>
      </c>
      <c r="P330">
        <v>552</v>
      </c>
      <c r="Q330">
        <v>577</v>
      </c>
      <c r="R330">
        <v>0</v>
      </c>
      <c r="S330">
        <v>577</v>
      </c>
      <c r="T330">
        <v>665</v>
      </c>
      <c r="U330">
        <f>SUMIF(货件明细!J:J,E330,货件明细!AP:AP)</f>
        <v>0</v>
      </c>
      <c r="V330">
        <f>IF(U330=T330,0,1)</f>
        <v>1</v>
      </c>
      <c r="W330">
        <f>T330</f>
        <v>665</v>
      </c>
      <c r="X330">
        <f>SUMIF(货件明细!J:J,E330,货件明细!H:H)</f>
        <v>0</v>
      </c>
      <c r="Y330">
        <f>N330-X330</f>
        <v>175.86</v>
      </c>
      <c r="Z330">
        <f>SUMIF(货件明细!J:J,E330,货件明细!I:I)</f>
        <v>0</v>
      </c>
      <c r="AA330">
        <f>IF(S330=Z330,0,1)</f>
        <v>1</v>
      </c>
    </row>
    <row r="331" hidden="1" spans="1:27">
      <c r="A331">
        <v>1</v>
      </c>
      <c r="B331">
        <v>4</v>
      </c>
      <c r="C331" s="3">
        <v>46045</v>
      </c>
      <c r="D331" t="s">
        <v>88</v>
      </c>
      <c r="E331" t="s">
        <v>429</v>
      </c>
      <c r="F331" t="s">
        <v>211</v>
      </c>
      <c r="G331" t="s">
        <v>72</v>
      </c>
      <c r="H331" t="s">
        <v>37</v>
      </c>
      <c r="I331" t="s">
        <v>63</v>
      </c>
      <c r="J331" t="s">
        <v>63</v>
      </c>
      <c r="K331" t="s">
        <v>64</v>
      </c>
      <c r="L331" t="s">
        <v>147</v>
      </c>
      <c r="M331" t="s">
        <v>425</v>
      </c>
      <c r="N331">
        <v>51.6</v>
      </c>
      <c r="O331">
        <v>25</v>
      </c>
      <c r="P331">
        <v>169.846153846154</v>
      </c>
      <c r="Q331">
        <v>194.846153846154</v>
      </c>
      <c r="R331">
        <v>0</v>
      </c>
      <c r="S331">
        <v>194.846153846154</v>
      </c>
      <c r="T331">
        <v>340</v>
      </c>
      <c r="U331">
        <f>SUMIF(货件明细!J:J,E331,货件明细!AP:AP)</f>
        <v>0</v>
      </c>
      <c r="V331">
        <f>IF(U331=T331,0,1)</f>
        <v>1</v>
      </c>
      <c r="W331">
        <f>T331</f>
        <v>340</v>
      </c>
      <c r="X331">
        <f>SUMIF(货件明细!J:J,E331,货件明细!H:H)</f>
        <v>0</v>
      </c>
      <c r="Y331">
        <f>N331-X331</f>
        <v>51.6</v>
      </c>
      <c r="Z331">
        <f>SUMIF(货件明细!J:J,E331,货件明细!I:I)</f>
        <v>0</v>
      </c>
      <c r="AA331">
        <f>IF(S331=Z331,0,1)</f>
        <v>1</v>
      </c>
    </row>
    <row r="332" hidden="1" spans="1:27">
      <c r="A332">
        <v>1</v>
      </c>
      <c r="B332">
        <v>4</v>
      </c>
      <c r="C332" s="3">
        <v>46045</v>
      </c>
      <c r="D332" t="s">
        <v>88</v>
      </c>
      <c r="E332" t="s">
        <v>430</v>
      </c>
      <c r="F332" t="s">
        <v>211</v>
      </c>
      <c r="G332" t="s">
        <v>72</v>
      </c>
      <c r="H332" t="s">
        <v>54</v>
      </c>
      <c r="I332" t="s">
        <v>63</v>
      </c>
      <c r="J332" t="s">
        <v>63</v>
      </c>
      <c r="K332" t="s">
        <v>64</v>
      </c>
      <c r="L332" t="s">
        <v>147</v>
      </c>
      <c r="M332" t="s">
        <v>425</v>
      </c>
      <c r="N332">
        <v>210.3</v>
      </c>
      <c r="O332">
        <v>25</v>
      </c>
      <c r="P332">
        <v>467.076923076923</v>
      </c>
      <c r="Q332">
        <v>492.076923076923</v>
      </c>
      <c r="R332">
        <v>0</v>
      </c>
      <c r="S332">
        <v>492.076923076923</v>
      </c>
      <c r="T332">
        <v>950</v>
      </c>
      <c r="U332">
        <f>SUMIF(货件明细!J:J,E332,货件明细!AP:AP)</f>
        <v>0</v>
      </c>
      <c r="V332">
        <f>IF(U332=T332,0,1)</f>
        <v>1</v>
      </c>
      <c r="W332">
        <f>T332</f>
        <v>950</v>
      </c>
      <c r="X332">
        <f>SUMIF(货件明细!J:J,E332,货件明细!H:H)</f>
        <v>0</v>
      </c>
      <c r="Y332">
        <f>N332-X332</f>
        <v>210.3</v>
      </c>
      <c r="Z332">
        <f>SUMIF(货件明细!J:J,E332,货件明细!I:I)</f>
        <v>0</v>
      </c>
      <c r="AA332">
        <f>IF(S332=Z332,0,1)</f>
        <v>1</v>
      </c>
    </row>
    <row r="333" hidden="1" spans="1:27">
      <c r="A333">
        <v>1</v>
      </c>
      <c r="B333">
        <v>4</v>
      </c>
      <c r="C333" s="3">
        <v>46045</v>
      </c>
      <c r="D333" t="s">
        <v>88</v>
      </c>
      <c r="E333" t="s">
        <v>431</v>
      </c>
      <c r="F333" t="s">
        <v>211</v>
      </c>
      <c r="G333" t="s">
        <v>72</v>
      </c>
      <c r="H333" t="s">
        <v>54</v>
      </c>
      <c r="I333" t="s">
        <v>63</v>
      </c>
      <c r="J333" t="s">
        <v>63</v>
      </c>
      <c r="K333" t="s">
        <v>64</v>
      </c>
      <c r="L333" t="s">
        <v>147</v>
      </c>
      <c r="M333" t="s">
        <v>425</v>
      </c>
      <c r="N333">
        <v>118.8</v>
      </c>
      <c r="O333">
        <v>25</v>
      </c>
      <c r="P333">
        <v>297.230769230769</v>
      </c>
      <c r="Q333">
        <v>322.230769230769</v>
      </c>
      <c r="R333">
        <v>0</v>
      </c>
      <c r="S333">
        <v>322.230769230769</v>
      </c>
      <c r="T333">
        <v>960</v>
      </c>
      <c r="U333">
        <f>SUMIF(货件明细!J:J,E333,货件明细!AP:AP)</f>
        <v>0</v>
      </c>
      <c r="V333">
        <f>IF(U333=T333,0,1)</f>
        <v>1</v>
      </c>
      <c r="W333">
        <f>T333</f>
        <v>960</v>
      </c>
      <c r="X333">
        <f>SUMIF(货件明细!J:J,E333,货件明细!H:H)</f>
        <v>0</v>
      </c>
      <c r="Y333">
        <f>N333-X333</f>
        <v>118.8</v>
      </c>
      <c r="Z333">
        <f>SUMIF(货件明细!J:J,E333,货件明细!I:I)</f>
        <v>0</v>
      </c>
      <c r="AA333">
        <f>IF(S333=Z333,0,1)</f>
        <v>1</v>
      </c>
    </row>
    <row r="334" hidden="1" spans="1:27">
      <c r="A334">
        <v>1</v>
      </c>
      <c r="B334">
        <v>4</v>
      </c>
      <c r="C334" s="3">
        <v>46045</v>
      </c>
      <c r="D334" t="s">
        <v>88</v>
      </c>
      <c r="E334" t="s">
        <v>432</v>
      </c>
      <c r="F334" t="s">
        <v>211</v>
      </c>
      <c r="G334" t="s">
        <v>72</v>
      </c>
      <c r="H334" t="s">
        <v>39</v>
      </c>
      <c r="I334" t="s">
        <v>63</v>
      </c>
      <c r="J334" t="s">
        <v>63</v>
      </c>
      <c r="K334" t="s">
        <v>64</v>
      </c>
      <c r="L334" t="s">
        <v>147</v>
      </c>
      <c r="M334" t="s">
        <v>425</v>
      </c>
      <c r="N334">
        <v>68.4</v>
      </c>
      <c r="O334">
        <v>25</v>
      </c>
      <c r="P334">
        <v>297.230769230769</v>
      </c>
      <c r="Q334">
        <v>322.230769230769</v>
      </c>
      <c r="R334">
        <v>0</v>
      </c>
      <c r="S334">
        <v>322.230769230769</v>
      </c>
      <c r="T334">
        <v>330</v>
      </c>
      <c r="U334">
        <f>SUMIF(货件明细!J:J,E334,货件明细!AP:AP)</f>
        <v>0</v>
      </c>
      <c r="V334">
        <f>IF(U334=T334,0,1)</f>
        <v>1</v>
      </c>
      <c r="W334">
        <f>T334</f>
        <v>330</v>
      </c>
      <c r="X334">
        <f>SUMIF(货件明细!J:J,E334,货件明细!H:H)</f>
        <v>0</v>
      </c>
      <c r="Y334">
        <f>N334-X334</f>
        <v>68.4</v>
      </c>
      <c r="Z334">
        <f>SUMIF(货件明细!J:J,E334,货件明细!I:I)</f>
        <v>0</v>
      </c>
      <c r="AA334">
        <f>IF(S334=Z334,0,1)</f>
        <v>1</v>
      </c>
    </row>
    <row r="335" hidden="1" spans="1:27">
      <c r="A335">
        <v>1</v>
      </c>
      <c r="B335">
        <v>4</v>
      </c>
      <c r="C335" s="3">
        <v>46045</v>
      </c>
      <c r="D335" t="s">
        <v>88</v>
      </c>
      <c r="E335" t="s">
        <v>433</v>
      </c>
      <c r="F335" t="s">
        <v>211</v>
      </c>
      <c r="G335" t="s">
        <v>72</v>
      </c>
      <c r="H335" t="s">
        <v>56</v>
      </c>
      <c r="I335" t="s">
        <v>63</v>
      </c>
      <c r="J335" t="s">
        <v>63</v>
      </c>
      <c r="K335" t="s">
        <v>64</v>
      </c>
      <c r="L335" t="s">
        <v>147</v>
      </c>
      <c r="M335" t="s">
        <v>425</v>
      </c>
      <c r="N335">
        <v>73.4</v>
      </c>
      <c r="O335">
        <v>25</v>
      </c>
      <c r="P335">
        <v>169.846153846154</v>
      </c>
      <c r="Q335">
        <v>194.846153846154</v>
      </c>
      <c r="R335">
        <v>0</v>
      </c>
      <c r="S335">
        <v>194.846153846154</v>
      </c>
      <c r="T335">
        <v>530</v>
      </c>
      <c r="U335">
        <f>SUMIF(货件明细!J:J,E335,货件明细!AP:AP)</f>
        <v>0</v>
      </c>
      <c r="V335">
        <f>IF(U335=T335,0,1)</f>
        <v>1</v>
      </c>
      <c r="W335">
        <f>T335</f>
        <v>530</v>
      </c>
      <c r="X335">
        <f>SUMIF(货件明细!J:J,E335,货件明细!H:H)</f>
        <v>0</v>
      </c>
      <c r="Y335">
        <f>N335-X335</f>
        <v>73.4</v>
      </c>
      <c r="Z335">
        <f>SUMIF(货件明细!J:J,E335,货件明细!I:I)</f>
        <v>0</v>
      </c>
      <c r="AA335">
        <f>IF(S335=Z335,0,1)</f>
        <v>1</v>
      </c>
    </row>
    <row r="336" hidden="1" spans="1:27">
      <c r="A336">
        <v>1</v>
      </c>
      <c r="B336">
        <v>4</v>
      </c>
      <c r="C336" s="3">
        <v>46045</v>
      </c>
      <c r="D336" t="s">
        <v>27</v>
      </c>
      <c r="E336" t="s">
        <v>434</v>
      </c>
      <c r="F336" t="s">
        <v>239</v>
      </c>
      <c r="G336" t="s">
        <v>72</v>
      </c>
      <c r="H336" t="s">
        <v>56</v>
      </c>
      <c r="I336" t="s">
        <v>63</v>
      </c>
      <c r="J336" t="s">
        <v>63</v>
      </c>
      <c r="K336" t="s">
        <v>64</v>
      </c>
      <c r="L336" t="s">
        <v>65</v>
      </c>
      <c r="M336" t="s">
        <v>66</v>
      </c>
      <c r="N336">
        <v>35.5</v>
      </c>
      <c r="O336">
        <v>23.3333333333333</v>
      </c>
      <c r="P336">
        <v>117.542857142857</v>
      </c>
      <c r="Q336">
        <v>140.87619047619</v>
      </c>
      <c r="R336">
        <v>0</v>
      </c>
      <c r="S336">
        <v>140.87619047619</v>
      </c>
      <c r="T336">
        <v>204</v>
      </c>
      <c r="U336">
        <f>SUMIF(货件明细!J:J,E336,货件明细!AP:AP)</f>
        <v>0</v>
      </c>
      <c r="V336">
        <f>IF(U336=T336,0,1)</f>
        <v>1</v>
      </c>
      <c r="W336">
        <f>T336</f>
        <v>204</v>
      </c>
      <c r="X336">
        <f>SUMIF(货件明细!J:J,E336,货件明细!H:H)</f>
        <v>0</v>
      </c>
      <c r="Y336">
        <f>N336-X336</f>
        <v>35.5</v>
      </c>
      <c r="Z336">
        <f>SUMIF(货件明细!J:J,E336,货件明细!I:I)</f>
        <v>0</v>
      </c>
      <c r="AA336">
        <f>IF(S336=Z336,0,1)</f>
        <v>1</v>
      </c>
    </row>
    <row r="337" hidden="1" spans="1:27">
      <c r="A337">
        <v>1</v>
      </c>
      <c r="B337">
        <v>4</v>
      </c>
      <c r="C337" s="3">
        <v>46045</v>
      </c>
      <c r="D337" t="s">
        <v>27</v>
      </c>
      <c r="E337" t="s">
        <v>435</v>
      </c>
      <c r="F337" t="s">
        <v>185</v>
      </c>
      <c r="G337" t="s">
        <v>30</v>
      </c>
      <c r="H337" t="s">
        <v>56</v>
      </c>
      <c r="I337" t="s">
        <v>63</v>
      </c>
      <c r="J337" t="s">
        <v>63</v>
      </c>
      <c r="K337" t="s">
        <v>64</v>
      </c>
      <c r="L337" t="s">
        <v>65</v>
      </c>
      <c r="M337" t="s">
        <v>66</v>
      </c>
      <c r="N337">
        <v>35.5</v>
      </c>
      <c r="O337">
        <v>35</v>
      </c>
      <c r="P337">
        <v>193.6</v>
      </c>
      <c r="Q337">
        <v>228.6</v>
      </c>
      <c r="R337">
        <v>0</v>
      </c>
      <c r="S337">
        <v>228.6</v>
      </c>
      <c r="T337">
        <v>204</v>
      </c>
      <c r="U337">
        <f>SUMIF(货件明细!J:J,E337,货件明细!AP:AP)</f>
        <v>0</v>
      </c>
      <c r="V337">
        <f>IF(U337=T337,0,1)</f>
        <v>1</v>
      </c>
      <c r="W337">
        <f>T337</f>
        <v>204</v>
      </c>
      <c r="X337">
        <f>SUMIF(货件明细!J:J,E337,货件明细!H:H)</f>
        <v>0</v>
      </c>
      <c r="Y337">
        <f>N337-X337</f>
        <v>35.5</v>
      </c>
      <c r="Z337">
        <f>SUMIF(货件明细!J:J,E337,货件明细!I:I)</f>
        <v>0</v>
      </c>
      <c r="AA337">
        <f>IF(S337=Z337,0,1)</f>
        <v>1</v>
      </c>
    </row>
    <row r="338" hidden="1" spans="1:27">
      <c r="A338">
        <v>1</v>
      </c>
      <c r="B338">
        <v>4</v>
      </c>
      <c r="C338" s="3">
        <v>46045</v>
      </c>
      <c r="D338" t="s">
        <v>27</v>
      </c>
      <c r="E338" t="s">
        <v>436</v>
      </c>
      <c r="F338" t="s">
        <v>62</v>
      </c>
      <c r="G338" t="s">
        <v>30</v>
      </c>
      <c r="H338" t="s">
        <v>56</v>
      </c>
      <c r="I338" t="s">
        <v>63</v>
      </c>
      <c r="J338" t="s">
        <v>63</v>
      </c>
      <c r="K338" t="s">
        <v>64</v>
      </c>
      <c r="L338" t="s">
        <v>65</v>
      </c>
      <c r="M338" t="s">
        <v>66</v>
      </c>
      <c r="N338">
        <v>35.5</v>
      </c>
      <c r="O338">
        <v>35</v>
      </c>
      <c r="P338">
        <v>185.428571428571</v>
      </c>
      <c r="Q338">
        <v>220.428571428571</v>
      </c>
      <c r="R338">
        <v>0</v>
      </c>
      <c r="S338">
        <v>220.428571428571</v>
      </c>
      <c r="T338">
        <v>204</v>
      </c>
      <c r="U338">
        <f>SUMIF(货件明细!J:J,E338,货件明细!AP:AP)</f>
        <v>0</v>
      </c>
      <c r="V338">
        <f>IF(U338=T338,0,1)</f>
        <v>1</v>
      </c>
      <c r="W338">
        <f>T338</f>
        <v>204</v>
      </c>
      <c r="X338">
        <f>SUMIF(货件明细!J:J,E338,货件明细!H:H)</f>
        <v>0</v>
      </c>
      <c r="Y338">
        <f>N338-X338</f>
        <v>35.5</v>
      </c>
      <c r="Z338">
        <f>SUMIF(货件明细!J:J,E338,货件明细!I:I)</f>
        <v>0</v>
      </c>
      <c r="AA338">
        <f>IF(S338=Z338,0,1)</f>
        <v>1</v>
      </c>
    </row>
    <row r="339" hidden="1" spans="1:27">
      <c r="A339">
        <v>1</v>
      </c>
      <c r="B339">
        <v>4</v>
      </c>
      <c r="C339" s="3">
        <v>46045</v>
      </c>
      <c r="D339" t="s">
        <v>27</v>
      </c>
      <c r="E339" t="s">
        <v>437</v>
      </c>
      <c r="F339" t="s">
        <v>98</v>
      </c>
      <c r="G339" t="s">
        <v>72</v>
      </c>
      <c r="H339" t="s">
        <v>56</v>
      </c>
      <c r="I339" t="s">
        <v>63</v>
      </c>
      <c r="J339" t="s">
        <v>63</v>
      </c>
      <c r="K339" t="s">
        <v>64</v>
      </c>
      <c r="L339" t="s">
        <v>65</v>
      </c>
      <c r="M339" t="s">
        <v>66</v>
      </c>
      <c r="N339">
        <v>35.5</v>
      </c>
      <c r="O339">
        <v>23.3333333333333</v>
      </c>
      <c r="P339">
        <v>120.214285714286</v>
      </c>
      <c r="Q339">
        <v>143.547619047619</v>
      </c>
      <c r="R339">
        <v>0</v>
      </c>
      <c r="S339">
        <v>143.547619047619</v>
      </c>
      <c r="T339">
        <v>204</v>
      </c>
      <c r="U339">
        <f>SUMIF(货件明细!J:J,E339,货件明细!AP:AP)</f>
        <v>0</v>
      </c>
      <c r="V339">
        <f>IF(U339=T339,0,1)</f>
        <v>1</v>
      </c>
      <c r="W339">
        <f>T339</f>
        <v>204</v>
      </c>
      <c r="X339">
        <f>SUMIF(货件明细!J:J,E339,货件明细!H:H)</f>
        <v>0</v>
      </c>
      <c r="Y339">
        <f>N339-X339</f>
        <v>35.5</v>
      </c>
      <c r="Z339">
        <f>SUMIF(货件明细!J:J,E339,货件明细!I:I)</f>
        <v>0</v>
      </c>
      <c r="AA339">
        <f>IF(S339=Z339,0,1)</f>
        <v>1</v>
      </c>
    </row>
    <row r="340" hidden="1" spans="1:27">
      <c r="A340">
        <v>1</v>
      </c>
      <c r="B340">
        <v>4</v>
      </c>
      <c r="C340" s="3">
        <v>46045</v>
      </c>
      <c r="D340" t="s">
        <v>27</v>
      </c>
      <c r="E340" t="s">
        <v>438</v>
      </c>
      <c r="F340" t="s">
        <v>243</v>
      </c>
      <c r="G340" t="s">
        <v>72</v>
      </c>
      <c r="H340" t="s">
        <v>56</v>
      </c>
      <c r="I340" t="s">
        <v>63</v>
      </c>
      <c r="J340" t="s">
        <v>63</v>
      </c>
      <c r="K340" t="s">
        <v>64</v>
      </c>
      <c r="L340" t="s">
        <v>65</v>
      </c>
      <c r="M340" t="s">
        <v>66</v>
      </c>
      <c r="N340">
        <v>35.5</v>
      </c>
      <c r="O340">
        <v>23.3333333333333</v>
      </c>
      <c r="P340">
        <v>115.94</v>
      </c>
      <c r="Q340">
        <v>139.273333333333</v>
      </c>
      <c r="R340">
        <v>0</v>
      </c>
      <c r="S340">
        <v>139.273333333333</v>
      </c>
      <c r="T340">
        <v>204</v>
      </c>
      <c r="U340">
        <f>SUMIF(货件明细!J:J,E340,货件明细!AP:AP)</f>
        <v>0</v>
      </c>
      <c r="V340">
        <f>IF(U340=T340,0,1)</f>
        <v>1</v>
      </c>
      <c r="W340">
        <f>T340</f>
        <v>204</v>
      </c>
      <c r="X340">
        <f>SUMIF(货件明细!J:J,E340,货件明细!H:H)</f>
        <v>0</v>
      </c>
      <c r="Y340">
        <f>N340-X340</f>
        <v>35.5</v>
      </c>
      <c r="Z340">
        <f>SUMIF(货件明细!J:J,E340,货件明细!I:I)</f>
        <v>0</v>
      </c>
      <c r="AA340">
        <f>IF(S340=Z340,0,1)</f>
        <v>1</v>
      </c>
    </row>
    <row r="341" hidden="1" spans="1:27">
      <c r="A341">
        <v>1</v>
      </c>
      <c r="B341">
        <v>4</v>
      </c>
      <c r="C341" s="3">
        <v>46045</v>
      </c>
      <c r="D341" t="s">
        <v>27</v>
      </c>
      <c r="E341" t="s">
        <v>439</v>
      </c>
      <c r="F341" t="s">
        <v>185</v>
      </c>
      <c r="G341" t="s">
        <v>30</v>
      </c>
      <c r="H341" t="s">
        <v>78</v>
      </c>
      <c r="I341" t="s">
        <v>63</v>
      </c>
      <c r="J341" t="s">
        <v>63</v>
      </c>
      <c r="K341" t="s">
        <v>64</v>
      </c>
      <c r="L341" t="s">
        <v>65</v>
      </c>
      <c r="M341" t="s">
        <v>66</v>
      </c>
      <c r="N341">
        <v>28.7</v>
      </c>
      <c r="O341">
        <v>35</v>
      </c>
      <c r="P341">
        <v>193.6</v>
      </c>
      <c r="Q341">
        <v>228.6</v>
      </c>
      <c r="R341">
        <v>0</v>
      </c>
      <c r="S341">
        <v>228.6</v>
      </c>
      <c r="T341">
        <v>151</v>
      </c>
      <c r="U341">
        <f>SUMIF(货件明细!J:J,E341,货件明细!AP:AP)</f>
        <v>0</v>
      </c>
      <c r="V341">
        <f>IF(U341=T341,0,1)</f>
        <v>1</v>
      </c>
      <c r="W341">
        <f>T341</f>
        <v>151</v>
      </c>
      <c r="X341">
        <f>SUMIF(货件明细!J:J,E341,货件明细!H:H)</f>
        <v>0</v>
      </c>
      <c r="Y341">
        <f>N341-X341</f>
        <v>28.7</v>
      </c>
      <c r="Z341">
        <f>SUMIF(货件明细!J:J,E341,货件明细!I:I)</f>
        <v>0</v>
      </c>
      <c r="AA341">
        <f>IF(S341=Z341,0,1)</f>
        <v>1</v>
      </c>
    </row>
    <row r="342" hidden="1" spans="1:27">
      <c r="A342">
        <v>1</v>
      </c>
      <c r="B342">
        <v>4</v>
      </c>
      <c r="C342" s="3">
        <v>46045</v>
      </c>
      <c r="D342" t="s">
        <v>27</v>
      </c>
      <c r="E342" t="s">
        <v>440</v>
      </c>
      <c r="F342" t="s">
        <v>62</v>
      </c>
      <c r="G342" t="s">
        <v>30</v>
      </c>
      <c r="H342" t="s">
        <v>78</v>
      </c>
      <c r="I342" t="s">
        <v>63</v>
      </c>
      <c r="J342" t="s">
        <v>63</v>
      </c>
      <c r="K342" t="s">
        <v>64</v>
      </c>
      <c r="L342" t="s">
        <v>65</v>
      </c>
      <c r="M342" t="s">
        <v>66</v>
      </c>
      <c r="N342">
        <v>28.7</v>
      </c>
      <c r="O342">
        <v>35</v>
      </c>
      <c r="P342">
        <v>185.428571428571</v>
      </c>
      <c r="Q342">
        <v>220.428571428571</v>
      </c>
      <c r="R342">
        <v>0</v>
      </c>
      <c r="S342">
        <v>220.428571428571</v>
      </c>
      <c r="T342">
        <v>151</v>
      </c>
      <c r="U342">
        <f>SUMIF(货件明细!J:J,E342,货件明细!AP:AP)</f>
        <v>0</v>
      </c>
      <c r="V342">
        <f>IF(U342=T342,0,1)</f>
        <v>1</v>
      </c>
      <c r="W342">
        <f>T342</f>
        <v>151</v>
      </c>
      <c r="X342">
        <f>SUMIF(货件明细!J:J,E342,货件明细!H:H)</f>
        <v>0</v>
      </c>
      <c r="Y342">
        <f>N342-X342</f>
        <v>28.7</v>
      </c>
      <c r="Z342">
        <f>SUMIF(货件明细!J:J,E342,货件明细!I:I)</f>
        <v>0</v>
      </c>
      <c r="AA342">
        <f>IF(S342=Z342,0,1)</f>
        <v>1</v>
      </c>
    </row>
    <row r="343" hidden="1" spans="1:27">
      <c r="A343">
        <v>1</v>
      </c>
      <c r="B343">
        <v>4</v>
      </c>
      <c r="C343" s="3">
        <v>46045</v>
      </c>
      <c r="D343" t="s">
        <v>27</v>
      </c>
      <c r="E343" t="s">
        <v>441</v>
      </c>
      <c r="F343" t="s">
        <v>239</v>
      </c>
      <c r="G343" t="s">
        <v>72</v>
      </c>
      <c r="H343" t="s">
        <v>78</v>
      </c>
      <c r="I343" t="s">
        <v>63</v>
      </c>
      <c r="J343" t="s">
        <v>63</v>
      </c>
      <c r="K343" t="s">
        <v>64</v>
      </c>
      <c r="L343" t="s">
        <v>65</v>
      </c>
      <c r="M343" t="s">
        <v>66</v>
      </c>
      <c r="N343">
        <v>28.7</v>
      </c>
      <c r="O343">
        <v>23.3333333333333</v>
      </c>
      <c r="P343">
        <v>117.542857142857</v>
      </c>
      <c r="Q343">
        <v>140.87619047619</v>
      </c>
      <c r="R343">
        <v>0</v>
      </c>
      <c r="S343">
        <v>140.87619047619</v>
      </c>
      <c r="T343">
        <v>151</v>
      </c>
      <c r="U343">
        <f>SUMIF(货件明细!J:J,E343,货件明细!AP:AP)</f>
        <v>0</v>
      </c>
      <c r="V343">
        <f>IF(U343=T343,0,1)</f>
        <v>1</v>
      </c>
      <c r="W343">
        <f>T343</f>
        <v>151</v>
      </c>
      <c r="X343">
        <f>SUMIF(货件明细!J:J,E343,货件明细!H:H)</f>
        <v>0</v>
      </c>
      <c r="Y343">
        <f>N343-X343</f>
        <v>28.7</v>
      </c>
      <c r="Z343">
        <f>SUMIF(货件明细!J:J,E343,货件明细!I:I)</f>
        <v>0</v>
      </c>
      <c r="AA343">
        <f>IF(S343=Z343,0,1)</f>
        <v>1</v>
      </c>
    </row>
    <row r="344" hidden="1" spans="1:27">
      <c r="A344">
        <v>1</v>
      </c>
      <c r="B344">
        <v>4</v>
      </c>
      <c r="C344" s="3">
        <v>46045</v>
      </c>
      <c r="D344" t="s">
        <v>27</v>
      </c>
      <c r="E344" t="s">
        <v>442</v>
      </c>
      <c r="F344" t="s">
        <v>243</v>
      </c>
      <c r="G344" t="s">
        <v>72</v>
      </c>
      <c r="H344" t="s">
        <v>78</v>
      </c>
      <c r="I344" t="s">
        <v>63</v>
      </c>
      <c r="J344" t="s">
        <v>63</v>
      </c>
      <c r="K344" t="s">
        <v>64</v>
      </c>
      <c r="L344" t="s">
        <v>65</v>
      </c>
      <c r="M344" t="s">
        <v>66</v>
      </c>
      <c r="N344">
        <v>28.7</v>
      </c>
      <c r="O344">
        <v>23.3333333333333</v>
      </c>
      <c r="P344">
        <v>115.94</v>
      </c>
      <c r="Q344">
        <v>139.273333333333</v>
      </c>
      <c r="R344">
        <v>0</v>
      </c>
      <c r="S344">
        <v>139.273333333333</v>
      </c>
      <c r="T344">
        <v>151</v>
      </c>
      <c r="U344">
        <f>SUMIF(货件明细!J:J,E344,货件明细!AP:AP)</f>
        <v>0</v>
      </c>
      <c r="V344">
        <f>IF(U344=T344,0,1)</f>
        <v>1</v>
      </c>
      <c r="W344">
        <f>T344</f>
        <v>151</v>
      </c>
      <c r="X344">
        <f>SUMIF(货件明细!J:J,E344,货件明细!H:H)</f>
        <v>0</v>
      </c>
      <c r="Y344">
        <f>N344-X344</f>
        <v>28.7</v>
      </c>
      <c r="Z344">
        <f>SUMIF(货件明细!J:J,E344,货件明细!I:I)</f>
        <v>0</v>
      </c>
      <c r="AA344">
        <f>IF(S344=Z344,0,1)</f>
        <v>1</v>
      </c>
    </row>
    <row r="345" hidden="1" spans="1:27">
      <c r="A345">
        <v>1</v>
      </c>
      <c r="B345">
        <v>4</v>
      </c>
      <c r="C345" s="3">
        <v>46045</v>
      </c>
      <c r="D345" t="s">
        <v>27</v>
      </c>
      <c r="E345" t="s">
        <v>443</v>
      </c>
      <c r="F345" t="s">
        <v>98</v>
      </c>
      <c r="G345" t="s">
        <v>72</v>
      </c>
      <c r="H345" t="s">
        <v>78</v>
      </c>
      <c r="I345" t="s">
        <v>63</v>
      </c>
      <c r="J345" t="s">
        <v>63</v>
      </c>
      <c r="K345" t="s">
        <v>64</v>
      </c>
      <c r="L345" t="s">
        <v>65</v>
      </c>
      <c r="M345" t="s">
        <v>66</v>
      </c>
      <c r="N345">
        <v>28.7</v>
      </c>
      <c r="O345">
        <v>23.3333333333333</v>
      </c>
      <c r="P345">
        <v>120.214285714286</v>
      </c>
      <c r="Q345">
        <v>143.547619047619</v>
      </c>
      <c r="R345">
        <v>0</v>
      </c>
      <c r="S345">
        <v>143.547619047619</v>
      </c>
      <c r="T345">
        <v>151</v>
      </c>
      <c r="U345">
        <f>SUMIF(货件明细!J:J,E345,货件明细!AP:AP)</f>
        <v>0</v>
      </c>
      <c r="V345">
        <f>IF(U345=T345,0,1)</f>
        <v>1</v>
      </c>
      <c r="W345">
        <f>T345</f>
        <v>151</v>
      </c>
      <c r="X345">
        <f>SUMIF(货件明细!J:J,E345,货件明细!H:H)</f>
        <v>0</v>
      </c>
      <c r="Y345">
        <f>N345-X345</f>
        <v>28.7</v>
      </c>
      <c r="Z345">
        <f>SUMIF(货件明细!J:J,E345,货件明细!I:I)</f>
        <v>0</v>
      </c>
      <c r="AA345">
        <f>IF(S345=Z345,0,1)</f>
        <v>1</v>
      </c>
    </row>
    <row r="346" hidden="1" spans="1:27">
      <c r="A346">
        <v>1</v>
      </c>
      <c r="B346">
        <v>4</v>
      </c>
      <c r="C346" s="3">
        <v>46045</v>
      </c>
      <c r="D346" t="s">
        <v>27</v>
      </c>
      <c r="E346" t="s">
        <v>444</v>
      </c>
      <c r="F346" t="s">
        <v>141</v>
      </c>
      <c r="G346" t="s">
        <v>69</v>
      </c>
      <c r="H346" t="s">
        <v>59</v>
      </c>
      <c r="I346" t="s">
        <v>63</v>
      </c>
      <c r="J346" t="s">
        <v>63</v>
      </c>
      <c r="K346" t="s">
        <v>64</v>
      </c>
      <c r="L346" t="s">
        <v>65</v>
      </c>
      <c r="M346" t="s">
        <v>66</v>
      </c>
      <c r="N346">
        <v>38.9</v>
      </c>
      <c r="O346">
        <v>23.3333333333333</v>
      </c>
      <c r="P346">
        <v>168.35</v>
      </c>
      <c r="Q346">
        <v>191.683333333333</v>
      </c>
      <c r="R346">
        <v>0</v>
      </c>
      <c r="S346">
        <v>191.683333333333</v>
      </c>
      <c r="T346">
        <v>237</v>
      </c>
      <c r="U346">
        <f>SUMIF(货件明细!J:J,E346,货件明细!AP:AP)</f>
        <v>0</v>
      </c>
      <c r="V346">
        <f>IF(U346=T346,0,1)</f>
        <v>1</v>
      </c>
      <c r="W346">
        <f>T346</f>
        <v>237</v>
      </c>
      <c r="X346">
        <f>SUMIF(货件明细!J:J,E346,货件明细!H:H)</f>
        <v>0</v>
      </c>
      <c r="Y346">
        <f>N346-X346</f>
        <v>38.9</v>
      </c>
      <c r="Z346">
        <f>SUMIF(货件明细!J:J,E346,货件明细!I:I)</f>
        <v>0</v>
      </c>
      <c r="AA346">
        <f>IF(S346=Z346,0,1)</f>
        <v>1</v>
      </c>
    </row>
    <row r="347" hidden="1" spans="1:27">
      <c r="A347">
        <v>1</v>
      </c>
      <c r="B347">
        <v>4</v>
      </c>
      <c r="C347" s="3">
        <v>46045</v>
      </c>
      <c r="D347" t="s">
        <v>27</v>
      </c>
      <c r="E347" t="s">
        <v>445</v>
      </c>
      <c r="F347" t="s">
        <v>185</v>
      </c>
      <c r="G347" t="s">
        <v>30</v>
      </c>
      <c r="H347" t="s">
        <v>59</v>
      </c>
      <c r="I347" t="s">
        <v>63</v>
      </c>
      <c r="J347" t="s">
        <v>63</v>
      </c>
      <c r="K347" t="s">
        <v>64</v>
      </c>
      <c r="L347" t="s">
        <v>65</v>
      </c>
      <c r="M347" t="s">
        <v>66</v>
      </c>
      <c r="N347">
        <v>38.9</v>
      </c>
      <c r="O347">
        <v>35</v>
      </c>
      <c r="P347">
        <v>193.6</v>
      </c>
      <c r="Q347">
        <v>228.6</v>
      </c>
      <c r="R347">
        <v>0</v>
      </c>
      <c r="S347">
        <v>228.6</v>
      </c>
      <c r="T347">
        <v>237</v>
      </c>
      <c r="U347">
        <f>SUMIF(货件明细!J:J,E347,货件明细!AP:AP)</f>
        <v>0</v>
      </c>
      <c r="V347">
        <f>IF(U347=T347,0,1)</f>
        <v>1</v>
      </c>
      <c r="W347">
        <f>T347</f>
        <v>237</v>
      </c>
      <c r="X347">
        <f>SUMIF(货件明细!J:J,E347,货件明细!H:H)</f>
        <v>0</v>
      </c>
      <c r="Y347">
        <f>N347-X347</f>
        <v>38.9</v>
      </c>
      <c r="Z347">
        <f>SUMIF(货件明细!J:J,E347,货件明细!I:I)</f>
        <v>0</v>
      </c>
      <c r="AA347">
        <f>IF(S347=Z347,0,1)</f>
        <v>1</v>
      </c>
    </row>
    <row r="348" hidden="1" spans="1:27">
      <c r="A348">
        <v>1</v>
      </c>
      <c r="B348">
        <v>4</v>
      </c>
      <c r="C348" s="3">
        <v>46045</v>
      </c>
      <c r="D348" t="s">
        <v>27</v>
      </c>
      <c r="E348" t="s">
        <v>446</v>
      </c>
      <c r="F348" t="s">
        <v>98</v>
      </c>
      <c r="G348" t="s">
        <v>72</v>
      </c>
      <c r="H348" t="s">
        <v>59</v>
      </c>
      <c r="I348" t="s">
        <v>63</v>
      </c>
      <c r="J348" t="s">
        <v>63</v>
      </c>
      <c r="K348" t="s">
        <v>64</v>
      </c>
      <c r="L348" t="s">
        <v>65</v>
      </c>
      <c r="M348" t="s">
        <v>66</v>
      </c>
      <c r="N348">
        <v>38.9</v>
      </c>
      <c r="O348">
        <v>23.3333333333333</v>
      </c>
      <c r="P348">
        <v>120.214285714286</v>
      </c>
      <c r="Q348">
        <v>143.547619047619</v>
      </c>
      <c r="R348">
        <v>0</v>
      </c>
      <c r="S348">
        <v>143.547619047619</v>
      </c>
      <c r="T348">
        <v>237</v>
      </c>
      <c r="U348">
        <f>SUMIF(货件明细!J:J,E348,货件明细!AP:AP)</f>
        <v>0</v>
      </c>
      <c r="V348">
        <f>IF(U348=T348,0,1)</f>
        <v>1</v>
      </c>
      <c r="W348">
        <f>T348</f>
        <v>237</v>
      </c>
      <c r="X348">
        <f>SUMIF(货件明细!J:J,E348,货件明细!H:H)</f>
        <v>0</v>
      </c>
      <c r="Y348">
        <f>N348-X348</f>
        <v>38.9</v>
      </c>
      <c r="Z348">
        <f>SUMIF(货件明细!J:J,E348,货件明细!I:I)</f>
        <v>0</v>
      </c>
      <c r="AA348">
        <f>IF(S348=Z348,0,1)</f>
        <v>1</v>
      </c>
    </row>
    <row r="349" hidden="1" spans="1:27">
      <c r="A349">
        <v>1</v>
      </c>
      <c r="B349">
        <v>4</v>
      </c>
      <c r="C349" s="3">
        <v>46045</v>
      </c>
      <c r="D349" t="s">
        <v>27</v>
      </c>
      <c r="E349" t="s">
        <v>447</v>
      </c>
      <c r="F349" t="s">
        <v>62</v>
      </c>
      <c r="G349" t="s">
        <v>30</v>
      </c>
      <c r="H349" t="s">
        <v>59</v>
      </c>
      <c r="I349" t="s">
        <v>63</v>
      </c>
      <c r="J349" t="s">
        <v>63</v>
      </c>
      <c r="K349" t="s">
        <v>64</v>
      </c>
      <c r="L349" t="s">
        <v>65</v>
      </c>
      <c r="M349" t="s">
        <v>66</v>
      </c>
      <c r="N349">
        <v>38.9</v>
      </c>
      <c r="O349">
        <v>35</v>
      </c>
      <c r="P349">
        <v>185.428571428571</v>
      </c>
      <c r="Q349">
        <v>220.428571428571</v>
      </c>
      <c r="R349">
        <v>0</v>
      </c>
      <c r="S349">
        <v>220.428571428571</v>
      </c>
      <c r="T349">
        <v>237</v>
      </c>
      <c r="U349">
        <f>SUMIF(货件明细!J:J,E349,货件明细!AP:AP)</f>
        <v>0</v>
      </c>
      <c r="V349">
        <f>IF(U349=T349,0,1)</f>
        <v>1</v>
      </c>
      <c r="W349">
        <f>T349</f>
        <v>237</v>
      </c>
      <c r="X349">
        <f>SUMIF(货件明细!J:J,E349,货件明细!H:H)</f>
        <v>0</v>
      </c>
      <c r="Y349">
        <f>N349-X349</f>
        <v>38.9</v>
      </c>
      <c r="Z349">
        <f>SUMIF(货件明细!J:J,E349,货件明细!I:I)</f>
        <v>0</v>
      </c>
      <c r="AA349">
        <f>IF(S349=Z349,0,1)</f>
        <v>1</v>
      </c>
    </row>
    <row r="350" hidden="1" spans="1:27">
      <c r="A350">
        <v>1</v>
      </c>
      <c r="B350">
        <v>4</v>
      </c>
      <c r="C350" s="3">
        <v>46045</v>
      </c>
      <c r="D350" t="s">
        <v>27</v>
      </c>
      <c r="E350" t="s">
        <v>448</v>
      </c>
      <c r="F350" t="s">
        <v>239</v>
      </c>
      <c r="G350" t="s">
        <v>72</v>
      </c>
      <c r="H350" t="s">
        <v>59</v>
      </c>
      <c r="I350" t="s">
        <v>63</v>
      </c>
      <c r="J350" t="s">
        <v>63</v>
      </c>
      <c r="K350" t="s">
        <v>64</v>
      </c>
      <c r="L350" t="s">
        <v>65</v>
      </c>
      <c r="M350" t="s">
        <v>66</v>
      </c>
      <c r="N350">
        <v>38.9</v>
      </c>
      <c r="O350">
        <v>23.3333333333333</v>
      </c>
      <c r="P350">
        <v>117.542857142857</v>
      </c>
      <c r="Q350">
        <v>140.87619047619</v>
      </c>
      <c r="R350">
        <v>0</v>
      </c>
      <c r="S350">
        <v>140.87619047619</v>
      </c>
      <c r="T350">
        <v>237</v>
      </c>
      <c r="U350">
        <f>SUMIF(货件明细!J:J,E350,货件明细!AP:AP)</f>
        <v>0</v>
      </c>
      <c r="V350">
        <f>IF(U350=T350,0,1)</f>
        <v>1</v>
      </c>
      <c r="W350">
        <f>T350</f>
        <v>237</v>
      </c>
      <c r="X350">
        <f>SUMIF(货件明细!J:J,E350,货件明细!H:H)</f>
        <v>0</v>
      </c>
      <c r="Y350">
        <f>N350-X350</f>
        <v>38.9</v>
      </c>
      <c r="Z350">
        <f>SUMIF(货件明细!J:J,E350,货件明细!I:I)</f>
        <v>0</v>
      </c>
      <c r="AA350">
        <f>IF(S350=Z350,0,1)</f>
        <v>1</v>
      </c>
    </row>
    <row r="351" hidden="1" spans="1:27">
      <c r="A351">
        <v>1</v>
      </c>
      <c r="B351">
        <v>4</v>
      </c>
      <c r="C351" s="3">
        <v>46045</v>
      </c>
      <c r="D351" t="s">
        <v>27</v>
      </c>
      <c r="E351" t="s">
        <v>449</v>
      </c>
      <c r="F351" t="s">
        <v>239</v>
      </c>
      <c r="G351" t="s">
        <v>72</v>
      </c>
      <c r="H351" t="s">
        <v>54</v>
      </c>
      <c r="I351" t="s">
        <v>63</v>
      </c>
      <c r="J351" t="s">
        <v>63</v>
      </c>
      <c r="K351" t="s">
        <v>64</v>
      </c>
      <c r="L351" t="s">
        <v>65</v>
      </c>
      <c r="M351" t="s">
        <v>66</v>
      </c>
      <c r="N351">
        <v>19.75</v>
      </c>
      <c r="O351">
        <v>23.3333333333333</v>
      </c>
      <c r="P351">
        <v>58.7714285714286</v>
      </c>
      <c r="Q351">
        <v>82.1047619047619</v>
      </c>
      <c r="R351">
        <v>0</v>
      </c>
      <c r="S351">
        <v>82.1047619047619</v>
      </c>
      <c r="T351">
        <v>149</v>
      </c>
      <c r="U351">
        <f>SUMIF(货件明细!J:J,E351,货件明细!AP:AP)</f>
        <v>0</v>
      </c>
      <c r="V351">
        <f>IF(U351=T351,0,1)</f>
        <v>1</v>
      </c>
      <c r="W351">
        <f>T351</f>
        <v>149</v>
      </c>
      <c r="X351">
        <f>SUMIF(货件明细!J:J,E351,货件明细!H:H)</f>
        <v>0</v>
      </c>
      <c r="Y351">
        <f>N351-X351</f>
        <v>19.75</v>
      </c>
      <c r="Z351">
        <f>SUMIF(货件明细!J:J,E351,货件明细!I:I)</f>
        <v>0</v>
      </c>
      <c r="AA351">
        <f>IF(S351=Z351,0,1)</f>
        <v>1</v>
      </c>
    </row>
    <row r="352" hidden="1" spans="1:27">
      <c r="A352">
        <v>1</v>
      </c>
      <c r="B352">
        <v>4</v>
      </c>
      <c r="C352" s="3">
        <v>46045</v>
      </c>
      <c r="D352" t="s">
        <v>27</v>
      </c>
      <c r="E352" t="s">
        <v>450</v>
      </c>
      <c r="F352" t="s">
        <v>62</v>
      </c>
      <c r="G352" t="s">
        <v>30</v>
      </c>
      <c r="H352" t="s">
        <v>54</v>
      </c>
      <c r="I352" t="s">
        <v>63</v>
      </c>
      <c r="J352" t="s">
        <v>63</v>
      </c>
      <c r="K352" t="s">
        <v>64</v>
      </c>
      <c r="L352" t="s">
        <v>65</v>
      </c>
      <c r="M352" t="s">
        <v>66</v>
      </c>
      <c r="N352">
        <v>19.75</v>
      </c>
      <c r="O352">
        <v>35</v>
      </c>
      <c r="P352">
        <v>92.7142857142857</v>
      </c>
      <c r="Q352">
        <v>127.714285714286</v>
      </c>
      <c r="R352">
        <v>0</v>
      </c>
      <c r="S352">
        <v>127.714285714286</v>
      </c>
      <c r="T352">
        <v>149</v>
      </c>
      <c r="U352">
        <f>SUMIF(货件明细!J:J,E352,货件明细!AP:AP)</f>
        <v>0</v>
      </c>
      <c r="V352">
        <f>IF(U352=T352,0,1)</f>
        <v>1</v>
      </c>
      <c r="W352">
        <f>T352</f>
        <v>149</v>
      </c>
      <c r="X352">
        <f>SUMIF(货件明细!J:J,E352,货件明细!H:H)</f>
        <v>0</v>
      </c>
      <c r="Y352">
        <f>N352-X352</f>
        <v>19.75</v>
      </c>
      <c r="Z352">
        <f>SUMIF(货件明细!J:J,E352,货件明细!I:I)</f>
        <v>0</v>
      </c>
      <c r="AA352">
        <f>IF(S352=Z352,0,1)</f>
        <v>1</v>
      </c>
    </row>
    <row r="353" hidden="1" spans="1:27">
      <c r="A353">
        <v>1</v>
      </c>
      <c r="B353">
        <v>4</v>
      </c>
      <c r="C353" s="3">
        <v>46045</v>
      </c>
      <c r="D353" t="s">
        <v>27</v>
      </c>
      <c r="E353" t="s">
        <v>451</v>
      </c>
      <c r="F353" t="s">
        <v>243</v>
      </c>
      <c r="G353" t="s">
        <v>72</v>
      </c>
      <c r="H353" t="s">
        <v>54</v>
      </c>
      <c r="I353" t="s">
        <v>63</v>
      </c>
      <c r="J353" t="s">
        <v>63</v>
      </c>
      <c r="K353" t="s">
        <v>64</v>
      </c>
      <c r="L353" t="s">
        <v>65</v>
      </c>
      <c r="M353" t="s">
        <v>66</v>
      </c>
      <c r="N353">
        <v>19.75</v>
      </c>
      <c r="O353">
        <v>23.3333333333333</v>
      </c>
      <c r="P353">
        <v>57.97</v>
      </c>
      <c r="Q353">
        <v>81.3033333333333</v>
      </c>
      <c r="R353">
        <v>0</v>
      </c>
      <c r="S353">
        <v>81.3033333333333</v>
      </c>
      <c r="T353">
        <v>149</v>
      </c>
      <c r="U353">
        <f>SUMIF(货件明细!J:J,E353,货件明细!AP:AP)</f>
        <v>0</v>
      </c>
      <c r="V353">
        <f>IF(U353=T353,0,1)</f>
        <v>1</v>
      </c>
      <c r="W353">
        <f>T353</f>
        <v>149</v>
      </c>
      <c r="X353">
        <f>SUMIF(货件明细!J:J,E353,货件明细!H:H)</f>
        <v>0</v>
      </c>
      <c r="Y353">
        <f>N353-X353</f>
        <v>19.75</v>
      </c>
      <c r="Z353">
        <f>SUMIF(货件明细!J:J,E353,货件明细!I:I)</f>
        <v>0</v>
      </c>
      <c r="AA353">
        <f>IF(S353=Z353,0,1)</f>
        <v>1</v>
      </c>
    </row>
    <row r="354" hidden="1" spans="1:27">
      <c r="A354">
        <v>1</v>
      </c>
      <c r="B354">
        <v>4</v>
      </c>
      <c r="C354" s="3">
        <v>46045</v>
      </c>
      <c r="D354" t="s">
        <v>27</v>
      </c>
      <c r="E354" t="s">
        <v>452</v>
      </c>
      <c r="F354" t="s">
        <v>185</v>
      </c>
      <c r="G354" t="s">
        <v>30</v>
      </c>
      <c r="H354" t="s">
        <v>54</v>
      </c>
      <c r="I354" t="s">
        <v>63</v>
      </c>
      <c r="J354" t="s">
        <v>63</v>
      </c>
      <c r="K354" t="s">
        <v>64</v>
      </c>
      <c r="L354" t="s">
        <v>65</v>
      </c>
      <c r="M354" t="s">
        <v>66</v>
      </c>
      <c r="N354">
        <v>19.75</v>
      </c>
      <c r="O354">
        <v>35</v>
      </c>
      <c r="P354">
        <v>96.8</v>
      </c>
      <c r="Q354">
        <v>131.8</v>
      </c>
      <c r="R354">
        <v>0</v>
      </c>
      <c r="S354">
        <v>131.8</v>
      </c>
      <c r="T354">
        <v>149</v>
      </c>
      <c r="U354">
        <f>SUMIF(货件明细!J:J,E354,货件明细!AP:AP)</f>
        <v>0</v>
      </c>
      <c r="V354">
        <f>IF(U354=T354,0,1)</f>
        <v>1</v>
      </c>
      <c r="W354">
        <f>T354</f>
        <v>149</v>
      </c>
      <c r="X354">
        <f>SUMIF(货件明细!J:J,E354,货件明细!H:H)</f>
        <v>0</v>
      </c>
      <c r="Y354">
        <f>N354-X354</f>
        <v>19.75</v>
      </c>
      <c r="Z354">
        <f>SUMIF(货件明细!J:J,E354,货件明细!I:I)</f>
        <v>0</v>
      </c>
      <c r="AA354">
        <f>IF(S354=Z354,0,1)</f>
        <v>1</v>
      </c>
    </row>
    <row r="355" hidden="1" spans="1:27">
      <c r="A355">
        <v>1</v>
      </c>
      <c r="B355">
        <v>4</v>
      </c>
      <c r="C355" s="3">
        <v>46045</v>
      </c>
      <c r="D355" t="s">
        <v>27</v>
      </c>
      <c r="E355" t="s">
        <v>453</v>
      </c>
      <c r="F355" t="s">
        <v>98</v>
      </c>
      <c r="G355" t="s">
        <v>72</v>
      </c>
      <c r="H355" t="s">
        <v>54</v>
      </c>
      <c r="I355" t="s">
        <v>63</v>
      </c>
      <c r="J355" t="s">
        <v>63</v>
      </c>
      <c r="K355" t="s">
        <v>64</v>
      </c>
      <c r="L355" t="s">
        <v>65</v>
      </c>
      <c r="M355" t="s">
        <v>66</v>
      </c>
      <c r="N355">
        <v>19.75</v>
      </c>
      <c r="O355">
        <v>23.3333333333333</v>
      </c>
      <c r="P355">
        <v>60.1071428571429</v>
      </c>
      <c r="Q355">
        <v>83.4404761904762</v>
      </c>
      <c r="R355">
        <v>0</v>
      </c>
      <c r="S355">
        <v>83.4404761904762</v>
      </c>
      <c r="T355">
        <v>149</v>
      </c>
      <c r="U355">
        <f>SUMIF(货件明细!J:J,E355,货件明细!AP:AP)</f>
        <v>0</v>
      </c>
      <c r="V355">
        <f>IF(U355=T355,0,1)</f>
        <v>1</v>
      </c>
      <c r="W355">
        <f>T355</f>
        <v>149</v>
      </c>
      <c r="X355">
        <f>SUMIF(货件明细!J:J,E355,货件明细!H:H)</f>
        <v>0</v>
      </c>
      <c r="Y355">
        <f>N355-X355</f>
        <v>19.75</v>
      </c>
      <c r="Z355">
        <f>SUMIF(货件明细!J:J,E355,货件明细!I:I)</f>
        <v>0</v>
      </c>
      <c r="AA355">
        <f>IF(S355=Z355,0,1)</f>
        <v>1</v>
      </c>
    </row>
    <row r="356" hidden="1" spans="1:27">
      <c r="A356">
        <v>1</v>
      </c>
      <c r="B356">
        <v>4</v>
      </c>
      <c r="C356" s="3">
        <v>46045</v>
      </c>
      <c r="D356" t="s">
        <v>88</v>
      </c>
      <c r="E356" t="s">
        <v>454</v>
      </c>
      <c r="F356" t="s">
        <v>211</v>
      </c>
      <c r="G356" t="s">
        <v>72</v>
      </c>
      <c r="H356" t="s">
        <v>56</v>
      </c>
      <c r="I356" t="s">
        <v>63</v>
      </c>
      <c r="J356" t="s">
        <v>63</v>
      </c>
      <c r="K356" t="s">
        <v>64</v>
      </c>
      <c r="L356" t="s">
        <v>65</v>
      </c>
      <c r="M356" t="s">
        <v>455</v>
      </c>
      <c r="N356">
        <v>169.35</v>
      </c>
      <c r="O356">
        <v>115</v>
      </c>
      <c r="P356">
        <v>544.5</v>
      </c>
      <c r="Q356">
        <v>659.5</v>
      </c>
      <c r="R356">
        <v>0</v>
      </c>
      <c r="S356">
        <v>659.5</v>
      </c>
      <c r="T356">
        <v>430</v>
      </c>
      <c r="U356">
        <f>SUMIF(货件明细!J:J,E356,货件明细!AP:AP)</f>
        <v>0</v>
      </c>
      <c r="V356">
        <f>IF(U356=T356,0,1)</f>
        <v>1</v>
      </c>
      <c r="W356">
        <f>T356</f>
        <v>430</v>
      </c>
      <c r="X356">
        <f>SUMIF(货件明细!J:J,E356,货件明细!H:H)</f>
        <v>0</v>
      </c>
      <c r="Y356">
        <f>N356-X356</f>
        <v>169.35</v>
      </c>
      <c r="Z356">
        <f>SUMIF(货件明细!J:J,E356,货件明细!I:I)</f>
        <v>0</v>
      </c>
      <c r="AA356">
        <f>IF(S356=Z356,0,1)</f>
        <v>1</v>
      </c>
    </row>
    <row r="357" hidden="1" spans="1:27">
      <c r="A357">
        <v>1</v>
      </c>
      <c r="B357">
        <v>4</v>
      </c>
      <c r="C357" s="3">
        <v>46045</v>
      </c>
      <c r="D357" t="s">
        <v>88</v>
      </c>
      <c r="E357" t="s">
        <v>456</v>
      </c>
      <c r="F357" t="s">
        <v>211</v>
      </c>
      <c r="G357" t="s">
        <v>72</v>
      </c>
      <c r="H357" t="s">
        <v>31</v>
      </c>
      <c r="I357" t="s">
        <v>63</v>
      </c>
      <c r="J357" t="s">
        <v>63</v>
      </c>
      <c r="K357" t="s">
        <v>64</v>
      </c>
      <c r="L357" t="s">
        <v>65</v>
      </c>
      <c r="M357" t="s">
        <v>455</v>
      </c>
      <c r="N357">
        <v>121.6</v>
      </c>
      <c r="O357">
        <v>115</v>
      </c>
      <c r="P357">
        <v>435.6</v>
      </c>
      <c r="Q357">
        <v>550.6</v>
      </c>
      <c r="R357">
        <v>0</v>
      </c>
      <c r="S357">
        <v>550.6</v>
      </c>
      <c r="T357">
        <v>279</v>
      </c>
      <c r="U357">
        <f>SUMIF(货件明细!J:J,E357,货件明细!AP:AP)</f>
        <v>0</v>
      </c>
      <c r="V357">
        <f>IF(U357=T357,0,1)</f>
        <v>1</v>
      </c>
      <c r="W357">
        <f>T357</f>
        <v>279</v>
      </c>
      <c r="X357">
        <f>SUMIF(货件明细!J:J,E357,货件明细!H:H)</f>
        <v>0</v>
      </c>
      <c r="Y357">
        <f>N357-X357</f>
        <v>121.6</v>
      </c>
      <c r="Z357">
        <f>SUMIF(货件明细!J:J,E357,货件明细!I:I)</f>
        <v>0</v>
      </c>
      <c r="AA357">
        <f>IF(S357=Z357,0,1)</f>
        <v>1</v>
      </c>
    </row>
    <row r="358" spans="1:27">
      <c r="A358">
        <v>1</v>
      </c>
      <c r="B358">
        <v>4</v>
      </c>
      <c r="C358" s="3">
        <v>46044</v>
      </c>
      <c r="D358" t="s">
        <v>27</v>
      </c>
      <c r="E358" t="s">
        <v>457</v>
      </c>
      <c r="F358" t="s">
        <v>41</v>
      </c>
      <c r="G358" t="s">
        <v>30</v>
      </c>
      <c r="H358" t="s">
        <v>51</v>
      </c>
      <c r="I358" t="s">
        <v>32</v>
      </c>
      <c r="J358" t="s">
        <v>32</v>
      </c>
      <c r="K358" t="s">
        <v>33</v>
      </c>
      <c r="L358" t="s">
        <v>323</v>
      </c>
      <c r="M358" t="s">
        <v>47</v>
      </c>
      <c r="N358">
        <v>18.2</v>
      </c>
      <c r="O358">
        <v>60</v>
      </c>
      <c r="P358">
        <v>756</v>
      </c>
      <c r="Q358">
        <v>816</v>
      </c>
      <c r="R358">
        <v>155.68</v>
      </c>
      <c r="S358">
        <v>971.68</v>
      </c>
      <c r="T358">
        <v>140</v>
      </c>
      <c r="U358">
        <f>SUMIF(货件明细!J:J,E358,货件明细!AP:AP)</f>
        <v>140</v>
      </c>
      <c r="V358">
        <f>IF(U358=T358,0,1)</f>
        <v>0</v>
      </c>
      <c r="W358">
        <f>T358</f>
        <v>140</v>
      </c>
      <c r="X358">
        <f>SUMIF(货件明细!J:J,E358,货件明细!H:H)</f>
        <v>17.2</v>
      </c>
      <c r="Y358">
        <f>N358-X358</f>
        <v>1</v>
      </c>
      <c r="Z358">
        <f>SUMIF(货件明细!J:J,E358,货件明细!I:I)</f>
        <v>971.68</v>
      </c>
      <c r="AA358">
        <f>IF(S358=Z358,0,1)</f>
        <v>0</v>
      </c>
    </row>
    <row r="359" spans="1:27">
      <c r="A359">
        <v>1</v>
      </c>
      <c r="B359">
        <v>4</v>
      </c>
      <c r="C359" s="3">
        <v>46044</v>
      </c>
      <c r="D359" t="s">
        <v>27</v>
      </c>
      <c r="E359" t="s">
        <v>458</v>
      </c>
      <c r="F359" t="s">
        <v>41</v>
      </c>
      <c r="G359" t="s">
        <v>30</v>
      </c>
      <c r="H359" t="s">
        <v>37</v>
      </c>
      <c r="I359" t="s">
        <v>32</v>
      </c>
      <c r="J359" t="s">
        <v>32</v>
      </c>
      <c r="K359" t="s">
        <v>33</v>
      </c>
      <c r="L359" t="s">
        <v>323</v>
      </c>
      <c r="M359" t="s">
        <v>47</v>
      </c>
      <c r="N359">
        <v>14.2</v>
      </c>
      <c r="O359">
        <v>60</v>
      </c>
      <c r="P359">
        <v>588</v>
      </c>
      <c r="Q359">
        <v>648</v>
      </c>
      <c r="R359">
        <v>55.6</v>
      </c>
      <c r="S359">
        <v>703.6</v>
      </c>
      <c r="T359">
        <v>40</v>
      </c>
      <c r="U359">
        <f>SUMIF(货件明细!J:J,E359,货件明细!AP:AP)</f>
        <v>40</v>
      </c>
      <c r="V359">
        <f>IF(U359=T359,0,1)</f>
        <v>0</v>
      </c>
      <c r="W359">
        <f>T359</f>
        <v>40</v>
      </c>
      <c r="X359">
        <f>SUMIF(货件明细!J:J,E359,货件明细!H:H)</f>
        <v>14.05</v>
      </c>
      <c r="Y359">
        <f>N359-X359</f>
        <v>0.149999999999999</v>
      </c>
      <c r="Z359">
        <f>SUMIF(货件明细!J:J,E359,货件明细!I:I)</f>
        <v>703.6</v>
      </c>
      <c r="AA359">
        <f>IF(S359=Z359,0,1)</f>
        <v>0</v>
      </c>
    </row>
    <row r="360" spans="1:27">
      <c r="A360">
        <v>1</v>
      </c>
      <c r="B360">
        <v>4</v>
      </c>
      <c r="C360" s="3">
        <v>46044</v>
      </c>
      <c r="D360" t="s">
        <v>27</v>
      </c>
      <c r="E360" t="s">
        <v>459</v>
      </c>
      <c r="F360" t="s">
        <v>41</v>
      </c>
      <c r="G360" t="s">
        <v>30</v>
      </c>
      <c r="H360" t="s">
        <v>54</v>
      </c>
      <c r="I360" t="s">
        <v>32</v>
      </c>
      <c r="J360" t="s">
        <v>32</v>
      </c>
      <c r="K360" t="s">
        <v>33</v>
      </c>
      <c r="L360" t="s">
        <v>323</v>
      </c>
      <c r="M360" t="s">
        <v>47</v>
      </c>
      <c r="N360">
        <v>12.7</v>
      </c>
      <c r="O360">
        <v>60</v>
      </c>
      <c r="P360">
        <v>546</v>
      </c>
      <c r="Q360">
        <v>606</v>
      </c>
      <c r="R360">
        <v>133.44</v>
      </c>
      <c r="S360">
        <v>739.44</v>
      </c>
      <c r="T360">
        <v>120</v>
      </c>
      <c r="U360">
        <f>SUMIF(货件明细!J:J,E360,货件明细!AP:AP)</f>
        <v>120</v>
      </c>
      <c r="V360">
        <f>IF(U360=T360,0,1)</f>
        <v>0</v>
      </c>
      <c r="W360">
        <f>T360</f>
        <v>120</v>
      </c>
      <c r="X360">
        <f>SUMIF(货件明细!J:J,E360,货件明细!H:H)</f>
        <v>12</v>
      </c>
      <c r="Y360">
        <f>N360-X360</f>
        <v>0.699999999999999</v>
      </c>
      <c r="Z360">
        <f>SUMIF(货件明细!J:J,E360,货件明细!I:I)</f>
        <v>739.44</v>
      </c>
      <c r="AA360">
        <f>IF(S360=Z360,0,1)</f>
        <v>0</v>
      </c>
    </row>
    <row r="361" spans="1:27">
      <c r="A361">
        <v>1</v>
      </c>
      <c r="B361">
        <v>4</v>
      </c>
      <c r="C361" s="3">
        <v>46044</v>
      </c>
      <c r="D361" t="s">
        <v>27</v>
      </c>
      <c r="E361" t="s">
        <v>460</v>
      </c>
      <c r="F361" t="s">
        <v>41</v>
      </c>
      <c r="G361" t="s">
        <v>30</v>
      </c>
      <c r="H361" t="s">
        <v>46</v>
      </c>
      <c r="I361" t="s">
        <v>32</v>
      </c>
      <c r="J361" t="s">
        <v>32</v>
      </c>
      <c r="K361" t="s">
        <v>33</v>
      </c>
      <c r="L361" t="s">
        <v>323</v>
      </c>
      <c r="M361" t="s">
        <v>47</v>
      </c>
      <c r="N361">
        <v>12.5</v>
      </c>
      <c r="O361">
        <v>60</v>
      </c>
      <c r="P361">
        <v>546</v>
      </c>
      <c r="Q361">
        <v>606</v>
      </c>
      <c r="R361">
        <v>155.68</v>
      </c>
      <c r="S361">
        <v>761.68</v>
      </c>
      <c r="T361">
        <v>140</v>
      </c>
      <c r="U361">
        <f>SUMIF(货件明细!J:J,E361,货件明细!AP:AP)</f>
        <v>140</v>
      </c>
      <c r="V361">
        <f>IF(U361=T361,0,1)</f>
        <v>0</v>
      </c>
      <c r="W361">
        <f>T361</f>
        <v>140</v>
      </c>
      <c r="X361">
        <f>SUMIF(货件明细!J:J,E361,货件明细!H:H)</f>
        <v>11.65</v>
      </c>
      <c r="Y361">
        <f>N361-X361</f>
        <v>0.850000000000001</v>
      </c>
      <c r="Z361">
        <f>SUMIF(货件明细!J:J,E361,货件明细!I:I)</f>
        <v>761.68</v>
      </c>
      <c r="AA361">
        <f>IF(S361=Z361,0,1)</f>
        <v>0</v>
      </c>
    </row>
    <row r="362" spans="1:27">
      <c r="A362">
        <v>1</v>
      </c>
      <c r="B362">
        <v>4</v>
      </c>
      <c r="C362" s="3">
        <v>46044</v>
      </c>
      <c r="D362" t="s">
        <v>27</v>
      </c>
      <c r="E362" t="s">
        <v>461</v>
      </c>
      <c r="F362" t="s">
        <v>41</v>
      </c>
      <c r="G362" t="s">
        <v>30</v>
      </c>
      <c r="H362" t="s">
        <v>59</v>
      </c>
      <c r="I362" t="s">
        <v>32</v>
      </c>
      <c r="J362" t="s">
        <v>32</v>
      </c>
      <c r="K362" t="s">
        <v>33</v>
      </c>
      <c r="L362" t="s">
        <v>323</v>
      </c>
      <c r="M362" t="s">
        <v>47</v>
      </c>
      <c r="N362">
        <v>14.5</v>
      </c>
      <c r="O362">
        <v>60</v>
      </c>
      <c r="P362">
        <v>588</v>
      </c>
      <c r="Q362">
        <v>648</v>
      </c>
      <c r="R362">
        <v>111.2</v>
      </c>
      <c r="S362">
        <v>759.2</v>
      </c>
      <c r="T362">
        <v>100</v>
      </c>
      <c r="U362">
        <f>SUMIF(货件明细!J:J,E362,货件明细!AP:AP)</f>
        <v>100</v>
      </c>
      <c r="V362">
        <f>IF(U362=T362,0,1)</f>
        <v>0</v>
      </c>
      <c r="W362">
        <f>T362</f>
        <v>100</v>
      </c>
      <c r="X362">
        <f>SUMIF(货件明细!J:J,E362,货件明细!H:H)</f>
        <v>13.7</v>
      </c>
      <c r="Y362">
        <f>N362-X362</f>
        <v>0.800000000000001</v>
      </c>
      <c r="Z362">
        <f>SUMIF(货件明细!J:J,E362,货件明细!I:I)</f>
        <v>759.2</v>
      </c>
      <c r="AA362">
        <f>IF(S362=Z362,0,1)</f>
        <v>0</v>
      </c>
    </row>
    <row r="363" spans="1:27">
      <c r="A363">
        <v>1</v>
      </c>
      <c r="B363">
        <v>4</v>
      </c>
      <c r="C363" s="3">
        <v>46045</v>
      </c>
      <c r="D363" t="s">
        <v>27</v>
      </c>
      <c r="E363" t="s">
        <v>462</v>
      </c>
      <c r="F363" t="s">
        <v>41</v>
      </c>
      <c r="G363" t="s">
        <v>30</v>
      </c>
      <c r="H363" t="s">
        <v>39</v>
      </c>
      <c r="I363" t="s">
        <v>42</v>
      </c>
      <c r="J363" t="s">
        <v>42</v>
      </c>
      <c r="K363" t="s">
        <v>33</v>
      </c>
      <c r="L363" t="s">
        <v>207</v>
      </c>
      <c r="M363" t="s">
        <v>130</v>
      </c>
      <c r="N363">
        <v>23.7</v>
      </c>
      <c r="O363">
        <v>100</v>
      </c>
      <c r="P363">
        <v>1450.3</v>
      </c>
      <c r="Q363">
        <v>1550.3</v>
      </c>
      <c r="R363">
        <v>200.16</v>
      </c>
      <c r="S363">
        <v>1750.46</v>
      </c>
      <c r="T363">
        <v>180</v>
      </c>
      <c r="U363">
        <f>SUMIF(货件明细!J:J,E363,货件明细!AP:AP)</f>
        <v>180</v>
      </c>
      <c r="V363">
        <f>IF(U363=T363,0,1)</f>
        <v>0</v>
      </c>
      <c r="W363">
        <f>T363</f>
        <v>180</v>
      </c>
      <c r="X363">
        <f>SUMIF(货件明细!J:J,E363,货件明细!H:H)</f>
        <v>22.32</v>
      </c>
      <c r="Y363">
        <f>N363-X363</f>
        <v>1.38</v>
      </c>
      <c r="Z363">
        <f>SUMIF(货件明细!J:J,E363,货件明细!I:I)</f>
        <v>1750.46</v>
      </c>
      <c r="AA363">
        <f>IF(S363=Z363,0,1)</f>
        <v>0</v>
      </c>
    </row>
    <row r="364" spans="1:27">
      <c r="A364">
        <v>1</v>
      </c>
      <c r="B364">
        <v>4</v>
      </c>
      <c r="C364" s="3">
        <v>46045</v>
      </c>
      <c r="D364" t="s">
        <v>27</v>
      </c>
      <c r="E364" t="s">
        <v>463</v>
      </c>
      <c r="F364" t="s">
        <v>41</v>
      </c>
      <c r="G364" t="s">
        <v>30</v>
      </c>
      <c r="H364" t="s">
        <v>224</v>
      </c>
      <c r="I364" t="s">
        <v>42</v>
      </c>
      <c r="J364" t="s">
        <v>42</v>
      </c>
      <c r="K364" t="s">
        <v>33</v>
      </c>
      <c r="L364" t="s">
        <v>207</v>
      </c>
      <c r="M364" t="s">
        <v>130</v>
      </c>
      <c r="N364">
        <v>22</v>
      </c>
      <c r="O364">
        <v>100</v>
      </c>
      <c r="P364">
        <v>1332.3</v>
      </c>
      <c r="Q364">
        <v>1432.3</v>
      </c>
      <c r="R364">
        <v>222.4</v>
      </c>
      <c r="S364">
        <v>1654.7</v>
      </c>
      <c r="T364">
        <v>200</v>
      </c>
      <c r="U364">
        <f>SUMIF(货件明细!J:J,E364,货件明细!AP:AP)</f>
        <v>200</v>
      </c>
      <c r="V364">
        <f>IF(U364=T364,0,1)</f>
        <v>0</v>
      </c>
      <c r="W364">
        <f>T364</f>
        <v>200</v>
      </c>
      <c r="X364">
        <f>SUMIF(货件明细!J:J,E364,货件明细!H:H)</f>
        <v>20.8</v>
      </c>
      <c r="Y364">
        <f>N364-X364</f>
        <v>1.2</v>
      </c>
      <c r="Z364">
        <f>SUMIF(货件明细!J:J,E364,货件明细!I:I)</f>
        <v>1654.7</v>
      </c>
      <c r="AA364">
        <f>IF(S364=Z364,0,1)</f>
        <v>0</v>
      </c>
    </row>
    <row r="365" hidden="1" spans="1:27">
      <c r="A365">
        <v>1</v>
      </c>
      <c r="B365">
        <v>4</v>
      </c>
      <c r="C365" s="3">
        <v>46046</v>
      </c>
      <c r="D365" t="s">
        <v>88</v>
      </c>
      <c r="E365" t="s">
        <v>464</v>
      </c>
      <c r="F365" t="s">
        <v>211</v>
      </c>
      <c r="G365" t="s">
        <v>72</v>
      </c>
      <c r="H365" t="s">
        <v>51</v>
      </c>
      <c r="I365" t="s">
        <v>63</v>
      </c>
      <c r="J365" t="s">
        <v>63</v>
      </c>
      <c r="K365" t="s">
        <v>64</v>
      </c>
      <c r="L365" t="s">
        <v>147</v>
      </c>
      <c r="M365" t="s">
        <v>425</v>
      </c>
      <c r="N365">
        <v>646</v>
      </c>
      <c r="O365">
        <v>66.6666666666667</v>
      </c>
      <c r="P365">
        <v>2489.56701030928</v>
      </c>
      <c r="Q365">
        <v>2556.23367697594</v>
      </c>
      <c r="R365">
        <v>0</v>
      </c>
      <c r="S365">
        <v>2556.23367697594</v>
      </c>
      <c r="T365">
        <v>1390</v>
      </c>
      <c r="U365">
        <f>SUMIF(货件明细!J:J,E365,货件明细!AP:AP)</f>
        <v>0</v>
      </c>
      <c r="V365">
        <f>IF(U365=T365,0,1)</f>
        <v>1</v>
      </c>
      <c r="W365">
        <f>T365</f>
        <v>1390</v>
      </c>
      <c r="X365">
        <f>SUMIF(货件明细!J:J,E365,货件明细!H:H)</f>
        <v>0</v>
      </c>
      <c r="Y365">
        <f>N365-X365</f>
        <v>646</v>
      </c>
      <c r="Z365">
        <f>SUMIF(货件明细!J:J,E365,货件明细!I:I)</f>
        <v>0</v>
      </c>
      <c r="AA365">
        <f>IF(S365=Z365,0,1)</f>
        <v>1</v>
      </c>
    </row>
    <row r="366" hidden="1" spans="1:27">
      <c r="A366">
        <v>1</v>
      </c>
      <c r="B366">
        <v>4</v>
      </c>
      <c r="C366" s="3">
        <v>46046</v>
      </c>
      <c r="D366" t="s">
        <v>88</v>
      </c>
      <c r="E366" t="s">
        <v>465</v>
      </c>
      <c r="F366" t="s">
        <v>211</v>
      </c>
      <c r="G366" t="s">
        <v>72</v>
      </c>
      <c r="H366" t="s">
        <v>59</v>
      </c>
      <c r="I366" t="s">
        <v>63</v>
      </c>
      <c r="J366" t="s">
        <v>63</v>
      </c>
      <c r="K366" t="s">
        <v>64</v>
      </c>
      <c r="L366" t="s">
        <v>147</v>
      </c>
      <c r="M366" t="s">
        <v>425</v>
      </c>
      <c r="N366">
        <v>727.7</v>
      </c>
      <c r="O366">
        <v>66.6666666666667</v>
      </c>
      <c r="P366">
        <v>3126.43298969072</v>
      </c>
      <c r="Q366">
        <v>3193.09965635739</v>
      </c>
      <c r="R366">
        <v>0</v>
      </c>
      <c r="S366">
        <v>3193.09965635739</v>
      </c>
      <c r="T366">
        <v>2139</v>
      </c>
      <c r="U366">
        <f>SUMIF(货件明细!J:J,E366,货件明细!AP:AP)</f>
        <v>0</v>
      </c>
      <c r="V366">
        <f>IF(U366=T366,0,1)</f>
        <v>1</v>
      </c>
      <c r="W366">
        <f>T366</f>
        <v>2139</v>
      </c>
      <c r="X366">
        <f>SUMIF(货件明细!J:J,E366,货件明细!H:H)</f>
        <v>0</v>
      </c>
      <c r="Y366">
        <f>N366-X366</f>
        <v>727.7</v>
      </c>
      <c r="Z366">
        <f>SUMIF(货件明细!J:J,E366,货件明细!I:I)</f>
        <v>0</v>
      </c>
      <c r="AA366">
        <f>IF(S366=Z366,0,1)</f>
        <v>1</v>
      </c>
    </row>
    <row r="367" hidden="1" spans="1:27">
      <c r="A367">
        <v>1</v>
      </c>
      <c r="B367">
        <v>4</v>
      </c>
      <c r="C367" s="3">
        <v>46046</v>
      </c>
      <c r="D367" t="s">
        <v>88</v>
      </c>
      <c r="E367" t="s">
        <v>466</v>
      </c>
      <c r="F367" t="s">
        <v>427</v>
      </c>
      <c r="G367" t="s">
        <v>72</v>
      </c>
      <c r="H367" t="s">
        <v>31</v>
      </c>
      <c r="I367" t="s">
        <v>63</v>
      </c>
      <c r="J367" t="s">
        <v>63</v>
      </c>
      <c r="K367" t="s">
        <v>64</v>
      </c>
      <c r="L367" t="s">
        <v>147</v>
      </c>
      <c r="M367" t="s">
        <v>425</v>
      </c>
      <c r="N367">
        <v>551.35</v>
      </c>
      <c r="O367">
        <v>66.6666666666667</v>
      </c>
      <c r="P367">
        <v>1696</v>
      </c>
      <c r="Q367">
        <v>1762.66666666667</v>
      </c>
      <c r="R367">
        <v>0</v>
      </c>
      <c r="S367">
        <v>1762.66666666667</v>
      </c>
      <c r="T367">
        <v>1720</v>
      </c>
      <c r="U367">
        <f>SUMIF(货件明细!J:J,E367,货件明细!AP:AP)</f>
        <v>0</v>
      </c>
      <c r="V367">
        <f>IF(U367=T367,0,1)</f>
        <v>1</v>
      </c>
      <c r="W367">
        <f>T367</f>
        <v>1720</v>
      </c>
      <c r="X367">
        <f>SUMIF(货件明细!J:J,E367,货件明细!H:H)</f>
        <v>0</v>
      </c>
      <c r="Y367">
        <f>N367-X367</f>
        <v>551.35</v>
      </c>
      <c r="Z367">
        <f>SUMIF(货件明细!J:J,E367,货件明细!I:I)</f>
        <v>0</v>
      </c>
      <c r="AA367">
        <f>IF(S367=Z367,0,1)</f>
        <v>1</v>
      </c>
    </row>
    <row r="368" spans="1:27">
      <c r="A368">
        <v>1</v>
      </c>
      <c r="B368">
        <v>4</v>
      </c>
      <c r="C368" s="3">
        <v>46045</v>
      </c>
      <c r="D368" t="s">
        <v>27</v>
      </c>
      <c r="E368" t="s">
        <v>467</v>
      </c>
      <c r="F368" t="s">
        <v>390</v>
      </c>
      <c r="G368" t="s">
        <v>30</v>
      </c>
      <c r="H368" t="s">
        <v>31</v>
      </c>
      <c r="I368" t="s">
        <v>32</v>
      </c>
      <c r="J368" t="s">
        <v>32</v>
      </c>
      <c r="K368" t="s">
        <v>33</v>
      </c>
      <c r="L368" t="s">
        <v>323</v>
      </c>
      <c r="M368" t="s">
        <v>47</v>
      </c>
      <c r="N368">
        <v>20.9</v>
      </c>
      <c r="O368">
        <v>60</v>
      </c>
      <c r="P368">
        <v>882</v>
      </c>
      <c r="Q368">
        <v>942</v>
      </c>
      <c r="R368">
        <v>0</v>
      </c>
      <c r="S368">
        <v>942</v>
      </c>
      <c r="T368">
        <v>120</v>
      </c>
      <c r="U368">
        <f>SUMIF(货件明细!J:J,E368,货件明细!AP:AP)</f>
        <v>126</v>
      </c>
      <c r="V368">
        <f>IF(U368=T368,0,1)</f>
        <v>1</v>
      </c>
      <c r="W368">
        <f>T368</f>
        <v>120</v>
      </c>
      <c r="X368">
        <f>SUMIF(货件明细!J:J,E368,货件明细!H:H)</f>
        <v>19.638</v>
      </c>
      <c r="Y368">
        <f>N368-X368</f>
        <v>1.262</v>
      </c>
      <c r="Z368">
        <f>SUMIF(货件明细!J:J,E368,货件明细!I:I)</f>
        <v>942</v>
      </c>
      <c r="AA368">
        <f>IF(S368=Z368,0,1)</f>
        <v>0</v>
      </c>
    </row>
    <row r="369" spans="1:27">
      <c r="A369">
        <v>1</v>
      </c>
      <c r="B369">
        <v>4</v>
      </c>
      <c r="C369" s="3">
        <v>46045</v>
      </c>
      <c r="D369" t="s">
        <v>27</v>
      </c>
      <c r="E369" t="s">
        <v>468</v>
      </c>
      <c r="F369" t="s">
        <v>187</v>
      </c>
      <c r="G369" t="s">
        <v>72</v>
      </c>
      <c r="H369" t="s">
        <v>31</v>
      </c>
      <c r="I369" t="s">
        <v>32</v>
      </c>
      <c r="J369" t="s">
        <v>32</v>
      </c>
      <c r="K369" t="s">
        <v>33</v>
      </c>
      <c r="L369" t="s">
        <v>323</v>
      </c>
      <c r="M369" t="s">
        <v>47</v>
      </c>
      <c r="N369">
        <v>20.9</v>
      </c>
      <c r="O369">
        <v>60</v>
      </c>
      <c r="P369">
        <v>882</v>
      </c>
      <c r="Q369">
        <v>942</v>
      </c>
      <c r="R369">
        <v>0</v>
      </c>
      <c r="S369">
        <v>942</v>
      </c>
      <c r="T369">
        <v>120</v>
      </c>
      <c r="U369">
        <f>SUMIF(货件明细!J:J,E369,货件明细!AP:AP)</f>
        <v>126</v>
      </c>
      <c r="V369">
        <f>IF(U369=T369,0,1)</f>
        <v>1</v>
      </c>
      <c r="W369">
        <f>T369</f>
        <v>120</v>
      </c>
      <c r="X369">
        <f>SUMIF(货件明细!J:J,E369,货件明细!H:H)</f>
        <v>19.638</v>
      </c>
      <c r="Y369">
        <f>N369-X369</f>
        <v>1.262</v>
      </c>
      <c r="Z369">
        <f>SUMIF(货件明细!J:J,E369,货件明细!I:I)</f>
        <v>942</v>
      </c>
      <c r="AA369">
        <f>IF(S369=Z369,0,1)</f>
        <v>0</v>
      </c>
    </row>
    <row r="370" spans="1:27">
      <c r="A370">
        <v>1</v>
      </c>
      <c r="B370">
        <v>4</v>
      </c>
      <c r="C370" s="3">
        <v>46045</v>
      </c>
      <c r="D370" t="s">
        <v>27</v>
      </c>
      <c r="E370" t="s">
        <v>469</v>
      </c>
      <c r="F370" t="s">
        <v>243</v>
      </c>
      <c r="G370" t="s">
        <v>72</v>
      </c>
      <c r="H370" t="s">
        <v>31</v>
      </c>
      <c r="I370" t="s">
        <v>32</v>
      </c>
      <c r="J370" t="s">
        <v>32</v>
      </c>
      <c r="K370" t="s">
        <v>33</v>
      </c>
      <c r="L370" t="s">
        <v>323</v>
      </c>
      <c r="M370" t="s">
        <v>47</v>
      </c>
      <c r="N370">
        <v>20.9</v>
      </c>
      <c r="O370">
        <v>60</v>
      </c>
      <c r="P370">
        <v>882</v>
      </c>
      <c r="Q370">
        <v>942</v>
      </c>
      <c r="R370">
        <v>0</v>
      </c>
      <c r="S370">
        <v>942</v>
      </c>
      <c r="T370">
        <v>120</v>
      </c>
      <c r="U370">
        <f>SUMIF(货件明细!J:J,E370,货件明细!AP:AP)</f>
        <v>126</v>
      </c>
      <c r="V370">
        <f>IF(U370=T370,0,1)</f>
        <v>1</v>
      </c>
      <c r="W370">
        <f>T370</f>
        <v>120</v>
      </c>
      <c r="X370">
        <f>SUMIF(货件明细!J:J,E370,货件明细!H:H)</f>
        <v>19.638</v>
      </c>
      <c r="Y370">
        <f>N370-X370</f>
        <v>1.262</v>
      </c>
      <c r="Z370">
        <f>SUMIF(货件明细!J:J,E370,货件明细!I:I)</f>
        <v>942</v>
      </c>
      <c r="AA370">
        <f>IF(S370=Z370,0,1)</f>
        <v>0</v>
      </c>
    </row>
    <row r="371" spans="1:27">
      <c r="A371">
        <v>1</v>
      </c>
      <c r="B371">
        <v>4</v>
      </c>
      <c r="C371" s="3">
        <v>46045</v>
      </c>
      <c r="D371" t="s">
        <v>27</v>
      </c>
      <c r="E371" t="s">
        <v>470</v>
      </c>
      <c r="F371" t="s">
        <v>239</v>
      </c>
      <c r="G371" t="s">
        <v>72</v>
      </c>
      <c r="H371" t="s">
        <v>31</v>
      </c>
      <c r="I371" t="s">
        <v>32</v>
      </c>
      <c r="J371" t="s">
        <v>32</v>
      </c>
      <c r="K371" t="s">
        <v>33</v>
      </c>
      <c r="L371" t="s">
        <v>323</v>
      </c>
      <c r="M371" t="s">
        <v>47</v>
      </c>
      <c r="N371">
        <v>20.9</v>
      </c>
      <c r="O371">
        <v>60</v>
      </c>
      <c r="P371">
        <v>882</v>
      </c>
      <c r="Q371">
        <v>942</v>
      </c>
      <c r="R371">
        <v>0</v>
      </c>
      <c r="S371">
        <v>942</v>
      </c>
      <c r="T371">
        <v>120</v>
      </c>
      <c r="U371">
        <f>SUMIF(货件明细!J:J,E371,货件明细!AP:AP)</f>
        <v>126</v>
      </c>
      <c r="V371">
        <f>IF(U371=T371,0,1)</f>
        <v>1</v>
      </c>
      <c r="W371">
        <f>T371</f>
        <v>120</v>
      </c>
      <c r="X371">
        <f>SUMIF(货件明细!J:J,E371,货件明细!H:H)</f>
        <v>19.638</v>
      </c>
      <c r="Y371">
        <f>N371-X371</f>
        <v>1.262</v>
      </c>
      <c r="Z371">
        <f>SUMIF(货件明细!J:J,E371,货件明细!I:I)</f>
        <v>942</v>
      </c>
      <c r="AA371">
        <f>IF(S371=Z371,0,1)</f>
        <v>0</v>
      </c>
    </row>
    <row r="372" spans="1:27">
      <c r="A372">
        <v>1</v>
      </c>
      <c r="B372">
        <v>4</v>
      </c>
      <c r="C372" s="3">
        <v>46045</v>
      </c>
      <c r="D372" t="s">
        <v>27</v>
      </c>
      <c r="E372" t="s">
        <v>471</v>
      </c>
      <c r="F372" t="s">
        <v>62</v>
      </c>
      <c r="G372" t="s">
        <v>30</v>
      </c>
      <c r="H372" t="s">
        <v>31</v>
      </c>
      <c r="I372" t="s">
        <v>32</v>
      </c>
      <c r="J372" t="s">
        <v>32</v>
      </c>
      <c r="K372" t="s">
        <v>33</v>
      </c>
      <c r="L372" t="s">
        <v>323</v>
      </c>
      <c r="M372" t="s">
        <v>47</v>
      </c>
      <c r="N372">
        <v>20.9</v>
      </c>
      <c r="O372">
        <v>60</v>
      </c>
      <c r="P372">
        <v>882</v>
      </c>
      <c r="Q372">
        <v>942</v>
      </c>
      <c r="R372">
        <v>0</v>
      </c>
      <c r="S372">
        <v>942</v>
      </c>
      <c r="T372">
        <v>120</v>
      </c>
      <c r="U372">
        <f>SUMIF(货件明细!J:J,E372,货件明细!AP:AP)</f>
        <v>126</v>
      </c>
      <c r="V372">
        <f>IF(U372=T372,0,1)</f>
        <v>1</v>
      </c>
      <c r="W372">
        <f>T372</f>
        <v>120</v>
      </c>
      <c r="X372">
        <f>SUMIF(货件明细!J:J,E372,货件明细!H:H)</f>
        <v>19.638</v>
      </c>
      <c r="Y372">
        <f>N372-X372</f>
        <v>1.262</v>
      </c>
      <c r="Z372">
        <f>SUMIF(货件明细!J:J,E372,货件明细!I:I)</f>
        <v>942</v>
      </c>
      <c r="AA372">
        <f>IF(S372=Z372,0,1)</f>
        <v>0</v>
      </c>
    </row>
    <row r="373" spans="1:27">
      <c r="A373">
        <v>1</v>
      </c>
      <c r="B373">
        <v>4</v>
      </c>
      <c r="C373" s="3">
        <v>46045</v>
      </c>
      <c r="D373" t="s">
        <v>27</v>
      </c>
      <c r="E373" t="s">
        <v>472</v>
      </c>
      <c r="F373" t="s">
        <v>41</v>
      </c>
      <c r="G373" t="s">
        <v>30</v>
      </c>
      <c r="H373" t="s">
        <v>56</v>
      </c>
      <c r="I373" t="s">
        <v>42</v>
      </c>
      <c r="J373" t="s">
        <v>42</v>
      </c>
      <c r="K373" t="s">
        <v>33</v>
      </c>
      <c r="L373" t="s">
        <v>207</v>
      </c>
      <c r="M373" t="s">
        <v>218</v>
      </c>
      <c r="N373">
        <v>7.75</v>
      </c>
      <c r="O373">
        <v>66.6666666666667</v>
      </c>
      <c r="P373">
        <v>470.8</v>
      </c>
      <c r="Q373">
        <v>537.466666666667</v>
      </c>
      <c r="R373">
        <v>37.53</v>
      </c>
      <c r="S373">
        <v>574.996666666667</v>
      </c>
      <c r="T373">
        <v>30</v>
      </c>
      <c r="U373">
        <f>SUMIF(货件明细!J:J,E373,货件明细!AP:AP)</f>
        <v>30</v>
      </c>
      <c r="V373">
        <f>IF(U373=T373,0,1)</f>
        <v>0</v>
      </c>
      <c r="W373">
        <f>T373</f>
        <v>30</v>
      </c>
      <c r="X373">
        <f>SUMIF(货件明细!J:J,E373,货件明细!H:H)</f>
        <v>7.11</v>
      </c>
      <c r="Y373">
        <f>N373-X373</f>
        <v>0.64</v>
      </c>
      <c r="Z373">
        <f>SUMIF(货件明细!J:J,E373,货件明细!I:I)</f>
        <v>574.996666666667</v>
      </c>
      <c r="AA373">
        <f>IF(S373=Z373,0,1)</f>
        <v>0</v>
      </c>
    </row>
    <row r="374" spans="1:27">
      <c r="A374">
        <v>1</v>
      </c>
      <c r="B374">
        <v>4</v>
      </c>
      <c r="C374" s="3">
        <v>46045</v>
      </c>
      <c r="D374" t="s">
        <v>27</v>
      </c>
      <c r="E374" t="s">
        <v>473</v>
      </c>
      <c r="F374" t="s">
        <v>41</v>
      </c>
      <c r="G374" t="s">
        <v>30</v>
      </c>
      <c r="H374" t="s">
        <v>46</v>
      </c>
      <c r="I374" t="s">
        <v>42</v>
      </c>
      <c r="J374" t="s">
        <v>42</v>
      </c>
      <c r="K374" t="s">
        <v>33</v>
      </c>
      <c r="L374" t="s">
        <v>207</v>
      </c>
      <c r="M374" t="s">
        <v>218</v>
      </c>
      <c r="N374">
        <v>22</v>
      </c>
      <c r="O374">
        <v>66.6666666666667</v>
      </c>
      <c r="P374">
        <v>1310.8</v>
      </c>
      <c r="Q374">
        <v>1377.46666666667</v>
      </c>
      <c r="R374">
        <v>108.42</v>
      </c>
      <c r="S374">
        <v>1485.88666666667</v>
      </c>
      <c r="T374">
        <v>60</v>
      </c>
      <c r="U374">
        <f>SUMIF(货件明细!J:J,E374,货件明细!AP:AP)</f>
        <v>60</v>
      </c>
      <c r="V374">
        <f>IF(U374=T374,0,1)</f>
        <v>0</v>
      </c>
      <c r="W374">
        <f>T374</f>
        <v>60</v>
      </c>
      <c r="X374">
        <f>SUMIF(货件明细!J:J,E374,货件明细!H:H)</f>
        <v>21.18</v>
      </c>
      <c r="Y374">
        <f>N374-X374</f>
        <v>0.82</v>
      </c>
      <c r="Z374">
        <f>SUMIF(货件明细!J:J,E374,货件明细!I:I)</f>
        <v>1485.88666666667</v>
      </c>
      <c r="AA374">
        <f>IF(S374=Z374,0,1)</f>
        <v>0</v>
      </c>
    </row>
    <row r="375" spans="1:27">
      <c r="A375">
        <v>1</v>
      </c>
      <c r="B375">
        <v>4</v>
      </c>
      <c r="C375" s="3">
        <v>46045</v>
      </c>
      <c r="D375" t="s">
        <v>27</v>
      </c>
      <c r="E375" t="s">
        <v>474</v>
      </c>
      <c r="F375" t="s">
        <v>41</v>
      </c>
      <c r="G375" t="s">
        <v>30</v>
      </c>
      <c r="H375" t="s">
        <v>59</v>
      </c>
      <c r="I375" t="s">
        <v>42</v>
      </c>
      <c r="J375" t="s">
        <v>42</v>
      </c>
      <c r="K375" t="s">
        <v>33</v>
      </c>
      <c r="L375" t="s">
        <v>207</v>
      </c>
      <c r="M375" t="s">
        <v>218</v>
      </c>
      <c r="N375">
        <v>18.8</v>
      </c>
      <c r="O375">
        <v>66.6666666666667</v>
      </c>
      <c r="P375">
        <v>1086.8</v>
      </c>
      <c r="Q375">
        <v>1153.46666666667</v>
      </c>
      <c r="R375">
        <v>81.315</v>
      </c>
      <c r="S375">
        <v>1234.78166666667</v>
      </c>
      <c r="T375">
        <v>45</v>
      </c>
      <c r="U375">
        <f>SUMIF(货件明细!J:J,E375,货件明细!AP:AP)</f>
        <v>45</v>
      </c>
      <c r="V375">
        <f>IF(U375=T375,0,1)</f>
        <v>0</v>
      </c>
      <c r="W375">
        <f>T375</f>
        <v>45</v>
      </c>
      <c r="X375">
        <f>SUMIF(货件明细!J:J,E375,货件明细!H:H)</f>
        <v>18</v>
      </c>
      <c r="Y375">
        <f>N375-X375</f>
        <v>0.800000000000001</v>
      </c>
      <c r="Z375">
        <f>SUMIF(货件明细!J:J,E375,货件明细!I:I)</f>
        <v>1234.78166666667</v>
      </c>
      <c r="AA375">
        <f>IF(S375=Z375,0,1)</f>
        <v>0</v>
      </c>
    </row>
    <row r="376" spans="1:27">
      <c r="A376">
        <v>1</v>
      </c>
      <c r="B376">
        <v>4</v>
      </c>
      <c r="C376" s="3">
        <v>46046</v>
      </c>
      <c r="D376" t="s">
        <v>27</v>
      </c>
      <c r="E376" t="s">
        <v>475</v>
      </c>
      <c r="F376" t="s">
        <v>41</v>
      </c>
      <c r="G376" t="s">
        <v>30</v>
      </c>
      <c r="H376" t="s">
        <v>224</v>
      </c>
      <c r="I376" t="s">
        <v>42</v>
      </c>
      <c r="J376" t="s">
        <v>42</v>
      </c>
      <c r="K376" t="s">
        <v>33</v>
      </c>
      <c r="L376" t="s">
        <v>323</v>
      </c>
      <c r="M376" t="s">
        <v>130</v>
      </c>
      <c r="N376">
        <v>16.46</v>
      </c>
      <c r="O376">
        <v>40</v>
      </c>
      <c r="P376">
        <v>1016</v>
      </c>
      <c r="Q376">
        <v>1056</v>
      </c>
      <c r="R376">
        <v>150.12</v>
      </c>
      <c r="S376">
        <v>1206.12</v>
      </c>
      <c r="T376">
        <v>110</v>
      </c>
      <c r="U376">
        <f>SUMIF(货件明细!J:J,E376,货件明细!AP:AP)</f>
        <v>110</v>
      </c>
      <c r="V376">
        <f>IF(U376=T376,0,1)</f>
        <v>0</v>
      </c>
      <c r="W376">
        <f>T376</f>
        <v>110</v>
      </c>
      <c r="X376">
        <f>SUMIF(货件明细!J:J,E376,货件明细!H:H)</f>
        <v>15.13</v>
      </c>
      <c r="Y376">
        <f>N376-X376</f>
        <v>1.33</v>
      </c>
      <c r="Z376">
        <f>SUMIF(货件明细!J:J,E376,货件明细!I:I)</f>
        <v>1206.12</v>
      </c>
      <c r="AA376">
        <f>IF(S376=Z376,0,1)</f>
        <v>0</v>
      </c>
    </row>
    <row r="377" spans="1:27">
      <c r="A377">
        <v>1</v>
      </c>
      <c r="B377">
        <v>4</v>
      </c>
      <c r="C377" s="3">
        <v>46046</v>
      </c>
      <c r="D377" t="s">
        <v>27</v>
      </c>
      <c r="E377" t="s">
        <v>476</v>
      </c>
      <c r="F377" t="s">
        <v>41</v>
      </c>
      <c r="G377" t="s">
        <v>30</v>
      </c>
      <c r="H377" t="s">
        <v>37</v>
      </c>
      <c r="I377" t="s">
        <v>42</v>
      </c>
      <c r="J377" t="s">
        <v>42</v>
      </c>
      <c r="K377" t="s">
        <v>33</v>
      </c>
      <c r="L377" t="s">
        <v>323</v>
      </c>
      <c r="M377" t="s">
        <v>130</v>
      </c>
      <c r="N377">
        <v>56.67</v>
      </c>
      <c r="O377">
        <v>40</v>
      </c>
      <c r="P377">
        <v>3336</v>
      </c>
      <c r="Q377">
        <v>3376</v>
      </c>
      <c r="R377">
        <v>622.72</v>
      </c>
      <c r="S377">
        <v>3998.72</v>
      </c>
      <c r="T377">
        <v>560</v>
      </c>
      <c r="U377">
        <f>SUMIF(货件明细!J:J,E377,货件明细!AP:AP)</f>
        <v>560</v>
      </c>
      <c r="V377">
        <f>IF(U377=T377,0,1)</f>
        <v>0</v>
      </c>
      <c r="W377">
        <f>T377</f>
        <v>560</v>
      </c>
      <c r="X377">
        <f>SUMIF(货件明细!J:J,E377,货件明细!H:H)</f>
        <v>53.2</v>
      </c>
      <c r="Y377">
        <f>N377-X377</f>
        <v>3.47</v>
      </c>
      <c r="Z377">
        <f>SUMIF(货件明细!J:J,E377,货件明细!I:I)</f>
        <v>3998.72</v>
      </c>
      <c r="AA377">
        <f>IF(S377=Z377,0,1)</f>
        <v>0</v>
      </c>
    </row>
    <row r="378" spans="1:27">
      <c r="A378">
        <v>1</v>
      </c>
      <c r="B378">
        <v>4</v>
      </c>
      <c r="C378" s="3">
        <v>46046</v>
      </c>
      <c r="D378" t="s">
        <v>27</v>
      </c>
      <c r="E378" t="s">
        <v>477</v>
      </c>
      <c r="F378" t="s">
        <v>41</v>
      </c>
      <c r="G378" t="s">
        <v>30</v>
      </c>
      <c r="H378" t="s">
        <v>78</v>
      </c>
      <c r="I378" t="s">
        <v>42</v>
      </c>
      <c r="J378" t="s">
        <v>42</v>
      </c>
      <c r="K378" t="s">
        <v>33</v>
      </c>
      <c r="L378" t="s">
        <v>323</v>
      </c>
      <c r="M378" t="s">
        <v>130</v>
      </c>
      <c r="N378">
        <v>17.4</v>
      </c>
      <c r="O378">
        <v>40</v>
      </c>
      <c r="P378">
        <v>1074</v>
      </c>
      <c r="Q378">
        <v>1114</v>
      </c>
      <c r="R378">
        <v>166.8</v>
      </c>
      <c r="S378">
        <v>1280.8</v>
      </c>
      <c r="T378">
        <v>150</v>
      </c>
      <c r="U378">
        <f>SUMIF(货件明细!J:J,E378,货件明细!AP:AP)</f>
        <v>150</v>
      </c>
      <c r="V378">
        <f>IF(U378=T378,0,1)</f>
        <v>0</v>
      </c>
      <c r="W378">
        <f>T378</f>
        <v>150</v>
      </c>
      <c r="X378">
        <f>SUMIF(货件明细!J:J,E378,货件明细!H:H)</f>
        <v>16.546</v>
      </c>
      <c r="Y378">
        <f>N378-X378</f>
        <v>0.853999999999999</v>
      </c>
      <c r="Z378">
        <f>SUMIF(货件明细!J:J,E378,货件明细!I:I)</f>
        <v>1280.8</v>
      </c>
      <c r="AA378">
        <f>IF(S378=Z378,0,1)</f>
        <v>0</v>
      </c>
    </row>
    <row r="379" spans="1:27">
      <c r="A379">
        <v>1</v>
      </c>
      <c r="B379">
        <v>4</v>
      </c>
      <c r="C379" s="3">
        <v>46046</v>
      </c>
      <c r="D379" t="s">
        <v>27</v>
      </c>
      <c r="E379" t="s">
        <v>478</v>
      </c>
      <c r="F379" t="s">
        <v>41</v>
      </c>
      <c r="G379" t="s">
        <v>30</v>
      </c>
      <c r="H379" t="s">
        <v>31</v>
      </c>
      <c r="I379" t="s">
        <v>42</v>
      </c>
      <c r="J379" t="s">
        <v>42</v>
      </c>
      <c r="K379" t="s">
        <v>33</v>
      </c>
      <c r="L379" t="s">
        <v>323</v>
      </c>
      <c r="M379" t="s">
        <v>130</v>
      </c>
      <c r="N379">
        <v>42.35</v>
      </c>
      <c r="O379">
        <v>40</v>
      </c>
      <c r="P379">
        <v>2524</v>
      </c>
      <c r="Q379">
        <v>2564</v>
      </c>
      <c r="R379">
        <v>378.08</v>
      </c>
      <c r="S379">
        <v>2942.08</v>
      </c>
      <c r="T379">
        <v>290</v>
      </c>
      <c r="U379">
        <f>SUMIF(货件明细!J:J,E379,货件明细!AP:AP)</f>
        <v>290</v>
      </c>
      <c r="V379">
        <f>IF(U379=T379,0,1)</f>
        <v>0</v>
      </c>
      <c r="W379">
        <f>T379</f>
        <v>290</v>
      </c>
      <c r="X379">
        <f>SUMIF(货件明细!J:J,E379,货件明细!H:H)</f>
        <v>38.46</v>
      </c>
      <c r="Y379">
        <f>N379-X379</f>
        <v>3.89</v>
      </c>
      <c r="Z379">
        <f>SUMIF(货件明细!J:J,E379,货件明细!I:I)</f>
        <v>2942.08</v>
      </c>
      <c r="AA379">
        <f>IF(S379=Z379,0,1)</f>
        <v>0</v>
      </c>
    </row>
    <row r="380" spans="1:27">
      <c r="A380">
        <v>1</v>
      </c>
      <c r="B380">
        <v>4</v>
      </c>
      <c r="C380" s="3">
        <v>46046</v>
      </c>
      <c r="D380" t="s">
        <v>27</v>
      </c>
      <c r="E380" t="s">
        <v>479</v>
      </c>
      <c r="F380" t="s">
        <v>41</v>
      </c>
      <c r="G380" t="s">
        <v>30</v>
      </c>
      <c r="H380" t="s">
        <v>37</v>
      </c>
      <c r="I380" t="s">
        <v>42</v>
      </c>
      <c r="J380" t="s">
        <v>42</v>
      </c>
      <c r="K380" t="s">
        <v>33</v>
      </c>
      <c r="L380" t="s">
        <v>323</v>
      </c>
      <c r="M380" t="s">
        <v>130</v>
      </c>
      <c r="N380">
        <v>14</v>
      </c>
      <c r="O380">
        <v>40</v>
      </c>
      <c r="P380">
        <v>842</v>
      </c>
      <c r="Q380">
        <v>882</v>
      </c>
      <c r="R380">
        <v>166.8</v>
      </c>
      <c r="S380">
        <v>1048.8</v>
      </c>
      <c r="T380">
        <v>150</v>
      </c>
      <c r="U380">
        <f>SUMIF(货件明细!J:J,E380,货件明细!AP:AP)</f>
        <v>150</v>
      </c>
      <c r="V380">
        <f>IF(U380=T380,0,1)</f>
        <v>0</v>
      </c>
      <c r="W380">
        <f>T380</f>
        <v>150</v>
      </c>
      <c r="X380">
        <f>SUMIF(货件明细!J:J,E380,货件明细!H:H)</f>
        <v>13.05</v>
      </c>
      <c r="Y380">
        <f>N380-X380</f>
        <v>0.949999999999999</v>
      </c>
      <c r="Z380">
        <f>SUMIF(货件明细!J:J,E380,货件明细!I:I)</f>
        <v>1048.8</v>
      </c>
      <c r="AA380">
        <f>IF(S380=Z380,0,1)</f>
        <v>0</v>
      </c>
    </row>
    <row r="381" spans="1:27">
      <c r="A381">
        <v>1</v>
      </c>
      <c r="B381">
        <v>4</v>
      </c>
      <c r="C381" s="3">
        <v>46046</v>
      </c>
      <c r="D381" t="s">
        <v>27</v>
      </c>
      <c r="E381" t="s">
        <v>480</v>
      </c>
      <c r="F381" t="s">
        <v>41</v>
      </c>
      <c r="G381" t="s">
        <v>30</v>
      </c>
      <c r="H381" t="s">
        <v>56</v>
      </c>
      <c r="I381" t="s">
        <v>32</v>
      </c>
      <c r="J381" t="s">
        <v>32</v>
      </c>
      <c r="K381" t="s">
        <v>33</v>
      </c>
      <c r="L381" t="s">
        <v>323</v>
      </c>
      <c r="M381" t="s">
        <v>47</v>
      </c>
      <c r="N381">
        <v>16.49</v>
      </c>
      <c r="O381">
        <v>60</v>
      </c>
      <c r="P381">
        <v>624</v>
      </c>
      <c r="Q381">
        <v>684</v>
      </c>
      <c r="R381">
        <v>155.68</v>
      </c>
      <c r="S381">
        <v>839.68</v>
      </c>
      <c r="T381">
        <v>110</v>
      </c>
      <c r="U381">
        <f>SUMIF(货件明细!J:J,E381,货件明细!AP:AP)</f>
        <v>110</v>
      </c>
      <c r="V381">
        <f>IF(U381=T381,0,1)</f>
        <v>0</v>
      </c>
      <c r="W381">
        <f>T381</f>
        <v>110</v>
      </c>
      <c r="X381">
        <f>SUMIF(货件明细!J:J,E381,货件明细!H:H)</f>
        <v>15.41</v>
      </c>
      <c r="Y381">
        <f>N381-X381</f>
        <v>1.08</v>
      </c>
      <c r="Z381">
        <f>SUMIF(货件明细!J:J,E381,货件明细!I:I)</f>
        <v>839.68</v>
      </c>
      <c r="AA381">
        <f>IF(S381=Z381,0,1)</f>
        <v>0</v>
      </c>
    </row>
    <row r="382" spans="1:27">
      <c r="A382">
        <v>1</v>
      </c>
      <c r="B382">
        <v>4</v>
      </c>
      <c r="C382" s="3">
        <v>46046</v>
      </c>
      <c r="D382" t="s">
        <v>27</v>
      </c>
      <c r="E382" t="s">
        <v>481</v>
      </c>
      <c r="F382" t="s">
        <v>41</v>
      </c>
      <c r="G382" t="s">
        <v>30</v>
      </c>
      <c r="H382" t="s">
        <v>51</v>
      </c>
      <c r="I382" t="s">
        <v>32</v>
      </c>
      <c r="J382" t="s">
        <v>32</v>
      </c>
      <c r="K382" t="s">
        <v>33</v>
      </c>
      <c r="L382" t="s">
        <v>323</v>
      </c>
      <c r="M382" t="s">
        <v>47</v>
      </c>
      <c r="N382">
        <v>12.9</v>
      </c>
      <c r="O382">
        <v>60</v>
      </c>
      <c r="P382">
        <v>507</v>
      </c>
      <c r="Q382">
        <v>567</v>
      </c>
      <c r="R382">
        <v>97.3</v>
      </c>
      <c r="S382">
        <v>664.3</v>
      </c>
      <c r="T382">
        <v>70</v>
      </c>
      <c r="U382">
        <f>SUMIF(货件明细!J:J,E382,货件明细!AP:AP)</f>
        <v>70</v>
      </c>
      <c r="V382">
        <f>IF(U382=T382,0,1)</f>
        <v>0</v>
      </c>
      <c r="W382">
        <f>T382</f>
        <v>70</v>
      </c>
      <c r="X382">
        <f>SUMIF(货件明细!J:J,E382,货件明细!H:H)</f>
        <v>12.425</v>
      </c>
      <c r="Y382">
        <f>N382-X382</f>
        <v>0.475</v>
      </c>
      <c r="Z382">
        <f>SUMIF(货件明细!J:J,E382,货件明细!I:I)</f>
        <v>664.3</v>
      </c>
      <c r="AA382">
        <f>IF(S382=Z382,0,1)</f>
        <v>0</v>
      </c>
    </row>
    <row r="383" spans="1:27">
      <c r="A383">
        <v>1</v>
      </c>
      <c r="B383">
        <v>4</v>
      </c>
      <c r="C383" s="3">
        <v>46046</v>
      </c>
      <c r="D383" t="s">
        <v>27</v>
      </c>
      <c r="E383" t="s">
        <v>482</v>
      </c>
      <c r="F383" t="s">
        <v>41</v>
      </c>
      <c r="G383" t="s">
        <v>30</v>
      </c>
      <c r="H383" t="s">
        <v>54</v>
      </c>
      <c r="I383" t="s">
        <v>32</v>
      </c>
      <c r="J383" t="s">
        <v>32</v>
      </c>
      <c r="K383" t="s">
        <v>33</v>
      </c>
      <c r="L383" t="s">
        <v>323</v>
      </c>
      <c r="M383" t="s">
        <v>47</v>
      </c>
      <c r="N383">
        <v>13.35</v>
      </c>
      <c r="O383">
        <v>60</v>
      </c>
      <c r="P383">
        <v>546</v>
      </c>
      <c r="Q383">
        <v>606</v>
      </c>
      <c r="R383">
        <v>72.28</v>
      </c>
      <c r="S383">
        <v>678.28</v>
      </c>
      <c r="T383">
        <v>65</v>
      </c>
      <c r="U383">
        <f>SUMIF(货件明细!J:J,E383,货件明细!AP:AP)</f>
        <v>65</v>
      </c>
      <c r="V383">
        <f>IF(U383=T383,0,1)</f>
        <v>0</v>
      </c>
      <c r="W383">
        <f>T383</f>
        <v>65</v>
      </c>
      <c r="X383">
        <f>SUMIF(货件明细!J:J,E383,货件明细!H:H)</f>
        <v>12.22</v>
      </c>
      <c r="Y383">
        <f>N383-X383</f>
        <v>1.13</v>
      </c>
      <c r="Z383">
        <f>SUMIF(货件明细!J:J,E383,货件明细!I:I)</f>
        <v>678.28</v>
      </c>
      <c r="AA383">
        <f>IF(S383=Z383,0,1)</f>
        <v>0</v>
      </c>
    </row>
    <row r="384" spans="1:27">
      <c r="A384">
        <v>1</v>
      </c>
      <c r="B384">
        <v>4</v>
      </c>
      <c r="C384" s="3">
        <v>46046</v>
      </c>
      <c r="D384" t="s">
        <v>27</v>
      </c>
      <c r="E384" t="s">
        <v>483</v>
      </c>
      <c r="F384" t="s">
        <v>41</v>
      </c>
      <c r="G384" t="s">
        <v>30</v>
      </c>
      <c r="H384" t="s">
        <v>56</v>
      </c>
      <c r="I384" t="s">
        <v>32</v>
      </c>
      <c r="J384" t="s">
        <v>32</v>
      </c>
      <c r="K384" t="s">
        <v>33</v>
      </c>
      <c r="L384" t="s">
        <v>323</v>
      </c>
      <c r="M384" t="s">
        <v>47</v>
      </c>
      <c r="N384">
        <v>21.17</v>
      </c>
      <c r="O384">
        <v>60</v>
      </c>
      <c r="P384">
        <v>819</v>
      </c>
      <c r="Q384">
        <v>879</v>
      </c>
      <c r="R384">
        <v>186.26</v>
      </c>
      <c r="S384">
        <v>1065.26</v>
      </c>
      <c r="T384">
        <v>125</v>
      </c>
      <c r="U384">
        <f>SUMIF(货件明细!J:J,E384,货件明细!AP:AP)</f>
        <v>125</v>
      </c>
      <c r="V384">
        <f>IF(U384=T384,0,1)</f>
        <v>0</v>
      </c>
      <c r="W384">
        <f>T384</f>
        <v>125</v>
      </c>
      <c r="X384">
        <f>SUMIF(货件明细!J:J,E384,货件明细!H:H)</f>
        <v>20.19</v>
      </c>
      <c r="Y384">
        <f>N384-X384</f>
        <v>0.98</v>
      </c>
      <c r="Z384">
        <f>SUMIF(货件明细!J:J,E384,货件明细!I:I)</f>
        <v>1065.26</v>
      </c>
      <c r="AA384">
        <f>IF(S384=Z384,0,1)</f>
        <v>0</v>
      </c>
    </row>
    <row r="385" spans="1:27">
      <c r="A385">
        <v>1</v>
      </c>
      <c r="B385">
        <v>4</v>
      </c>
      <c r="C385" s="3">
        <v>46046</v>
      </c>
      <c r="D385" t="s">
        <v>27</v>
      </c>
      <c r="E385" t="s">
        <v>484</v>
      </c>
      <c r="F385" t="s">
        <v>41</v>
      </c>
      <c r="G385" t="s">
        <v>30</v>
      </c>
      <c r="H385" t="s">
        <v>56</v>
      </c>
      <c r="I385" t="s">
        <v>32</v>
      </c>
      <c r="J385" t="s">
        <v>32</v>
      </c>
      <c r="K385" t="s">
        <v>33</v>
      </c>
      <c r="L385" t="s">
        <v>323</v>
      </c>
      <c r="M385" t="s">
        <v>47</v>
      </c>
      <c r="N385">
        <v>58.6</v>
      </c>
      <c r="O385">
        <v>60</v>
      </c>
      <c r="P385">
        <v>2301</v>
      </c>
      <c r="Q385">
        <v>2361</v>
      </c>
      <c r="R385">
        <v>411.44</v>
      </c>
      <c r="S385">
        <v>2772.44</v>
      </c>
      <c r="T385">
        <v>340</v>
      </c>
      <c r="U385">
        <f>SUMIF(货件明细!J:J,E385,货件明细!AP:AP)</f>
        <v>340</v>
      </c>
      <c r="V385">
        <f>IF(U385=T385,0,1)</f>
        <v>0</v>
      </c>
      <c r="W385">
        <f>T385</f>
        <v>340</v>
      </c>
      <c r="X385">
        <f>SUMIF(货件明细!J:J,E385,货件明细!H:H)</f>
        <v>55.37</v>
      </c>
      <c r="Y385">
        <f>N385-X385</f>
        <v>3.23</v>
      </c>
      <c r="Z385">
        <f>SUMIF(货件明细!J:J,E385,货件明细!I:I)</f>
        <v>2772.44</v>
      </c>
      <c r="AA385">
        <f>IF(S385=Z385,0,1)</f>
        <v>0</v>
      </c>
    </row>
    <row r="386" spans="1:27">
      <c r="A386">
        <v>1</v>
      </c>
      <c r="B386">
        <v>4</v>
      </c>
      <c r="C386" s="3">
        <v>46046</v>
      </c>
      <c r="D386" t="s">
        <v>27</v>
      </c>
      <c r="E386" t="s">
        <v>485</v>
      </c>
      <c r="F386" t="s">
        <v>41</v>
      </c>
      <c r="G386" t="s">
        <v>30</v>
      </c>
      <c r="H386" t="s">
        <v>56</v>
      </c>
      <c r="I386" t="s">
        <v>32</v>
      </c>
      <c r="J386" t="s">
        <v>32</v>
      </c>
      <c r="K386" t="s">
        <v>33</v>
      </c>
      <c r="L386" t="s">
        <v>323</v>
      </c>
      <c r="M386" t="s">
        <v>47</v>
      </c>
      <c r="N386">
        <v>32.5</v>
      </c>
      <c r="O386">
        <v>75</v>
      </c>
      <c r="P386">
        <v>1287</v>
      </c>
      <c r="Q386">
        <v>1362</v>
      </c>
      <c r="R386">
        <v>165.827</v>
      </c>
      <c r="S386">
        <v>1527.827</v>
      </c>
      <c r="T386">
        <v>140</v>
      </c>
      <c r="U386">
        <f>SUMIF(货件明细!J:J,E386,货件明细!AP:AP)</f>
        <v>140</v>
      </c>
      <c r="V386">
        <f>IF(U386=T386,0,1)</f>
        <v>0</v>
      </c>
      <c r="W386">
        <f>T386</f>
        <v>140</v>
      </c>
      <c r="X386">
        <f>SUMIF(货件明细!J:J,E386,货件明细!H:H)</f>
        <v>30.935</v>
      </c>
      <c r="Y386">
        <f>N386-X386</f>
        <v>1.565</v>
      </c>
      <c r="Z386">
        <f>SUMIF(货件明细!J:J,E386,货件明细!I:I)</f>
        <v>1527.827</v>
      </c>
      <c r="AA386">
        <f>IF(S386=Z386,0,1)</f>
        <v>0</v>
      </c>
    </row>
    <row r="387" spans="1:27">
      <c r="A387">
        <v>1</v>
      </c>
      <c r="B387">
        <v>4</v>
      </c>
      <c r="C387" s="3">
        <v>46046</v>
      </c>
      <c r="D387" t="s">
        <v>27</v>
      </c>
      <c r="E387" t="s">
        <v>486</v>
      </c>
      <c r="F387" t="s">
        <v>41</v>
      </c>
      <c r="G387" t="s">
        <v>30</v>
      </c>
      <c r="H387" t="s">
        <v>51</v>
      </c>
      <c r="I387" t="s">
        <v>32</v>
      </c>
      <c r="J387" t="s">
        <v>32</v>
      </c>
      <c r="K387" t="s">
        <v>33</v>
      </c>
      <c r="L387" t="s">
        <v>323</v>
      </c>
      <c r="M387" t="s">
        <v>47</v>
      </c>
      <c r="N387">
        <v>16.3</v>
      </c>
      <c r="O387">
        <v>75</v>
      </c>
      <c r="P387">
        <v>624</v>
      </c>
      <c r="Q387">
        <v>699</v>
      </c>
      <c r="R387">
        <v>161.24</v>
      </c>
      <c r="S387">
        <v>860.24</v>
      </c>
      <c r="T387">
        <v>145</v>
      </c>
      <c r="U387">
        <f>SUMIF(货件明细!J:J,E387,货件明细!AP:AP)</f>
        <v>145</v>
      </c>
      <c r="V387">
        <f>IF(U387=T387,0,1)</f>
        <v>0</v>
      </c>
      <c r="W387">
        <f>T387</f>
        <v>145</v>
      </c>
      <c r="X387">
        <f>SUMIF(货件明细!J:J,E387,货件明细!H:H)</f>
        <v>15.535</v>
      </c>
      <c r="Y387">
        <f>N387-X387</f>
        <v>0.765000000000001</v>
      </c>
      <c r="Z387">
        <f>SUMIF(货件明细!J:J,E387,货件明细!I:I)</f>
        <v>860.24</v>
      </c>
      <c r="AA387">
        <f>IF(S387=Z387,0,1)</f>
        <v>0</v>
      </c>
    </row>
    <row r="388" spans="1:27">
      <c r="A388">
        <v>1</v>
      </c>
      <c r="B388">
        <v>4</v>
      </c>
      <c r="C388" s="3">
        <v>46046</v>
      </c>
      <c r="D388" t="s">
        <v>27</v>
      </c>
      <c r="E388" t="s">
        <v>487</v>
      </c>
      <c r="F388" t="s">
        <v>41</v>
      </c>
      <c r="G388" t="s">
        <v>30</v>
      </c>
      <c r="H388" t="s">
        <v>46</v>
      </c>
      <c r="I388" t="s">
        <v>32</v>
      </c>
      <c r="J388" t="s">
        <v>32</v>
      </c>
      <c r="K388" t="s">
        <v>33</v>
      </c>
      <c r="L388" t="s">
        <v>323</v>
      </c>
      <c r="M388" t="s">
        <v>47</v>
      </c>
      <c r="N388">
        <v>33.34</v>
      </c>
      <c r="O388">
        <v>75</v>
      </c>
      <c r="P388">
        <v>1287</v>
      </c>
      <c r="Q388">
        <v>1362</v>
      </c>
      <c r="R388">
        <v>162.63</v>
      </c>
      <c r="S388">
        <v>1524.63</v>
      </c>
      <c r="T388">
        <v>90</v>
      </c>
      <c r="U388">
        <f>SUMIF(货件明细!J:J,E388,货件明细!AP:AP)</f>
        <v>90</v>
      </c>
      <c r="V388">
        <f>IF(U388=T388,0,1)</f>
        <v>0</v>
      </c>
      <c r="W388">
        <f>T388</f>
        <v>90</v>
      </c>
      <c r="X388">
        <f>SUMIF(货件明细!J:J,E388,货件明细!H:H)</f>
        <v>31.77</v>
      </c>
      <c r="Y388">
        <f>N388-X388</f>
        <v>1.57</v>
      </c>
      <c r="Z388">
        <f>SUMIF(货件明细!J:J,E388,货件明细!I:I)</f>
        <v>1524.63</v>
      </c>
      <c r="AA388">
        <f>IF(S388=Z388,0,1)</f>
        <v>0</v>
      </c>
    </row>
    <row r="389" spans="1:27">
      <c r="A389">
        <v>1</v>
      </c>
      <c r="B389">
        <v>4</v>
      </c>
      <c r="C389" s="3">
        <v>46046</v>
      </c>
      <c r="D389" t="s">
        <v>27</v>
      </c>
      <c r="E389" t="s">
        <v>488</v>
      </c>
      <c r="F389" t="s">
        <v>41</v>
      </c>
      <c r="G389" t="s">
        <v>30</v>
      </c>
      <c r="H389" t="s">
        <v>59</v>
      </c>
      <c r="I389" t="s">
        <v>32</v>
      </c>
      <c r="J389" t="s">
        <v>32</v>
      </c>
      <c r="K389" t="s">
        <v>33</v>
      </c>
      <c r="L389" t="s">
        <v>323</v>
      </c>
      <c r="M389" t="s">
        <v>47</v>
      </c>
      <c r="N389">
        <v>23.42</v>
      </c>
      <c r="O389">
        <v>75</v>
      </c>
      <c r="P389">
        <v>936</v>
      </c>
      <c r="Q389">
        <v>1011</v>
      </c>
      <c r="R389">
        <v>99.385</v>
      </c>
      <c r="S389">
        <v>1110.385</v>
      </c>
      <c r="T389">
        <v>55</v>
      </c>
      <c r="U389">
        <f>SUMIF(货件明细!J:J,E389,货件明细!AP:AP)</f>
        <v>55</v>
      </c>
      <c r="V389">
        <f>IF(U389=T389,0,1)</f>
        <v>0</v>
      </c>
      <c r="W389">
        <f>T389</f>
        <v>55</v>
      </c>
      <c r="X389">
        <f>SUMIF(货件明细!J:J,E389,货件明细!H:H)</f>
        <v>22</v>
      </c>
      <c r="Y389">
        <f>N389-X389</f>
        <v>1.42</v>
      </c>
      <c r="Z389">
        <f>SUMIF(货件明细!J:J,E389,货件明细!I:I)</f>
        <v>1110.385</v>
      </c>
      <c r="AA389">
        <f>IF(S389=Z389,0,1)</f>
        <v>0</v>
      </c>
    </row>
    <row r="390" hidden="1" spans="1:27">
      <c r="A390">
        <v>1</v>
      </c>
      <c r="B390">
        <v>4</v>
      </c>
      <c r="C390" s="3">
        <v>46046</v>
      </c>
      <c r="D390" t="s">
        <v>27</v>
      </c>
      <c r="E390" t="s">
        <v>489</v>
      </c>
      <c r="F390" t="s">
        <v>195</v>
      </c>
      <c r="G390" t="s">
        <v>30</v>
      </c>
      <c r="H390" t="s">
        <v>51</v>
      </c>
      <c r="I390" t="s">
        <v>63</v>
      </c>
      <c r="J390" t="s">
        <v>63</v>
      </c>
      <c r="K390" t="s">
        <v>64</v>
      </c>
      <c r="L390" t="s">
        <v>212</v>
      </c>
      <c r="M390" t="s">
        <v>213</v>
      </c>
      <c r="N390">
        <v>15.4</v>
      </c>
      <c r="O390">
        <v>37.5</v>
      </c>
      <c r="P390">
        <v>125.164285714286</v>
      </c>
      <c r="Q390">
        <v>162.664285714286</v>
      </c>
      <c r="R390">
        <v>0</v>
      </c>
      <c r="S390">
        <v>162.664285714286</v>
      </c>
      <c r="T390">
        <v>73</v>
      </c>
      <c r="U390">
        <f>SUMIF(货件明细!J:J,E390,货件明细!AP:AP)</f>
        <v>0</v>
      </c>
      <c r="V390">
        <f>IF(U390=T390,0,1)</f>
        <v>1</v>
      </c>
      <c r="W390">
        <f>T390</f>
        <v>73</v>
      </c>
      <c r="X390">
        <f>SUMIF(货件明细!J:J,E390,货件明细!H:H)</f>
        <v>0</v>
      </c>
      <c r="Y390">
        <f>N390-X390</f>
        <v>15.4</v>
      </c>
      <c r="Z390">
        <f>SUMIF(货件明细!J:J,E390,货件明细!I:I)</f>
        <v>0</v>
      </c>
      <c r="AA390">
        <f>IF(S390=Z390,0,1)</f>
        <v>1</v>
      </c>
    </row>
    <row r="391" hidden="1" spans="1:27">
      <c r="A391">
        <v>1</v>
      </c>
      <c r="B391">
        <v>4</v>
      </c>
      <c r="C391" s="3">
        <v>46046</v>
      </c>
      <c r="D391" t="s">
        <v>27</v>
      </c>
      <c r="E391" t="s">
        <v>490</v>
      </c>
      <c r="F391" t="s">
        <v>62</v>
      </c>
      <c r="G391" t="s">
        <v>30</v>
      </c>
      <c r="H391" t="s">
        <v>51</v>
      </c>
      <c r="I391" t="s">
        <v>63</v>
      </c>
      <c r="J391" t="s">
        <v>63</v>
      </c>
      <c r="K391" t="s">
        <v>64</v>
      </c>
      <c r="L391" t="s">
        <v>212</v>
      </c>
      <c r="M391" t="s">
        <v>213</v>
      </c>
      <c r="N391">
        <v>15.4</v>
      </c>
      <c r="O391">
        <v>37.5</v>
      </c>
      <c r="P391">
        <v>120.214285714286</v>
      </c>
      <c r="Q391">
        <v>157.714285714286</v>
      </c>
      <c r="R391">
        <v>0</v>
      </c>
      <c r="S391">
        <v>157.714285714286</v>
      </c>
      <c r="T391">
        <v>73</v>
      </c>
      <c r="U391">
        <f>SUMIF(货件明细!J:J,E391,货件明细!AP:AP)</f>
        <v>0</v>
      </c>
      <c r="V391">
        <f>IF(U391=T391,0,1)</f>
        <v>1</v>
      </c>
      <c r="W391">
        <f>T391</f>
        <v>73</v>
      </c>
      <c r="X391">
        <f>SUMIF(货件明细!J:J,E391,货件明细!H:H)</f>
        <v>0</v>
      </c>
      <c r="Y391">
        <f>N391-X391</f>
        <v>15.4</v>
      </c>
      <c r="Z391">
        <f>SUMIF(货件明细!J:J,E391,货件明细!I:I)</f>
        <v>0</v>
      </c>
      <c r="AA391">
        <f>IF(S391=Z391,0,1)</f>
        <v>1</v>
      </c>
    </row>
    <row r="392" hidden="1" spans="1:27">
      <c r="A392">
        <v>1</v>
      </c>
      <c r="B392">
        <v>4</v>
      </c>
      <c r="C392" s="3">
        <v>46046</v>
      </c>
      <c r="D392" t="s">
        <v>27</v>
      </c>
      <c r="E392" t="s">
        <v>491</v>
      </c>
      <c r="F392" t="s">
        <v>243</v>
      </c>
      <c r="G392" t="s">
        <v>72</v>
      </c>
      <c r="H392" t="s">
        <v>51</v>
      </c>
      <c r="I392" t="s">
        <v>63</v>
      </c>
      <c r="J392" t="s">
        <v>63</v>
      </c>
      <c r="K392" t="s">
        <v>64</v>
      </c>
      <c r="L392" t="s">
        <v>212</v>
      </c>
      <c r="M392" t="s">
        <v>213</v>
      </c>
      <c r="N392">
        <v>15.4</v>
      </c>
      <c r="O392">
        <v>25</v>
      </c>
      <c r="P392">
        <v>64.32</v>
      </c>
      <c r="Q392">
        <v>89.32</v>
      </c>
      <c r="R392">
        <v>0</v>
      </c>
      <c r="S392">
        <v>89.32</v>
      </c>
      <c r="T392">
        <v>73</v>
      </c>
      <c r="U392">
        <f>SUMIF(货件明细!J:J,E392,货件明细!AP:AP)</f>
        <v>0</v>
      </c>
      <c r="V392">
        <f>IF(U392=T392,0,1)</f>
        <v>1</v>
      </c>
      <c r="W392">
        <f>T392</f>
        <v>73</v>
      </c>
      <c r="X392">
        <f>SUMIF(货件明细!J:J,E392,货件明细!H:H)</f>
        <v>0</v>
      </c>
      <c r="Y392">
        <f>N392-X392</f>
        <v>15.4</v>
      </c>
      <c r="Z392">
        <f>SUMIF(货件明细!J:J,E392,货件明细!I:I)</f>
        <v>0</v>
      </c>
      <c r="AA392">
        <f>IF(S392=Z392,0,1)</f>
        <v>1</v>
      </c>
    </row>
    <row r="393" hidden="1" spans="1:27">
      <c r="A393">
        <v>1</v>
      </c>
      <c r="B393">
        <v>4</v>
      </c>
      <c r="C393" s="3">
        <v>46046</v>
      </c>
      <c r="D393" t="s">
        <v>27</v>
      </c>
      <c r="E393" t="s">
        <v>492</v>
      </c>
      <c r="F393" t="s">
        <v>187</v>
      </c>
      <c r="G393" t="s">
        <v>72</v>
      </c>
      <c r="H393" t="s">
        <v>51</v>
      </c>
      <c r="I393" t="s">
        <v>63</v>
      </c>
      <c r="J393" t="s">
        <v>63</v>
      </c>
      <c r="K393" t="s">
        <v>64</v>
      </c>
      <c r="L393" t="s">
        <v>212</v>
      </c>
      <c r="M393" t="s">
        <v>213</v>
      </c>
      <c r="N393">
        <v>15.4</v>
      </c>
      <c r="O393">
        <v>25</v>
      </c>
      <c r="P393">
        <v>58.8107142857143</v>
      </c>
      <c r="Q393">
        <v>83.8107142857143</v>
      </c>
      <c r="R393">
        <v>0</v>
      </c>
      <c r="S393">
        <v>83.8107142857143</v>
      </c>
      <c r="T393">
        <v>73</v>
      </c>
      <c r="U393">
        <f>SUMIF(货件明细!J:J,E393,货件明细!AP:AP)</f>
        <v>0</v>
      </c>
      <c r="V393">
        <f>IF(U393=T393,0,1)</f>
        <v>1</v>
      </c>
      <c r="W393">
        <f>T393</f>
        <v>73</v>
      </c>
      <c r="X393">
        <f>SUMIF(货件明细!J:J,E393,货件明细!H:H)</f>
        <v>0</v>
      </c>
      <c r="Y393">
        <f>N393-X393</f>
        <v>15.4</v>
      </c>
      <c r="Z393">
        <f>SUMIF(货件明细!J:J,E393,货件明细!I:I)</f>
        <v>0</v>
      </c>
      <c r="AA393">
        <f>IF(S393=Z393,0,1)</f>
        <v>1</v>
      </c>
    </row>
    <row r="394" hidden="1" spans="1:27">
      <c r="A394">
        <v>1</v>
      </c>
      <c r="B394">
        <v>4</v>
      </c>
      <c r="C394" s="3">
        <v>46046</v>
      </c>
      <c r="D394" t="s">
        <v>27</v>
      </c>
      <c r="E394" t="s">
        <v>493</v>
      </c>
      <c r="F394" t="s">
        <v>239</v>
      </c>
      <c r="G394" t="s">
        <v>72</v>
      </c>
      <c r="H394" t="s">
        <v>51</v>
      </c>
      <c r="I394" t="s">
        <v>63</v>
      </c>
      <c r="J394" t="s">
        <v>63</v>
      </c>
      <c r="K394" t="s">
        <v>64</v>
      </c>
      <c r="L394" t="s">
        <v>212</v>
      </c>
      <c r="M394" t="s">
        <v>213</v>
      </c>
      <c r="N394">
        <v>15.4</v>
      </c>
      <c r="O394">
        <v>25</v>
      </c>
      <c r="P394">
        <v>66.0785714285714</v>
      </c>
      <c r="Q394">
        <v>91.0785714285714</v>
      </c>
      <c r="R394">
        <v>0</v>
      </c>
      <c r="S394">
        <v>91.0785714285714</v>
      </c>
      <c r="T394">
        <v>73</v>
      </c>
      <c r="U394">
        <f>SUMIF(货件明细!J:J,E394,货件明细!AP:AP)</f>
        <v>0</v>
      </c>
      <c r="V394">
        <f>IF(U394=T394,0,1)</f>
        <v>1</v>
      </c>
      <c r="W394">
        <f>T394</f>
        <v>73</v>
      </c>
      <c r="X394">
        <f>SUMIF(货件明细!J:J,E394,货件明细!H:H)</f>
        <v>0</v>
      </c>
      <c r="Y394">
        <f>N394-X394</f>
        <v>15.4</v>
      </c>
      <c r="Z394">
        <f>SUMIF(货件明细!J:J,E394,货件明细!I:I)</f>
        <v>0</v>
      </c>
      <c r="AA394">
        <f>IF(S394=Z394,0,1)</f>
        <v>1</v>
      </c>
    </row>
    <row r="395" hidden="1" spans="1:27">
      <c r="A395">
        <v>1</v>
      </c>
      <c r="B395">
        <v>4</v>
      </c>
      <c r="C395" s="3">
        <v>46046</v>
      </c>
      <c r="D395" t="s">
        <v>27</v>
      </c>
      <c r="E395" t="s">
        <v>494</v>
      </c>
      <c r="F395" t="s">
        <v>195</v>
      </c>
      <c r="G395" t="s">
        <v>30</v>
      </c>
      <c r="H395" t="s">
        <v>56</v>
      </c>
      <c r="I395" t="s">
        <v>63</v>
      </c>
      <c r="J395" t="s">
        <v>63</v>
      </c>
      <c r="K395" t="s">
        <v>64</v>
      </c>
      <c r="L395" t="s">
        <v>212</v>
      </c>
      <c r="M395" t="s">
        <v>213</v>
      </c>
      <c r="N395">
        <v>40.85</v>
      </c>
      <c r="O395">
        <v>37.5</v>
      </c>
      <c r="P395">
        <v>250.328571428571</v>
      </c>
      <c r="Q395">
        <v>287.828571428571</v>
      </c>
      <c r="R395">
        <v>0</v>
      </c>
      <c r="S395">
        <v>287.828571428571</v>
      </c>
      <c r="T395">
        <v>274</v>
      </c>
      <c r="U395">
        <f>SUMIF(货件明细!J:J,E395,货件明细!AP:AP)</f>
        <v>0</v>
      </c>
      <c r="V395">
        <f>IF(U395=T395,0,1)</f>
        <v>1</v>
      </c>
      <c r="W395">
        <f>T395</f>
        <v>274</v>
      </c>
      <c r="X395">
        <f>SUMIF(货件明细!J:J,E395,货件明细!H:H)</f>
        <v>0</v>
      </c>
      <c r="Y395">
        <f>N395-X395</f>
        <v>40.85</v>
      </c>
      <c r="Z395">
        <f>SUMIF(货件明细!J:J,E395,货件明细!I:I)</f>
        <v>0</v>
      </c>
      <c r="AA395">
        <f>IF(S395=Z395,0,1)</f>
        <v>1</v>
      </c>
    </row>
    <row r="396" hidden="1" spans="1:27">
      <c r="A396">
        <v>1</v>
      </c>
      <c r="B396">
        <v>4</v>
      </c>
      <c r="C396" s="3">
        <v>46046</v>
      </c>
      <c r="D396" t="s">
        <v>27</v>
      </c>
      <c r="E396" t="s">
        <v>495</v>
      </c>
      <c r="F396" t="s">
        <v>62</v>
      </c>
      <c r="G396" t="s">
        <v>30</v>
      </c>
      <c r="H396" t="s">
        <v>56</v>
      </c>
      <c r="I396" t="s">
        <v>63</v>
      </c>
      <c r="J396" t="s">
        <v>63</v>
      </c>
      <c r="K396" t="s">
        <v>64</v>
      </c>
      <c r="L396" t="s">
        <v>212</v>
      </c>
      <c r="M396" t="s">
        <v>213</v>
      </c>
      <c r="N396">
        <v>40.85</v>
      </c>
      <c r="O396">
        <v>37.5</v>
      </c>
      <c r="P396">
        <v>240.428571428571</v>
      </c>
      <c r="Q396">
        <v>277.928571428571</v>
      </c>
      <c r="R396">
        <v>0</v>
      </c>
      <c r="S396">
        <v>277.928571428571</v>
      </c>
      <c r="T396">
        <v>274</v>
      </c>
      <c r="U396">
        <f>SUMIF(货件明细!J:J,E396,货件明细!AP:AP)</f>
        <v>0</v>
      </c>
      <c r="V396">
        <f>IF(U396=T396,0,1)</f>
        <v>1</v>
      </c>
      <c r="W396">
        <f>T396</f>
        <v>274</v>
      </c>
      <c r="X396">
        <f>SUMIF(货件明细!J:J,E396,货件明细!H:H)</f>
        <v>0</v>
      </c>
      <c r="Y396">
        <f>N396-X396</f>
        <v>40.85</v>
      </c>
      <c r="Z396">
        <f>SUMIF(货件明细!J:J,E396,货件明细!I:I)</f>
        <v>0</v>
      </c>
      <c r="AA396">
        <f>IF(S396=Z396,0,1)</f>
        <v>1</v>
      </c>
    </row>
    <row r="397" hidden="1" spans="1:27">
      <c r="A397">
        <v>1</v>
      </c>
      <c r="B397">
        <v>4</v>
      </c>
      <c r="C397" s="3">
        <v>46046</v>
      </c>
      <c r="D397" t="s">
        <v>27</v>
      </c>
      <c r="E397" t="s">
        <v>496</v>
      </c>
      <c r="F397" t="s">
        <v>243</v>
      </c>
      <c r="G397" t="s">
        <v>72</v>
      </c>
      <c r="H397" t="s">
        <v>56</v>
      </c>
      <c r="I397" t="s">
        <v>63</v>
      </c>
      <c r="J397" t="s">
        <v>63</v>
      </c>
      <c r="K397" t="s">
        <v>64</v>
      </c>
      <c r="L397" t="s">
        <v>212</v>
      </c>
      <c r="M397" t="s">
        <v>213</v>
      </c>
      <c r="N397">
        <v>40.85</v>
      </c>
      <c r="O397">
        <v>25</v>
      </c>
      <c r="P397">
        <v>128.64</v>
      </c>
      <c r="Q397">
        <v>153.64</v>
      </c>
      <c r="R397">
        <v>0</v>
      </c>
      <c r="S397">
        <v>153.64</v>
      </c>
      <c r="T397">
        <v>274</v>
      </c>
      <c r="U397">
        <f>SUMIF(货件明细!J:J,E397,货件明细!AP:AP)</f>
        <v>0</v>
      </c>
      <c r="V397">
        <f>IF(U397=T397,0,1)</f>
        <v>1</v>
      </c>
      <c r="W397">
        <f>T397</f>
        <v>274</v>
      </c>
      <c r="X397">
        <f>SUMIF(货件明细!J:J,E397,货件明细!H:H)</f>
        <v>0</v>
      </c>
      <c r="Y397">
        <f>N397-X397</f>
        <v>40.85</v>
      </c>
      <c r="Z397">
        <f>SUMIF(货件明细!J:J,E397,货件明细!I:I)</f>
        <v>0</v>
      </c>
      <c r="AA397">
        <f>IF(S397=Z397,0,1)</f>
        <v>1</v>
      </c>
    </row>
    <row r="398" hidden="1" spans="1:27">
      <c r="A398">
        <v>1</v>
      </c>
      <c r="B398">
        <v>4</v>
      </c>
      <c r="C398" s="3">
        <v>46046</v>
      </c>
      <c r="D398" t="s">
        <v>27</v>
      </c>
      <c r="E398" t="s">
        <v>497</v>
      </c>
      <c r="F398" t="s">
        <v>187</v>
      </c>
      <c r="G398" t="s">
        <v>72</v>
      </c>
      <c r="H398" t="s">
        <v>56</v>
      </c>
      <c r="I398" t="s">
        <v>63</v>
      </c>
      <c r="J398" t="s">
        <v>63</v>
      </c>
      <c r="K398" t="s">
        <v>64</v>
      </c>
      <c r="L398" t="s">
        <v>212</v>
      </c>
      <c r="M398" t="s">
        <v>213</v>
      </c>
      <c r="N398">
        <v>40.85</v>
      </c>
      <c r="O398">
        <v>25</v>
      </c>
      <c r="P398">
        <v>117.621428571429</v>
      </c>
      <c r="Q398">
        <v>142.621428571429</v>
      </c>
      <c r="R398">
        <v>0</v>
      </c>
      <c r="S398">
        <v>142.621428571429</v>
      </c>
      <c r="T398">
        <v>274</v>
      </c>
      <c r="U398">
        <f>SUMIF(货件明细!J:J,E398,货件明细!AP:AP)</f>
        <v>0</v>
      </c>
      <c r="V398">
        <f>IF(U398=T398,0,1)</f>
        <v>1</v>
      </c>
      <c r="W398">
        <f>T398</f>
        <v>274</v>
      </c>
      <c r="X398">
        <f>SUMIF(货件明细!J:J,E398,货件明细!H:H)</f>
        <v>0</v>
      </c>
      <c r="Y398">
        <f>N398-X398</f>
        <v>40.85</v>
      </c>
      <c r="Z398">
        <f>SUMIF(货件明细!J:J,E398,货件明细!I:I)</f>
        <v>0</v>
      </c>
      <c r="AA398">
        <f>IF(S398=Z398,0,1)</f>
        <v>1</v>
      </c>
    </row>
    <row r="399" hidden="1" spans="1:27">
      <c r="A399">
        <v>1</v>
      </c>
      <c r="B399">
        <v>4</v>
      </c>
      <c r="C399" s="3">
        <v>46046</v>
      </c>
      <c r="D399" t="s">
        <v>27</v>
      </c>
      <c r="E399" t="s">
        <v>498</v>
      </c>
      <c r="F399" t="s">
        <v>239</v>
      </c>
      <c r="G399" t="s">
        <v>72</v>
      </c>
      <c r="H399" t="s">
        <v>56</v>
      </c>
      <c r="I399" t="s">
        <v>63</v>
      </c>
      <c r="J399" t="s">
        <v>63</v>
      </c>
      <c r="K399" t="s">
        <v>64</v>
      </c>
      <c r="L399" t="s">
        <v>212</v>
      </c>
      <c r="M399" t="s">
        <v>213</v>
      </c>
      <c r="N399">
        <v>40.85</v>
      </c>
      <c r="O399">
        <v>25</v>
      </c>
      <c r="P399">
        <v>132.157142857143</v>
      </c>
      <c r="Q399">
        <v>157.157142857143</v>
      </c>
      <c r="R399">
        <v>0</v>
      </c>
      <c r="S399">
        <v>157.157142857143</v>
      </c>
      <c r="T399">
        <v>274</v>
      </c>
      <c r="U399">
        <f>SUMIF(货件明细!J:J,E399,货件明细!AP:AP)</f>
        <v>0</v>
      </c>
      <c r="V399">
        <f>IF(U399=T399,0,1)</f>
        <v>1</v>
      </c>
      <c r="W399">
        <f>T399</f>
        <v>274</v>
      </c>
      <c r="X399">
        <f>SUMIF(货件明细!J:J,E399,货件明细!H:H)</f>
        <v>0</v>
      </c>
      <c r="Y399">
        <f>N399-X399</f>
        <v>40.85</v>
      </c>
      <c r="Z399">
        <f>SUMIF(货件明细!J:J,E399,货件明细!I:I)</f>
        <v>0</v>
      </c>
      <c r="AA399">
        <f>IF(S399=Z399,0,1)</f>
        <v>1</v>
      </c>
    </row>
    <row r="400" hidden="1" spans="1:27">
      <c r="A400">
        <v>1</v>
      </c>
      <c r="B400">
        <v>4</v>
      </c>
      <c r="C400" s="3">
        <v>46046</v>
      </c>
      <c r="D400" t="s">
        <v>27</v>
      </c>
      <c r="E400" t="s">
        <v>499</v>
      </c>
      <c r="F400" t="s">
        <v>195</v>
      </c>
      <c r="G400" t="s">
        <v>30</v>
      </c>
      <c r="H400" t="s">
        <v>39</v>
      </c>
      <c r="I400" t="s">
        <v>63</v>
      </c>
      <c r="J400" t="s">
        <v>63</v>
      </c>
      <c r="K400" t="s">
        <v>64</v>
      </c>
      <c r="L400" t="s">
        <v>212</v>
      </c>
      <c r="M400" t="s">
        <v>213</v>
      </c>
      <c r="N400">
        <v>40.65</v>
      </c>
      <c r="O400">
        <v>37.5</v>
      </c>
      <c r="P400">
        <v>250.328571428571</v>
      </c>
      <c r="Q400">
        <v>287.828571428571</v>
      </c>
      <c r="R400">
        <v>0</v>
      </c>
      <c r="S400">
        <v>287.828571428571</v>
      </c>
      <c r="T400">
        <v>155</v>
      </c>
      <c r="U400">
        <f>SUMIF(货件明细!J:J,E400,货件明细!AP:AP)</f>
        <v>0</v>
      </c>
      <c r="V400">
        <f>IF(U400=T400,0,1)</f>
        <v>1</v>
      </c>
      <c r="W400">
        <f>T400</f>
        <v>155</v>
      </c>
      <c r="X400">
        <f>SUMIF(货件明细!J:J,E400,货件明细!H:H)</f>
        <v>0</v>
      </c>
      <c r="Y400">
        <f>N400-X400</f>
        <v>40.65</v>
      </c>
      <c r="Z400">
        <f>SUMIF(货件明细!J:J,E400,货件明细!I:I)</f>
        <v>0</v>
      </c>
      <c r="AA400">
        <f>IF(S400=Z400,0,1)</f>
        <v>1</v>
      </c>
    </row>
    <row r="401" hidden="1" spans="1:27">
      <c r="A401">
        <v>1</v>
      </c>
      <c r="B401">
        <v>4</v>
      </c>
      <c r="C401" s="3">
        <v>46046</v>
      </c>
      <c r="D401" t="s">
        <v>27</v>
      </c>
      <c r="E401" t="s">
        <v>500</v>
      </c>
      <c r="F401" t="s">
        <v>62</v>
      </c>
      <c r="G401" t="s">
        <v>30</v>
      </c>
      <c r="H401" t="s">
        <v>39</v>
      </c>
      <c r="I401" t="s">
        <v>63</v>
      </c>
      <c r="J401" t="s">
        <v>63</v>
      </c>
      <c r="K401" t="s">
        <v>64</v>
      </c>
      <c r="L401" t="s">
        <v>212</v>
      </c>
      <c r="M401" t="s">
        <v>213</v>
      </c>
      <c r="N401">
        <v>40.65</v>
      </c>
      <c r="O401">
        <v>37.5</v>
      </c>
      <c r="P401">
        <v>240.428571428571</v>
      </c>
      <c r="Q401">
        <v>277.928571428571</v>
      </c>
      <c r="R401">
        <v>0</v>
      </c>
      <c r="S401">
        <v>277.928571428571</v>
      </c>
      <c r="T401">
        <v>155</v>
      </c>
      <c r="U401">
        <f>SUMIF(货件明细!J:J,E401,货件明细!AP:AP)</f>
        <v>0</v>
      </c>
      <c r="V401">
        <f>IF(U401=T401,0,1)</f>
        <v>1</v>
      </c>
      <c r="W401">
        <f>T401</f>
        <v>155</v>
      </c>
      <c r="X401">
        <f>SUMIF(货件明细!J:J,E401,货件明细!H:H)</f>
        <v>0</v>
      </c>
      <c r="Y401">
        <f>N401-X401</f>
        <v>40.65</v>
      </c>
      <c r="Z401">
        <f>SUMIF(货件明细!J:J,E401,货件明细!I:I)</f>
        <v>0</v>
      </c>
      <c r="AA401">
        <f>IF(S401=Z401,0,1)</f>
        <v>1</v>
      </c>
    </row>
    <row r="402" hidden="1" spans="1:27">
      <c r="A402">
        <v>1</v>
      </c>
      <c r="B402">
        <v>4</v>
      </c>
      <c r="C402" s="3">
        <v>46046</v>
      </c>
      <c r="D402" t="s">
        <v>27</v>
      </c>
      <c r="E402" t="s">
        <v>501</v>
      </c>
      <c r="F402" t="s">
        <v>243</v>
      </c>
      <c r="G402" t="s">
        <v>72</v>
      </c>
      <c r="H402" t="s">
        <v>39</v>
      </c>
      <c r="I402" t="s">
        <v>63</v>
      </c>
      <c r="J402" t="s">
        <v>63</v>
      </c>
      <c r="K402" t="s">
        <v>64</v>
      </c>
      <c r="L402" t="s">
        <v>212</v>
      </c>
      <c r="M402" t="s">
        <v>213</v>
      </c>
      <c r="N402">
        <v>40.65</v>
      </c>
      <c r="O402">
        <v>25</v>
      </c>
      <c r="P402">
        <v>128.64</v>
      </c>
      <c r="Q402">
        <v>153.64</v>
      </c>
      <c r="R402">
        <v>0</v>
      </c>
      <c r="S402">
        <v>153.64</v>
      </c>
      <c r="T402">
        <v>155</v>
      </c>
      <c r="U402">
        <f>SUMIF(货件明细!J:J,E402,货件明细!AP:AP)</f>
        <v>0</v>
      </c>
      <c r="V402">
        <f>IF(U402=T402,0,1)</f>
        <v>1</v>
      </c>
      <c r="W402">
        <f>T402</f>
        <v>155</v>
      </c>
      <c r="X402">
        <f>SUMIF(货件明细!J:J,E402,货件明细!H:H)</f>
        <v>0</v>
      </c>
      <c r="Y402">
        <f>N402-X402</f>
        <v>40.65</v>
      </c>
      <c r="Z402">
        <f>SUMIF(货件明细!J:J,E402,货件明细!I:I)</f>
        <v>0</v>
      </c>
      <c r="AA402">
        <f>IF(S402=Z402,0,1)</f>
        <v>1</v>
      </c>
    </row>
    <row r="403" hidden="1" spans="1:27">
      <c r="A403">
        <v>1</v>
      </c>
      <c r="B403">
        <v>4</v>
      </c>
      <c r="C403" s="3">
        <v>46046</v>
      </c>
      <c r="D403" t="s">
        <v>27</v>
      </c>
      <c r="E403" t="s">
        <v>502</v>
      </c>
      <c r="F403" t="s">
        <v>187</v>
      </c>
      <c r="G403" t="s">
        <v>72</v>
      </c>
      <c r="H403" t="s">
        <v>39</v>
      </c>
      <c r="I403" t="s">
        <v>63</v>
      </c>
      <c r="J403" t="s">
        <v>63</v>
      </c>
      <c r="K403" t="s">
        <v>64</v>
      </c>
      <c r="L403" t="s">
        <v>212</v>
      </c>
      <c r="M403" t="s">
        <v>213</v>
      </c>
      <c r="N403">
        <v>40.65</v>
      </c>
      <c r="O403">
        <v>25</v>
      </c>
      <c r="P403">
        <v>117.621428571429</v>
      </c>
      <c r="Q403">
        <v>142.621428571429</v>
      </c>
      <c r="R403">
        <v>0</v>
      </c>
      <c r="S403">
        <v>142.621428571429</v>
      </c>
      <c r="T403">
        <v>155</v>
      </c>
      <c r="U403">
        <f>SUMIF(货件明细!J:J,E403,货件明细!AP:AP)</f>
        <v>0</v>
      </c>
      <c r="V403">
        <f>IF(U403=T403,0,1)</f>
        <v>1</v>
      </c>
      <c r="W403">
        <f>T403</f>
        <v>155</v>
      </c>
      <c r="X403">
        <f>SUMIF(货件明细!J:J,E403,货件明细!H:H)</f>
        <v>0</v>
      </c>
      <c r="Y403">
        <f>N403-X403</f>
        <v>40.65</v>
      </c>
      <c r="Z403">
        <f>SUMIF(货件明细!J:J,E403,货件明细!I:I)</f>
        <v>0</v>
      </c>
      <c r="AA403">
        <f>IF(S403=Z403,0,1)</f>
        <v>1</v>
      </c>
    </row>
    <row r="404" hidden="1" spans="1:27">
      <c r="A404">
        <v>1</v>
      </c>
      <c r="B404">
        <v>4</v>
      </c>
      <c r="C404" s="3">
        <v>46046</v>
      </c>
      <c r="D404" t="s">
        <v>27</v>
      </c>
      <c r="E404" t="s">
        <v>503</v>
      </c>
      <c r="F404" t="s">
        <v>239</v>
      </c>
      <c r="G404" t="s">
        <v>72</v>
      </c>
      <c r="H404" t="s">
        <v>39</v>
      </c>
      <c r="I404" t="s">
        <v>63</v>
      </c>
      <c r="J404" t="s">
        <v>63</v>
      </c>
      <c r="K404" t="s">
        <v>64</v>
      </c>
      <c r="L404" t="s">
        <v>212</v>
      </c>
      <c r="M404" t="s">
        <v>213</v>
      </c>
      <c r="N404">
        <v>40.65</v>
      </c>
      <c r="O404">
        <v>25</v>
      </c>
      <c r="P404">
        <v>132.157142857143</v>
      </c>
      <c r="Q404">
        <v>157.157142857143</v>
      </c>
      <c r="R404">
        <v>0</v>
      </c>
      <c r="S404">
        <v>157.157142857143</v>
      </c>
      <c r="T404">
        <v>155</v>
      </c>
      <c r="U404">
        <f>SUMIF(货件明细!J:J,E404,货件明细!AP:AP)</f>
        <v>0</v>
      </c>
      <c r="V404">
        <f>IF(U404=T404,0,1)</f>
        <v>1</v>
      </c>
      <c r="W404">
        <f>T404</f>
        <v>155</v>
      </c>
      <c r="X404">
        <f>SUMIF(货件明细!J:J,E404,货件明细!H:H)</f>
        <v>0</v>
      </c>
      <c r="Y404">
        <f>N404-X404</f>
        <v>40.65</v>
      </c>
      <c r="Z404">
        <f>SUMIF(货件明细!J:J,E404,货件明细!I:I)</f>
        <v>0</v>
      </c>
      <c r="AA404">
        <f>IF(S404=Z404,0,1)</f>
        <v>1</v>
      </c>
    </row>
    <row r="405" hidden="1" spans="1:27">
      <c r="A405">
        <v>1</v>
      </c>
      <c r="B405">
        <v>4</v>
      </c>
      <c r="C405" s="3">
        <v>46046</v>
      </c>
      <c r="D405" t="s">
        <v>27</v>
      </c>
      <c r="E405" t="s">
        <v>504</v>
      </c>
      <c r="F405" t="s">
        <v>195</v>
      </c>
      <c r="G405" t="s">
        <v>30</v>
      </c>
      <c r="H405" t="s">
        <v>37</v>
      </c>
      <c r="I405" t="s">
        <v>63</v>
      </c>
      <c r="J405" t="s">
        <v>63</v>
      </c>
      <c r="K405" t="s">
        <v>64</v>
      </c>
      <c r="L405" t="s">
        <v>212</v>
      </c>
      <c r="M405" t="s">
        <v>213</v>
      </c>
      <c r="N405">
        <v>41.45</v>
      </c>
      <c r="O405">
        <v>37.5</v>
      </c>
      <c r="P405">
        <v>250.328571428571</v>
      </c>
      <c r="Q405">
        <v>287.828571428571</v>
      </c>
      <c r="R405">
        <v>0</v>
      </c>
      <c r="S405">
        <v>287.828571428571</v>
      </c>
      <c r="T405">
        <v>376</v>
      </c>
      <c r="U405">
        <f>SUMIF(货件明细!J:J,E405,货件明细!AP:AP)</f>
        <v>0</v>
      </c>
      <c r="V405">
        <f>IF(U405=T405,0,1)</f>
        <v>1</v>
      </c>
      <c r="W405">
        <f>T405</f>
        <v>376</v>
      </c>
      <c r="X405">
        <f>SUMIF(货件明细!J:J,E405,货件明细!H:H)</f>
        <v>0</v>
      </c>
      <c r="Y405">
        <f>N405-X405</f>
        <v>41.45</v>
      </c>
      <c r="Z405">
        <f>SUMIF(货件明细!J:J,E405,货件明细!I:I)</f>
        <v>0</v>
      </c>
      <c r="AA405">
        <f>IF(S405=Z405,0,1)</f>
        <v>1</v>
      </c>
    </row>
    <row r="406" hidden="1" spans="1:27">
      <c r="A406">
        <v>1</v>
      </c>
      <c r="B406">
        <v>4</v>
      </c>
      <c r="C406" s="3">
        <v>46046</v>
      </c>
      <c r="D406" t="s">
        <v>27</v>
      </c>
      <c r="E406" t="s">
        <v>505</v>
      </c>
      <c r="F406" t="s">
        <v>62</v>
      </c>
      <c r="G406" t="s">
        <v>30</v>
      </c>
      <c r="H406" t="s">
        <v>37</v>
      </c>
      <c r="I406" t="s">
        <v>63</v>
      </c>
      <c r="J406" t="s">
        <v>63</v>
      </c>
      <c r="K406" t="s">
        <v>64</v>
      </c>
      <c r="L406" t="s">
        <v>212</v>
      </c>
      <c r="M406" t="s">
        <v>213</v>
      </c>
      <c r="N406">
        <v>41.45</v>
      </c>
      <c r="O406">
        <v>37.5</v>
      </c>
      <c r="P406">
        <v>240.428571428571</v>
      </c>
      <c r="Q406">
        <v>277.928571428571</v>
      </c>
      <c r="R406">
        <v>0</v>
      </c>
      <c r="S406">
        <v>277.928571428571</v>
      </c>
      <c r="T406">
        <v>376</v>
      </c>
      <c r="U406">
        <f>SUMIF(货件明细!J:J,E406,货件明细!AP:AP)</f>
        <v>0</v>
      </c>
      <c r="V406">
        <f>IF(U406=T406,0,1)</f>
        <v>1</v>
      </c>
      <c r="W406">
        <f>T406</f>
        <v>376</v>
      </c>
      <c r="X406">
        <f>SUMIF(货件明细!J:J,E406,货件明细!H:H)</f>
        <v>0</v>
      </c>
      <c r="Y406">
        <f>N406-X406</f>
        <v>41.45</v>
      </c>
      <c r="Z406">
        <f>SUMIF(货件明细!J:J,E406,货件明细!I:I)</f>
        <v>0</v>
      </c>
      <c r="AA406">
        <f>IF(S406=Z406,0,1)</f>
        <v>1</v>
      </c>
    </row>
    <row r="407" hidden="1" spans="1:27">
      <c r="A407">
        <v>1</v>
      </c>
      <c r="B407">
        <v>4</v>
      </c>
      <c r="C407" s="3">
        <v>46046</v>
      </c>
      <c r="D407" t="s">
        <v>27</v>
      </c>
      <c r="E407" t="s">
        <v>506</v>
      </c>
      <c r="F407" t="s">
        <v>243</v>
      </c>
      <c r="G407" t="s">
        <v>72</v>
      </c>
      <c r="H407" t="s">
        <v>37</v>
      </c>
      <c r="I407" t="s">
        <v>63</v>
      </c>
      <c r="J407" t="s">
        <v>63</v>
      </c>
      <c r="K407" t="s">
        <v>64</v>
      </c>
      <c r="L407" t="s">
        <v>212</v>
      </c>
      <c r="M407" t="s">
        <v>213</v>
      </c>
      <c r="N407">
        <v>41.45</v>
      </c>
      <c r="O407">
        <v>25</v>
      </c>
      <c r="P407">
        <v>128.64</v>
      </c>
      <c r="Q407">
        <v>153.64</v>
      </c>
      <c r="R407">
        <v>0</v>
      </c>
      <c r="S407">
        <v>153.64</v>
      </c>
      <c r="T407">
        <v>376</v>
      </c>
      <c r="U407">
        <f>SUMIF(货件明细!J:J,E407,货件明细!AP:AP)</f>
        <v>0</v>
      </c>
      <c r="V407">
        <f>IF(U407=T407,0,1)</f>
        <v>1</v>
      </c>
      <c r="W407">
        <f>T407</f>
        <v>376</v>
      </c>
      <c r="X407">
        <f>SUMIF(货件明细!J:J,E407,货件明细!H:H)</f>
        <v>0</v>
      </c>
      <c r="Y407">
        <f>N407-X407</f>
        <v>41.45</v>
      </c>
      <c r="Z407">
        <f>SUMIF(货件明细!J:J,E407,货件明细!I:I)</f>
        <v>0</v>
      </c>
      <c r="AA407">
        <f>IF(S407=Z407,0,1)</f>
        <v>1</v>
      </c>
    </row>
    <row r="408" hidden="1" spans="1:27">
      <c r="A408">
        <v>1</v>
      </c>
      <c r="B408">
        <v>4</v>
      </c>
      <c r="C408" s="3">
        <v>46046</v>
      </c>
      <c r="D408" t="s">
        <v>27</v>
      </c>
      <c r="E408" t="s">
        <v>507</v>
      </c>
      <c r="F408" t="s">
        <v>187</v>
      </c>
      <c r="G408" t="s">
        <v>72</v>
      </c>
      <c r="H408" t="s">
        <v>37</v>
      </c>
      <c r="I408" t="s">
        <v>63</v>
      </c>
      <c r="J408" t="s">
        <v>63</v>
      </c>
      <c r="K408" t="s">
        <v>64</v>
      </c>
      <c r="L408" t="s">
        <v>212</v>
      </c>
      <c r="M408" t="s">
        <v>213</v>
      </c>
      <c r="N408">
        <v>41.45</v>
      </c>
      <c r="O408">
        <v>25</v>
      </c>
      <c r="P408">
        <v>117.621428571429</v>
      </c>
      <c r="Q408">
        <v>142.621428571429</v>
      </c>
      <c r="R408">
        <v>0</v>
      </c>
      <c r="S408">
        <v>142.621428571429</v>
      </c>
      <c r="T408">
        <v>376</v>
      </c>
      <c r="U408">
        <f>SUMIF(货件明细!J:J,E408,货件明细!AP:AP)</f>
        <v>0</v>
      </c>
      <c r="V408">
        <f>IF(U408=T408,0,1)</f>
        <v>1</v>
      </c>
      <c r="W408">
        <f>T408</f>
        <v>376</v>
      </c>
      <c r="X408">
        <f>SUMIF(货件明细!J:J,E408,货件明细!H:H)</f>
        <v>0</v>
      </c>
      <c r="Y408">
        <f>N408-X408</f>
        <v>41.45</v>
      </c>
      <c r="Z408">
        <f>SUMIF(货件明细!J:J,E408,货件明细!I:I)</f>
        <v>0</v>
      </c>
      <c r="AA408">
        <f>IF(S408=Z408,0,1)</f>
        <v>1</v>
      </c>
    </row>
    <row r="409" hidden="1" spans="1:27">
      <c r="A409">
        <v>1</v>
      </c>
      <c r="B409">
        <v>4</v>
      </c>
      <c r="C409" s="3">
        <v>46046</v>
      </c>
      <c r="D409" t="s">
        <v>27</v>
      </c>
      <c r="E409" t="s">
        <v>508</v>
      </c>
      <c r="F409" t="s">
        <v>239</v>
      </c>
      <c r="G409" t="s">
        <v>72</v>
      </c>
      <c r="H409" t="s">
        <v>37</v>
      </c>
      <c r="I409" t="s">
        <v>63</v>
      </c>
      <c r="J409" t="s">
        <v>63</v>
      </c>
      <c r="K409" t="s">
        <v>64</v>
      </c>
      <c r="L409" t="s">
        <v>212</v>
      </c>
      <c r="M409" t="s">
        <v>213</v>
      </c>
      <c r="N409">
        <v>41.45</v>
      </c>
      <c r="O409">
        <v>25</v>
      </c>
      <c r="P409">
        <v>132.157142857143</v>
      </c>
      <c r="Q409">
        <v>157.157142857143</v>
      </c>
      <c r="R409">
        <v>0</v>
      </c>
      <c r="S409">
        <v>157.157142857143</v>
      </c>
      <c r="T409">
        <v>376</v>
      </c>
      <c r="U409">
        <f>SUMIF(货件明细!J:J,E409,货件明细!AP:AP)</f>
        <v>0</v>
      </c>
      <c r="V409">
        <f>IF(U409=T409,0,1)</f>
        <v>1</v>
      </c>
      <c r="W409">
        <f>T409</f>
        <v>376</v>
      </c>
      <c r="X409">
        <f>SUMIF(货件明细!J:J,E409,货件明细!H:H)</f>
        <v>0</v>
      </c>
      <c r="Y409">
        <f>N409-X409</f>
        <v>41.45</v>
      </c>
      <c r="Z409">
        <f>SUMIF(货件明细!J:J,E409,货件明细!I:I)</f>
        <v>0</v>
      </c>
      <c r="AA409">
        <f>IF(S409=Z409,0,1)</f>
        <v>1</v>
      </c>
    </row>
    <row r="410" hidden="1" spans="1:27">
      <c r="A410">
        <v>1</v>
      </c>
      <c r="B410">
        <v>4</v>
      </c>
      <c r="C410" s="3">
        <v>46046</v>
      </c>
      <c r="D410" t="s">
        <v>27</v>
      </c>
      <c r="E410" t="s">
        <v>509</v>
      </c>
      <c r="F410" t="s">
        <v>195</v>
      </c>
      <c r="G410" t="s">
        <v>30</v>
      </c>
      <c r="H410" t="s">
        <v>78</v>
      </c>
      <c r="I410" t="s">
        <v>92</v>
      </c>
      <c r="J410" t="s">
        <v>92</v>
      </c>
      <c r="K410" t="s">
        <v>64</v>
      </c>
      <c r="L410" t="s">
        <v>65</v>
      </c>
      <c r="M410" t="s">
        <v>93</v>
      </c>
      <c r="N410">
        <v>20.9</v>
      </c>
      <c r="P410">
        <v>126.35</v>
      </c>
      <c r="Q410">
        <v>126.35</v>
      </c>
      <c r="R410">
        <v>0</v>
      </c>
      <c r="S410">
        <v>126.35</v>
      </c>
      <c r="T410">
        <v>184</v>
      </c>
      <c r="U410">
        <f>SUMIF(货件明细!J:J,E410,货件明细!AP:AP)</f>
        <v>0</v>
      </c>
      <c r="V410">
        <f>IF(U410=T410,0,1)</f>
        <v>1</v>
      </c>
      <c r="W410">
        <f>T410</f>
        <v>184</v>
      </c>
      <c r="X410">
        <f>SUMIF(货件明细!J:J,E410,货件明细!H:H)</f>
        <v>0</v>
      </c>
      <c r="Y410">
        <f>N410-X410</f>
        <v>20.9</v>
      </c>
      <c r="Z410">
        <f>SUMIF(货件明细!J:J,E410,货件明细!I:I)</f>
        <v>0</v>
      </c>
      <c r="AA410">
        <f>IF(S410=Z410,0,1)</f>
        <v>1</v>
      </c>
    </row>
    <row r="411" hidden="1" spans="1:27">
      <c r="A411">
        <v>1</v>
      </c>
      <c r="B411">
        <v>4</v>
      </c>
      <c r="C411" s="3">
        <v>46046</v>
      </c>
      <c r="D411" t="s">
        <v>27</v>
      </c>
      <c r="E411" t="s">
        <v>510</v>
      </c>
      <c r="F411" t="s">
        <v>62</v>
      </c>
      <c r="G411" t="s">
        <v>30</v>
      </c>
      <c r="H411" t="s">
        <v>78</v>
      </c>
      <c r="I411" t="s">
        <v>92</v>
      </c>
      <c r="J411" t="s">
        <v>92</v>
      </c>
      <c r="K411" t="s">
        <v>64</v>
      </c>
      <c r="L411" t="s">
        <v>65</v>
      </c>
      <c r="M411" t="s">
        <v>93</v>
      </c>
      <c r="N411">
        <v>20.9</v>
      </c>
      <c r="P411">
        <v>121.8</v>
      </c>
      <c r="Q411">
        <v>121.8</v>
      </c>
      <c r="R411">
        <v>0</v>
      </c>
      <c r="S411">
        <v>121.8</v>
      </c>
      <c r="T411">
        <v>184</v>
      </c>
      <c r="U411">
        <f>SUMIF(货件明细!J:J,E411,货件明细!AP:AP)</f>
        <v>0</v>
      </c>
      <c r="V411">
        <f>IF(U411=T411,0,1)</f>
        <v>1</v>
      </c>
      <c r="W411">
        <f>T411</f>
        <v>184</v>
      </c>
      <c r="X411">
        <f>SUMIF(货件明细!J:J,E411,货件明细!H:H)</f>
        <v>0</v>
      </c>
      <c r="Y411">
        <f>N411-X411</f>
        <v>20.9</v>
      </c>
      <c r="Z411">
        <f>SUMIF(货件明细!J:J,E411,货件明细!I:I)</f>
        <v>0</v>
      </c>
      <c r="AA411">
        <f>IF(S411=Z411,0,1)</f>
        <v>1</v>
      </c>
    </row>
    <row r="412" hidden="1" spans="1:27">
      <c r="A412">
        <v>1</v>
      </c>
      <c r="B412">
        <v>4</v>
      </c>
      <c r="C412" s="3">
        <v>46046</v>
      </c>
      <c r="D412" t="s">
        <v>27</v>
      </c>
      <c r="E412" t="s">
        <v>511</v>
      </c>
      <c r="F412" t="s">
        <v>243</v>
      </c>
      <c r="G412" t="s">
        <v>72</v>
      </c>
      <c r="H412" t="s">
        <v>78</v>
      </c>
      <c r="I412" t="s">
        <v>92</v>
      </c>
      <c r="J412" t="s">
        <v>92</v>
      </c>
      <c r="K412" t="s">
        <v>64</v>
      </c>
      <c r="L412" t="s">
        <v>65</v>
      </c>
      <c r="M412" t="s">
        <v>93</v>
      </c>
      <c r="N412">
        <v>20.9</v>
      </c>
      <c r="P412">
        <v>84</v>
      </c>
      <c r="Q412">
        <v>84</v>
      </c>
      <c r="R412">
        <v>0</v>
      </c>
      <c r="S412">
        <v>84</v>
      </c>
      <c r="T412">
        <v>184</v>
      </c>
      <c r="U412">
        <f>SUMIF(货件明细!J:J,E412,货件明细!AP:AP)</f>
        <v>0</v>
      </c>
      <c r="V412">
        <f>IF(U412=T412,0,1)</f>
        <v>1</v>
      </c>
      <c r="W412">
        <f>T412</f>
        <v>184</v>
      </c>
      <c r="X412">
        <f>SUMIF(货件明细!J:J,E412,货件明细!H:H)</f>
        <v>0</v>
      </c>
      <c r="Y412">
        <f>N412-X412</f>
        <v>20.9</v>
      </c>
      <c r="Z412">
        <f>SUMIF(货件明细!J:J,E412,货件明细!I:I)</f>
        <v>0</v>
      </c>
      <c r="AA412">
        <f>IF(S412=Z412,0,1)</f>
        <v>1</v>
      </c>
    </row>
    <row r="413" hidden="1" spans="1:27">
      <c r="A413">
        <v>1</v>
      </c>
      <c r="B413">
        <v>4</v>
      </c>
      <c r="C413" s="3">
        <v>46046</v>
      </c>
      <c r="D413" t="s">
        <v>27</v>
      </c>
      <c r="E413" t="s">
        <v>512</v>
      </c>
      <c r="F413" t="s">
        <v>187</v>
      </c>
      <c r="G413" t="s">
        <v>72</v>
      </c>
      <c r="H413" t="s">
        <v>78</v>
      </c>
      <c r="I413" t="s">
        <v>92</v>
      </c>
      <c r="J413" t="s">
        <v>92</v>
      </c>
      <c r="K413" t="s">
        <v>64</v>
      </c>
      <c r="L413" t="s">
        <v>65</v>
      </c>
      <c r="M413" t="s">
        <v>93</v>
      </c>
      <c r="N413">
        <v>20.9</v>
      </c>
      <c r="P413">
        <v>59.2</v>
      </c>
      <c r="Q413">
        <v>59.2</v>
      </c>
      <c r="R413">
        <v>0</v>
      </c>
      <c r="S413">
        <v>59.2</v>
      </c>
      <c r="T413">
        <v>184</v>
      </c>
      <c r="U413">
        <f>SUMIF(货件明细!J:J,E413,货件明细!AP:AP)</f>
        <v>0</v>
      </c>
      <c r="V413">
        <f>IF(U413=T413,0,1)</f>
        <v>1</v>
      </c>
      <c r="W413">
        <f>T413</f>
        <v>184</v>
      </c>
      <c r="X413">
        <f>SUMIF(货件明细!J:J,E413,货件明细!H:H)</f>
        <v>0</v>
      </c>
      <c r="Y413">
        <f>N413-X413</f>
        <v>20.9</v>
      </c>
      <c r="Z413">
        <f>SUMIF(货件明细!J:J,E413,货件明细!I:I)</f>
        <v>0</v>
      </c>
      <c r="AA413">
        <f>IF(S413=Z413,0,1)</f>
        <v>1</v>
      </c>
    </row>
    <row r="414" hidden="1" spans="1:27">
      <c r="A414">
        <v>1</v>
      </c>
      <c r="B414">
        <v>4</v>
      </c>
      <c r="C414" s="3">
        <v>46046</v>
      </c>
      <c r="D414" t="s">
        <v>27</v>
      </c>
      <c r="E414" t="s">
        <v>513</v>
      </c>
      <c r="F414" t="s">
        <v>239</v>
      </c>
      <c r="G414" t="s">
        <v>72</v>
      </c>
      <c r="H414" t="s">
        <v>78</v>
      </c>
      <c r="I414" t="s">
        <v>92</v>
      </c>
      <c r="J414" t="s">
        <v>92</v>
      </c>
      <c r="K414" t="s">
        <v>64</v>
      </c>
      <c r="L414" t="s">
        <v>65</v>
      </c>
      <c r="M414" t="s">
        <v>93</v>
      </c>
      <c r="N414">
        <v>20.9</v>
      </c>
      <c r="P414">
        <v>64</v>
      </c>
      <c r="Q414">
        <v>64</v>
      </c>
      <c r="R414">
        <v>0</v>
      </c>
      <c r="S414">
        <v>64</v>
      </c>
      <c r="T414">
        <v>184</v>
      </c>
      <c r="U414">
        <f>SUMIF(货件明细!J:J,E414,货件明细!AP:AP)</f>
        <v>0</v>
      </c>
      <c r="V414">
        <f>IF(U414=T414,0,1)</f>
        <v>1</v>
      </c>
      <c r="W414">
        <f>T414</f>
        <v>184</v>
      </c>
      <c r="X414">
        <f>SUMIF(货件明细!J:J,E414,货件明细!H:H)</f>
        <v>0</v>
      </c>
      <c r="Y414">
        <f>N414-X414</f>
        <v>20.9</v>
      </c>
      <c r="Z414">
        <f>SUMIF(货件明细!J:J,E414,货件明细!I:I)</f>
        <v>0</v>
      </c>
      <c r="AA414">
        <f>IF(S414=Z414,0,1)</f>
        <v>1</v>
      </c>
    </row>
    <row r="415" hidden="1" spans="1:27">
      <c r="A415">
        <v>1</v>
      </c>
      <c r="B415">
        <v>4</v>
      </c>
      <c r="C415" s="3">
        <v>46046</v>
      </c>
      <c r="D415" t="s">
        <v>27</v>
      </c>
      <c r="E415" t="s">
        <v>514</v>
      </c>
      <c r="F415" t="s">
        <v>185</v>
      </c>
      <c r="G415" t="s">
        <v>30</v>
      </c>
      <c r="H415" t="s">
        <v>224</v>
      </c>
      <c r="I415" t="s">
        <v>92</v>
      </c>
      <c r="J415" t="s">
        <v>92</v>
      </c>
      <c r="K415" t="s">
        <v>64</v>
      </c>
      <c r="L415" t="s">
        <v>65</v>
      </c>
      <c r="M415" t="s">
        <v>188</v>
      </c>
      <c r="N415">
        <v>13.6</v>
      </c>
      <c r="P415">
        <v>136.92</v>
      </c>
      <c r="Q415">
        <v>136.92</v>
      </c>
      <c r="R415">
        <v>0</v>
      </c>
      <c r="S415">
        <v>136.92</v>
      </c>
      <c r="T415">
        <v>59</v>
      </c>
      <c r="U415">
        <f>SUMIF(货件明细!J:J,E415,货件明细!AP:AP)</f>
        <v>0</v>
      </c>
      <c r="V415">
        <f>IF(U415=T415,0,1)</f>
        <v>1</v>
      </c>
      <c r="W415">
        <f>T415</f>
        <v>59</v>
      </c>
      <c r="X415">
        <f>SUMIF(货件明细!J:J,E415,货件明细!H:H)</f>
        <v>0</v>
      </c>
      <c r="Y415">
        <f>N415-X415</f>
        <v>13.6</v>
      </c>
      <c r="Z415">
        <f>SUMIF(货件明细!J:J,E415,货件明细!I:I)</f>
        <v>0</v>
      </c>
      <c r="AA415">
        <f>IF(S415=Z415,0,1)</f>
        <v>1</v>
      </c>
    </row>
    <row r="416" hidden="1" spans="1:27">
      <c r="A416">
        <v>1</v>
      </c>
      <c r="B416">
        <v>4</v>
      </c>
      <c r="C416" s="3">
        <v>46046</v>
      </c>
      <c r="D416" t="s">
        <v>27</v>
      </c>
      <c r="E416" t="s">
        <v>515</v>
      </c>
      <c r="F416" t="s">
        <v>198</v>
      </c>
      <c r="G416" t="s">
        <v>69</v>
      </c>
      <c r="H416" t="s">
        <v>224</v>
      </c>
      <c r="I416" t="s">
        <v>92</v>
      </c>
      <c r="J416" t="s">
        <v>92</v>
      </c>
      <c r="K416" t="s">
        <v>64</v>
      </c>
      <c r="L416" t="s">
        <v>65</v>
      </c>
      <c r="M416" t="s">
        <v>188</v>
      </c>
      <c r="N416">
        <v>13.6</v>
      </c>
      <c r="P416">
        <v>119</v>
      </c>
      <c r="Q416">
        <v>119</v>
      </c>
      <c r="R416">
        <v>0</v>
      </c>
      <c r="S416">
        <v>119</v>
      </c>
      <c r="T416">
        <v>59</v>
      </c>
      <c r="U416">
        <f>SUMIF(货件明细!J:J,E416,货件明细!AP:AP)</f>
        <v>0</v>
      </c>
      <c r="V416">
        <f>IF(U416=T416,0,1)</f>
        <v>1</v>
      </c>
      <c r="W416">
        <f>T416</f>
        <v>59</v>
      </c>
      <c r="X416">
        <f>SUMIF(货件明细!J:J,E416,货件明细!H:H)</f>
        <v>0</v>
      </c>
      <c r="Y416">
        <f>N416-X416</f>
        <v>13.6</v>
      </c>
      <c r="Z416">
        <f>SUMIF(货件明细!J:J,E416,货件明细!I:I)</f>
        <v>0</v>
      </c>
      <c r="AA416">
        <f>IF(S416=Z416,0,1)</f>
        <v>1</v>
      </c>
    </row>
    <row r="417" hidden="1" spans="1:27">
      <c r="A417">
        <v>1</v>
      </c>
      <c r="B417">
        <v>4</v>
      </c>
      <c r="C417" s="3">
        <v>46046</v>
      </c>
      <c r="D417" t="s">
        <v>27</v>
      </c>
      <c r="E417" t="s">
        <v>516</v>
      </c>
      <c r="F417" t="s">
        <v>187</v>
      </c>
      <c r="G417" t="s">
        <v>72</v>
      </c>
      <c r="H417" t="s">
        <v>224</v>
      </c>
      <c r="I417" t="s">
        <v>92</v>
      </c>
      <c r="J417" t="s">
        <v>92</v>
      </c>
      <c r="K417" t="s">
        <v>64</v>
      </c>
      <c r="L417" t="s">
        <v>65</v>
      </c>
      <c r="M417" t="s">
        <v>93</v>
      </c>
      <c r="N417">
        <v>13.6</v>
      </c>
      <c r="P417">
        <v>59.2</v>
      </c>
      <c r="Q417">
        <v>59.2</v>
      </c>
      <c r="R417">
        <v>0</v>
      </c>
      <c r="S417">
        <v>59.2</v>
      </c>
      <c r="T417">
        <v>59</v>
      </c>
      <c r="U417">
        <f>SUMIF(货件明细!J:J,E417,货件明细!AP:AP)</f>
        <v>0</v>
      </c>
      <c r="V417">
        <f>IF(U417=T417,0,1)</f>
        <v>1</v>
      </c>
      <c r="W417">
        <f>T417</f>
        <v>59</v>
      </c>
      <c r="X417">
        <f>SUMIF(货件明细!J:J,E417,货件明细!H:H)</f>
        <v>0</v>
      </c>
      <c r="Y417">
        <f>N417-X417</f>
        <v>13.6</v>
      </c>
      <c r="Z417">
        <f>SUMIF(货件明细!J:J,E417,货件明细!I:I)</f>
        <v>0</v>
      </c>
      <c r="AA417">
        <f>IF(S417=Z417,0,1)</f>
        <v>1</v>
      </c>
    </row>
    <row r="418" hidden="1" spans="1:27">
      <c r="A418">
        <v>1</v>
      </c>
      <c r="B418">
        <v>4</v>
      </c>
      <c r="C418" s="3">
        <v>46046</v>
      </c>
      <c r="D418" t="s">
        <v>27</v>
      </c>
      <c r="E418" t="s">
        <v>517</v>
      </c>
      <c r="F418" t="s">
        <v>143</v>
      </c>
      <c r="G418" t="s">
        <v>72</v>
      </c>
      <c r="H418" t="s">
        <v>224</v>
      </c>
      <c r="I418" t="s">
        <v>92</v>
      </c>
      <c r="J418" t="s">
        <v>92</v>
      </c>
      <c r="K418" t="s">
        <v>64</v>
      </c>
      <c r="L418" t="s">
        <v>65</v>
      </c>
      <c r="M418" t="s">
        <v>188</v>
      </c>
      <c r="N418">
        <v>13.6</v>
      </c>
      <c r="P418">
        <v>78.68</v>
      </c>
      <c r="Q418">
        <v>78.68</v>
      </c>
      <c r="R418">
        <v>0</v>
      </c>
      <c r="S418">
        <v>78.68</v>
      </c>
      <c r="T418">
        <v>59</v>
      </c>
      <c r="U418">
        <f>SUMIF(货件明细!J:J,E418,货件明细!AP:AP)</f>
        <v>0</v>
      </c>
      <c r="V418">
        <f>IF(U418=T418,0,1)</f>
        <v>1</v>
      </c>
      <c r="W418">
        <f>T418</f>
        <v>59</v>
      </c>
      <c r="X418">
        <f>SUMIF(货件明细!J:J,E418,货件明细!H:H)</f>
        <v>0</v>
      </c>
      <c r="Y418">
        <f>N418-X418</f>
        <v>13.6</v>
      </c>
      <c r="Z418">
        <f>SUMIF(货件明细!J:J,E418,货件明细!I:I)</f>
        <v>0</v>
      </c>
      <c r="AA418">
        <f>IF(S418=Z418,0,1)</f>
        <v>1</v>
      </c>
    </row>
    <row r="419" hidden="1" spans="1:27">
      <c r="A419">
        <v>1</v>
      </c>
      <c r="B419">
        <v>4</v>
      </c>
      <c r="C419" s="3">
        <v>46046</v>
      </c>
      <c r="D419" t="s">
        <v>27</v>
      </c>
      <c r="E419" t="s">
        <v>518</v>
      </c>
      <c r="F419" t="s">
        <v>239</v>
      </c>
      <c r="G419" t="s">
        <v>72</v>
      </c>
      <c r="H419" t="s">
        <v>224</v>
      </c>
      <c r="I419" t="s">
        <v>92</v>
      </c>
      <c r="J419" t="s">
        <v>92</v>
      </c>
      <c r="K419" t="s">
        <v>64</v>
      </c>
      <c r="L419" t="s">
        <v>65</v>
      </c>
      <c r="M419" t="s">
        <v>93</v>
      </c>
      <c r="N419">
        <v>13.6</v>
      </c>
      <c r="P419">
        <v>64</v>
      </c>
      <c r="Q419">
        <v>64</v>
      </c>
      <c r="R419">
        <v>0</v>
      </c>
      <c r="S419">
        <v>64</v>
      </c>
      <c r="T419">
        <v>59</v>
      </c>
      <c r="U419">
        <f>SUMIF(货件明细!J:J,E419,货件明细!AP:AP)</f>
        <v>0</v>
      </c>
      <c r="V419">
        <f>IF(U419=T419,0,1)</f>
        <v>1</v>
      </c>
      <c r="W419">
        <f>T419</f>
        <v>59</v>
      </c>
      <c r="X419">
        <f>SUMIF(货件明细!J:J,E419,货件明细!H:H)</f>
        <v>0</v>
      </c>
      <c r="Y419">
        <f>N419-X419</f>
        <v>13.6</v>
      </c>
      <c r="Z419">
        <f>SUMIF(货件明细!J:J,E419,货件明细!I:I)</f>
        <v>0</v>
      </c>
      <c r="AA419">
        <f>IF(S419=Z419,0,1)</f>
        <v>1</v>
      </c>
    </row>
    <row r="420" hidden="1" spans="1:27">
      <c r="A420">
        <v>1</v>
      </c>
      <c r="B420">
        <v>4</v>
      </c>
      <c r="C420" s="3">
        <v>46046</v>
      </c>
      <c r="D420" t="s">
        <v>27</v>
      </c>
      <c r="E420" t="s">
        <v>519</v>
      </c>
      <c r="F420" t="s">
        <v>195</v>
      </c>
      <c r="G420" t="s">
        <v>30</v>
      </c>
      <c r="H420" t="s">
        <v>54</v>
      </c>
      <c r="I420" t="s">
        <v>92</v>
      </c>
      <c r="J420" t="s">
        <v>92</v>
      </c>
      <c r="K420" t="s">
        <v>64</v>
      </c>
      <c r="L420" t="s">
        <v>65</v>
      </c>
      <c r="M420" t="s">
        <v>93</v>
      </c>
      <c r="N420">
        <v>8.5</v>
      </c>
      <c r="P420">
        <v>54.15</v>
      </c>
      <c r="Q420">
        <v>54.15</v>
      </c>
      <c r="R420">
        <v>0</v>
      </c>
      <c r="S420">
        <v>54.15</v>
      </c>
      <c r="T420">
        <v>49</v>
      </c>
      <c r="U420">
        <f>SUMIF(货件明细!J:J,E420,货件明细!AP:AP)</f>
        <v>0</v>
      </c>
      <c r="V420">
        <f>IF(U420=T420,0,1)</f>
        <v>1</v>
      </c>
      <c r="W420">
        <f>T420</f>
        <v>49</v>
      </c>
      <c r="X420">
        <f>SUMIF(货件明细!J:J,E420,货件明细!H:H)</f>
        <v>0</v>
      </c>
      <c r="Y420">
        <f>N420-X420</f>
        <v>8.5</v>
      </c>
      <c r="Z420">
        <f>SUMIF(货件明细!J:J,E420,货件明细!I:I)</f>
        <v>0</v>
      </c>
      <c r="AA420">
        <f>IF(S420=Z420,0,1)</f>
        <v>1</v>
      </c>
    </row>
    <row r="421" hidden="1" spans="1:27">
      <c r="A421">
        <v>1</v>
      </c>
      <c r="B421">
        <v>4</v>
      </c>
      <c r="C421" s="3">
        <v>46046</v>
      </c>
      <c r="D421" t="s">
        <v>27</v>
      </c>
      <c r="E421" t="s">
        <v>520</v>
      </c>
      <c r="F421" t="s">
        <v>62</v>
      </c>
      <c r="G421" t="s">
        <v>30</v>
      </c>
      <c r="H421" t="s">
        <v>54</v>
      </c>
      <c r="I421" t="s">
        <v>92</v>
      </c>
      <c r="J421" t="s">
        <v>92</v>
      </c>
      <c r="K421" t="s">
        <v>64</v>
      </c>
      <c r="L421" t="s">
        <v>65</v>
      </c>
      <c r="M421" t="s">
        <v>93</v>
      </c>
      <c r="N421">
        <v>8.5</v>
      </c>
      <c r="P421">
        <v>52.2</v>
      </c>
      <c r="Q421">
        <v>52.2</v>
      </c>
      <c r="R421">
        <v>0</v>
      </c>
      <c r="S421">
        <v>52.2</v>
      </c>
      <c r="T421">
        <v>49</v>
      </c>
      <c r="U421">
        <f>SUMIF(货件明细!J:J,E421,货件明细!AP:AP)</f>
        <v>0</v>
      </c>
      <c r="V421">
        <f>IF(U421=T421,0,1)</f>
        <v>1</v>
      </c>
      <c r="W421">
        <f>T421</f>
        <v>49</v>
      </c>
      <c r="X421">
        <f>SUMIF(货件明细!J:J,E421,货件明细!H:H)</f>
        <v>0</v>
      </c>
      <c r="Y421">
        <f>N421-X421</f>
        <v>8.5</v>
      </c>
      <c r="Z421">
        <f>SUMIF(货件明细!J:J,E421,货件明细!I:I)</f>
        <v>0</v>
      </c>
      <c r="AA421">
        <f>IF(S421=Z421,0,1)</f>
        <v>1</v>
      </c>
    </row>
    <row r="422" hidden="1" spans="1:27">
      <c r="A422">
        <v>1</v>
      </c>
      <c r="B422">
        <v>4</v>
      </c>
      <c r="C422" s="3">
        <v>46046</v>
      </c>
      <c r="D422" t="s">
        <v>27</v>
      </c>
      <c r="E422" t="s">
        <v>521</v>
      </c>
      <c r="F422" t="s">
        <v>243</v>
      </c>
      <c r="G422" t="s">
        <v>72</v>
      </c>
      <c r="H422" t="s">
        <v>54</v>
      </c>
      <c r="I422" t="s">
        <v>92</v>
      </c>
      <c r="J422" t="s">
        <v>92</v>
      </c>
      <c r="K422" t="s">
        <v>64</v>
      </c>
      <c r="L422" t="s">
        <v>65</v>
      </c>
      <c r="M422" t="s">
        <v>93</v>
      </c>
      <c r="N422">
        <v>8.5</v>
      </c>
      <c r="P422">
        <v>36</v>
      </c>
      <c r="Q422">
        <v>36</v>
      </c>
      <c r="R422">
        <v>0</v>
      </c>
      <c r="S422">
        <v>36</v>
      </c>
      <c r="T422">
        <v>49</v>
      </c>
      <c r="U422">
        <f>SUMIF(货件明细!J:J,E422,货件明细!AP:AP)</f>
        <v>0</v>
      </c>
      <c r="V422">
        <f>IF(U422=T422,0,1)</f>
        <v>1</v>
      </c>
      <c r="W422">
        <f>T422</f>
        <v>49</v>
      </c>
      <c r="X422">
        <f>SUMIF(货件明细!J:J,E422,货件明细!H:H)</f>
        <v>0</v>
      </c>
      <c r="Y422">
        <f>N422-X422</f>
        <v>8.5</v>
      </c>
      <c r="Z422">
        <f>SUMIF(货件明细!J:J,E422,货件明细!I:I)</f>
        <v>0</v>
      </c>
      <c r="AA422">
        <f>IF(S422=Z422,0,1)</f>
        <v>1</v>
      </c>
    </row>
    <row r="423" hidden="1" spans="1:27">
      <c r="A423">
        <v>1</v>
      </c>
      <c r="B423">
        <v>4</v>
      </c>
      <c r="C423" s="3">
        <v>46046</v>
      </c>
      <c r="D423" t="s">
        <v>27</v>
      </c>
      <c r="E423" t="s">
        <v>522</v>
      </c>
      <c r="F423" t="s">
        <v>187</v>
      </c>
      <c r="G423" t="s">
        <v>72</v>
      </c>
      <c r="H423" t="s">
        <v>54</v>
      </c>
      <c r="I423" t="s">
        <v>92</v>
      </c>
      <c r="J423" t="s">
        <v>92</v>
      </c>
      <c r="K423" t="s">
        <v>64</v>
      </c>
      <c r="L423" t="s">
        <v>65</v>
      </c>
      <c r="M423" t="s">
        <v>93</v>
      </c>
      <c r="N423">
        <v>8.5</v>
      </c>
      <c r="P423">
        <v>59.2</v>
      </c>
      <c r="Q423">
        <v>59.2</v>
      </c>
      <c r="R423">
        <v>0</v>
      </c>
      <c r="S423">
        <v>59.2</v>
      </c>
      <c r="T423">
        <v>49</v>
      </c>
      <c r="U423">
        <f>SUMIF(货件明细!J:J,E423,货件明细!AP:AP)</f>
        <v>0</v>
      </c>
      <c r="V423">
        <f>IF(U423=T423,0,1)</f>
        <v>1</v>
      </c>
      <c r="W423">
        <f>T423</f>
        <v>49</v>
      </c>
      <c r="X423">
        <f>SUMIF(货件明细!J:J,E423,货件明细!H:H)</f>
        <v>0</v>
      </c>
      <c r="Y423">
        <f>N423-X423</f>
        <v>8.5</v>
      </c>
      <c r="Z423">
        <f>SUMIF(货件明细!J:J,E423,货件明细!I:I)</f>
        <v>0</v>
      </c>
      <c r="AA423">
        <f>IF(S423=Z423,0,1)</f>
        <v>1</v>
      </c>
    </row>
    <row r="424" hidden="1" spans="1:27">
      <c r="A424">
        <v>1</v>
      </c>
      <c r="B424">
        <v>4</v>
      </c>
      <c r="C424" s="3">
        <v>46046</v>
      </c>
      <c r="D424" t="s">
        <v>27</v>
      </c>
      <c r="E424" t="s">
        <v>523</v>
      </c>
      <c r="F424" t="s">
        <v>239</v>
      </c>
      <c r="G424" t="s">
        <v>72</v>
      </c>
      <c r="H424" t="s">
        <v>54</v>
      </c>
      <c r="I424" t="s">
        <v>92</v>
      </c>
      <c r="J424" t="s">
        <v>92</v>
      </c>
      <c r="K424" t="s">
        <v>64</v>
      </c>
      <c r="L424" t="s">
        <v>65</v>
      </c>
      <c r="M424" t="s">
        <v>93</v>
      </c>
      <c r="N424">
        <v>8.5</v>
      </c>
      <c r="P424">
        <v>64</v>
      </c>
      <c r="Q424">
        <v>64</v>
      </c>
      <c r="R424">
        <v>0</v>
      </c>
      <c r="S424">
        <v>64</v>
      </c>
      <c r="T424">
        <v>49</v>
      </c>
      <c r="U424">
        <f>SUMIF(货件明细!J:J,E424,货件明细!AP:AP)</f>
        <v>0</v>
      </c>
      <c r="V424">
        <f>IF(U424=T424,0,1)</f>
        <v>1</v>
      </c>
      <c r="W424">
        <f>T424</f>
        <v>49</v>
      </c>
      <c r="X424">
        <f>SUMIF(货件明细!J:J,E424,货件明细!H:H)</f>
        <v>0</v>
      </c>
      <c r="Y424">
        <f>N424-X424</f>
        <v>8.5</v>
      </c>
      <c r="Z424">
        <f>SUMIF(货件明细!J:J,E424,货件明细!I:I)</f>
        <v>0</v>
      </c>
      <c r="AA424">
        <f>IF(S424=Z424,0,1)</f>
        <v>1</v>
      </c>
    </row>
    <row r="425" hidden="1" spans="1:27">
      <c r="A425">
        <v>1</v>
      </c>
      <c r="B425">
        <v>4</v>
      </c>
      <c r="C425" s="3">
        <v>46046</v>
      </c>
      <c r="D425" t="s">
        <v>27</v>
      </c>
      <c r="E425" t="s">
        <v>524</v>
      </c>
      <c r="F425" t="s">
        <v>185</v>
      </c>
      <c r="G425" t="s">
        <v>30</v>
      </c>
      <c r="H425" t="s">
        <v>224</v>
      </c>
      <c r="I425" t="s">
        <v>92</v>
      </c>
      <c r="J425" t="s">
        <v>92</v>
      </c>
      <c r="K425" t="s">
        <v>64</v>
      </c>
      <c r="L425" t="s">
        <v>65</v>
      </c>
      <c r="M425" t="s">
        <v>93</v>
      </c>
      <c r="N425">
        <v>21.5</v>
      </c>
      <c r="O425">
        <v>18.3333333333333</v>
      </c>
      <c r="P425">
        <v>180.5</v>
      </c>
      <c r="Q425">
        <v>198.833333333333</v>
      </c>
      <c r="R425">
        <v>214.06</v>
      </c>
      <c r="S425">
        <v>412.893333333333</v>
      </c>
      <c r="T425">
        <v>164</v>
      </c>
      <c r="U425">
        <f>SUMIF(货件明细!J:J,E425,货件明细!AP:AP)</f>
        <v>0</v>
      </c>
      <c r="V425">
        <f>IF(U425=T425,0,1)</f>
        <v>1</v>
      </c>
      <c r="W425">
        <f>T425</f>
        <v>164</v>
      </c>
      <c r="X425">
        <f>SUMIF(货件明细!J:J,E425,货件明细!H:H)</f>
        <v>0</v>
      </c>
      <c r="Y425">
        <f>N425-X425</f>
        <v>21.5</v>
      </c>
      <c r="Z425">
        <f>SUMIF(货件明细!J:J,E425,货件明细!I:I)</f>
        <v>0</v>
      </c>
      <c r="AA425">
        <f>IF(S425=Z425,0,1)</f>
        <v>1</v>
      </c>
    </row>
    <row r="426" hidden="1" spans="1:27">
      <c r="A426">
        <v>1</v>
      </c>
      <c r="B426">
        <v>4</v>
      </c>
      <c r="C426" s="3">
        <v>46046</v>
      </c>
      <c r="D426" t="s">
        <v>27</v>
      </c>
      <c r="E426" t="s">
        <v>525</v>
      </c>
      <c r="F426" t="s">
        <v>198</v>
      </c>
      <c r="G426" t="s">
        <v>69</v>
      </c>
      <c r="H426" t="s">
        <v>224</v>
      </c>
      <c r="I426" t="s">
        <v>92</v>
      </c>
      <c r="J426" t="s">
        <v>92</v>
      </c>
      <c r="K426" t="s">
        <v>64</v>
      </c>
      <c r="L426" t="s">
        <v>65</v>
      </c>
      <c r="M426" t="s">
        <v>93</v>
      </c>
      <c r="N426">
        <v>21.5</v>
      </c>
      <c r="O426">
        <v>18.3333333333333</v>
      </c>
      <c r="P426">
        <v>156</v>
      </c>
      <c r="Q426">
        <v>174.333333333333</v>
      </c>
      <c r="R426">
        <v>500.4</v>
      </c>
      <c r="S426">
        <v>674.733333333333</v>
      </c>
      <c r="T426">
        <v>164</v>
      </c>
      <c r="U426">
        <f>SUMIF(货件明细!J:J,E426,货件明细!AP:AP)</f>
        <v>0</v>
      </c>
      <c r="V426">
        <f>IF(U426=T426,0,1)</f>
        <v>1</v>
      </c>
      <c r="W426">
        <f>T426</f>
        <v>164</v>
      </c>
      <c r="X426">
        <f>SUMIF(货件明细!J:J,E426,货件明细!H:H)</f>
        <v>0</v>
      </c>
      <c r="Y426">
        <f>N426-X426</f>
        <v>21.5</v>
      </c>
      <c r="Z426">
        <f>SUMIF(货件明细!J:J,E426,货件明细!I:I)</f>
        <v>0</v>
      </c>
      <c r="AA426">
        <f>IF(S426=Z426,0,1)</f>
        <v>1</v>
      </c>
    </row>
    <row r="427" hidden="1" spans="1:27">
      <c r="A427">
        <v>1</v>
      </c>
      <c r="B427">
        <v>4</v>
      </c>
      <c r="C427" s="3">
        <v>46046</v>
      </c>
      <c r="D427" t="s">
        <v>27</v>
      </c>
      <c r="E427" t="s">
        <v>526</v>
      </c>
      <c r="F427" t="s">
        <v>187</v>
      </c>
      <c r="G427" t="s">
        <v>72</v>
      </c>
      <c r="H427" t="s">
        <v>224</v>
      </c>
      <c r="I427" t="s">
        <v>92</v>
      </c>
      <c r="J427" t="s">
        <v>92</v>
      </c>
      <c r="K427" t="s">
        <v>64</v>
      </c>
      <c r="L427" t="s">
        <v>65</v>
      </c>
      <c r="M427" t="s">
        <v>93</v>
      </c>
      <c r="N427">
        <v>21.5</v>
      </c>
      <c r="O427">
        <v>11.7857142857143</v>
      </c>
      <c r="P427">
        <v>77.7</v>
      </c>
      <c r="Q427">
        <v>89.4857142857143</v>
      </c>
      <c r="R427">
        <v>0</v>
      </c>
      <c r="S427">
        <v>89.4857142857143</v>
      </c>
      <c r="T427">
        <v>164</v>
      </c>
      <c r="U427">
        <f>SUMIF(货件明细!J:J,E427,货件明细!AP:AP)</f>
        <v>0</v>
      </c>
      <c r="V427">
        <f>IF(U427=T427,0,1)</f>
        <v>1</v>
      </c>
      <c r="W427">
        <f>T427</f>
        <v>164</v>
      </c>
      <c r="X427">
        <f>SUMIF(货件明细!J:J,E427,货件明细!H:H)</f>
        <v>0</v>
      </c>
      <c r="Y427">
        <f>N427-X427</f>
        <v>21.5</v>
      </c>
      <c r="Z427">
        <f>SUMIF(货件明细!J:J,E427,货件明细!I:I)</f>
        <v>0</v>
      </c>
      <c r="AA427">
        <f>IF(S427=Z427,0,1)</f>
        <v>1</v>
      </c>
    </row>
    <row r="428" hidden="1" spans="1:27">
      <c r="A428">
        <v>1</v>
      </c>
      <c r="B428">
        <v>4</v>
      </c>
      <c r="C428" s="3">
        <v>46046</v>
      </c>
      <c r="D428" t="s">
        <v>27</v>
      </c>
      <c r="E428" t="s">
        <v>527</v>
      </c>
      <c r="F428" t="s">
        <v>143</v>
      </c>
      <c r="G428" t="s">
        <v>72</v>
      </c>
      <c r="H428" t="s">
        <v>224</v>
      </c>
      <c r="I428" t="s">
        <v>92</v>
      </c>
      <c r="J428" t="s">
        <v>92</v>
      </c>
      <c r="K428" t="s">
        <v>64</v>
      </c>
      <c r="L428" t="s">
        <v>65</v>
      </c>
      <c r="M428" t="s">
        <v>188</v>
      </c>
      <c r="N428">
        <v>21.5</v>
      </c>
      <c r="O428">
        <v>11.7857142857143</v>
      </c>
      <c r="P428">
        <v>123.64</v>
      </c>
      <c r="Q428">
        <v>135.425714285714</v>
      </c>
      <c r="R428">
        <v>0</v>
      </c>
      <c r="S428">
        <v>135.425714285714</v>
      </c>
      <c r="T428">
        <v>164</v>
      </c>
      <c r="U428">
        <f>SUMIF(货件明细!J:J,E428,货件明细!AP:AP)</f>
        <v>0</v>
      </c>
      <c r="V428">
        <f>IF(U428=T428,0,1)</f>
        <v>1</v>
      </c>
      <c r="W428">
        <f>T428</f>
        <v>164</v>
      </c>
      <c r="X428">
        <f>SUMIF(货件明细!J:J,E428,货件明细!H:H)</f>
        <v>0</v>
      </c>
      <c r="Y428">
        <f>N428-X428</f>
        <v>21.5</v>
      </c>
      <c r="Z428">
        <f>SUMIF(货件明细!J:J,E428,货件明细!I:I)</f>
        <v>0</v>
      </c>
      <c r="AA428">
        <f>IF(S428=Z428,0,1)</f>
        <v>1</v>
      </c>
    </row>
    <row r="429" hidden="1" spans="1:27">
      <c r="A429">
        <v>1</v>
      </c>
      <c r="B429">
        <v>4</v>
      </c>
      <c r="C429" s="3">
        <v>46046</v>
      </c>
      <c r="D429" t="s">
        <v>27</v>
      </c>
      <c r="E429" t="s">
        <v>528</v>
      </c>
      <c r="F429" t="s">
        <v>239</v>
      </c>
      <c r="G429" t="s">
        <v>72</v>
      </c>
      <c r="H429" t="s">
        <v>224</v>
      </c>
      <c r="I429" t="s">
        <v>92</v>
      </c>
      <c r="J429" t="s">
        <v>92</v>
      </c>
      <c r="K429" t="s">
        <v>64</v>
      </c>
      <c r="L429" t="s">
        <v>65</v>
      </c>
      <c r="M429" t="s">
        <v>93</v>
      </c>
      <c r="N429">
        <v>21.5</v>
      </c>
      <c r="O429">
        <v>11.7857142857143</v>
      </c>
      <c r="P429">
        <v>85.4545454545455</v>
      </c>
      <c r="Q429">
        <v>97.2402597402597</v>
      </c>
      <c r="R429">
        <v>0</v>
      </c>
      <c r="S429">
        <v>97.2402597402597</v>
      </c>
      <c r="T429">
        <v>164</v>
      </c>
      <c r="U429">
        <f>SUMIF(货件明细!J:J,E429,货件明细!AP:AP)</f>
        <v>0</v>
      </c>
      <c r="V429">
        <f>IF(U429=T429,0,1)</f>
        <v>1</v>
      </c>
      <c r="W429">
        <f>T429</f>
        <v>164</v>
      </c>
      <c r="X429">
        <f>SUMIF(货件明细!J:J,E429,货件明细!H:H)</f>
        <v>0</v>
      </c>
      <c r="Y429">
        <f>N429-X429</f>
        <v>21.5</v>
      </c>
      <c r="Z429">
        <f>SUMIF(货件明细!J:J,E429,货件明细!I:I)</f>
        <v>0</v>
      </c>
      <c r="AA429">
        <f>IF(S429=Z429,0,1)</f>
        <v>1</v>
      </c>
    </row>
    <row r="430" hidden="1" spans="1:27">
      <c r="A430">
        <v>1</v>
      </c>
      <c r="B430">
        <v>4</v>
      </c>
      <c r="C430" s="3">
        <v>46046</v>
      </c>
      <c r="D430" t="s">
        <v>27</v>
      </c>
      <c r="E430" t="s">
        <v>529</v>
      </c>
      <c r="F430" t="s">
        <v>195</v>
      </c>
      <c r="G430" t="s">
        <v>30</v>
      </c>
      <c r="H430" t="s">
        <v>37</v>
      </c>
      <c r="I430" t="s">
        <v>92</v>
      </c>
      <c r="J430" t="s">
        <v>92</v>
      </c>
      <c r="K430" t="s">
        <v>64</v>
      </c>
      <c r="L430" t="s">
        <v>65</v>
      </c>
      <c r="M430" t="s">
        <v>93</v>
      </c>
      <c r="N430">
        <v>35.65</v>
      </c>
      <c r="O430">
        <v>18.3333333333333</v>
      </c>
      <c r="P430">
        <v>242.068965517241</v>
      </c>
      <c r="Q430">
        <v>260.402298850575</v>
      </c>
      <c r="R430">
        <v>0</v>
      </c>
      <c r="S430">
        <v>260.402298850575</v>
      </c>
      <c r="T430">
        <v>304</v>
      </c>
      <c r="U430">
        <f>SUMIF(货件明细!J:J,E430,货件明细!AP:AP)</f>
        <v>0</v>
      </c>
      <c r="V430">
        <f>IF(U430=T430,0,1)</f>
        <v>1</v>
      </c>
      <c r="W430">
        <f>T430</f>
        <v>304</v>
      </c>
      <c r="X430">
        <f>SUMIF(货件明细!J:J,E430,货件明细!H:H)</f>
        <v>0</v>
      </c>
      <c r="Y430">
        <f>N430-X430</f>
        <v>35.65</v>
      </c>
      <c r="Z430">
        <f>SUMIF(货件明细!J:J,E430,货件明细!I:I)</f>
        <v>0</v>
      </c>
      <c r="AA430">
        <f>IF(S430=Z430,0,1)</f>
        <v>1</v>
      </c>
    </row>
    <row r="431" hidden="1" spans="1:27">
      <c r="A431">
        <v>1</v>
      </c>
      <c r="B431">
        <v>4</v>
      </c>
      <c r="C431" s="3">
        <v>46046</v>
      </c>
      <c r="D431" t="s">
        <v>27</v>
      </c>
      <c r="E431" t="s">
        <v>530</v>
      </c>
      <c r="F431" t="s">
        <v>62</v>
      </c>
      <c r="G431" t="s">
        <v>30</v>
      </c>
      <c r="H431" t="s">
        <v>37</v>
      </c>
      <c r="I431" t="s">
        <v>92</v>
      </c>
      <c r="J431" t="s">
        <v>92</v>
      </c>
      <c r="K431" t="s">
        <v>64</v>
      </c>
      <c r="L431" t="s">
        <v>65</v>
      </c>
      <c r="M431" t="s">
        <v>93</v>
      </c>
      <c r="N431">
        <v>35.65</v>
      </c>
      <c r="O431">
        <v>18.3333333333333</v>
      </c>
      <c r="P431">
        <v>234.268965517241</v>
      </c>
      <c r="Q431">
        <v>252.602298850575</v>
      </c>
      <c r="R431">
        <v>0</v>
      </c>
      <c r="S431">
        <v>252.602298850575</v>
      </c>
      <c r="T431">
        <v>304</v>
      </c>
      <c r="U431">
        <f>SUMIF(货件明细!J:J,E431,货件明细!AP:AP)</f>
        <v>0</v>
      </c>
      <c r="V431">
        <f>IF(U431=T431,0,1)</f>
        <v>1</v>
      </c>
      <c r="W431">
        <f>T431</f>
        <v>304</v>
      </c>
      <c r="X431">
        <f>SUMIF(货件明细!J:J,E431,货件明细!H:H)</f>
        <v>0</v>
      </c>
      <c r="Y431">
        <f>N431-X431</f>
        <v>35.65</v>
      </c>
      <c r="Z431">
        <f>SUMIF(货件明细!J:J,E431,货件明细!I:I)</f>
        <v>0</v>
      </c>
      <c r="AA431">
        <f>IF(S431=Z431,0,1)</f>
        <v>1</v>
      </c>
    </row>
    <row r="432" hidden="1" spans="1:27">
      <c r="A432">
        <v>1</v>
      </c>
      <c r="B432">
        <v>4</v>
      </c>
      <c r="C432" s="3">
        <v>46046</v>
      </c>
      <c r="D432" t="s">
        <v>27</v>
      </c>
      <c r="E432" t="s">
        <v>531</v>
      </c>
      <c r="F432" t="s">
        <v>243</v>
      </c>
      <c r="G432" t="s">
        <v>72</v>
      </c>
      <c r="H432" t="s">
        <v>37</v>
      </c>
      <c r="I432" t="s">
        <v>92</v>
      </c>
      <c r="J432" t="s">
        <v>92</v>
      </c>
      <c r="K432" t="s">
        <v>64</v>
      </c>
      <c r="L432" t="s">
        <v>65</v>
      </c>
      <c r="M432" t="s">
        <v>93</v>
      </c>
      <c r="N432">
        <v>35.65</v>
      </c>
      <c r="O432">
        <v>11.7857142857143</v>
      </c>
      <c r="P432">
        <v>166.344827586207</v>
      </c>
      <c r="Q432">
        <v>178.130541871921</v>
      </c>
      <c r="R432">
        <v>0</v>
      </c>
      <c r="S432">
        <v>178.130541871921</v>
      </c>
      <c r="T432">
        <v>304</v>
      </c>
      <c r="U432">
        <f>SUMIF(货件明细!J:J,E432,货件明细!AP:AP)</f>
        <v>0</v>
      </c>
      <c r="V432">
        <f>IF(U432=T432,0,1)</f>
        <v>1</v>
      </c>
      <c r="W432">
        <f>T432</f>
        <v>304</v>
      </c>
      <c r="X432">
        <f>SUMIF(货件明细!J:J,E432,货件明细!H:H)</f>
        <v>0</v>
      </c>
      <c r="Y432">
        <f>N432-X432</f>
        <v>35.65</v>
      </c>
      <c r="Z432">
        <f>SUMIF(货件明细!J:J,E432,货件明细!I:I)</f>
        <v>0</v>
      </c>
      <c r="AA432">
        <f>IF(S432=Z432,0,1)</f>
        <v>1</v>
      </c>
    </row>
    <row r="433" hidden="1" spans="1:27">
      <c r="A433">
        <v>1</v>
      </c>
      <c r="B433">
        <v>4</v>
      </c>
      <c r="C433" s="3">
        <v>46046</v>
      </c>
      <c r="D433" t="s">
        <v>27</v>
      </c>
      <c r="E433" t="s">
        <v>532</v>
      </c>
      <c r="F433" t="s">
        <v>187</v>
      </c>
      <c r="G433" t="s">
        <v>72</v>
      </c>
      <c r="H433" t="s">
        <v>37</v>
      </c>
      <c r="I433" t="s">
        <v>92</v>
      </c>
      <c r="J433" t="s">
        <v>92</v>
      </c>
      <c r="K433" t="s">
        <v>64</v>
      </c>
      <c r="L433" t="s">
        <v>65</v>
      </c>
      <c r="M433" t="s">
        <v>93</v>
      </c>
      <c r="N433">
        <v>35.65</v>
      </c>
      <c r="O433">
        <v>11.7857142857143</v>
      </c>
      <c r="P433">
        <v>155.4</v>
      </c>
      <c r="Q433">
        <v>167.185714285714</v>
      </c>
      <c r="R433">
        <v>0</v>
      </c>
      <c r="S433">
        <v>167.185714285714</v>
      </c>
      <c r="T433">
        <v>304</v>
      </c>
      <c r="U433">
        <f>SUMIF(货件明细!J:J,E433,货件明细!AP:AP)</f>
        <v>0</v>
      </c>
      <c r="V433">
        <f>IF(U433=T433,0,1)</f>
        <v>1</v>
      </c>
      <c r="W433">
        <f>T433</f>
        <v>304</v>
      </c>
      <c r="X433">
        <f>SUMIF(货件明细!J:J,E433,货件明细!H:H)</f>
        <v>0</v>
      </c>
      <c r="Y433">
        <f>N433-X433</f>
        <v>35.65</v>
      </c>
      <c r="Z433">
        <f>SUMIF(货件明细!J:J,E433,货件明细!I:I)</f>
        <v>0</v>
      </c>
      <c r="AA433">
        <f>IF(S433=Z433,0,1)</f>
        <v>1</v>
      </c>
    </row>
    <row r="434" hidden="1" spans="1:27">
      <c r="A434">
        <v>1</v>
      </c>
      <c r="B434">
        <v>4</v>
      </c>
      <c r="C434" s="3">
        <v>46046</v>
      </c>
      <c r="D434" t="s">
        <v>27</v>
      </c>
      <c r="E434" t="s">
        <v>533</v>
      </c>
      <c r="F434" t="s">
        <v>239</v>
      </c>
      <c r="G434" t="s">
        <v>72</v>
      </c>
      <c r="H434" t="s">
        <v>37</v>
      </c>
      <c r="I434" t="s">
        <v>92</v>
      </c>
      <c r="J434" t="s">
        <v>92</v>
      </c>
      <c r="K434" t="s">
        <v>64</v>
      </c>
      <c r="L434" t="s">
        <v>65</v>
      </c>
      <c r="M434" t="s">
        <v>93</v>
      </c>
      <c r="N434">
        <v>35.65</v>
      </c>
      <c r="O434">
        <v>11.7857142857143</v>
      </c>
      <c r="P434">
        <v>170.909090909091</v>
      </c>
      <c r="Q434">
        <v>182.694805194805</v>
      </c>
      <c r="R434">
        <v>0</v>
      </c>
      <c r="S434">
        <v>182.694805194805</v>
      </c>
      <c r="T434">
        <v>304</v>
      </c>
      <c r="U434">
        <f>SUMIF(货件明细!J:J,E434,货件明细!AP:AP)</f>
        <v>0</v>
      </c>
      <c r="V434">
        <f>IF(U434=T434,0,1)</f>
        <v>1</v>
      </c>
      <c r="W434">
        <f>T434</f>
        <v>304</v>
      </c>
      <c r="X434">
        <f>SUMIF(货件明细!J:J,E434,货件明细!H:H)</f>
        <v>0</v>
      </c>
      <c r="Y434">
        <f>N434-X434</f>
        <v>35.65</v>
      </c>
      <c r="Z434">
        <f>SUMIF(货件明细!J:J,E434,货件明细!I:I)</f>
        <v>0</v>
      </c>
      <c r="AA434">
        <f>IF(S434=Z434,0,1)</f>
        <v>1</v>
      </c>
    </row>
    <row r="435" hidden="1" spans="1:27">
      <c r="A435">
        <v>1</v>
      </c>
      <c r="B435">
        <v>4</v>
      </c>
      <c r="C435" s="3">
        <v>46046</v>
      </c>
      <c r="D435" t="s">
        <v>27</v>
      </c>
      <c r="E435" t="s">
        <v>534</v>
      </c>
      <c r="F435" t="s">
        <v>195</v>
      </c>
      <c r="G435" t="s">
        <v>30</v>
      </c>
      <c r="H435" t="s">
        <v>51</v>
      </c>
      <c r="I435" t="s">
        <v>92</v>
      </c>
      <c r="J435" t="s">
        <v>92</v>
      </c>
      <c r="K435" t="s">
        <v>64</v>
      </c>
      <c r="L435" t="s">
        <v>65</v>
      </c>
      <c r="M435" t="s">
        <v>93</v>
      </c>
      <c r="N435">
        <v>129.1</v>
      </c>
      <c r="O435">
        <v>18.3333333333333</v>
      </c>
      <c r="P435">
        <v>968.275862068965</v>
      </c>
      <c r="Q435">
        <v>986.609195402299</v>
      </c>
      <c r="R435">
        <v>0</v>
      </c>
      <c r="S435">
        <v>986.609195402299</v>
      </c>
      <c r="T435">
        <v>420</v>
      </c>
      <c r="U435">
        <f>SUMIF(货件明细!J:J,E435,货件明细!AP:AP)</f>
        <v>0</v>
      </c>
      <c r="V435">
        <f>IF(U435=T435,0,1)</f>
        <v>1</v>
      </c>
      <c r="W435">
        <f>T435</f>
        <v>420</v>
      </c>
      <c r="X435">
        <f>SUMIF(货件明细!J:J,E435,货件明细!H:H)</f>
        <v>0</v>
      </c>
      <c r="Y435">
        <f>N435-X435</f>
        <v>129.1</v>
      </c>
      <c r="Z435">
        <f>SUMIF(货件明细!J:J,E435,货件明细!I:I)</f>
        <v>0</v>
      </c>
      <c r="AA435">
        <f>IF(S435=Z435,0,1)</f>
        <v>1</v>
      </c>
    </row>
    <row r="436" hidden="1" spans="1:27">
      <c r="A436">
        <v>1</v>
      </c>
      <c r="B436">
        <v>4</v>
      </c>
      <c r="C436" s="3">
        <v>46046</v>
      </c>
      <c r="D436" t="s">
        <v>27</v>
      </c>
      <c r="E436" t="s">
        <v>535</v>
      </c>
      <c r="F436" t="s">
        <v>62</v>
      </c>
      <c r="G436" t="s">
        <v>30</v>
      </c>
      <c r="H436" t="s">
        <v>51</v>
      </c>
      <c r="I436" t="s">
        <v>92</v>
      </c>
      <c r="J436" t="s">
        <v>92</v>
      </c>
      <c r="K436" t="s">
        <v>64</v>
      </c>
      <c r="L436" t="s">
        <v>65</v>
      </c>
      <c r="M436" t="s">
        <v>93</v>
      </c>
      <c r="N436">
        <v>129.1</v>
      </c>
      <c r="O436">
        <v>18.3333333333333</v>
      </c>
      <c r="P436">
        <v>937.075862068965</v>
      </c>
      <c r="Q436">
        <v>955.409195402299</v>
      </c>
      <c r="R436">
        <v>0</v>
      </c>
      <c r="S436">
        <v>955.409195402299</v>
      </c>
      <c r="T436">
        <v>420</v>
      </c>
      <c r="U436">
        <f>SUMIF(货件明细!J:J,E436,货件明细!AP:AP)</f>
        <v>0</v>
      </c>
      <c r="V436">
        <f>IF(U436=T436,0,1)</f>
        <v>1</v>
      </c>
      <c r="W436">
        <f>T436</f>
        <v>420</v>
      </c>
      <c r="X436">
        <f>SUMIF(货件明细!J:J,E436,货件明细!H:H)</f>
        <v>0</v>
      </c>
      <c r="Y436">
        <f>N436-X436</f>
        <v>129.1</v>
      </c>
      <c r="Z436">
        <f>SUMIF(货件明细!J:J,E436,货件明细!I:I)</f>
        <v>0</v>
      </c>
      <c r="AA436">
        <f>IF(S436=Z436,0,1)</f>
        <v>1</v>
      </c>
    </row>
    <row r="437" hidden="1" spans="1:27">
      <c r="A437">
        <v>1</v>
      </c>
      <c r="B437">
        <v>4</v>
      </c>
      <c r="C437" s="3">
        <v>46046</v>
      </c>
      <c r="D437" t="s">
        <v>27</v>
      </c>
      <c r="E437" t="s">
        <v>536</v>
      </c>
      <c r="F437" t="s">
        <v>243</v>
      </c>
      <c r="G437" t="s">
        <v>72</v>
      </c>
      <c r="H437" t="s">
        <v>51</v>
      </c>
      <c r="I437" t="s">
        <v>92</v>
      </c>
      <c r="J437" t="s">
        <v>92</v>
      </c>
      <c r="K437" t="s">
        <v>64</v>
      </c>
      <c r="L437" t="s">
        <v>65</v>
      </c>
      <c r="M437" t="s">
        <v>93</v>
      </c>
      <c r="N437">
        <v>129.1</v>
      </c>
      <c r="O437">
        <v>11.7857142857143</v>
      </c>
      <c r="P437">
        <v>665.379310344828</v>
      </c>
      <c r="Q437">
        <v>677.165024630542</v>
      </c>
      <c r="R437">
        <v>0</v>
      </c>
      <c r="S437">
        <v>677.165024630542</v>
      </c>
      <c r="T437">
        <v>420</v>
      </c>
      <c r="U437">
        <f>SUMIF(货件明细!J:J,E437,货件明细!AP:AP)</f>
        <v>0</v>
      </c>
      <c r="V437">
        <f>IF(U437=T437,0,1)</f>
        <v>1</v>
      </c>
      <c r="W437">
        <f>T437</f>
        <v>420</v>
      </c>
      <c r="X437">
        <f>SUMIF(货件明细!J:J,E437,货件明细!H:H)</f>
        <v>0</v>
      </c>
      <c r="Y437">
        <f>N437-X437</f>
        <v>129.1</v>
      </c>
      <c r="Z437">
        <f>SUMIF(货件明细!J:J,E437,货件明细!I:I)</f>
        <v>0</v>
      </c>
      <c r="AA437">
        <f>IF(S437=Z437,0,1)</f>
        <v>1</v>
      </c>
    </row>
    <row r="438" hidden="1" spans="1:27">
      <c r="A438">
        <v>1</v>
      </c>
      <c r="B438">
        <v>4</v>
      </c>
      <c r="C438" s="3">
        <v>46046</v>
      </c>
      <c r="D438" t="s">
        <v>27</v>
      </c>
      <c r="E438" t="s">
        <v>537</v>
      </c>
      <c r="F438" t="s">
        <v>187</v>
      </c>
      <c r="G438" t="s">
        <v>72</v>
      </c>
      <c r="H438" t="s">
        <v>51</v>
      </c>
      <c r="I438" t="s">
        <v>92</v>
      </c>
      <c r="J438" t="s">
        <v>92</v>
      </c>
      <c r="K438" t="s">
        <v>64</v>
      </c>
      <c r="L438" t="s">
        <v>65</v>
      </c>
      <c r="M438" t="s">
        <v>93</v>
      </c>
      <c r="N438">
        <v>129.1</v>
      </c>
      <c r="O438">
        <v>11.7857142857143</v>
      </c>
      <c r="P438">
        <v>621.6</v>
      </c>
      <c r="Q438">
        <v>633.385714285714</v>
      </c>
      <c r="R438">
        <v>0</v>
      </c>
      <c r="S438">
        <v>633.385714285714</v>
      </c>
      <c r="T438">
        <v>420</v>
      </c>
      <c r="U438">
        <f>SUMIF(货件明细!J:J,E438,货件明细!AP:AP)</f>
        <v>0</v>
      </c>
      <c r="V438">
        <f>IF(U438=T438,0,1)</f>
        <v>1</v>
      </c>
      <c r="W438">
        <f>T438</f>
        <v>420</v>
      </c>
      <c r="X438">
        <f>SUMIF(货件明细!J:J,E438,货件明细!H:H)</f>
        <v>0</v>
      </c>
      <c r="Y438">
        <f>N438-X438</f>
        <v>129.1</v>
      </c>
      <c r="Z438">
        <f>SUMIF(货件明细!J:J,E438,货件明细!I:I)</f>
        <v>0</v>
      </c>
      <c r="AA438">
        <f>IF(S438=Z438,0,1)</f>
        <v>1</v>
      </c>
    </row>
    <row r="439" hidden="1" spans="1:27">
      <c r="A439">
        <v>1</v>
      </c>
      <c r="B439">
        <v>4</v>
      </c>
      <c r="C439" s="3">
        <v>46046</v>
      </c>
      <c r="D439" t="s">
        <v>27</v>
      </c>
      <c r="E439" t="s">
        <v>538</v>
      </c>
      <c r="F439" t="s">
        <v>239</v>
      </c>
      <c r="G439" t="s">
        <v>72</v>
      </c>
      <c r="H439" t="s">
        <v>51</v>
      </c>
      <c r="I439" t="s">
        <v>92</v>
      </c>
      <c r="J439" t="s">
        <v>92</v>
      </c>
      <c r="K439" t="s">
        <v>64</v>
      </c>
      <c r="L439" t="s">
        <v>65</v>
      </c>
      <c r="M439" t="s">
        <v>93</v>
      </c>
      <c r="N439">
        <v>129.1</v>
      </c>
      <c r="O439">
        <v>11.7857142857143</v>
      </c>
      <c r="P439">
        <v>683.636363636364</v>
      </c>
      <c r="Q439">
        <v>695.422077922078</v>
      </c>
      <c r="R439">
        <v>0</v>
      </c>
      <c r="S439">
        <v>695.422077922078</v>
      </c>
      <c r="T439">
        <v>420</v>
      </c>
      <c r="U439">
        <f>SUMIF(货件明细!J:J,E439,货件明细!AP:AP)</f>
        <v>0</v>
      </c>
      <c r="V439">
        <f>IF(U439=T439,0,1)</f>
        <v>1</v>
      </c>
      <c r="W439">
        <f>T439</f>
        <v>420</v>
      </c>
      <c r="X439">
        <f>SUMIF(货件明细!J:J,E439,货件明细!H:H)</f>
        <v>0</v>
      </c>
      <c r="Y439">
        <f>N439-X439</f>
        <v>129.1</v>
      </c>
      <c r="Z439">
        <f>SUMIF(货件明细!J:J,E439,货件明细!I:I)</f>
        <v>0</v>
      </c>
      <c r="AA439">
        <f>IF(S439=Z439,0,1)</f>
        <v>1</v>
      </c>
    </row>
    <row r="440" hidden="1" spans="1:27">
      <c r="A440">
        <v>1</v>
      </c>
      <c r="B440">
        <v>4</v>
      </c>
      <c r="C440" s="3">
        <v>46046</v>
      </c>
      <c r="D440" t="s">
        <v>27</v>
      </c>
      <c r="E440" t="s">
        <v>539</v>
      </c>
      <c r="F440" t="s">
        <v>195</v>
      </c>
      <c r="G440" t="s">
        <v>30</v>
      </c>
      <c r="H440" t="s">
        <v>56</v>
      </c>
      <c r="I440" t="s">
        <v>92</v>
      </c>
      <c r="J440" t="s">
        <v>92</v>
      </c>
      <c r="K440" t="s">
        <v>64</v>
      </c>
      <c r="L440" t="s">
        <v>65</v>
      </c>
      <c r="M440" t="s">
        <v>93</v>
      </c>
      <c r="N440">
        <v>87.2</v>
      </c>
      <c r="O440">
        <v>18.3333333333333</v>
      </c>
      <c r="P440">
        <v>605.172413793103</v>
      </c>
      <c r="Q440">
        <v>623.505747126437</v>
      </c>
      <c r="R440">
        <v>0</v>
      </c>
      <c r="S440">
        <v>623.505747126437</v>
      </c>
      <c r="T440">
        <v>538</v>
      </c>
      <c r="U440">
        <f>SUMIF(货件明细!J:J,E440,货件明细!AP:AP)</f>
        <v>0</v>
      </c>
      <c r="V440">
        <f>IF(U440=T440,0,1)</f>
        <v>1</v>
      </c>
      <c r="W440">
        <f>T440</f>
        <v>538</v>
      </c>
      <c r="X440">
        <f>SUMIF(货件明细!J:J,E440,货件明细!H:H)</f>
        <v>0</v>
      </c>
      <c r="Y440">
        <f>N440-X440</f>
        <v>87.2</v>
      </c>
      <c r="Z440">
        <f>SUMIF(货件明细!J:J,E440,货件明细!I:I)</f>
        <v>0</v>
      </c>
      <c r="AA440">
        <f>IF(S440=Z440,0,1)</f>
        <v>1</v>
      </c>
    </row>
    <row r="441" hidden="1" spans="1:27">
      <c r="A441">
        <v>1</v>
      </c>
      <c r="B441">
        <v>4</v>
      </c>
      <c r="C441" s="3">
        <v>46046</v>
      </c>
      <c r="D441" t="s">
        <v>27</v>
      </c>
      <c r="E441" t="s">
        <v>540</v>
      </c>
      <c r="F441" t="s">
        <v>187</v>
      </c>
      <c r="G441" t="s">
        <v>72</v>
      </c>
      <c r="H441" t="s">
        <v>56</v>
      </c>
      <c r="I441" t="s">
        <v>92</v>
      </c>
      <c r="J441" t="s">
        <v>92</v>
      </c>
      <c r="K441" t="s">
        <v>64</v>
      </c>
      <c r="L441" t="s">
        <v>65</v>
      </c>
      <c r="M441" t="s">
        <v>93</v>
      </c>
      <c r="N441">
        <v>87.2</v>
      </c>
      <c r="O441">
        <v>11.7857142857143</v>
      </c>
      <c r="P441">
        <v>388.5</v>
      </c>
      <c r="Q441">
        <v>400.285714285714</v>
      </c>
      <c r="R441">
        <v>0</v>
      </c>
      <c r="S441">
        <v>400.285714285714</v>
      </c>
      <c r="T441">
        <v>538</v>
      </c>
      <c r="U441">
        <f>SUMIF(货件明细!J:J,E441,货件明细!AP:AP)</f>
        <v>0</v>
      </c>
      <c r="V441">
        <f>IF(U441=T441,0,1)</f>
        <v>1</v>
      </c>
      <c r="W441">
        <f>T441</f>
        <v>538</v>
      </c>
      <c r="X441">
        <f>SUMIF(货件明细!J:J,E441,货件明细!H:H)</f>
        <v>0</v>
      </c>
      <c r="Y441">
        <f>N441-X441</f>
        <v>87.2</v>
      </c>
      <c r="Z441">
        <f>SUMIF(货件明细!J:J,E441,货件明细!I:I)</f>
        <v>0</v>
      </c>
      <c r="AA441">
        <f>IF(S441=Z441,0,1)</f>
        <v>1</v>
      </c>
    </row>
    <row r="442" hidden="1" spans="1:27">
      <c r="A442">
        <v>1</v>
      </c>
      <c r="B442">
        <v>4</v>
      </c>
      <c r="C442" s="3">
        <v>46046</v>
      </c>
      <c r="D442" t="s">
        <v>27</v>
      </c>
      <c r="E442" t="s">
        <v>541</v>
      </c>
      <c r="F442" t="s">
        <v>62</v>
      </c>
      <c r="G442" t="s">
        <v>30</v>
      </c>
      <c r="H442" t="s">
        <v>56</v>
      </c>
      <c r="I442" t="s">
        <v>92</v>
      </c>
      <c r="J442" t="s">
        <v>92</v>
      </c>
      <c r="K442" t="s">
        <v>64</v>
      </c>
      <c r="L442" t="s">
        <v>65</v>
      </c>
      <c r="M442" t="s">
        <v>93</v>
      </c>
      <c r="N442">
        <v>87.2</v>
      </c>
      <c r="O442">
        <v>18.3333333333333</v>
      </c>
      <c r="P442">
        <v>585.672413793103</v>
      </c>
      <c r="Q442">
        <v>604.005747126437</v>
      </c>
      <c r="R442">
        <v>0</v>
      </c>
      <c r="S442">
        <v>604.005747126437</v>
      </c>
      <c r="T442">
        <v>538</v>
      </c>
      <c r="U442">
        <f>SUMIF(货件明细!J:J,E442,货件明细!AP:AP)</f>
        <v>0</v>
      </c>
      <c r="V442">
        <f>IF(U442=T442,0,1)</f>
        <v>1</v>
      </c>
      <c r="W442">
        <f>T442</f>
        <v>538</v>
      </c>
      <c r="X442">
        <f>SUMIF(货件明细!J:J,E442,货件明细!H:H)</f>
        <v>0</v>
      </c>
      <c r="Y442">
        <f>N442-X442</f>
        <v>87.2</v>
      </c>
      <c r="Z442">
        <f>SUMIF(货件明细!J:J,E442,货件明细!I:I)</f>
        <v>0</v>
      </c>
      <c r="AA442">
        <f>IF(S442=Z442,0,1)</f>
        <v>1</v>
      </c>
    </row>
    <row r="443" hidden="1" spans="1:27">
      <c r="A443">
        <v>1</v>
      </c>
      <c r="B443">
        <v>4</v>
      </c>
      <c r="C443" s="3">
        <v>46046</v>
      </c>
      <c r="D443" t="s">
        <v>27</v>
      </c>
      <c r="E443" t="s">
        <v>542</v>
      </c>
      <c r="F443" t="s">
        <v>243</v>
      </c>
      <c r="G443" t="s">
        <v>72</v>
      </c>
      <c r="H443" t="s">
        <v>56</v>
      </c>
      <c r="I443" t="s">
        <v>92</v>
      </c>
      <c r="J443" t="s">
        <v>92</v>
      </c>
      <c r="K443" t="s">
        <v>64</v>
      </c>
      <c r="L443" t="s">
        <v>65</v>
      </c>
      <c r="M443" t="s">
        <v>93</v>
      </c>
      <c r="N443">
        <v>87.2</v>
      </c>
      <c r="O443">
        <v>11.7857142857143</v>
      </c>
      <c r="P443">
        <v>415.862068965517</v>
      </c>
      <c r="Q443">
        <v>427.647783251231</v>
      </c>
      <c r="R443">
        <v>0</v>
      </c>
      <c r="S443">
        <v>427.647783251231</v>
      </c>
      <c r="T443">
        <v>538</v>
      </c>
      <c r="U443">
        <f>SUMIF(货件明细!J:J,E443,货件明细!AP:AP)</f>
        <v>0</v>
      </c>
      <c r="V443">
        <f>IF(U443=T443,0,1)</f>
        <v>1</v>
      </c>
      <c r="W443">
        <f>T443</f>
        <v>538</v>
      </c>
      <c r="X443">
        <f>SUMIF(货件明细!J:J,E443,货件明细!H:H)</f>
        <v>0</v>
      </c>
      <c r="Y443">
        <f>N443-X443</f>
        <v>87.2</v>
      </c>
      <c r="Z443">
        <f>SUMIF(货件明细!J:J,E443,货件明细!I:I)</f>
        <v>0</v>
      </c>
      <c r="AA443">
        <f>IF(S443=Z443,0,1)</f>
        <v>1</v>
      </c>
    </row>
    <row r="444" hidden="1" spans="1:27">
      <c r="A444">
        <v>1</v>
      </c>
      <c r="B444">
        <v>4</v>
      </c>
      <c r="C444" s="3">
        <v>46046</v>
      </c>
      <c r="D444" t="s">
        <v>27</v>
      </c>
      <c r="E444" t="s">
        <v>543</v>
      </c>
      <c r="F444" t="s">
        <v>239</v>
      </c>
      <c r="G444" t="s">
        <v>72</v>
      </c>
      <c r="H444" t="s">
        <v>56</v>
      </c>
      <c r="I444" t="s">
        <v>92</v>
      </c>
      <c r="J444" t="s">
        <v>92</v>
      </c>
      <c r="K444" t="s">
        <v>64</v>
      </c>
      <c r="L444" t="s">
        <v>65</v>
      </c>
      <c r="M444" t="s">
        <v>93</v>
      </c>
      <c r="N444">
        <v>87.2</v>
      </c>
      <c r="O444">
        <v>11.7857142857143</v>
      </c>
      <c r="P444">
        <v>427.272727272727</v>
      </c>
      <c r="Q444">
        <v>439.058441558442</v>
      </c>
      <c r="R444">
        <v>0</v>
      </c>
      <c r="S444">
        <v>439.058441558442</v>
      </c>
      <c r="T444">
        <v>538</v>
      </c>
      <c r="U444">
        <f>SUMIF(货件明细!J:J,E444,货件明细!AP:AP)</f>
        <v>0</v>
      </c>
      <c r="V444">
        <f>IF(U444=T444,0,1)</f>
        <v>1</v>
      </c>
      <c r="W444">
        <f>T444</f>
        <v>538</v>
      </c>
      <c r="X444">
        <f>SUMIF(货件明细!J:J,E444,货件明细!H:H)</f>
        <v>0</v>
      </c>
      <c r="Y444">
        <f>N444-X444</f>
        <v>87.2</v>
      </c>
      <c r="Z444">
        <f>SUMIF(货件明细!J:J,E444,货件明细!I:I)</f>
        <v>0</v>
      </c>
      <c r="AA444">
        <f>IF(S444=Z444,0,1)</f>
        <v>1</v>
      </c>
    </row>
    <row r="445" hidden="1" spans="1:27">
      <c r="A445">
        <v>1</v>
      </c>
      <c r="B445">
        <v>4</v>
      </c>
      <c r="C445" s="3">
        <v>46046</v>
      </c>
      <c r="D445" t="s">
        <v>27</v>
      </c>
      <c r="E445" t="s">
        <v>544</v>
      </c>
      <c r="F445" t="s">
        <v>239</v>
      </c>
      <c r="G445" t="s">
        <v>72</v>
      </c>
      <c r="H445" t="s">
        <v>59</v>
      </c>
      <c r="I445" t="s">
        <v>92</v>
      </c>
      <c r="J445" t="s">
        <v>92</v>
      </c>
      <c r="K445" t="s">
        <v>64</v>
      </c>
      <c r="L445" t="s">
        <v>65</v>
      </c>
      <c r="M445" t="s">
        <v>93</v>
      </c>
      <c r="N445">
        <v>53.95</v>
      </c>
      <c r="O445">
        <v>11.7857142857143</v>
      </c>
      <c r="P445">
        <v>256.363636363636</v>
      </c>
      <c r="Q445">
        <v>268.149350649351</v>
      </c>
      <c r="R445">
        <v>0</v>
      </c>
      <c r="S445">
        <v>268.149350649351</v>
      </c>
      <c r="T445">
        <v>190</v>
      </c>
      <c r="U445">
        <f>SUMIF(货件明细!J:J,E445,货件明细!AP:AP)</f>
        <v>0</v>
      </c>
      <c r="V445">
        <f>IF(U445=T445,0,1)</f>
        <v>1</v>
      </c>
      <c r="W445">
        <f>T445</f>
        <v>190</v>
      </c>
      <c r="X445">
        <f>SUMIF(货件明细!J:J,E445,货件明细!H:H)</f>
        <v>0</v>
      </c>
      <c r="Y445">
        <f>N445-X445</f>
        <v>53.95</v>
      </c>
      <c r="Z445">
        <f>SUMIF(货件明细!J:J,E445,货件明细!I:I)</f>
        <v>0</v>
      </c>
      <c r="AA445">
        <f>IF(S445=Z445,0,1)</f>
        <v>1</v>
      </c>
    </row>
    <row r="446" hidden="1" spans="1:27">
      <c r="A446">
        <v>1</v>
      </c>
      <c r="B446">
        <v>4</v>
      </c>
      <c r="C446" s="3">
        <v>46046</v>
      </c>
      <c r="D446" t="s">
        <v>27</v>
      </c>
      <c r="E446" t="s">
        <v>545</v>
      </c>
      <c r="F446" t="s">
        <v>187</v>
      </c>
      <c r="G446" t="s">
        <v>72</v>
      </c>
      <c r="H446" t="s">
        <v>59</v>
      </c>
      <c r="I446" t="s">
        <v>92</v>
      </c>
      <c r="J446" t="s">
        <v>92</v>
      </c>
      <c r="K446" t="s">
        <v>64</v>
      </c>
      <c r="L446" t="s">
        <v>65</v>
      </c>
      <c r="M446" t="s">
        <v>93</v>
      </c>
      <c r="N446">
        <v>53.95</v>
      </c>
      <c r="O446">
        <v>11.7857142857143</v>
      </c>
      <c r="P446">
        <v>233.1</v>
      </c>
      <c r="Q446">
        <v>244.885714285714</v>
      </c>
      <c r="R446">
        <v>0</v>
      </c>
      <c r="S446">
        <v>244.885714285714</v>
      </c>
      <c r="T446">
        <v>190</v>
      </c>
      <c r="U446">
        <f>SUMIF(货件明细!J:J,E446,货件明细!AP:AP)</f>
        <v>0</v>
      </c>
      <c r="V446">
        <f>IF(U446=T446,0,1)</f>
        <v>1</v>
      </c>
      <c r="W446">
        <f>T446</f>
        <v>190</v>
      </c>
      <c r="X446">
        <f>SUMIF(货件明细!J:J,E446,货件明细!H:H)</f>
        <v>0</v>
      </c>
      <c r="Y446">
        <f>N446-X446</f>
        <v>53.95</v>
      </c>
      <c r="Z446">
        <f>SUMIF(货件明细!J:J,E446,货件明细!I:I)</f>
        <v>0</v>
      </c>
      <c r="AA446">
        <f>IF(S446=Z446,0,1)</f>
        <v>1</v>
      </c>
    </row>
    <row r="447" hidden="1" spans="1:27">
      <c r="A447">
        <v>1</v>
      </c>
      <c r="B447">
        <v>4</v>
      </c>
      <c r="C447" s="3">
        <v>46046</v>
      </c>
      <c r="D447" t="s">
        <v>27</v>
      </c>
      <c r="E447" t="s">
        <v>546</v>
      </c>
      <c r="F447" t="s">
        <v>74</v>
      </c>
      <c r="G447" t="s">
        <v>30</v>
      </c>
      <c r="H447" t="s">
        <v>59</v>
      </c>
      <c r="I447" t="s">
        <v>92</v>
      </c>
      <c r="J447" t="s">
        <v>92</v>
      </c>
      <c r="K447" t="s">
        <v>64</v>
      </c>
      <c r="L447" t="s">
        <v>65</v>
      </c>
      <c r="M447" t="s">
        <v>188</v>
      </c>
      <c r="N447">
        <v>53.95</v>
      </c>
      <c r="O447">
        <v>18.3333333333333</v>
      </c>
      <c r="P447">
        <v>530.82</v>
      </c>
      <c r="Q447">
        <v>549.153333333333</v>
      </c>
      <c r="R447">
        <v>0</v>
      </c>
      <c r="S447">
        <v>549.153333333333</v>
      </c>
      <c r="T447">
        <v>190</v>
      </c>
      <c r="U447">
        <f>SUMIF(货件明细!J:J,E447,货件明细!AP:AP)</f>
        <v>0</v>
      </c>
      <c r="V447">
        <f>IF(U447=T447,0,1)</f>
        <v>1</v>
      </c>
      <c r="W447">
        <f>T447</f>
        <v>190</v>
      </c>
      <c r="X447">
        <f>SUMIF(货件明细!J:J,E447,货件明细!H:H)</f>
        <v>0</v>
      </c>
      <c r="Y447">
        <f>N447-X447</f>
        <v>53.95</v>
      </c>
      <c r="Z447">
        <f>SUMIF(货件明细!J:J,E447,货件明细!I:I)</f>
        <v>0</v>
      </c>
      <c r="AA447">
        <f>IF(S447=Z447,0,1)</f>
        <v>1</v>
      </c>
    </row>
    <row r="448" hidden="1" spans="1:27">
      <c r="A448">
        <v>1</v>
      </c>
      <c r="B448">
        <v>4</v>
      </c>
      <c r="C448" s="3">
        <v>46046</v>
      </c>
      <c r="D448" t="s">
        <v>27</v>
      </c>
      <c r="E448" t="s">
        <v>547</v>
      </c>
      <c r="F448" t="s">
        <v>548</v>
      </c>
      <c r="G448" t="s">
        <v>72</v>
      </c>
      <c r="H448" t="s">
        <v>59</v>
      </c>
      <c r="I448" t="s">
        <v>92</v>
      </c>
      <c r="J448" t="s">
        <v>92</v>
      </c>
      <c r="K448" t="s">
        <v>64</v>
      </c>
      <c r="L448" t="s">
        <v>65</v>
      </c>
      <c r="M448" t="s">
        <v>93</v>
      </c>
      <c r="N448">
        <v>53.95</v>
      </c>
      <c r="O448">
        <v>11.7857142857143</v>
      </c>
      <c r="P448">
        <v>210.9</v>
      </c>
      <c r="Q448">
        <v>222.685714285714</v>
      </c>
      <c r="R448">
        <v>0</v>
      </c>
      <c r="S448">
        <v>222.685714285714</v>
      </c>
      <c r="T448">
        <v>190</v>
      </c>
      <c r="U448">
        <f>SUMIF(货件明细!J:J,E448,货件明细!AP:AP)</f>
        <v>0</v>
      </c>
      <c r="V448">
        <f>IF(U448=T448,0,1)</f>
        <v>1</v>
      </c>
      <c r="W448">
        <f>T448</f>
        <v>190</v>
      </c>
      <c r="X448">
        <f>SUMIF(货件明细!J:J,E448,货件明细!H:H)</f>
        <v>0</v>
      </c>
      <c r="Y448">
        <f>N448-X448</f>
        <v>53.95</v>
      </c>
      <c r="Z448">
        <f>SUMIF(货件明细!J:J,E448,货件明细!I:I)</f>
        <v>0</v>
      </c>
      <c r="AA448">
        <f>IF(S448=Z448,0,1)</f>
        <v>1</v>
      </c>
    </row>
    <row r="449" hidden="1" spans="1:27">
      <c r="A449">
        <v>1</v>
      </c>
      <c r="B449">
        <v>4</v>
      </c>
      <c r="C449" s="3">
        <v>46046</v>
      </c>
      <c r="D449" t="s">
        <v>27</v>
      </c>
      <c r="E449" t="s">
        <v>549</v>
      </c>
      <c r="F449" t="s">
        <v>200</v>
      </c>
      <c r="G449" t="s">
        <v>30</v>
      </c>
      <c r="H449" t="s">
        <v>59</v>
      </c>
      <c r="I449" t="s">
        <v>92</v>
      </c>
      <c r="J449" t="s">
        <v>92</v>
      </c>
      <c r="K449" t="s">
        <v>64</v>
      </c>
      <c r="L449" t="s">
        <v>65</v>
      </c>
      <c r="M449" t="s">
        <v>188</v>
      </c>
      <c r="N449">
        <v>53.95</v>
      </c>
      <c r="O449">
        <v>18.3333333333333</v>
      </c>
      <c r="P449">
        <v>518.94</v>
      </c>
      <c r="Q449">
        <v>537.273333333333</v>
      </c>
      <c r="R449">
        <v>0</v>
      </c>
      <c r="S449">
        <v>537.273333333333</v>
      </c>
      <c r="T449">
        <v>190</v>
      </c>
      <c r="U449">
        <f>SUMIF(货件明细!J:J,E449,货件明细!AP:AP)</f>
        <v>0</v>
      </c>
      <c r="V449">
        <f>IF(U449=T449,0,1)</f>
        <v>1</v>
      </c>
      <c r="W449">
        <f>T449</f>
        <v>190</v>
      </c>
      <c r="X449">
        <f>SUMIF(货件明细!J:J,E449,货件明细!H:H)</f>
        <v>0</v>
      </c>
      <c r="Y449">
        <f>N449-X449</f>
        <v>53.95</v>
      </c>
      <c r="Z449">
        <f>SUMIF(货件明细!J:J,E449,货件明细!I:I)</f>
        <v>0</v>
      </c>
      <c r="AA449">
        <f>IF(S449=Z449,0,1)</f>
        <v>1</v>
      </c>
    </row>
    <row r="450" hidden="1" spans="1:27">
      <c r="A450">
        <v>1</v>
      </c>
      <c r="B450">
        <v>4</v>
      </c>
      <c r="C450" s="3">
        <v>46046</v>
      </c>
      <c r="D450" t="s">
        <v>27</v>
      </c>
      <c r="E450" t="s">
        <v>550</v>
      </c>
      <c r="F450" t="s">
        <v>195</v>
      </c>
      <c r="G450" t="s">
        <v>30</v>
      </c>
      <c r="H450" t="s">
        <v>54</v>
      </c>
      <c r="I450" t="s">
        <v>92</v>
      </c>
      <c r="J450" t="s">
        <v>92</v>
      </c>
      <c r="K450" t="s">
        <v>64</v>
      </c>
      <c r="L450" t="s">
        <v>65</v>
      </c>
      <c r="M450" t="s">
        <v>93</v>
      </c>
      <c r="N450">
        <v>28</v>
      </c>
      <c r="O450">
        <v>18.3333333333333</v>
      </c>
      <c r="P450">
        <v>242.068965517241</v>
      </c>
      <c r="Q450">
        <v>260.402298850575</v>
      </c>
      <c r="R450">
        <v>0</v>
      </c>
      <c r="S450">
        <v>260.402298850575</v>
      </c>
      <c r="T450">
        <v>228</v>
      </c>
      <c r="U450">
        <f>SUMIF(货件明细!J:J,E450,货件明细!AP:AP)</f>
        <v>0</v>
      </c>
      <c r="V450">
        <f>IF(U450=T450,0,1)</f>
        <v>1</v>
      </c>
      <c r="W450">
        <f>T450</f>
        <v>228</v>
      </c>
      <c r="X450">
        <f>SUMIF(货件明细!J:J,E450,货件明细!H:H)</f>
        <v>0</v>
      </c>
      <c r="Y450">
        <f>N450-X450</f>
        <v>28</v>
      </c>
      <c r="Z450">
        <f>SUMIF(货件明细!J:J,E450,货件明细!I:I)</f>
        <v>0</v>
      </c>
      <c r="AA450">
        <f>IF(S450=Z450,0,1)</f>
        <v>1</v>
      </c>
    </row>
    <row r="451" hidden="1" spans="1:27">
      <c r="A451">
        <v>1</v>
      </c>
      <c r="B451">
        <v>4</v>
      </c>
      <c r="C451" s="3">
        <v>46046</v>
      </c>
      <c r="D451" t="s">
        <v>27</v>
      </c>
      <c r="E451" t="s">
        <v>551</v>
      </c>
      <c r="F451" t="s">
        <v>62</v>
      </c>
      <c r="G451" t="s">
        <v>30</v>
      </c>
      <c r="H451" t="s">
        <v>54</v>
      </c>
      <c r="I451" t="s">
        <v>92</v>
      </c>
      <c r="J451" t="s">
        <v>92</v>
      </c>
      <c r="K451" t="s">
        <v>64</v>
      </c>
      <c r="L451" t="s">
        <v>65</v>
      </c>
      <c r="M451" t="s">
        <v>93</v>
      </c>
      <c r="N451">
        <v>28</v>
      </c>
      <c r="O451">
        <v>18.3333333333333</v>
      </c>
      <c r="P451">
        <v>234.268965517241</v>
      </c>
      <c r="Q451">
        <v>252.602298850575</v>
      </c>
      <c r="R451">
        <v>0</v>
      </c>
      <c r="S451">
        <v>252.602298850575</v>
      </c>
      <c r="T451">
        <v>228</v>
      </c>
      <c r="U451">
        <f>SUMIF(货件明细!J:J,E451,货件明细!AP:AP)</f>
        <v>0</v>
      </c>
      <c r="V451">
        <f>IF(U451=T451,0,1)</f>
        <v>1</v>
      </c>
      <c r="W451">
        <f>T451</f>
        <v>228</v>
      </c>
      <c r="X451">
        <f>SUMIF(货件明细!J:J,E451,货件明细!H:H)</f>
        <v>0</v>
      </c>
      <c r="Y451">
        <f>N451-X451</f>
        <v>28</v>
      </c>
      <c r="Z451">
        <f>SUMIF(货件明细!J:J,E451,货件明细!I:I)</f>
        <v>0</v>
      </c>
      <c r="AA451">
        <f>IF(S451=Z451,0,1)</f>
        <v>1</v>
      </c>
    </row>
    <row r="452" hidden="1" spans="1:27">
      <c r="A452">
        <v>1</v>
      </c>
      <c r="B452">
        <v>4</v>
      </c>
      <c r="C452" s="3">
        <v>46046</v>
      </c>
      <c r="D452" t="s">
        <v>27</v>
      </c>
      <c r="E452" t="s">
        <v>552</v>
      </c>
      <c r="F452" t="s">
        <v>239</v>
      </c>
      <c r="G452" t="s">
        <v>72</v>
      </c>
      <c r="H452" t="s">
        <v>54</v>
      </c>
      <c r="I452" t="s">
        <v>92</v>
      </c>
      <c r="J452" t="s">
        <v>92</v>
      </c>
      <c r="K452" t="s">
        <v>64</v>
      </c>
      <c r="L452" t="s">
        <v>65</v>
      </c>
      <c r="M452" t="s">
        <v>93</v>
      </c>
      <c r="N452">
        <v>28</v>
      </c>
      <c r="O452">
        <v>11.7857142857143</v>
      </c>
      <c r="P452">
        <v>170.909090909091</v>
      </c>
      <c r="Q452">
        <v>182.694805194805</v>
      </c>
      <c r="R452">
        <v>0</v>
      </c>
      <c r="S452">
        <v>182.694805194805</v>
      </c>
      <c r="T452">
        <v>228</v>
      </c>
      <c r="U452">
        <f>SUMIF(货件明细!J:J,E452,货件明细!AP:AP)</f>
        <v>0</v>
      </c>
      <c r="V452">
        <f>IF(U452=T452,0,1)</f>
        <v>1</v>
      </c>
      <c r="W452">
        <f>T452</f>
        <v>228</v>
      </c>
      <c r="X452">
        <f>SUMIF(货件明细!J:J,E452,货件明细!H:H)</f>
        <v>0</v>
      </c>
      <c r="Y452">
        <f>N452-X452</f>
        <v>28</v>
      </c>
      <c r="Z452">
        <f>SUMIF(货件明细!J:J,E452,货件明细!I:I)</f>
        <v>0</v>
      </c>
      <c r="AA452">
        <f>IF(S452=Z452,0,1)</f>
        <v>1</v>
      </c>
    </row>
    <row r="453" hidden="1" spans="1:27">
      <c r="A453">
        <v>1</v>
      </c>
      <c r="B453">
        <v>4</v>
      </c>
      <c r="C453" s="3">
        <v>46046</v>
      </c>
      <c r="D453" t="s">
        <v>27</v>
      </c>
      <c r="E453" t="s">
        <v>553</v>
      </c>
      <c r="F453" t="s">
        <v>187</v>
      </c>
      <c r="G453" t="s">
        <v>72</v>
      </c>
      <c r="H453" t="s">
        <v>54</v>
      </c>
      <c r="I453" t="s">
        <v>92</v>
      </c>
      <c r="J453" t="s">
        <v>92</v>
      </c>
      <c r="K453" t="s">
        <v>64</v>
      </c>
      <c r="L453" t="s">
        <v>65</v>
      </c>
      <c r="M453" t="s">
        <v>93</v>
      </c>
      <c r="N453">
        <v>28</v>
      </c>
      <c r="O453">
        <v>11.7857142857143</v>
      </c>
      <c r="P453">
        <v>155.4</v>
      </c>
      <c r="Q453">
        <v>167.185714285714</v>
      </c>
      <c r="R453">
        <v>0</v>
      </c>
      <c r="S453">
        <v>167.185714285714</v>
      </c>
      <c r="T453">
        <v>228</v>
      </c>
      <c r="U453">
        <f>SUMIF(货件明细!J:J,E453,货件明细!AP:AP)</f>
        <v>0</v>
      </c>
      <c r="V453">
        <f>IF(U453=T453,0,1)</f>
        <v>1</v>
      </c>
      <c r="W453">
        <f>T453</f>
        <v>228</v>
      </c>
      <c r="X453">
        <f>SUMIF(货件明细!J:J,E453,货件明细!H:H)</f>
        <v>0</v>
      </c>
      <c r="Y453">
        <f>N453-X453</f>
        <v>28</v>
      </c>
      <c r="Z453">
        <f>SUMIF(货件明细!J:J,E453,货件明细!I:I)</f>
        <v>0</v>
      </c>
      <c r="AA453">
        <f>IF(S453=Z453,0,1)</f>
        <v>1</v>
      </c>
    </row>
    <row r="454" hidden="1" spans="1:27">
      <c r="A454">
        <v>1</v>
      </c>
      <c r="B454">
        <v>4</v>
      </c>
      <c r="C454" s="3">
        <v>46046</v>
      </c>
      <c r="D454" t="s">
        <v>27</v>
      </c>
      <c r="E454" t="s">
        <v>554</v>
      </c>
      <c r="F454" t="s">
        <v>243</v>
      </c>
      <c r="G454" t="s">
        <v>72</v>
      </c>
      <c r="H454" t="s">
        <v>54</v>
      </c>
      <c r="I454" t="s">
        <v>92</v>
      </c>
      <c r="J454" t="s">
        <v>92</v>
      </c>
      <c r="K454" t="s">
        <v>64</v>
      </c>
      <c r="L454" t="s">
        <v>65</v>
      </c>
      <c r="M454" t="s">
        <v>93</v>
      </c>
      <c r="N454">
        <v>28</v>
      </c>
      <c r="O454">
        <v>11.7857142857143</v>
      </c>
      <c r="P454">
        <v>166.344827586207</v>
      </c>
      <c r="Q454">
        <v>178.130541871921</v>
      </c>
      <c r="R454">
        <v>0</v>
      </c>
      <c r="S454">
        <v>178.130541871921</v>
      </c>
      <c r="T454">
        <v>228</v>
      </c>
      <c r="U454">
        <f>SUMIF(货件明细!J:J,E454,货件明细!AP:AP)</f>
        <v>0</v>
      </c>
      <c r="V454">
        <f>IF(U454=T454,0,1)</f>
        <v>1</v>
      </c>
      <c r="W454">
        <f>T454</f>
        <v>228</v>
      </c>
      <c r="X454">
        <f>SUMIF(货件明细!J:J,E454,货件明细!H:H)</f>
        <v>0</v>
      </c>
      <c r="Y454">
        <f>N454-X454</f>
        <v>28</v>
      </c>
      <c r="Z454">
        <f>SUMIF(货件明细!J:J,E454,货件明细!I:I)</f>
        <v>0</v>
      </c>
      <c r="AA454">
        <f>IF(S454=Z454,0,1)</f>
        <v>1</v>
      </c>
    </row>
    <row r="455" hidden="1" spans="1:27">
      <c r="A455">
        <v>1</v>
      </c>
      <c r="B455">
        <v>4</v>
      </c>
      <c r="C455" s="3">
        <v>46046</v>
      </c>
      <c r="D455" t="s">
        <v>27</v>
      </c>
      <c r="E455" t="s">
        <v>555</v>
      </c>
      <c r="F455" t="s">
        <v>195</v>
      </c>
      <c r="G455" t="s">
        <v>30</v>
      </c>
      <c r="H455" t="s">
        <v>78</v>
      </c>
      <c r="I455" t="s">
        <v>92</v>
      </c>
      <c r="J455" t="s">
        <v>92</v>
      </c>
      <c r="K455" t="s">
        <v>64</v>
      </c>
      <c r="L455" t="s">
        <v>65</v>
      </c>
      <c r="M455" t="s">
        <v>93</v>
      </c>
      <c r="N455">
        <v>29.62</v>
      </c>
      <c r="O455">
        <v>18.3333333333333</v>
      </c>
      <c r="P455">
        <v>242.068965517241</v>
      </c>
      <c r="Q455">
        <v>260.402298850575</v>
      </c>
      <c r="R455">
        <v>0</v>
      </c>
      <c r="S455">
        <v>260.402298850575</v>
      </c>
      <c r="T455">
        <v>152</v>
      </c>
      <c r="U455">
        <f>SUMIF(货件明细!J:J,E455,货件明细!AP:AP)</f>
        <v>0</v>
      </c>
      <c r="V455">
        <f>IF(U455=T455,0,1)</f>
        <v>1</v>
      </c>
      <c r="W455">
        <f>T455</f>
        <v>152</v>
      </c>
      <c r="X455">
        <f>SUMIF(货件明细!J:J,E455,货件明细!H:H)</f>
        <v>0</v>
      </c>
      <c r="Y455">
        <f>N455-X455</f>
        <v>29.62</v>
      </c>
      <c r="Z455">
        <f>SUMIF(货件明细!J:J,E455,货件明细!I:I)</f>
        <v>0</v>
      </c>
      <c r="AA455">
        <f>IF(S455=Z455,0,1)</f>
        <v>1</v>
      </c>
    </row>
    <row r="456" hidden="1" spans="1:27">
      <c r="A456">
        <v>1</v>
      </c>
      <c r="B456">
        <v>4</v>
      </c>
      <c r="C456" s="3">
        <v>46046</v>
      </c>
      <c r="D456" t="s">
        <v>27</v>
      </c>
      <c r="E456" t="s">
        <v>556</v>
      </c>
      <c r="F456" t="s">
        <v>239</v>
      </c>
      <c r="G456" t="s">
        <v>72</v>
      </c>
      <c r="H456" t="s">
        <v>78</v>
      </c>
      <c r="I456" t="s">
        <v>92</v>
      </c>
      <c r="J456" t="s">
        <v>92</v>
      </c>
      <c r="K456" t="s">
        <v>64</v>
      </c>
      <c r="L456" t="s">
        <v>65</v>
      </c>
      <c r="M456" t="s">
        <v>93</v>
      </c>
      <c r="N456">
        <v>29.62</v>
      </c>
      <c r="O456">
        <v>11.7857142857143</v>
      </c>
      <c r="P456">
        <v>170.909090909091</v>
      </c>
      <c r="Q456">
        <v>182.694805194805</v>
      </c>
      <c r="R456">
        <v>0</v>
      </c>
      <c r="S456">
        <v>182.694805194805</v>
      </c>
      <c r="T456">
        <v>152</v>
      </c>
      <c r="U456">
        <f>SUMIF(货件明细!J:J,E456,货件明细!AP:AP)</f>
        <v>0</v>
      </c>
      <c r="V456">
        <f>IF(U456=T456,0,1)</f>
        <v>1</v>
      </c>
      <c r="W456">
        <f>T456</f>
        <v>152</v>
      </c>
      <c r="X456">
        <f>SUMIF(货件明细!J:J,E456,货件明细!H:H)</f>
        <v>0</v>
      </c>
      <c r="Y456">
        <f>N456-X456</f>
        <v>29.62</v>
      </c>
      <c r="Z456">
        <f>SUMIF(货件明细!J:J,E456,货件明细!I:I)</f>
        <v>0</v>
      </c>
      <c r="AA456">
        <f>IF(S456=Z456,0,1)</f>
        <v>1</v>
      </c>
    </row>
    <row r="457" hidden="1" spans="1:27">
      <c r="A457">
        <v>1</v>
      </c>
      <c r="B457">
        <v>4</v>
      </c>
      <c r="C457" s="3">
        <v>46046</v>
      </c>
      <c r="D457" t="s">
        <v>27</v>
      </c>
      <c r="E457" t="s">
        <v>557</v>
      </c>
      <c r="F457" t="s">
        <v>62</v>
      </c>
      <c r="G457" t="s">
        <v>30</v>
      </c>
      <c r="H457" t="s">
        <v>78</v>
      </c>
      <c r="I457" t="s">
        <v>92</v>
      </c>
      <c r="J457" t="s">
        <v>92</v>
      </c>
      <c r="K457" t="s">
        <v>64</v>
      </c>
      <c r="L457" t="s">
        <v>65</v>
      </c>
      <c r="M457" t="s">
        <v>93</v>
      </c>
      <c r="N457">
        <v>29.62</v>
      </c>
      <c r="O457">
        <v>18.3333333333333</v>
      </c>
      <c r="P457">
        <v>234.268965517241</v>
      </c>
      <c r="Q457">
        <v>252.602298850575</v>
      </c>
      <c r="R457">
        <v>0</v>
      </c>
      <c r="S457">
        <v>252.602298850575</v>
      </c>
      <c r="T457">
        <v>152</v>
      </c>
      <c r="U457">
        <f>SUMIF(货件明细!J:J,E457,货件明细!AP:AP)</f>
        <v>0</v>
      </c>
      <c r="V457">
        <f>IF(U457=T457,0,1)</f>
        <v>1</v>
      </c>
      <c r="W457">
        <f>T457</f>
        <v>152</v>
      </c>
      <c r="X457">
        <f>SUMIF(货件明细!J:J,E457,货件明细!H:H)</f>
        <v>0</v>
      </c>
      <c r="Y457">
        <f>N457-X457</f>
        <v>29.62</v>
      </c>
      <c r="Z457">
        <f>SUMIF(货件明细!J:J,E457,货件明细!I:I)</f>
        <v>0</v>
      </c>
      <c r="AA457">
        <f>IF(S457=Z457,0,1)</f>
        <v>1</v>
      </c>
    </row>
    <row r="458" hidden="1" spans="1:27">
      <c r="A458">
        <v>1</v>
      </c>
      <c r="B458">
        <v>4</v>
      </c>
      <c r="C458" s="3">
        <v>46046</v>
      </c>
      <c r="D458" t="s">
        <v>27</v>
      </c>
      <c r="E458" t="s">
        <v>558</v>
      </c>
      <c r="F458" t="s">
        <v>243</v>
      </c>
      <c r="G458" t="s">
        <v>72</v>
      </c>
      <c r="H458" t="s">
        <v>78</v>
      </c>
      <c r="I458" t="s">
        <v>92</v>
      </c>
      <c r="J458" t="s">
        <v>92</v>
      </c>
      <c r="K458" t="s">
        <v>64</v>
      </c>
      <c r="L458" t="s">
        <v>65</v>
      </c>
      <c r="M458" t="s">
        <v>93</v>
      </c>
      <c r="N458">
        <v>29.62</v>
      </c>
      <c r="O458">
        <v>11.7857142857143</v>
      </c>
      <c r="P458">
        <v>166.344827586207</v>
      </c>
      <c r="Q458">
        <v>178.130541871921</v>
      </c>
      <c r="R458">
        <v>0</v>
      </c>
      <c r="S458">
        <v>178.130541871921</v>
      </c>
      <c r="T458">
        <v>152</v>
      </c>
      <c r="U458">
        <f>SUMIF(货件明细!J:J,E458,货件明细!AP:AP)</f>
        <v>0</v>
      </c>
      <c r="V458">
        <f>IF(U458=T458,0,1)</f>
        <v>1</v>
      </c>
      <c r="W458">
        <f>T458</f>
        <v>152</v>
      </c>
      <c r="X458">
        <f>SUMIF(货件明细!J:J,E458,货件明细!H:H)</f>
        <v>0</v>
      </c>
      <c r="Y458">
        <f>N458-X458</f>
        <v>29.62</v>
      </c>
      <c r="Z458">
        <f>SUMIF(货件明细!J:J,E458,货件明细!I:I)</f>
        <v>0</v>
      </c>
      <c r="AA458">
        <f>IF(S458=Z458,0,1)</f>
        <v>1</v>
      </c>
    </row>
    <row r="459" hidden="1" spans="1:27">
      <c r="A459">
        <v>1</v>
      </c>
      <c r="B459">
        <v>4</v>
      </c>
      <c r="C459" s="3">
        <v>46046</v>
      </c>
      <c r="D459" t="s">
        <v>27</v>
      </c>
      <c r="E459" t="s">
        <v>559</v>
      </c>
      <c r="F459" t="s">
        <v>187</v>
      </c>
      <c r="G459" t="s">
        <v>72</v>
      </c>
      <c r="H459" t="s">
        <v>78</v>
      </c>
      <c r="I459" t="s">
        <v>92</v>
      </c>
      <c r="J459" t="s">
        <v>92</v>
      </c>
      <c r="K459" t="s">
        <v>64</v>
      </c>
      <c r="L459" t="s">
        <v>65</v>
      </c>
      <c r="M459" t="s">
        <v>93</v>
      </c>
      <c r="N459">
        <v>29.62</v>
      </c>
      <c r="O459">
        <v>11.7857142857143</v>
      </c>
      <c r="P459">
        <v>155.4</v>
      </c>
      <c r="Q459">
        <v>167.185714285714</v>
      </c>
      <c r="R459">
        <v>0</v>
      </c>
      <c r="S459">
        <v>167.185714285714</v>
      </c>
      <c r="T459">
        <v>152</v>
      </c>
      <c r="U459">
        <f>SUMIF(货件明细!J:J,E459,货件明细!AP:AP)</f>
        <v>0</v>
      </c>
      <c r="V459">
        <f>IF(U459=T459,0,1)</f>
        <v>1</v>
      </c>
      <c r="W459">
        <f>T459</f>
        <v>152</v>
      </c>
      <c r="X459">
        <f>SUMIF(货件明细!J:J,E459,货件明细!H:H)</f>
        <v>0</v>
      </c>
      <c r="Y459">
        <f>N459-X459</f>
        <v>29.62</v>
      </c>
      <c r="Z459">
        <f>SUMIF(货件明细!J:J,E459,货件明细!I:I)</f>
        <v>0</v>
      </c>
      <c r="AA459">
        <f>IF(S459=Z459,0,1)</f>
        <v>1</v>
      </c>
    </row>
    <row r="460" hidden="1" spans="1:27">
      <c r="A460">
        <v>1</v>
      </c>
      <c r="B460">
        <v>4</v>
      </c>
      <c r="C460" s="3">
        <v>46046</v>
      </c>
      <c r="D460" t="s">
        <v>27</v>
      </c>
      <c r="E460" t="s">
        <v>560</v>
      </c>
      <c r="F460" t="s">
        <v>561</v>
      </c>
      <c r="G460" t="s">
        <v>72</v>
      </c>
      <c r="H460" t="s">
        <v>46</v>
      </c>
      <c r="I460" t="s">
        <v>92</v>
      </c>
      <c r="J460" t="s">
        <v>92</v>
      </c>
      <c r="K460" t="s">
        <v>64</v>
      </c>
      <c r="L460" t="s">
        <v>65</v>
      </c>
      <c r="M460" t="s">
        <v>188</v>
      </c>
      <c r="N460">
        <v>20.5</v>
      </c>
      <c r="O460">
        <v>11.7857142857143</v>
      </c>
      <c r="P460">
        <v>123.27</v>
      </c>
      <c r="Q460">
        <v>135.055714285714</v>
      </c>
      <c r="R460">
        <v>500.4</v>
      </c>
      <c r="S460">
        <v>635.455714285714</v>
      </c>
      <c r="T460">
        <v>240</v>
      </c>
      <c r="U460">
        <f>SUMIF(货件明细!J:J,E460,货件明细!AP:AP)</f>
        <v>0</v>
      </c>
      <c r="V460">
        <f>IF(U460=T460,0,1)</f>
        <v>1</v>
      </c>
      <c r="W460">
        <f>T460</f>
        <v>240</v>
      </c>
      <c r="X460">
        <f>SUMIF(货件明细!J:J,E460,货件明细!H:H)</f>
        <v>0</v>
      </c>
      <c r="Y460">
        <f>N460-X460</f>
        <v>20.5</v>
      </c>
      <c r="Z460">
        <f>SUMIF(货件明细!J:J,E460,货件明细!I:I)</f>
        <v>0</v>
      </c>
      <c r="AA460">
        <f>IF(S460=Z460,0,1)</f>
        <v>1</v>
      </c>
    </row>
    <row r="461" hidden="1" spans="1:27">
      <c r="A461">
        <v>1</v>
      </c>
      <c r="B461">
        <v>4</v>
      </c>
      <c r="C461" s="3">
        <v>46046</v>
      </c>
      <c r="D461" t="s">
        <v>27</v>
      </c>
      <c r="E461" t="s">
        <v>562</v>
      </c>
      <c r="F461" t="s">
        <v>243</v>
      </c>
      <c r="G461" t="s">
        <v>72</v>
      </c>
      <c r="H461" t="s">
        <v>39</v>
      </c>
      <c r="I461" t="s">
        <v>92</v>
      </c>
      <c r="J461" t="s">
        <v>92</v>
      </c>
      <c r="K461" t="s">
        <v>64</v>
      </c>
      <c r="L461" t="s">
        <v>65</v>
      </c>
      <c r="M461" t="s">
        <v>93</v>
      </c>
      <c r="N461">
        <v>70.65</v>
      </c>
      <c r="O461">
        <v>11.7857142857143</v>
      </c>
      <c r="P461">
        <v>332.689655172414</v>
      </c>
      <c r="Q461">
        <v>344.475369458128</v>
      </c>
      <c r="R461">
        <v>0</v>
      </c>
      <c r="S461">
        <v>344.475369458128</v>
      </c>
      <c r="T461">
        <v>212</v>
      </c>
      <c r="U461">
        <f>SUMIF(货件明细!J:J,E461,货件明细!AP:AP)</f>
        <v>0</v>
      </c>
      <c r="V461">
        <f>IF(U461=T461,0,1)</f>
        <v>1</v>
      </c>
      <c r="W461">
        <f>T461</f>
        <v>212</v>
      </c>
      <c r="X461">
        <f>SUMIF(货件明细!J:J,E461,货件明细!H:H)</f>
        <v>0</v>
      </c>
      <c r="Y461">
        <f>N461-X461</f>
        <v>70.65</v>
      </c>
      <c r="Z461">
        <f>SUMIF(货件明细!J:J,E461,货件明细!I:I)</f>
        <v>0</v>
      </c>
      <c r="AA461">
        <f>IF(S461=Z461,0,1)</f>
        <v>1</v>
      </c>
    </row>
    <row r="462" hidden="1" spans="1:27">
      <c r="A462">
        <v>1</v>
      </c>
      <c r="B462">
        <v>4</v>
      </c>
      <c r="C462" s="3">
        <v>46046</v>
      </c>
      <c r="D462" t="s">
        <v>27</v>
      </c>
      <c r="E462" t="s">
        <v>563</v>
      </c>
      <c r="F462" t="s">
        <v>187</v>
      </c>
      <c r="G462" t="s">
        <v>72</v>
      </c>
      <c r="H462" t="s">
        <v>39</v>
      </c>
      <c r="I462" t="s">
        <v>92</v>
      </c>
      <c r="J462" t="s">
        <v>92</v>
      </c>
      <c r="K462" t="s">
        <v>64</v>
      </c>
      <c r="L462" t="s">
        <v>65</v>
      </c>
      <c r="M462" t="s">
        <v>93</v>
      </c>
      <c r="N462">
        <v>70.65</v>
      </c>
      <c r="O462">
        <v>11.7857142857143</v>
      </c>
      <c r="P462">
        <v>310.8</v>
      </c>
      <c r="Q462">
        <v>322.585714285714</v>
      </c>
      <c r="R462">
        <v>0</v>
      </c>
      <c r="S462">
        <v>322.585714285714</v>
      </c>
      <c r="T462">
        <v>212</v>
      </c>
      <c r="U462">
        <f>SUMIF(货件明细!J:J,E462,货件明细!AP:AP)</f>
        <v>0</v>
      </c>
      <c r="V462">
        <f>IF(U462=T462,0,1)</f>
        <v>1</v>
      </c>
      <c r="W462">
        <f>T462</f>
        <v>212</v>
      </c>
      <c r="X462">
        <f>SUMIF(货件明细!J:J,E462,货件明细!H:H)</f>
        <v>0</v>
      </c>
      <c r="Y462">
        <f>N462-X462</f>
        <v>70.65</v>
      </c>
      <c r="Z462">
        <f>SUMIF(货件明细!J:J,E462,货件明细!I:I)</f>
        <v>0</v>
      </c>
      <c r="AA462">
        <f>IF(S462=Z462,0,1)</f>
        <v>1</v>
      </c>
    </row>
    <row r="463" hidden="1" spans="1:27">
      <c r="A463">
        <v>1</v>
      </c>
      <c r="B463">
        <v>4</v>
      </c>
      <c r="C463" s="3">
        <v>46046</v>
      </c>
      <c r="D463" t="s">
        <v>27</v>
      </c>
      <c r="E463" t="s">
        <v>564</v>
      </c>
      <c r="F463" t="s">
        <v>239</v>
      </c>
      <c r="G463" t="s">
        <v>72</v>
      </c>
      <c r="H463" t="s">
        <v>39</v>
      </c>
      <c r="I463" t="s">
        <v>92</v>
      </c>
      <c r="J463" t="s">
        <v>92</v>
      </c>
      <c r="K463" t="s">
        <v>64</v>
      </c>
      <c r="L463" t="s">
        <v>65</v>
      </c>
      <c r="M463" t="s">
        <v>93</v>
      </c>
      <c r="N463">
        <v>70.65</v>
      </c>
      <c r="O463">
        <v>11.7857142857143</v>
      </c>
      <c r="P463">
        <v>341.818181818182</v>
      </c>
      <c r="Q463">
        <v>353.603896103896</v>
      </c>
      <c r="R463">
        <v>0</v>
      </c>
      <c r="S463">
        <v>353.603896103896</v>
      </c>
      <c r="T463">
        <v>212</v>
      </c>
      <c r="U463">
        <f>SUMIF(货件明细!J:J,E463,货件明细!AP:AP)</f>
        <v>0</v>
      </c>
      <c r="V463">
        <f>IF(U463=T463,0,1)</f>
        <v>1</v>
      </c>
      <c r="W463">
        <f>T463</f>
        <v>212</v>
      </c>
      <c r="X463">
        <f>SUMIF(货件明细!J:J,E463,货件明细!H:H)</f>
        <v>0</v>
      </c>
      <c r="Y463">
        <f>N463-X463</f>
        <v>70.65</v>
      </c>
      <c r="Z463">
        <f>SUMIF(货件明细!J:J,E463,货件明细!I:I)</f>
        <v>0</v>
      </c>
      <c r="AA463">
        <f>IF(S463=Z463,0,1)</f>
        <v>1</v>
      </c>
    </row>
    <row r="464" hidden="1" spans="1:27">
      <c r="A464">
        <v>1</v>
      </c>
      <c r="B464">
        <v>4</v>
      </c>
      <c r="C464" s="3">
        <v>46046</v>
      </c>
      <c r="D464" t="s">
        <v>27</v>
      </c>
      <c r="E464" t="s">
        <v>565</v>
      </c>
      <c r="F464" t="s">
        <v>62</v>
      </c>
      <c r="G464" t="s">
        <v>30</v>
      </c>
      <c r="H464" t="s">
        <v>39</v>
      </c>
      <c r="I464" t="s">
        <v>92</v>
      </c>
      <c r="J464" t="s">
        <v>92</v>
      </c>
      <c r="K464" t="s">
        <v>64</v>
      </c>
      <c r="L464" t="s">
        <v>65</v>
      </c>
      <c r="M464" t="s">
        <v>93</v>
      </c>
      <c r="N464">
        <v>70.65</v>
      </c>
      <c r="O464">
        <v>18.3333333333333</v>
      </c>
      <c r="P464">
        <v>468.537931034483</v>
      </c>
      <c r="Q464">
        <v>486.871264367816</v>
      </c>
      <c r="R464">
        <v>0</v>
      </c>
      <c r="S464">
        <v>486.871264367816</v>
      </c>
      <c r="T464">
        <v>212</v>
      </c>
      <c r="U464">
        <f>SUMIF(货件明细!J:J,E464,货件明细!AP:AP)</f>
        <v>0</v>
      </c>
      <c r="V464">
        <f>IF(U464=T464,0,1)</f>
        <v>1</v>
      </c>
      <c r="W464">
        <f>T464</f>
        <v>212</v>
      </c>
      <c r="X464">
        <f>SUMIF(货件明细!J:J,E464,货件明细!H:H)</f>
        <v>0</v>
      </c>
      <c r="Y464">
        <f>N464-X464</f>
        <v>70.65</v>
      </c>
      <c r="Z464">
        <f>SUMIF(货件明细!J:J,E464,货件明细!I:I)</f>
        <v>0</v>
      </c>
      <c r="AA464">
        <f>IF(S464=Z464,0,1)</f>
        <v>1</v>
      </c>
    </row>
    <row r="465" hidden="1" spans="1:27">
      <c r="A465">
        <v>1</v>
      </c>
      <c r="B465">
        <v>4</v>
      </c>
      <c r="C465" s="3">
        <v>46046</v>
      </c>
      <c r="D465" t="s">
        <v>27</v>
      </c>
      <c r="E465" t="s">
        <v>566</v>
      </c>
      <c r="F465" t="s">
        <v>195</v>
      </c>
      <c r="G465" t="s">
        <v>30</v>
      </c>
      <c r="H465" t="s">
        <v>39</v>
      </c>
      <c r="I465" t="s">
        <v>92</v>
      </c>
      <c r="J465" t="s">
        <v>92</v>
      </c>
      <c r="K465" t="s">
        <v>64</v>
      </c>
      <c r="L465" t="s">
        <v>65</v>
      </c>
      <c r="M465" t="s">
        <v>93</v>
      </c>
      <c r="N465">
        <v>70.65</v>
      </c>
      <c r="O465">
        <v>18.3333333333333</v>
      </c>
      <c r="P465">
        <v>484.137931034483</v>
      </c>
      <c r="Q465">
        <v>502.471264367816</v>
      </c>
      <c r="R465">
        <v>0</v>
      </c>
      <c r="S465">
        <v>502.471264367816</v>
      </c>
      <c r="T465">
        <v>212</v>
      </c>
      <c r="U465">
        <f>SUMIF(货件明细!J:J,E465,货件明细!AP:AP)</f>
        <v>0</v>
      </c>
      <c r="V465">
        <f>IF(U465=T465,0,1)</f>
        <v>1</v>
      </c>
      <c r="W465">
        <f>T465</f>
        <v>212</v>
      </c>
      <c r="X465">
        <f>SUMIF(货件明细!J:J,E465,货件明细!H:H)</f>
        <v>0</v>
      </c>
      <c r="Y465">
        <f>N465-X465</f>
        <v>70.65</v>
      </c>
      <c r="Z465">
        <f>SUMIF(货件明细!J:J,E465,货件明细!I:I)</f>
        <v>0</v>
      </c>
      <c r="AA465">
        <f>IF(S465=Z465,0,1)</f>
        <v>1</v>
      </c>
    </row>
    <row r="466" hidden="1" spans="1:27">
      <c r="A466">
        <v>1</v>
      </c>
      <c r="B466">
        <v>4</v>
      </c>
      <c r="C466" s="3">
        <v>46046</v>
      </c>
      <c r="D466" t="s">
        <v>27</v>
      </c>
      <c r="E466" t="s">
        <v>567</v>
      </c>
      <c r="F466" t="s">
        <v>195</v>
      </c>
      <c r="G466" t="s">
        <v>30</v>
      </c>
      <c r="H466" t="s">
        <v>31</v>
      </c>
      <c r="I466" t="s">
        <v>92</v>
      </c>
      <c r="J466" t="s">
        <v>92</v>
      </c>
      <c r="K466" t="s">
        <v>64</v>
      </c>
      <c r="L466" t="s">
        <v>65</v>
      </c>
      <c r="M466" t="s">
        <v>93</v>
      </c>
      <c r="N466">
        <v>109.31</v>
      </c>
      <c r="O466">
        <v>18.3333333333333</v>
      </c>
      <c r="P466">
        <v>726.206896551724</v>
      </c>
      <c r="Q466">
        <v>744.540229885057</v>
      </c>
      <c r="R466">
        <v>0</v>
      </c>
      <c r="S466">
        <v>744.540229885057</v>
      </c>
      <c r="T466">
        <v>562</v>
      </c>
      <c r="U466">
        <f>SUMIF(货件明细!J:J,E466,货件明细!AP:AP)</f>
        <v>0</v>
      </c>
      <c r="V466">
        <f>IF(U466=T466,0,1)</f>
        <v>1</v>
      </c>
      <c r="W466">
        <f>T466</f>
        <v>562</v>
      </c>
      <c r="X466">
        <f>SUMIF(货件明细!J:J,E466,货件明细!H:H)</f>
        <v>0</v>
      </c>
      <c r="Y466">
        <f>N466-X466</f>
        <v>109.31</v>
      </c>
      <c r="Z466">
        <f>SUMIF(货件明细!J:J,E466,货件明细!I:I)</f>
        <v>0</v>
      </c>
      <c r="AA466">
        <f>IF(S466=Z466,0,1)</f>
        <v>1</v>
      </c>
    </row>
    <row r="467" hidden="1" spans="1:27">
      <c r="A467">
        <v>1</v>
      </c>
      <c r="B467">
        <v>4</v>
      </c>
      <c r="C467" s="3">
        <v>46046</v>
      </c>
      <c r="D467" t="s">
        <v>27</v>
      </c>
      <c r="E467" t="s">
        <v>568</v>
      </c>
      <c r="F467" t="s">
        <v>62</v>
      </c>
      <c r="G467" t="s">
        <v>30</v>
      </c>
      <c r="H467" t="s">
        <v>31</v>
      </c>
      <c r="I467" t="s">
        <v>92</v>
      </c>
      <c r="J467" t="s">
        <v>92</v>
      </c>
      <c r="K467" t="s">
        <v>64</v>
      </c>
      <c r="L467" t="s">
        <v>65</v>
      </c>
      <c r="M467" t="s">
        <v>93</v>
      </c>
      <c r="N467">
        <v>109.31</v>
      </c>
      <c r="O467">
        <v>18.3333333333333</v>
      </c>
      <c r="P467">
        <v>702.806896551724</v>
      </c>
      <c r="Q467">
        <v>721.140229885058</v>
      </c>
      <c r="R467">
        <v>0</v>
      </c>
      <c r="S467">
        <v>721.140229885058</v>
      </c>
      <c r="T467">
        <v>562</v>
      </c>
      <c r="U467">
        <f>SUMIF(货件明细!J:J,E467,货件明细!AP:AP)</f>
        <v>0</v>
      </c>
      <c r="V467">
        <f>IF(U467=T467,0,1)</f>
        <v>1</v>
      </c>
      <c r="W467">
        <f>T467</f>
        <v>562</v>
      </c>
      <c r="X467">
        <f>SUMIF(货件明细!J:J,E467,货件明细!H:H)</f>
        <v>0</v>
      </c>
      <c r="Y467">
        <f>N467-X467</f>
        <v>109.31</v>
      </c>
      <c r="Z467">
        <f>SUMIF(货件明细!J:J,E467,货件明细!I:I)</f>
        <v>0</v>
      </c>
      <c r="AA467">
        <f>IF(S467=Z467,0,1)</f>
        <v>1</v>
      </c>
    </row>
    <row r="468" hidden="1" spans="1:27">
      <c r="A468">
        <v>1</v>
      </c>
      <c r="B468">
        <v>4</v>
      </c>
      <c r="C468" s="3">
        <v>46046</v>
      </c>
      <c r="D468" t="s">
        <v>27</v>
      </c>
      <c r="E468" t="s">
        <v>569</v>
      </c>
      <c r="F468" t="s">
        <v>243</v>
      </c>
      <c r="G468" t="s">
        <v>72</v>
      </c>
      <c r="H468" t="s">
        <v>31</v>
      </c>
      <c r="I468" t="s">
        <v>92</v>
      </c>
      <c r="J468" t="s">
        <v>92</v>
      </c>
      <c r="K468" t="s">
        <v>64</v>
      </c>
      <c r="L468" t="s">
        <v>65</v>
      </c>
      <c r="M468" t="s">
        <v>93</v>
      </c>
      <c r="N468">
        <v>109.31</v>
      </c>
      <c r="O468">
        <v>11.7857142857143</v>
      </c>
      <c r="P468">
        <v>499.034482758621</v>
      </c>
      <c r="Q468">
        <v>510.820197044335</v>
      </c>
      <c r="R468">
        <v>0</v>
      </c>
      <c r="S468">
        <v>510.820197044335</v>
      </c>
      <c r="T468">
        <v>562</v>
      </c>
      <c r="U468">
        <f>SUMIF(货件明细!J:J,E468,货件明细!AP:AP)</f>
        <v>0</v>
      </c>
      <c r="V468">
        <f>IF(U468=T468,0,1)</f>
        <v>1</v>
      </c>
      <c r="W468">
        <f>T468</f>
        <v>562</v>
      </c>
      <c r="X468">
        <f>SUMIF(货件明细!J:J,E468,货件明细!H:H)</f>
        <v>0</v>
      </c>
      <c r="Y468">
        <f>N468-X468</f>
        <v>109.31</v>
      </c>
      <c r="Z468">
        <f>SUMIF(货件明细!J:J,E468,货件明细!I:I)</f>
        <v>0</v>
      </c>
      <c r="AA468">
        <f>IF(S468=Z468,0,1)</f>
        <v>1</v>
      </c>
    </row>
    <row r="469" hidden="1" spans="1:27">
      <c r="A469">
        <v>1</v>
      </c>
      <c r="B469">
        <v>4</v>
      </c>
      <c r="C469" s="3">
        <v>46046</v>
      </c>
      <c r="D469" t="s">
        <v>27</v>
      </c>
      <c r="E469" t="s">
        <v>570</v>
      </c>
      <c r="F469" t="s">
        <v>187</v>
      </c>
      <c r="G469" t="s">
        <v>72</v>
      </c>
      <c r="H469" t="s">
        <v>31</v>
      </c>
      <c r="I469" t="s">
        <v>92</v>
      </c>
      <c r="J469" t="s">
        <v>92</v>
      </c>
      <c r="K469" t="s">
        <v>64</v>
      </c>
      <c r="L469" t="s">
        <v>65</v>
      </c>
      <c r="M469" t="s">
        <v>93</v>
      </c>
      <c r="N469">
        <v>109.31</v>
      </c>
      <c r="O469">
        <v>11.7857142857143</v>
      </c>
      <c r="P469">
        <v>466.2</v>
      </c>
      <c r="Q469">
        <v>477.985714285714</v>
      </c>
      <c r="R469">
        <v>0</v>
      </c>
      <c r="S469">
        <v>477.985714285714</v>
      </c>
      <c r="T469">
        <v>562</v>
      </c>
      <c r="U469">
        <f>SUMIF(货件明细!J:J,E469,货件明细!AP:AP)</f>
        <v>0</v>
      </c>
      <c r="V469">
        <f>IF(U469=T469,0,1)</f>
        <v>1</v>
      </c>
      <c r="W469">
        <f>T469</f>
        <v>562</v>
      </c>
      <c r="X469">
        <f>SUMIF(货件明细!J:J,E469,货件明细!H:H)</f>
        <v>0</v>
      </c>
      <c r="Y469">
        <f>N469-X469</f>
        <v>109.31</v>
      </c>
      <c r="Z469">
        <f>SUMIF(货件明细!J:J,E469,货件明细!I:I)</f>
        <v>0</v>
      </c>
      <c r="AA469">
        <f>IF(S469=Z469,0,1)</f>
        <v>1</v>
      </c>
    </row>
    <row r="470" hidden="1" spans="1:27">
      <c r="A470">
        <v>1</v>
      </c>
      <c r="B470">
        <v>4</v>
      </c>
      <c r="C470" s="3">
        <v>46046</v>
      </c>
      <c r="D470" t="s">
        <v>27</v>
      </c>
      <c r="E470" t="s">
        <v>571</v>
      </c>
      <c r="F470" t="s">
        <v>239</v>
      </c>
      <c r="G470" t="s">
        <v>72</v>
      </c>
      <c r="H470" t="s">
        <v>31</v>
      </c>
      <c r="I470" t="s">
        <v>92</v>
      </c>
      <c r="J470" t="s">
        <v>92</v>
      </c>
      <c r="K470" t="s">
        <v>64</v>
      </c>
      <c r="L470" t="s">
        <v>65</v>
      </c>
      <c r="M470" t="s">
        <v>93</v>
      </c>
      <c r="N470">
        <v>109.31</v>
      </c>
      <c r="O470">
        <v>11.7857142857143</v>
      </c>
      <c r="P470">
        <v>512.727272727273</v>
      </c>
      <c r="Q470">
        <v>524.512987012987</v>
      </c>
      <c r="R470">
        <v>0</v>
      </c>
      <c r="S470">
        <v>524.512987012987</v>
      </c>
      <c r="T470">
        <v>562</v>
      </c>
      <c r="U470">
        <f>SUMIF(货件明细!J:J,E470,货件明细!AP:AP)</f>
        <v>0</v>
      </c>
      <c r="V470">
        <f>IF(U470=T470,0,1)</f>
        <v>1</v>
      </c>
      <c r="W470">
        <f>T470</f>
        <v>562</v>
      </c>
      <c r="X470">
        <f>SUMIF(货件明细!J:J,E470,货件明细!H:H)</f>
        <v>0</v>
      </c>
      <c r="Y470">
        <f>N470-X470</f>
        <v>109.31</v>
      </c>
      <c r="Z470">
        <f>SUMIF(货件明细!J:J,E470,货件明细!I:I)</f>
        <v>0</v>
      </c>
      <c r="AA470">
        <f>IF(S470=Z470,0,1)</f>
        <v>1</v>
      </c>
    </row>
    <row r="471" hidden="1" spans="1:27">
      <c r="A471">
        <v>1</v>
      </c>
      <c r="B471">
        <v>4</v>
      </c>
      <c r="C471" s="3">
        <v>46046</v>
      </c>
      <c r="D471" t="s">
        <v>27</v>
      </c>
      <c r="E471" t="s">
        <v>572</v>
      </c>
      <c r="F471" t="s">
        <v>195</v>
      </c>
      <c r="G471" t="s">
        <v>30</v>
      </c>
      <c r="H471" t="s">
        <v>51</v>
      </c>
      <c r="I471" t="s">
        <v>92</v>
      </c>
      <c r="J471" t="s">
        <v>92</v>
      </c>
      <c r="K471" t="s">
        <v>64</v>
      </c>
      <c r="L471" t="s">
        <v>65</v>
      </c>
      <c r="M471" t="s">
        <v>93</v>
      </c>
      <c r="N471">
        <v>73.75</v>
      </c>
      <c r="O471">
        <v>20</v>
      </c>
      <c r="P471">
        <v>361</v>
      </c>
      <c r="Q471">
        <v>381</v>
      </c>
      <c r="R471">
        <v>0</v>
      </c>
      <c r="S471">
        <v>381</v>
      </c>
      <c r="T471">
        <v>340</v>
      </c>
      <c r="U471">
        <f>SUMIF(货件明细!J:J,E471,货件明细!AP:AP)</f>
        <v>0</v>
      </c>
      <c r="V471">
        <f>IF(U471=T471,0,1)</f>
        <v>1</v>
      </c>
      <c r="W471">
        <f>T471</f>
        <v>340</v>
      </c>
      <c r="X471">
        <f>SUMIF(货件明细!J:J,E471,货件明细!H:H)</f>
        <v>0</v>
      </c>
      <c r="Y471">
        <f>N471-X471</f>
        <v>73.75</v>
      </c>
      <c r="Z471">
        <f>SUMIF(货件明细!J:J,E471,货件明细!I:I)</f>
        <v>0</v>
      </c>
      <c r="AA471">
        <f>IF(S471=Z471,0,1)</f>
        <v>1</v>
      </c>
    </row>
    <row r="472" hidden="1" spans="1:27">
      <c r="A472">
        <v>1</v>
      </c>
      <c r="B472">
        <v>4</v>
      </c>
      <c r="C472" s="3">
        <v>46046</v>
      </c>
      <c r="D472" t="s">
        <v>27</v>
      </c>
      <c r="E472" t="s">
        <v>573</v>
      </c>
      <c r="F472" t="s">
        <v>62</v>
      </c>
      <c r="G472" t="s">
        <v>30</v>
      </c>
      <c r="H472" t="s">
        <v>51</v>
      </c>
      <c r="I472" t="s">
        <v>92</v>
      </c>
      <c r="J472" t="s">
        <v>92</v>
      </c>
      <c r="K472" t="s">
        <v>64</v>
      </c>
      <c r="L472" t="s">
        <v>65</v>
      </c>
      <c r="M472" t="s">
        <v>93</v>
      </c>
      <c r="N472">
        <v>73.75</v>
      </c>
      <c r="O472">
        <v>20</v>
      </c>
      <c r="P472">
        <v>295.8</v>
      </c>
      <c r="Q472">
        <v>315.8</v>
      </c>
      <c r="R472">
        <v>0</v>
      </c>
      <c r="S472">
        <v>315.8</v>
      </c>
      <c r="T472">
        <v>340</v>
      </c>
      <c r="U472">
        <f>SUMIF(货件明细!J:J,E472,货件明细!AP:AP)</f>
        <v>0</v>
      </c>
      <c r="V472">
        <f>IF(U472=T472,0,1)</f>
        <v>1</v>
      </c>
      <c r="W472">
        <f>T472</f>
        <v>340</v>
      </c>
      <c r="X472">
        <f>SUMIF(货件明细!J:J,E472,货件明细!H:H)</f>
        <v>0</v>
      </c>
      <c r="Y472">
        <f>N472-X472</f>
        <v>73.75</v>
      </c>
      <c r="Z472">
        <f>SUMIF(货件明细!J:J,E472,货件明细!I:I)</f>
        <v>0</v>
      </c>
      <c r="AA472">
        <f>IF(S472=Z472,0,1)</f>
        <v>1</v>
      </c>
    </row>
    <row r="473" hidden="1" spans="1:27">
      <c r="A473">
        <v>1</v>
      </c>
      <c r="B473">
        <v>4</v>
      </c>
      <c r="C473" s="3">
        <v>46046</v>
      </c>
      <c r="D473" t="s">
        <v>27</v>
      </c>
      <c r="E473" t="s">
        <v>574</v>
      </c>
      <c r="F473" t="s">
        <v>243</v>
      </c>
      <c r="G473" t="s">
        <v>72</v>
      </c>
      <c r="H473" t="s">
        <v>51</v>
      </c>
      <c r="I473" t="s">
        <v>92</v>
      </c>
      <c r="J473" t="s">
        <v>92</v>
      </c>
      <c r="K473" t="s">
        <v>64</v>
      </c>
      <c r="L473" t="s">
        <v>65</v>
      </c>
      <c r="M473" t="s">
        <v>93</v>
      </c>
      <c r="N473">
        <v>73.75</v>
      </c>
      <c r="O473">
        <v>13.3333333333333</v>
      </c>
      <c r="P473">
        <v>235.2</v>
      </c>
      <c r="Q473">
        <v>248.533333333333</v>
      </c>
      <c r="R473">
        <v>0</v>
      </c>
      <c r="S473">
        <v>248.533333333333</v>
      </c>
      <c r="T473">
        <v>340</v>
      </c>
      <c r="U473">
        <f>SUMIF(货件明细!J:J,E473,货件明细!AP:AP)</f>
        <v>0</v>
      </c>
      <c r="V473">
        <f>IF(U473=T473,0,1)</f>
        <v>1</v>
      </c>
      <c r="W473">
        <f>T473</f>
        <v>340</v>
      </c>
      <c r="X473">
        <f>SUMIF(货件明细!J:J,E473,货件明细!H:H)</f>
        <v>0</v>
      </c>
      <c r="Y473">
        <f>N473-X473</f>
        <v>73.75</v>
      </c>
      <c r="Z473">
        <f>SUMIF(货件明细!J:J,E473,货件明细!I:I)</f>
        <v>0</v>
      </c>
      <c r="AA473">
        <f>IF(S473=Z473,0,1)</f>
        <v>1</v>
      </c>
    </row>
    <row r="474" hidden="1" spans="1:27">
      <c r="A474">
        <v>1</v>
      </c>
      <c r="B474">
        <v>4</v>
      </c>
      <c r="C474" s="3">
        <v>46046</v>
      </c>
      <c r="D474" t="s">
        <v>27</v>
      </c>
      <c r="E474" t="s">
        <v>575</v>
      </c>
      <c r="F474" t="s">
        <v>187</v>
      </c>
      <c r="G474" t="s">
        <v>72</v>
      </c>
      <c r="H474" t="s">
        <v>51</v>
      </c>
      <c r="I474" t="s">
        <v>92</v>
      </c>
      <c r="J474" t="s">
        <v>92</v>
      </c>
      <c r="K474" t="s">
        <v>64</v>
      </c>
      <c r="L474" t="s">
        <v>65</v>
      </c>
      <c r="M474" t="s">
        <v>93</v>
      </c>
      <c r="N474">
        <v>73.75</v>
      </c>
      <c r="O474">
        <v>13.3333333333333</v>
      </c>
      <c r="P474">
        <v>217.963636363636</v>
      </c>
      <c r="Q474">
        <v>231.29696969697</v>
      </c>
      <c r="R474">
        <v>0</v>
      </c>
      <c r="S474">
        <v>231.29696969697</v>
      </c>
      <c r="T474">
        <v>340</v>
      </c>
      <c r="U474">
        <f>SUMIF(货件明细!J:J,E474,货件明细!AP:AP)</f>
        <v>0</v>
      </c>
      <c r="V474">
        <f>IF(U474=T474,0,1)</f>
        <v>1</v>
      </c>
      <c r="W474">
        <f>T474</f>
        <v>340</v>
      </c>
      <c r="X474">
        <f>SUMIF(货件明细!J:J,E474,货件明细!H:H)</f>
        <v>0</v>
      </c>
      <c r="Y474">
        <f>N474-X474</f>
        <v>73.75</v>
      </c>
      <c r="Z474">
        <f>SUMIF(货件明细!J:J,E474,货件明细!I:I)</f>
        <v>0</v>
      </c>
      <c r="AA474">
        <f>IF(S474=Z474,0,1)</f>
        <v>1</v>
      </c>
    </row>
    <row r="475" hidden="1" spans="1:27">
      <c r="A475">
        <v>1</v>
      </c>
      <c r="B475">
        <v>4</v>
      </c>
      <c r="C475" s="3">
        <v>46046</v>
      </c>
      <c r="D475" t="s">
        <v>27</v>
      </c>
      <c r="E475" t="s">
        <v>576</v>
      </c>
      <c r="F475" t="s">
        <v>239</v>
      </c>
      <c r="G475" t="s">
        <v>72</v>
      </c>
      <c r="H475" t="s">
        <v>51</v>
      </c>
      <c r="I475" t="s">
        <v>92</v>
      </c>
      <c r="J475" t="s">
        <v>92</v>
      </c>
      <c r="K475" t="s">
        <v>64</v>
      </c>
      <c r="L475" t="s">
        <v>65</v>
      </c>
      <c r="M475" t="s">
        <v>93</v>
      </c>
      <c r="N475">
        <v>73.75</v>
      </c>
      <c r="O475">
        <v>13.3333333333333</v>
      </c>
      <c r="P475">
        <v>240</v>
      </c>
      <c r="Q475">
        <v>253.333333333333</v>
      </c>
      <c r="R475">
        <v>0</v>
      </c>
      <c r="S475">
        <v>253.333333333333</v>
      </c>
      <c r="T475">
        <v>340</v>
      </c>
      <c r="U475">
        <f>SUMIF(货件明细!J:J,E475,货件明细!AP:AP)</f>
        <v>0</v>
      </c>
      <c r="V475">
        <f>IF(U475=T475,0,1)</f>
        <v>1</v>
      </c>
      <c r="W475">
        <f>T475</f>
        <v>340</v>
      </c>
      <c r="X475">
        <f>SUMIF(货件明细!J:J,E475,货件明细!H:H)</f>
        <v>0</v>
      </c>
      <c r="Y475">
        <f>N475-X475</f>
        <v>73.75</v>
      </c>
      <c r="Z475">
        <f>SUMIF(货件明细!J:J,E475,货件明细!I:I)</f>
        <v>0</v>
      </c>
      <c r="AA475">
        <f>IF(S475=Z475,0,1)</f>
        <v>1</v>
      </c>
    </row>
    <row r="476" hidden="1" spans="1:27">
      <c r="A476">
        <v>1</v>
      </c>
      <c r="B476">
        <v>4</v>
      </c>
      <c r="C476" s="3">
        <v>46046</v>
      </c>
      <c r="D476" t="s">
        <v>27</v>
      </c>
      <c r="E476" t="s">
        <v>577</v>
      </c>
      <c r="F476" t="s">
        <v>195</v>
      </c>
      <c r="G476" t="s">
        <v>30</v>
      </c>
      <c r="H476" t="s">
        <v>78</v>
      </c>
      <c r="I476" t="s">
        <v>78</v>
      </c>
      <c r="J476" t="s">
        <v>92</v>
      </c>
      <c r="K476" t="s">
        <v>64</v>
      </c>
      <c r="L476" t="s">
        <v>65</v>
      </c>
      <c r="M476" t="s">
        <v>93</v>
      </c>
      <c r="N476">
        <v>9.6</v>
      </c>
      <c r="O476">
        <v>20</v>
      </c>
      <c r="P476">
        <v>90.25</v>
      </c>
      <c r="Q476">
        <v>110.25</v>
      </c>
      <c r="R476">
        <v>0</v>
      </c>
      <c r="S476">
        <v>110.25</v>
      </c>
      <c r="T476">
        <v>34</v>
      </c>
      <c r="U476">
        <f>SUMIF(货件明细!J:J,E476,货件明细!AP:AP)</f>
        <v>0</v>
      </c>
      <c r="V476">
        <f>IF(U476=T476,0,1)</f>
        <v>1</v>
      </c>
      <c r="W476">
        <f>T476</f>
        <v>34</v>
      </c>
      <c r="X476">
        <f>SUMIF(货件明细!J:J,E476,货件明细!H:H)</f>
        <v>0</v>
      </c>
      <c r="Y476">
        <f>N476-X476</f>
        <v>9.6</v>
      </c>
      <c r="Z476">
        <f>SUMIF(货件明细!J:J,E476,货件明细!I:I)</f>
        <v>0</v>
      </c>
      <c r="AA476">
        <f>IF(S476=Z476,0,1)</f>
        <v>1</v>
      </c>
    </row>
    <row r="477" hidden="1" spans="1:27">
      <c r="A477">
        <v>1</v>
      </c>
      <c r="B477">
        <v>4</v>
      </c>
      <c r="C477" s="3">
        <v>46046</v>
      </c>
      <c r="D477" t="s">
        <v>27</v>
      </c>
      <c r="E477" t="s">
        <v>578</v>
      </c>
      <c r="F477" t="s">
        <v>187</v>
      </c>
      <c r="G477" t="s">
        <v>72</v>
      </c>
      <c r="H477" t="s">
        <v>78</v>
      </c>
      <c r="I477" t="s">
        <v>78</v>
      </c>
      <c r="J477" t="s">
        <v>92</v>
      </c>
      <c r="K477" t="s">
        <v>64</v>
      </c>
      <c r="L477" t="s">
        <v>65</v>
      </c>
      <c r="M477" t="s">
        <v>93</v>
      </c>
      <c r="N477">
        <v>9.6</v>
      </c>
      <c r="O477">
        <v>13.3333333333333</v>
      </c>
      <c r="P477">
        <v>54.4909090909091</v>
      </c>
      <c r="Q477">
        <v>67.8242424242424</v>
      </c>
      <c r="R477">
        <v>0</v>
      </c>
      <c r="S477">
        <v>67.8242424242424</v>
      </c>
      <c r="T477">
        <v>34</v>
      </c>
      <c r="U477">
        <f>SUMIF(货件明细!J:J,E477,货件明细!AP:AP)</f>
        <v>0</v>
      </c>
      <c r="V477">
        <f>IF(U477=T477,0,1)</f>
        <v>1</v>
      </c>
      <c r="W477">
        <f>T477</f>
        <v>34</v>
      </c>
      <c r="X477">
        <f>SUMIF(货件明细!J:J,E477,货件明细!H:H)</f>
        <v>0</v>
      </c>
      <c r="Y477">
        <f>N477-X477</f>
        <v>9.6</v>
      </c>
      <c r="Z477">
        <f>SUMIF(货件明细!J:J,E477,货件明细!I:I)</f>
        <v>0</v>
      </c>
      <c r="AA477">
        <f>IF(S477=Z477,0,1)</f>
        <v>1</v>
      </c>
    </row>
    <row r="478" hidden="1" spans="1:27">
      <c r="A478">
        <v>1</v>
      </c>
      <c r="B478">
        <v>4</v>
      </c>
      <c r="C478" s="3">
        <v>46046</v>
      </c>
      <c r="D478" t="s">
        <v>27</v>
      </c>
      <c r="E478" t="s">
        <v>579</v>
      </c>
      <c r="F478" t="s">
        <v>62</v>
      </c>
      <c r="G478" t="s">
        <v>30</v>
      </c>
      <c r="H478" t="s">
        <v>78</v>
      </c>
      <c r="I478" t="s">
        <v>78</v>
      </c>
      <c r="J478" t="s">
        <v>92</v>
      </c>
      <c r="K478" t="s">
        <v>64</v>
      </c>
      <c r="L478" t="s">
        <v>65</v>
      </c>
      <c r="M478" t="s">
        <v>93</v>
      </c>
      <c r="N478">
        <v>9.6</v>
      </c>
      <c r="O478">
        <v>20</v>
      </c>
      <c r="P478">
        <v>87</v>
      </c>
      <c r="Q478">
        <v>107</v>
      </c>
      <c r="R478">
        <v>0</v>
      </c>
      <c r="S478">
        <v>107</v>
      </c>
      <c r="T478">
        <v>34</v>
      </c>
      <c r="U478">
        <f>SUMIF(货件明细!J:J,E478,货件明细!AP:AP)</f>
        <v>0</v>
      </c>
      <c r="V478">
        <f>IF(U478=T478,0,1)</f>
        <v>1</v>
      </c>
      <c r="W478">
        <f>T478</f>
        <v>34</v>
      </c>
      <c r="X478">
        <f>SUMIF(货件明细!J:J,E478,货件明细!H:H)</f>
        <v>0</v>
      </c>
      <c r="Y478">
        <f>N478-X478</f>
        <v>9.6</v>
      </c>
      <c r="Z478">
        <f>SUMIF(货件明细!J:J,E478,货件明细!I:I)</f>
        <v>0</v>
      </c>
      <c r="AA478">
        <f>IF(S478=Z478,0,1)</f>
        <v>1</v>
      </c>
    </row>
    <row r="479" hidden="1" spans="1:27">
      <c r="A479">
        <v>1</v>
      </c>
      <c r="B479">
        <v>4</v>
      </c>
      <c r="C479" s="3">
        <v>46046</v>
      </c>
      <c r="D479" t="s">
        <v>27</v>
      </c>
      <c r="E479" t="s">
        <v>580</v>
      </c>
      <c r="F479" t="s">
        <v>243</v>
      </c>
      <c r="G479" t="s">
        <v>72</v>
      </c>
      <c r="H479" t="s">
        <v>78</v>
      </c>
      <c r="I479" t="s">
        <v>78</v>
      </c>
      <c r="J479" t="s">
        <v>92</v>
      </c>
      <c r="K479" t="s">
        <v>64</v>
      </c>
      <c r="L479" t="s">
        <v>65</v>
      </c>
      <c r="M479" t="s">
        <v>93</v>
      </c>
      <c r="N479">
        <v>9.6</v>
      </c>
      <c r="O479">
        <v>13.3333333333333</v>
      </c>
      <c r="P479">
        <v>58.8</v>
      </c>
      <c r="Q479">
        <v>72.1333333333333</v>
      </c>
      <c r="R479">
        <v>0</v>
      </c>
      <c r="S479">
        <v>72.1333333333333</v>
      </c>
      <c r="T479">
        <v>34</v>
      </c>
      <c r="U479">
        <f>SUMIF(货件明细!J:J,E479,货件明细!AP:AP)</f>
        <v>0</v>
      </c>
      <c r="V479">
        <f>IF(U479=T479,0,1)</f>
        <v>1</v>
      </c>
      <c r="W479">
        <f>T479</f>
        <v>34</v>
      </c>
      <c r="X479">
        <f>SUMIF(货件明细!J:J,E479,货件明细!H:H)</f>
        <v>0</v>
      </c>
      <c r="Y479">
        <f>N479-X479</f>
        <v>9.6</v>
      </c>
      <c r="Z479">
        <f>SUMIF(货件明细!J:J,E479,货件明细!I:I)</f>
        <v>0</v>
      </c>
      <c r="AA479">
        <f>IF(S479=Z479,0,1)</f>
        <v>1</v>
      </c>
    </row>
    <row r="480" hidden="1" spans="1:27">
      <c r="A480">
        <v>1</v>
      </c>
      <c r="B480">
        <v>4</v>
      </c>
      <c r="C480" s="3">
        <v>46046</v>
      </c>
      <c r="D480" t="s">
        <v>27</v>
      </c>
      <c r="E480" t="s">
        <v>581</v>
      </c>
      <c r="F480" t="s">
        <v>239</v>
      </c>
      <c r="G480" t="s">
        <v>72</v>
      </c>
      <c r="H480" t="s">
        <v>78</v>
      </c>
      <c r="I480" t="s">
        <v>78</v>
      </c>
      <c r="J480" t="s">
        <v>92</v>
      </c>
      <c r="K480" t="s">
        <v>64</v>
      </c>
      <c r="L480" t="s">
        <v>65</v>
      </c>
      <c r="M480" t="s">
        <v>93</v>
      </c>
      <c r="N480">
        <v>9.6</v>
      </c>
      <c r="O480">
        <v>13.3333333333333</v>
      </c>
      <c r="P480">
        <v>60</v>
      </c>
      <c r="Q480">
        <v>73.3333333333333</v>
      </c>
      <c r="R480">
        <v>0</v>
      </c>
      <c r="S480">
        <v>73.3333333333333</v>
      </c>
      <c r="T480">
        <v>34</v>
      </c>
      <c r="U480">
        <f>SUMIF(货件明细!J:J,E480,货件明细!AP:AP)</f>
        <v>0</v>
      </c>
      <c r="V480">
        <f>IF(U480=T480,0,1)</f>
        <v>1</v>
      </c>
      <c r="W480">
        <f>T480</f>
        <v>34</v>
      </c>
      <c r="X480">
        <f>SUMIF(货件明细!J:J,E480,货件明细!H:H)</f>
        <v>0</v>
      </c>
      <c r="Y480">
        <f>N480-X480</f>
        <v>9.6</v>
      </c>
      <c r="Z480">
        <f>SUMIF(货件明细!J:J,E480,货件明细!I:I)</f>
        <v>0</v>
      </c>
      <c r="AA480">
        <f>IF(S480=Z480,0,1)</f>
        <v>1</v>
      </c>
    </row>
    <row r="481" hidden="1" spans="1:27">
      <c r="A481">
        <v>1</v>
      </c>
      <c r="B481">
        <v>4</v>
      </c>
      <c r="C481" s="3">
        <v>46046</v>
      </c>
      <c r="D481" t="s">
        <v>27</v>
      </c>
      <c r="E481" t="s">
        <v>582</v>
      </c>
      <c r="F481" t="s">
        <v>243</v>
      </c>
      <c r="G481" t="s">
        <v>72</v>
      </c>
      <c r="H481" t="s">
        <v>56</v>
      </c>
      <c r="I481" t="s">
        <v>56</v>
      </c>
      <c r="J481" t="s">
        <v>92</v>
      </c>
      <c r="K481" t="s">
        <v>64</v>
      </c>
      <c r="L481" t="s">
        <v>65</v>
      </c>
      <c r="M481" t="s">
        <v>93</v>
      </c>
      <c r="N481">
        <v>30.86</v>
      </c>
      <c r="O481">
        <v>13.3333333333333</v>
      </c>
      <c r="P481">
        <v>117.6</v>
      </c>
      <c r="Q481">
        <v>130.933333333333</v>
      </c>
      <c r="R481">
        <v>0</v>
      </c>
      <c r="S481">
        <v>130.933333333333</v>
      </c>
      <c r="T481">
        <v>181</v>
      </c>
      <c r="U481">
        <f>SUMIF(货件明细!J:J,E481,货件明细!AP:AP)</f>
        <v>0</v>
      </c>
      <c r="V481">
        <f>IF(U481=T481,0,1)</f>
        <v>1</v>
      </c>
      <c r="W481">
        <f>T481</f>
        <v>181</v>
      </c>
      <c r="X481">
        <f>SUMIF(货件明细!J:J,E481,货件明细!H:H)</f>
        <v>0</v>
      </c>
      <c r="Y481">
        <f>N481-X481</f>
        <v>30.86</v>
      </c>
      <c r="Z481">
        <f>SUMIF(货件明细!J:J,E481,货件明细!I:I)</f>
        <v>0</v>
      </c>
      <c r="AA481">
        <f>IF(S481=Z481,0,1)</f>
        <v>1</v>
      </c>
    </row>
    <row r="482" hidden="1" spans="1:27">
      <c r="A482">
        <v>1</v>
      </c>
      <c r="B482">
        <v>4</v>
      </c>
      <c r="C482" s="3">
        <v>46046</v>
      </c>
      <c r="D482" t="s">
        <v>27</v>
      </c>
      <c r="E482" t="s">
        <v>583</v>
      </c>
      <c r="F482" t="s">
        <v>187</v>
      </c>
      <c r="G482" t="s">
        <v>72</v>
      </c>
      <c r="H482" t="s">
        <v>56</v>
      </c>
      <c r="I482" t="s">
        <v>56</v>
      </c>
      <c r="J482" t="s">
        <v>92</v>
      </c>
      <c r="K482" t="s">
        <v>64</v>
      </c>
      <c r="L482" t="s">
        <v>65</v>
      </c>
      <c r="M482" t="s">
        <v>93</v>
      </c>
      <c r="N482">
        <v>30.86</v>
      </c>
      <c r="O482">
        <v>13.3333333333333</v>
      </c>
      <c r="P482">
        <v>108.981818181818</v>
      </c>
      <c r="Q482">
        <v>122.315151515152</v>
      </c>
      <c r="R482">
        <v>0</v>
      </c>
      <c r="S482">
        <v>122.315151515152</v>
      </c>
      <c r="T482">
        <v>181</v>
      </c>
      <c r="U482">
        <f>SUMIF(货件明细!J:J,E482,货件明细!AP:AP)</f>
        <v>0</v>
      </c>
      <c r="V482">
        <f>IF(U482=T482,0,1)</f>
        <v>1</v>
      </c>
      <c r="W482">
        <f>T482</f>
        <v>181</v>
      </c>
      <c r="X482">
        <f>SUMIF(货件明细!J:J,E482,货件明细!H:H)</f>
        <v>0</v>
      </c>
      <c r="Y482">
        <f>N482-X482</f>
        <v>30.86</v>
      </c>
      <c r="Z482">
        <f>SUMIF(货件明细!J:J,E482,货件明细!I:I)</f>
        <v>0</v>
      </c>
      <c r="AA482">
        <f>IF(S482=Z482,0,1)</f>
        <v>1</v>
      </c>
    </row>
    <row r="483" hidden="1" spans="1:27">
      <c r="A483">
        <v>1</v>
      </c>
      <c r="B483">
        <v>4</v>
      </c>
      <c r="C483" s="3">
        <v>46046</v>
      </c>
      <c r="D483" t="s">
        <v>27</v>
      </c>
      <c r="E483" t="s">
        <v>584</v>
      </c>
      <c r="F483" t="s">
        <v>62</v>
      </c>
      <c r="G483" t="s">
        <v>30</v>
      </c>
      <c r="H483" t="s">
        <v>56</v>
      </c>
      <c r="I483" t="s">
        <v>56</v>
      </c>
      <c r="J483" t="s">
        <v>92</v>
      </c>
      <c r="K483" t="s">
        <v>64</v>
      </c>
      <c r="L483" t="s">
        <v>65</v>
      </c>
      <c r="M483" t="s">
        <v>93</v>
      </c>
      <c r="N483">
        <v>30.86</v>
      </c>
      <c r="O483">
        <v>20</v>
      </c>
      <c r="P483">
        <v>208.8</v>
      </c>
      <c r="Q483">
        <v>228.8</v>
      </c>
      <c r="R483">
        <v>0</v>
      </c>
      <c r="S483">
        <v>228.8</v>
      </c>
      <c r="T483">
        <v>181</v>
      </c>
      <c r="U483">
        <f>SUMIF(货件明细!J:J,E483,货件明细!AP:AP)</f>
        <v>0</v>
      </c>
      <c r="V483">
        <f>IF(U483=T483,0,1)</f>
        <v>1</v>
      </c>
      <c r="W483">
        <f>T483</f>
        <v>181</v>
      </c>
      <c r="X483">
        <f>SUMIF(货件明细!J:J,E483,货件明细!H:H)</f>
        <v>0</v>
      </c>
      <c r="Y483">
        <f>N483-X483</f>
        <v>30.86</v>
      </c>
      <c r="Z483">
        <f>SUMIF(货件明细!J:J,E483,货件明细!I:I)</f>
        <v>0</v>
      </c>
      <c r="AA483">
        <f>IF(S483=Z483,0,1)</f>
        <v>1</v>
      </c>
    </row>
    <row r="484" hidden="1" spans="1:27">
      <c r="A484">
        <v>1</v>
      </c>
      <c r="B484">
        <v>4</v>
      </c>
      <c r="C484" s="3">
        <v>46046</v>
      </c>
      <c r="D484" t="s">
        <v>27</v>
      </c>
      <c r="E484" t="s">
        <v>585</v>
      </c>
      <c r="F484" t="s">
        <v>239</v>
      </c>
      <c r="G484" t="s">
        <v>72</v>
      </c>
      <c r="H484" t="s">
        <v>56</v>
      </c>
      <c r="I484" t="s">
        <v>56</v>
      </c>
      <c r="J484" t="s">
        <v>92</v>
      </c>
      <c r="K484" t="s">
        <v>64</v>
      </c>
      <c r="L484" t="s">
        <v>65</v>
      </c>
      <c r="M484" t="s">
        <v>93</v>
      </c>
      <c r="N484">
        <v>30.86</v>
      </c>
      <c r="O484">
        <v>13.3333333333333</v>
      </c>
      <c r="P484">
        <v>120</v>
      </c>
      <c r="Q484">
        <v>133.333333333333</v>
      </c>
      <c r="R484">
        <v>0</v>
      </c>
      <c r="S484">
        <v>133.333333333333</v>
      </c>
      <c r="T484">
        <v>181</v>
      </c>
      <c r="U484">
        <f>SUMIF(货件明细!J:J,E484,货件明细!AP:AP)</f>
        <v>0</v>
      </c>
      <c r="V484">
        <f>IF(U484=T484,0,1)</f>
        <v>1</v>
      </c>
      <c r="W484">
        <f>T484</f>
        <v>181</v>
      </c>
      <c r="X484">
        <f>SUMIF(货件明细!J:J,E484,货件明细!H:H)</f>
        <v>0</v>
      </c>
      <c r="Y484">
        <f>N484-X484</f>
        <v>30.86</v>
      </c>
      <c r="Z484">
        <f>SUMIF(货件明细!J:J,E484,货件明细!I:I)</f>
        <v>0</v>
      </c>
      <c r="AA484">
        <f>IF(S484=Z484,0,1)</f>
        <v>1</v>
      </c>
    </row>
    <row r="485" hidden="1" spans="1:27">
      <c r="A485">
        <v>1</v>
      </c>
      <c r="B485">
        <v>4</v>
      </c>
      <c r="C485" s="3">
        <v>46046</v>
      </c>
      <c r="D485" t="s">
        <v>27</v>
      </c>
      <c r="E485" t="s">
        <v>586</v>
      </c>
      <c r="F485" t="s">
        <v>195</v>
      </c>
      <c r="G485" t="s">
        <v>30</v>
      </c>
      <c r="H485" t="s">
        <v>56</v>
      </c>
      <c r="I485" t="s">
        <v>56</v>
      </c>
      <c r="J485" t="s">
        <v>92</v>
      </c>
      <c r="K485" t="s">
        <v>64</v>
      </c>
      <c r="L485" t="s">
        <v>65</v>
      </c>
      <c r="M485" t="s">
        <v>93</v>
      </c>
      <c r="N485">
        <v>30.86</v>
      </c>
      <c r="O485">
        <v>20</v>
      </c>
      <c r="P485">
        <v>180.5</v>
      </c>
      <c r="Q485">
        <v>200.5</v>
      </c>
      <c r="R485">
        <v>0</v>
      </c>
      <c r="S485">
        <v>200.5</v>
      </c>
      <c r="T485">
        <v>181</v>
      </c>
      <c r="U485">
        <f>SUMIF(货件明细!J:J,E485,货件明细!AP:AP)</f>
        <v>0</v>
      </c>
      <c r="V485">
        <f>IF(U485=T485,0,1)</f>
        <v>1</v>
      </c>
      <c r="W485">
        <f>T485</f>
        <v>181</v>
      </c>
      <c r="X485">
        <f>SUMIF(货件明细!J:J,E485,货件明细!H:H)</f>
        <v>0</v>
      </c>
      <c r="Y485">
        <f>N485-X485</f>
        <v>30.86</v>
      </c>
      <c r="Z485">
        <f>SUMIF(货件明细!J:J,E485,货件明细!I:I)</f>
        <v>0</v>
      </c>
      <c r="AA485">
        <f>IF(S485=Z485,0,1)</f>
        <v>1</v>
      </c>
    </row>
    <row r="486" hidden="1" spans="1:27">
      <c r="A486">
        <v>1</v>
      </c>
      <c r="B486">
        <v>4</v>
      </c>
      <c r="C486" s="3">
        <v>46046</v>
      </c>
      <c r="D486" t="s">
        <v>27</v>
      </c>
      <c r="E486" t="s">
        <v>587</v>
      </c>
      <c r="F486" t="s">
        <v>187</v>
      </c>
      <c r="G486" t="s">
        <v>72</v>
      </c>
      <c r="H486" t="s">
        <v>224</v>
      </c>
      <c r="I486" t="s">
        <v>92</v>
      </c>
      <c r="J486" t="s">
        <v>92</v>
      </c>
      <c r="K486" t="s">
        <v>64</v>
      </c>
      <c r="L486" t="s">
        <v>65</v>
      </c>
      <c r="M486" t="s">
        <v>93</v>
      </c>
      <c r="N486">
        <v>11.7</v>
      </c>
      <c r="O486">
        <v>13.3333333333333</v>
      </c>
      <c r="P486">
        <v>54.4909090909091</v>
      </c>
      <c r="Q486">
        <v>67.8242424242424</v>
      </c>
      <c r="R486">
        <v>0</v>
      </c>
      <c r="S486">
        <v>67.8242424242424</v>
      </c>
      <c r="T486">
        <v>85</v>
      </c>
      <c r="U486">
        <f>SUMIF(货件明细!J:J,E486,货件明细!AP:AP)</f>
        <v>0</v>
      </c>
      <c r="V486">
        <f>IF(U486=T486,0,1)</f>
        <v>1</v>
      </c>
      <c r="W486">
        <f>T486</f>
        <v>85</v>
      </c>
      <c r="X486">
        <f>SUMIF(货件明细!J:J,E486,货件明细!H:H)</f>
        <v>0</v>
      </c>
      <c r="Y486">
        <f>N486-X486</f>
        <v>11.7</v>
      </c>
      <c r="Z486">
        <f>SUMIF(货件明细!J:J,E486,货件明细!I:I)</f>
        <v>0</v>
      </c>
      <c r="AA486">
        <f>IF(S486=Z486,0,1)</f>
        <v>1</v>
      </c>
    </row>
    <row r="487" hidden="1" spans="1:27">
      <c r="A487">
        <v>1</v>
      </c>
      <c r="B487">
        <v>4</v>
      </c>
      <c r="C487" s="3">
        <v>46046</v>
      </c>
      <c r="D487" t="s">
        <v>27</v>
      </c>
      <c r="E487" t="s">
        <v>588</v>
      </c>
      <c r="F487" t="s">
        <v>198</v>
      </c>
      <c r="G487" t="s">
        <v>69</v>
      </c>
      <c r="H487" t="s">
        <v>224</v>
      </c>
      <c r="I487" t="s">
        <v>92</v>
      </c>
      <c r="J487" t="s">
        <v>92</v>
      </c>
      <c r="K487" t="s">
        <v>64</v>
      </c>
      <c r="L487" t="s">
        <v>65</v>
      </c>
      <c r="M487" t="s">
        <v>188</v>
      </c>
      <c r="N487">
        <v>11.7</v>
      </c>
      <c r="O487">
        <v>20</v>
      </c>
      <c r="P487">
        <v>102</v>
      </c>
      <c r="Q487">
        <v>122</v>
      </c>
      <c r="R487">
        <v>0</v>
      </c>
      <c r="S487">
        <v>122</v>
      </c>
      <c r="T487">
        <v>85</v>
      </c>
      <c r="U487">
        <f>SUMIF(货件明细!J:J,E487,货件明细!AP:AP)</f>
        <v>0</v>
      </c>
      <c r="V487">
        <f>IF(U487=T487,0,1)</f>
        <v>1</v>
      </c>
      <c r="W487">
        <f>T487</f>
        <v>85</v>
      </c>
      <c r="X487">
        <f>SUMIF(货件明细!J:J,E487,货件明细!H:H)</f>
        <v>0</v>
      </c>
      <c r="Y487">
        <f>N487-X487</f>
        <v>11.7</v>
      </c>
      <c r="Z487">
        <f>SUMIF(货件明细!J:J,E487,货件明细!I:I)</f>
        <v>0</v>
      </c>
      <c r="AA487">
        <f>IF(S487=Z487,0,1)</f>
        <v>1</v>
      </c>
    </row>
    <row r="488" hidden="1" spans="1:27">
      <c r="A488">
        <v>1</v>
      </c>
      <c r="B488">
        <v>4</v>
      </c>
      <c r="C488" s="3">
        <v>46046</v>
      </c>
      <c r="D488" t="s">
        <v>27</v>
      </c>
      <c r="E488" t="s">
        <v>589</v>
      </c>
      <c r="F488" t="s">
        <v>143</v>
      </c>
      <c r="G488" t="s">
        <v>72</v>
      </c>
      <c r="H488" t="s">
        <v>224</v>
      </c>
      <c r="I488" t="s">
        <v>92</v>
      </c>
      <c r="J488" t="s">
        <v>92</v>
      </c>
      <c r="K488" t="s">
        <v>64</v>
      </c>
      <c r="L488" t="s">
        <v>65</v>
      </c>
      <c r="M488" t="s">
        <v>188</v>
      </c>
      <c r="N488">
        <v>11.7</v>
      </c>
      <c r="O488">
        <v>13.3333333333333</v>
      </c>
      <c r="P488">
        <v>67.44</v>
      </c>
      <c r="Q488">
        <v>80.7733333333333</v>
      </c>
      <c r="R488">
        <v>0</v>
      </c>
      <c r="S488">
        <v>80.7733333333333</v>
      </c>
      <c r="T488">
        <v>85</v>
      </c>
      <c r="U488">
        <f>SUMIF(货件明细!J:J,E488,货件明细!AP:AP)</f>
        <v>0</v>
      </c>
      <c r="V488">
        <f>IF(U488=T488,0,1)</f>
        <v>1</v>
      </c>
      <c r="W488">
        <f>T488</f>
        <v>85</v>
      </c>
      <c r="X488">
        <f>SUMIF(货件明细!J:J,E488,货件明细!H:H)</f>
        <v>0</v>
      </c>
      <c r="Y488">
        <f>N488-X488</f>
        <v>11.7</v>
      </c>
      <c r="Z488">
        <f>SUMIF(货件明细!J:J,E488,货件明细!I:I)</f>
        <v>0</v>
      </c>
      <c r="AA488">
        <f>IF(S488=Z488,0,1)</f>
        <v>1</v>
      </c>
    </row>
    <row r="489" hidden="1" spans="1:27">
      <c r="A489">
        <v>1</v>
      </c>
      <c r="B489">
        <v>4</v>
      </c>
      <c r="C489" s="3">
        <v>46046</v>
      </c>
      <c r="D489" t="s">
        <v>27</v>
      </c>
      <c r="E489" t="s">
        <v>590</v>
      </c>
      <c r="F489" t="s">
        <v>185</v>
      </c>
      <c r="G489" t="s">
        <v>30</v>
      </c>
      <c r="H489" t="s">
        <v>224</v>
      </c>
      <c r="I489" t="s">
        <v>92</v>
      </c>
      <c r="J489" t="s">
        <v>92</v>
      </c>
      <c r="K489" t="s">
        <v>64</v>
      </c>
      <c r="L489" t="s">
        <v>65</v>
      </c>
      <c r="M489" t="s">
        <v>188</v>
      </c>
      <c r="N489">
        <v>11.7</v>
      </c>
      <c r="O489">
        <v>20</v>
      </c>
      <c r="P489">
        <v>117.36</v>
      </c>
      <c r="Q489">
        <v>137.36</v>
      </c>
      <c r="R489">
        <v>0</v>
      </c>
      <c r="S489">
        <v>137.36</v>
      </c>
      <c r="T489">
        <v>85</v>
      </c>
      <c r="U489">
        <f>SUMIF(货件明细!J:J,E489,货件明细!AP:AP)</f>
        <v>0</v>
      </c>
      <c r="V489">
        <f>IF(U489=T489,0,1)</f>
        <v>1</v>
      </c>
      <c r="W489">
        <f>T489</f>
        <v>85</v>
      </c>
      <c r="X489">
        <f>SUMIF(货件明细!J:J,E489,货件明细!H:H)</f>
        <v>0</v>
      </c>
      <c r="Y489">
        <f>N489-X489</f>
        <v>11.7</v>
      </c>
      <c r="Z489">
        <f>SUMIF(货件明细!J:J,E489,货件明细!I:I)</f>
        <v>0</v>
      </c>
      <c r="AA489">
        <f>IF(S489=Z489,0,1)</f>
        <v>1</v>
      </c>
    </row>
    <row r="490" hidden="1" spans="1:27">
      <c r="A490">
        <v>1</v>
      </c>
      <c r="B490">
        <v>4</v>
      </c>
      <c r="C490" s="3">
        <v>46046</v>
      </c>
      <c r="D490" t="s">
        <v>27</v>
      </c>
      <c r="E490" t="s">
        <v>591</v>
      </c>
      <c r="F490" t="s">
        <v>239</v>
      </c>
      <c r="G490" t="s">
        <v>72</v>
      </c>
      <c r="H490" t="s">
        <v>224</v>
      </c>
      <c r="I490" t="s">
        <v>92</v>
      </c>
      <c r="J490" t="s">
        <v>92</v>
      </c>
      <c r="K490" t="s">
        <v>64</v>
      </c>
      <c r="L490" t="s">
        <v>65</v>
      </c>
      <c r="M490" t="s">
        <v>93</v>
      </c>
      <c r="N490">
        <v>11.7</v>
      </c>
      <c r="O490">
        <v>13.3333333333333</v>
      </c>
      <c r="P490">
        <v>60</v>
      </c>
      <c r="Q490">
        <v>73.3333333333333</v>
      </c>
      <c r="R490">
        <v>0</v>
      </c>
      <c r="S490">
        <v>73.3333333333333</v>
      </c>
      <c r="T490">
        <v>85</v>
      </c>
      <c r="U490">
        <f>SUMIF(货件明细!J:J,E490,货件明细!AP:AP)</f>
        <v>0</v>
      </c>
      <c r="V490">
        <f>IF(U490=T490,0,1)</f>
        <v>1</v>
      </c>
      <c r="W490">
        <f>T490</f>
        <v>85</v>
      </c>
      <c r="X490">
        <f>SUMIF(货件明细!J:J,E490,货件明细!H:H)</f>
        <v>0</v>
      </c>
      <c r="Y490">
        <f>N490-X490</f>
        <v>11.7</v>
      </c>
      <c r="Z490">
        <f>SUMIF(货件明细!J:J,E490,货件明细!I:I)</f>
        <v>0</v>
      </c>
      <c r="AA490">
        <f>IF(S490=Z490,0,1)</f>
        <v>1</v>
      </c>
    </row>
    <row r="491" hidden="1" spans="1:27">
      <c r="A491">
        <v>1</v>
      </c>
      <c r="B491">
        <v>4</v>
      </c>
      <c r="C491" s="3">
        <v>46046</v>
      </c>
      <c r="D491" t="s">
        <v>27</v>
      </c>
      <c r="E491" t="s">
        <v>592</v>
      </c>
      <c r="F491" t="s">
        <v>195</v>
      </c>
      <c r="G491" t="s">
        <v>30</v>
      </c>
      <c r="H491" t="s">
        <v>31</v>
      </c>
      <c r="I491" t="s">
        <v>92</v>
      </c>
      <c r="J491" t="s">
        <v>92</v>
      </c>
      <c r="K491" t="s">
        <v>64</v>
      </c>
      <c r="L491" t="s">
        <v>65</v>
      </c>
      <c r="M491" t="s">
        <v>93</v>
      </c>
      <c r="N491">
        <v>10.1</v>
      </c>
      <c r="O491">
        <v>20</v>
      </c>
      <c r="P491">
        <v>90.25</v>
      </c>
      <c r="Q491">
        <v>110.25</v>
      </c>
      <c r="R491">
        <v>0</v>
      </c>
      <c r="S491">
        <v>110.25</v>
      </c>
      <c r="T491">
        <v>23</v>
      </c>
      <c r="U491">
        <f>SUMIF(货件明细!J:J,E491,货件明细!AP:AP)</f>
        <v>0</v>
      </c>
      <c r="V491">
        <f>IF(U491=T491,0,1)</f>
        <v>1</v>
      </c>
      <c r="W491">
        <f>T491</f>
        <v>23</v>
      </c>
      <c r="X491">
        <f>SUMIF(货件明细!J:J,E491,货件明细!H:H)</f>
        <v>0</v>
      </c>
      <c r="Y491">
        <f>N491-X491</f>
        <v>10.1</v>
      </c>
      <c r="Z491">
        <f>SUMIF(货件明细!J:J,E491,货件明细!I:I)</f>
        <v>0</v>
      </c>
      <c r="AA491">
        <f>IF(S491=Z491,0,1)</f>
        <v>1</v>
      </c>
    </row>
    <row r="492" hidden="1" spans="1:27">
      <c r="A492">
        <v>1</v>
      </c>
      <c r="B492">
        <v>4</v>
      </c>
      <c r="C492" s="3">
        <v>46046</v>
      </c>
      <c r="D492" t="s">
        <v>27</v>
      </c>
      <c r="E492" t="s">
        <v>593</v>
      </c>
      <c r="F492" t="s">
        <v>62</v>
      </c>
      <c r="G492" t="s">
        <v>30</v>
      </c>
      <c r="H492" t="s">
        <v>31</v>
      </c>
      <c r="I492" t="s">
        <v>92</v>
      </c>
      <c r="J492" t="s">
        <v>92</v>
      </c>
      <c r="K492" t="s">
        <v>64</v>
      </c>
      <c r="L492" t="s">
        <v>65</v>
      </c>
      <c r="M492" t="s">
        <v>93</v>
      </c>
      <c r="N492">
        <v>10.1</v>
      </c>
      <c r="O492">
        <v>20</v>
      </c>
      <c r="P492">
        <v>69.6</v>
      </c>
      <c r="Q492">
        <v>89.6</v>
      </c>
      <c r="R492">
        <v>0</v>
      </c>
      <c r="S492">
        <v>89.6</v>
      </c>
      <c r="T492">
        <v>23</v>
      </c>
      <c r="U492">
        <f>SUMIF(货件明细!J:J,E492,货件明细!AP:AP)</f>
        <v>0</v>
      </c>
      <c r="V492">
        <f>IF(U492=T492,0,1)</f>
        <v>1</v>
      </c>
      <c r="W492">
        <f>T492</f>
        <v>23</v>
      </c>
      <c r="X492">
        <f>SUMIF(货件明细!J:J,E492,货件明细!H:H)</f>
        <v>0</v>
      </c>
      <c r="Y492">
        <f>N492-X492</f>
        <v>10.1</v>
      </c>
      <c r="Z492">
        <f>SUMIF(货件明细!J:J,E492,货件明细!I:I)</f>
        <v>0</v>
      </c>
      <c r="AA492">
        <f>IF(S492=Z492,0,1)</f>
        <v>1</v>
      </c>
    </row>
    <row r="493" hidden="1" spans="1:27">
      <c r="A493">
        <v>1</v>
      </c>
      <c r="B493">
        <v>4</v>
      </c>
      <c r="C493" s="3">
        <v>46046</v>
      </c>
      <c r="D493" t="s">
        <v>27</v>
      </c>
      <c r="E493" t="s">
        <v>594</v>
      </c>
      <c r="F493" t="s">
        <v>243</v>
      </c>
      <c r="G493" t="s">
        <v>72</v>
      </c>
      <c r="H493" t="s">
        <v>31</v>
      </c>
      <c r="I493" t="s">
        <v>92</v>
      </c>
      <c r="J493" t="s">
        <v>92</v>
      </c>
      <c r="K493" t="s">
        <v>64</v>
      </c>
      <c r="L493" t="s">
        <v>65</v>
      </c>
      <c r="M493" t="s">
        <v>93</v>
      </c>
      <c r="N493">
        <v>10.1</v>
      </c>
      <c r="O493">
        <v>13.3333333333333</v>
      </c>
      <c r="P493">
        <v>58.8</v>
      </c>
      <c r="Q493">
        <v>72.1333333333333</v>
      </c>
      <c r="R493">
        <v>0</v>
      </c>
      <c r="S493">
        <v>72.1333333333333</v>
      </c>
      <c r="T493">
        <v>23</v>
      </c>
      <c r="U493">
        <f>SUMIF(货件明细!J:J,E493,货件明细!AP:AP)</f>
        <v>0</v>
      </c>
      <c r="V493">
        <f>IF(U493=T493,0,1)</f>
        <v>1</v>
      </c>
      <c r="W493">
        <f>T493</f>
        <v>23</v>
      </c>
      <c r="X493">
        <f>SUMIF(货件明细!J:J,E493,货件明细!H:H)</f>
        <v>0</v>
      </c>
      <c r="Y493">
        <f>N493-X493</f>
        <v>10.1</v>
      </c>
      <c r="Z493">
        <f>SUMIF(货件明细!J:J,E493,货件明细!I:I)</f>
        <v>0</v>
      </c>
      <c r="AA493">
        <f>IF(S493=Z493,0,1)</f>
        <v>1</v>
      </c>
    </row>
    <row r="494" hidden="1" spans="1:27">
      <c r="A494">
        <v>1</v>
      </c>
      <c r="B494">
        <v>4</v>
      </c>
      <c r="C494" s="3">
        <v>46046</v>
      </c>
      <c r="D494" t="s">
        <v>27</v>
      </c>
      <c r="E494" t="s">
        <v>595</v>
      </c>
      <c r="F494" t="s">
        <v>187</v>
      </c>
      <c r="G494" t="s">
        <v>72</v>
      </c>
      <c r="H494" t="s">
        <v>31</v>
      </c>
      <c r="I494" t="s">
        <v>92</v>
      </c>
      <c r="J494" t="s">
        <v>92</v>
      </c>
      <c r="K494" t="s">
        <v>64</v>
      </c>
      <c r="L494" t="s">
        <v>65</v>
      </c>
      <c r="M494" t="s">
        <v>93</v>
      </c>
      <c r="N494">
        <v>10.1</v>
      </c>
      <c r="O494">
        <v>13.3333333333333</v>
      </c>
      <c r="P494">
        <v>54.4909090909091</v>
      </c>
      <c r="Q494">
        <v>67.8242424242424</v>
      </c>
      <c r="R494">
        <v>0</v>
      </c>
      <c r="S494">
        <v>67.8242424242424</v>
      </c>
      <c r="T494">
        <v>23</v>
      </c>
      <c r="U494">
        <f>SUMIF(货件明细!J:J,E494,货件明细!AP:AP)</f>
        <v>0</v>
      </c>
      <c r="V494">
        <f>IF(U494=T494,0,1)</f>
        <v>1</v>
      </c>
      <c r="W494">
        <f>T494</f>
        <v>23</v>
      </c>
      <c r="X494">
        <f>SUMIF(货件明细!J:J,E494,货件明细!H:H)</f>
        <v>0</v>
      </c>
      <c r="Y494">
        <f>N494-X494</f>
        <v>10.1</v>
      </c>
      <c r="Z494">
        <f>SUMIF(货件明细!J:J,E494,货件明细!I:I)</f>
        <v>0</v>
      </c>
      <c r="AA494">
        <f>IF(S494=Z494,0,1)</f>
        <v>1</v>
      </c>
    </row>
    <row r="495" hidden="1" spans="1:27">
      <c r="A495">
        <v>1</v>
      </c>
      <c r="B495">
        <v>4</v>
      </c>
      <c r="C495" s="3">
        <v>46046</v>
      </c>
      <c r="D495" t="s">
        <v>27</v>
      </c>
      <c r="E495" t="s">
        <v>596</v>
      </c>
      <c r="F495" t="s">
        <v>239</v>
      </c>
      <c r="G495" t="s">
        <v>72</v>
      </c>
      <c r="H495" t="s">
        <v>31</v>
      </c>
      <c r="I495" t="s">
        <v>92</v>
      </c>
      <c r="J495" t="s">
        <v>92</v>
      </c>
      <c r="K495" t="s">
        <v>64</v>
      </c>
      <c r="L495" t="s">
        <v>65</v>
      </c>
      <c r="M495" t="s">
        <v>93</v>
      </c>
      <c r="N495">
        <v>10.1</v>
      </c>
      <c r="O495">
        <v>13.3333333333333</v>
      </c>
      <c r="P495">
        <v>60</v>
      </c>
      <c r="Q495">
        <v>73.3333333333333</v>
      </c>
      <c r="R495">
        <v>0</v>
      </c>
      <c r="S495">
        <v>73.3333333333333</v>
      </c>
      <c r="T495">
        <v>23</v>
      </c>
      <c r="U495">
        <f>SUMIF(货件明细!J:J,E495,货件明细!AP:AP)</f>
        <v>0</v>
      </c>
      <c r="V495">
        <f>IF(U495=T495,0,1)</f>
        <v>1</v>
      </c>
      <c r="W495">
        <f>T495</f>
        <v>23</v>
      </c>
      <c r="X495">
        <f>SUMIF(货件明细!J:J,E495,货件明细!H:H)</f>
        <v>0</v>
      </c>
      <c r="Y495">
        <f>N495-X495</f>
        <v>10.1</v>
      </c>
      <c r="Z495">
        <f>SUMIF(货件明细!J:J,E495,货件明细!I:I)</f>
        <v>0</v>
      </c>
      <c r="AA495">
        <f>IF(S495=Z495,0,1)</f>
        <v>1</v>
      </c>
    </row>
    <row r="496" hidden="1" spans="1:27">
      <c r="A496">
        <v>1</v>
      </c>
      <c r="B496">
        <v>4</v>
      </c>
      <c r="C496" s="3">
        <v>46046</v>
      </c>
      <c r="D496" t="s">
        <v>27</v>
      </c>
      <c r="E496" t="s">
        <v>597</v>
      </c>
      <c r="F496" t="s">
        <v>195</v>
      </c>
      <c r="G496" t="s">
        <v>30</v>
      </c>
      <c r="H496" t="s">
        <v>37</v>
      </c>
      <c r="I496" t="s">
        <v>92</v>
      </c>
      <c r="J496" t="s">
        <v>92</v>
      </c>
      <c r="K496" t="s">
        <v>64</v>
      </c>
      <c r="L496" t="s">
        <v>65</v>
      </c>
      <c r="M496" t="s">
        <v>93</v>
      </c>
      <c r="N496">
        <v>14.1</v>
      </c>
      <c r="O496">
        <v>20</v>
      </c>
      <c r="P496">
        <v>90.25</v>
      </c>
      <c r="Q496">
        <v>110.25</v>
      </c>
      <c r="R496">
        <v>0</v>
      </c>
      <c r="S496">
        <v>110.25</v>
      </c>
      <c r="T496">
        <v>59</v>
      </c>
      <c r="U496">
        <f>SUMIF(货件明细!J:J,E496,货件明细!AP:AP)</f>
        <v>0</v>
      </c>
      <c r="V496">
        <f>IF(U496=T496,0,1)</f>
        <v>1</v>
      </c>
      <c r="W496">
        <f>T496</f>
        <v>59</v>
      </c>
      <c r="X496">
        <f>SUMIF(货件明细!J:J,E496,货件明细!H:H)</f>
        <v>0</v>
      </c>
      <c r="Y496">
        <f>N496-X496</f>
        <v>14.1</v>
      </c>
      <c r="Z496">
        <f>SUMIF(货件明细!J:J,E496,货件明细!I:I)</f>
        <v>0</v>
      </c>
      <c r="AA496">
        <f>IF(S496=Z496,0,1)</f>
        <v>1</v>
      </c>
    </row>
    <row r="497" hidden="1" spans="1:27">
      <c r="A497">
        <v>1</v>
      </c>
      <c r="B497">
        <v>4</v>
      </c>
      <c r="C497" s="3">
        <v>46046</v>
      </c>
      <c r="D497" t="s">
        <v>27</v>
      </c>
      <c r="E497" t="s">
        <v>598</v>
      </c>
      <c r="F497" t="s">
        <v>62</v>
      </c>
      <c r="G497" t="s">
        <v>30</v>
      </c>
      <c r="H497" t="s">
        <v>37</v>
      </c>
      <c r="I497" t="s">
        <v>92</v>
      </c>
      <c r="J497" t="s">
        <v>92</v>
      </c>
      <c r="K497" t="s">
        <v>64</v>
      </c>
      <c r="L497" t="s">
        <v>65</v>
      </c>
      <c r="M497" t="s">
        <v>93</v>
      </c>
      <c r="N497">
        <v>14.1</v>
      </c>
      <c r="O497">
        <v>20</v>
      </c>
      <c r="P497">
        <v>104.4</v>
      </c>
      <c r="Q497">
        <v>124.4</v>
      </c>
      <c r="R497">
        <v>0</v>
      </c>
      <c r="S497">
        <v>124.4</v>
      </c>
      <c r="T497">
        <v>59</v>
      </c>
      <c r="U497">
        <f>SUMIF(货件明细!J:J,E497,货件明细!AP:AP)</f>
        <v>0</v>
      </c>
      <c r="V497">
        <f>IF(U497=T497,0,1)</f>
        <v>1</v>
      </c>
      <c r="W497">
        <f>T497</f>
        <v>59</v>
      </c>
      <c r="X497">
        <f>SUMIF(货件明细!J:J,E497,货件明细!H:H)</f>
        <v>0</v>
      </c>
      <c r="Y497">
        <f>N497-X497</f>
        <v>14.1</v>
      </c>
      <c r="Z497">
        <f>SUMIF(货件明细!J:J,E497,货件明细!I:I)</f>
        <v>0</v>
      </c>
      <c r="AA497">
        <f>IF(S497=Z497,0,1)</f>
        <v>1</v>
      </c>
    </row>
    <row r="498" hidden="1" spans="1:27">
      <c r="A498">
        <v>1</v>
      </c>
      <c r="B498">
        <v>4</v>
      </c>
      <c r="C498" s="3">
        <v>46046</v>
      </c>
      <c r="D498" t="s">
        <v>27</v>
      </c>
      <c r="E498" t="s">
        <v>599</v>
      </c>
      <c r="F498" t="s">
        <v>243</v>
      </c>
      <c r="G498" t="s">
        <v>72</v>
      </c>
      <c r="H498" t="s">
        <v>37</v>
      </c>
      <c r="I498" t="s">
        <v>92</v>
      </c>
      <c r="J498" t="s">
        <v>92</v>
      </c>
      <c r="K498" t="s">
        <v>64</v>
      </c>
      <c r="L498" t="s">
        <v>65</v>
      </c>
      <c r="M498" t="s">
        <v>93</v>
      </c>
      <c r="N498">
        <v>14.1</v>
      </c>
      <c r="O498">
        <v>13.3333333333333</v>
      </c>
      <c r="P498">
        <v>58.8</v>
      </c>
      <c r="Q498">
        <v>72.1333333333333</v>
      </c>
      <c r="R498">
        <v>0</v>
      </c>
      <c r="S498">
        <v>72.1333333333333</v>
      </c>
      <c r="T498">
        <v>59</v>
      </c>
      <c r="U498">
        <f>SUMIF(货件明细!J:J,E498,货件明细!AP:AP)</f>
        <v>0</v>
      </c>
      <c r="V498">
        <f>IF(U498=T498,0,1)</f>
        <v>1</v>
      </c>
      <c r="W498">
        <f>T498</f>
        <v>59</v>
      </c>
      <c r="X498">
        <f>SUMIF(货件明细!J:J,E498,货件明细!H:H)</f>
        <v>0</v>
      </c>
      <c r="Y498">
        <f>N498-X498</f>
        <v>14.1</v>
      </c>
      <c r="Z498">
        <f>SUMIF(货件明细!J:J,E498,货件明细!I:I)</f>
        <v>0</v>
      </c>
      <c r="AA498">
        <f>IF(S498=Z498,0,1)</f>
        <v>1</v>
      </c>
    </row>
    <row r="499" hidden="1" spans="1:27">
      <c r="A499">
        <v>1</v>
      </c>
      <c r="B499">
        <v>4</v>
      </c>
      <c r="C499" s="3">
        <v>46046</v>
      </c>
      <c r="D499" t="s">
        <v>27</v>
      </c>
      <c r="E499" t="s">
        <v>600</v>
      </c>
      <c r="F499" t="s">
        <v>187</v>
      </c>
      <c r="G499" t="s">
        <v>72</v>
      </c>
      <c r="H499" t="s">
        <v>37</v>
      </c>
      <c r="I499" t="s">
        <v>92</v>
      </c>
      <c r="J499" t="s">
        <v>92</v>
      </c>
      <c r="K499" t="s">
        <v>64</v>
      </c>
      <c r="L499" t="s">
        <v>65</v>
      </c>
      <c r="M499" t="s">
        <v>93</v>
      </c>
      <c r="N499">
        <v>14.1</v>
      </c>
      <c r="O499">
        <v>13.3333333333333</v>
      </c>
      <c r="P499">
        <v>54.4909090909091</v>
      </c>
      <c r="Q499">
        <v>67.8242424242424</v>
      </c>
      <c r="R499">
        <v>0</v>
      </c>
      <c r="S499">
        <v>67.8242424242424</v>
      </c>
      <c r="T499">
        <v>59</v>
      </c>
      <c r="U499">
        <f>SUMIF(货件明细!J:J,E499,货件明细!AP:AP)</f>
        <v>0</v>
      </c>
      <c r="V499">
        <f>IF(U499=T499,0,1)</f>
        <v>1</v>
      </c>
      <c r="W499">
        <f>T499</f>
        <v>59</v>
      </c>
      <c r="X499">
        <f>SUMIF(货件明细!J:J,E499,货件明细!H:H)</f>
        <v>0</v>
      </c>
      <c r="Y499">
        <f>N499-X499</f>
        <v>14.1</v>
      </c>
      <c r="Z499">
        <f>SUMIF(货件明细!J:J,E499,货件明细!I:I)</f>
        <v>0</v>
      </c>
      <c r="AA499">
        <f>IF(S499=Z499,0,1)</f>
        <v>1</v>
      </c>
    </row>
    <row r="500" hidden="1" spans="1:27">
      <c r="A500">
        <v>1</v>
      </c>
      <c r="B500">
        <v>4</v>
      </c>
      <c r="C500" s="3">
        <v>46046</v>
      </c>
      <c r="D500" t="s">
        <v>27</v>
      </c>
      <c r="E500" t="s">
        <v>601</v>
      </c>
      <c r="F500" t="s">
        <v>239</v>
      </c>
      <c r="G500" t="s">
        <v>72</v>
      </c>
      <c r="H500" t="s">
        <v>37</v>
      </c>
      <c r="I500" t="s">
        <v>92</v>
      </c>
      <c r="J500" t="s">
        <v>92</v>
      </c>
      <c r="K500" t="s">
        <v>64</v>
      </c>
      <c r="L500" t="s">
        <v>65</v>
      </c>
      <c r="M500" t="s">
        <v>93</v>
      </c>
      <c r="N500">
        <v>14.1</v>
      </c>
      <c r="O500">
        <v>13.3333333333333</v>
      </c>
      <c r="P500">
        <v>60</v>
      </c>
      <c r="Q500">
        <v>73.3333333333333</v>
      </c>
      <c r="R500">
        <v>0</v>
      </c>
      <c r="S500">
        <v>73.3333333333333</v>
      </c>
      <c r="T500">
        <v>59</v>
      </c>
      <c r="U500">
        <f>SUMIF(货件明细!J:J,E500,货件明细!AP:AP)</f>
        <v>0</v>
      </c>
      <c r="V500">
        <f>IF(U500=T500,0,1)</f>
        <v>1</v>
      </c>
      <c r="W500">
        <f>T500</f>
        <v>59</v>
      </c>
      <c r="X500">
        <f>SUMIF(货件明细!J:J,E500,货件明细!H:H)</f>
        <v>0</v>
      </c>
      <c r="Y500">
        <f>N500-X500</f>
        <v>14.1</v>
      </c>
      <c r="Z500">
        <f>SUMIF(货件明细!J:J,E500,货件明细!I:I)</f>
        <v>0</v>
      </c>
      <c r="AA500">
        <f>IF(S500=Z500,0,1)</f>
        <v>1</v>
      </c>
    </row>
    <row r="501" hidden="1" spans="1:27">
      <c r="A501">
        <v>1</v>
      </c>
      <c r="B501">
        <v>4</v>
      </c>
      <c r="C501" s="3">
        <v>46046</v>
      </c>
      <c r="D501" t="s">
        <v>27</v>
      </c>
      <c r="E501" t="s">
        <v>602</v>
      </c>
      <c r="F501" t="s">
        <v>243</v>
      </c>
      <c r="G501" t="s">
        <v>72</v>
      </c>
      <c r="H501" t="s">
        <v>54</v>
      </c>
      <c r="I501" t="s">
        <v>54</v>
      </c>
      <c r="J501" t="s">
        <v>92</v>
      </c>
      <c r="K501" t="s">
        <v>64</v>
      </c>
      <c r="L501" t="s">
        <v>65</v>
      </c>
      <c r="M501" t="s">
        <v>93</v>
      </c>
      <c r="N501">
        <v>14.75</v>
      </c>
      <c r="O501">
        <v>13.3333333333333</v>
      </c>
      <c r="P501">
        <v>58.8</v>
      </c>
      <c r="Q501">
        <v>72.1333333333333</v>
      </c>
      <c r="R501">
        <v>0</v>
      </c>
      <c r="S501">
        <v>72.1333333333333</v>
      </c>
      <c r="T501">
        <v>69</v>
      </c>
      <c r="U501">
        <f>SUMIF(货件明细!J:J,E501,货件明细!AP:AP)</f>
        <v>0</v>
      </c>
      <c r="V501">
        <f>IF(U501=T501,0,1)</f>
        <v>1</v>
      </c>
      <c r="W501">
        <f>T501</f>
        <v>69</v>
      </c>
      <c r="X501">
        <f>SUMIF(货件明细!J:J,E501,货件明细!H:H)</f>
        <v>0</v>
      </c>
      <c r="Y501">
        <f>N501-X501</f>
        <v>14.75</v>
      </c>
      <c r="Z501">
        <f>SUMIF(货件明细!J:J,E501,货件明细!I:I)</f>
        <v>0</v>
      </c>
      <c r="AA501">
        <f>IF(S501=Z501,0,1)</f>
        <v>1</v>
      </c>
    </row>
    <row r="502" hidden="1" spans="1:27">
      <c r="A502">
        <v>1</v>
      </c>
      <c r="B502">
        <v>4</v>
      </c>
      <c r="C502" s="3">
        <v>46046</v>
      </c>
      <c r="D502" t="s">
        <v>27</v>
      </c>
      <c r="E502" t="s">
        <v>603</v>
      </c>
      <c r="F502" t="s">
        <v>239</v>
      </c>
      <c r="G502" t="s">
        <v>72</v>
      </c>
      <c r="H502" t="s">
        <v>54</v>
      </c>
      <c r="I502" t="s">
        <v>54</v>
      </c>
      <c r="J502" t="s">
        <v>92</v>
      </c>
      <c r="K502" t="s">
        <v>64</v>
      </c>
      <c r="L502" t="s">
        <v>65</v>
      </c>
      <c r="M502" t="s">
        <v>93</v>
      </c>
      <c r="N502">
        <v>14.75</v>
      </c>
      <c r="O502">
        <v>13.3333333333333</v>
      </c>
      <c r="P502">
        <v>60</v>
      </c>
      <c r="Q502">
        <v>73.3333333333333</v>
      </c>
      <c r="R502">
        <v>0</v>
      </c>
      <c r="S502">
        <v>73.3333333333333</v>
      </c>
      <c r="T502">
        <v>69</v>
      </c>
      <c r="U502">
        <f>SUMIF(货件明细!J:J,E502,货件明细!AP:AP)</f>
        <v>0</v>
      </c>
      <c r="V502">
        <f>IF(U502=T502,0,1)</f>
        <v>1</v>
      </c>
      <c r="W502">
        <f>T502</f>
        <v>69</v>
      </c>
      <c r="X502">
        <f>SUMIF(货件明细!J:J,E502,货件明细!H:H)</f>
        <v>0</v>
      </c>
      <c r="Y502">
        <f>N502-X502</f>
        <v>14.75</v>
      </c>
      <c r="Z502">
        <f>SUMIF(货件明细!J:J,E502,货件明细!I:I)</f>
        <v>0</v>
      </c>
      <c r="AA502">
        <f>IF(S502=Z502,0,1)</f>
        <v>1</v>
      </c>
    </row>
    <row r="503" hidden="1" spans="1:27">
      <c r="A503">
        <v>1</v>
      </c>
      <c r="B503">
        <v>4</v>
      </c>
      <c r="C503" s="3">
        <v>46046</v>
      </c>
      <c r="D503" t="s">
        <v>27</v>
      </c>
      <c r="E503" t="s">
        <v>604</v>
      </c>
      <c r="F503" t="s">
        <v>62</v>
      </c>
      <c r="G503" t="s">
        <v>30</v>
      </c>
      <c r="H503" t="s">
        <v>54</v>
      </c>
      <c r="I503" t="s">
        <v>54</v>
      </c>
      <c r="J503" t="s">
        <v>92</v>
      </c>
      <c r="K503" t="s">
        <v>64</v>
      </c>
      <c r="L503" t="s">
        <v>65</v>
      </c>
      <c r="M503" t="s">
        <v>93</v>
      </c>
      <c r="N503">
        <v>14.75</v>
      </c>
      <c r="O503">
        <v>20</v>
      </c>
      <c r="P503">
        <v>121.8</v>
      </c>
      <c r="Q503">
        <v>141.8</v>
      </c>
      <c r="R503">
        <v>0</v>
      </c>
      <c r="S503">
        <v>141.8</v>
      </c>
      <c r="T503">
        <v>69</v>
      </c>
      <c r="U503">
        <f>SUMIF(货件明细!J:J,E503,货件明细!AP:AP)</f>
        <v>0</v>
      </c>
      <c r="V503">
        <f>IF(U503=T503,0,1)</f>
        <v>1</v>
      </c>
      <c r="W503">
        <f>T503</f>
        <v>69</v>
      </c>
      <c r="X503">
        <f>SUMIF(货件明细!J:J,E503,货件明细!H:H)</f>
        <v>0</v>
      </c>
      <c r="Y503">
        <f>N503-X503</f>
        <v>14.75</v>
      </c>
      <c r="Z503">
        <f>SUMIF(货件明细!J:J,E503,货件明细!I:I)</f>
        <v>0</v>
      </c>
      <c r="AA503">
        <f>IF(S503=Z503,0,1)</f>
        <v>1</v>
      </c>
    </row>
    <row r="504" hidden="1" spans="1:27">
      <c r="A504">
        <v>1</v>
      </c>
      <c r="B504">
        <v>4</v>
      </c>
      <c r="C504" s="3">
        <v>46046</v>
      </c>
      <c r="D504" t="s">
        <v>27</v>
      </c>
      <c r="E504" t="s">
        <v>605</v>
      </c>
      <c r="F504" t="s">
        <v>187</v>
      </c>
      <c r="G504" t="s">
        <v>72</v>
      </c>
      <c r="H504" t="s">
        <v>54</v>
      </c>
      <c r="I504" t="s">
        <v>54</v>
      </c>
      <c r="J504" t="s">
        <v>92</v>
      </c>
      <c r="K504" t="s">
        <v>64</v>
      </c>
      <c r="L504" t="s">
        <v>65</v>
      </c>
      <c r="M504" t="s">
        <v>93</v>
      </c>
      <c r="N504">
        <v>14.75</v>
      </c>
      <c r="O504">
        <v>13.3333333333333</v>
      </c>
      <c r="P504">
        <v>54.4909090909091</v>
      </c>
      <c r="Q504">
        <v>67.8242424242424</v>
      </c>
      <c r="R504">
        <v>0</v>
      </c>
      <c r="S504">
        <v>67.8242424242424</v>
      </c>
      <c r="T504">
        <v>69</v>
      </c>
      <c r="U504">
        <f>SUMIF(货件明细!J:J,E504,货件明细!AP:AP)</f>
        <v>0</v>
      </c>
      <c r="V504">
        <f>IF(U504=T504,0,1)</f>
        <v>1</v>
      </c>
      <c r="W504">
        <f>T504</f>
        <v>69</v>
      </c>
      <c r="X504">
        <f>SUMIF(货件明细!J:J,E504,货件明细!H:H)</f>
        <v>0</v>
      </c>
      <c r="Y504">
        <f>N504-X504</f>
        <v>14.75</v>
      </c>
      <c r="Z504">
        <f>SUMIF(货件明细!J:J,E504,货件明细!I:I)</f>
        <v>0</v>
      </c>
      <c r="AA504">
        <f>IF(S504=Z504,0,1)</f>
        <v>1</v>
      </c>
    </row>
    <row r="505" hidden="1" spans="1:27">
      <c r="A505">
        <v>1</v>
      </c>
      <c r="B505">
        <v>4</v>
      </c>
      <c r="C505" s="3">
        <v>46046</v>
      </c>
      <c r="D505" t="s">
        <v>27</v>
      </c>
      <c r="E505" t="s">
        <v>606</v>
      </c>
      <c r="F505" t="s">
        <v>195</v>
      </c>
      <c r="G505" t="s">
        <v>30</v>
      </c>
      <c r="H505" t="s">
        <v>54</v>
      </c>
      <c r="I505" t="s">
        <v>54</v>
      </c>
      <c r="J505" t="s">
        <v>92</v>
      </c>
      <c r="K505" t="s">
        <v>64</v>
      </c>
      <c r="L505" t="s">
        <v>65</v>
      </c>
      <c r="M505" t="s">
        <v>93</v>
      </c>
      <c r="N505">
        <v>14.75</v>
      </c>
      <c r="O505">
        <v>20</v>
      </c>
      <c r="P505">
        <v>90.25</v>
      </c>
      <c r="Q505">
        <v>110.25</v>
      </c>
      <c r="R505">
        <v>0</v>
      </c>
      <c r="S505">
        <v>110.25</v>
      </c>
      <c r="T505">
        <v>69</v>
      </c>
      <c r="U505">
        <f>SUMIF(货件明细!J:J,E505,货件明细!AP:AP)</f>
        <v>0</v>
      </c>
      <c r="V505">
        <f>IF(U505=T505,0,1)</f>
        <v>1</v>
      </c>
      <c r="W505">
        <f>T505</f>
        <v>69</v>
      </c>
      <c r="X505">
        <f>SUMIF(货件明细!J:J,E505,货件明细!H:H)</f>
        <v>0</v>
      </c>
      <c r="Y505">
        <f>N505-X505</f>
        <v>14.75</v>
      </c>
      <c r="Z505">
        <f>SUMIF(货件明细!J:J,E505,货件明细!I:I)</f>
        <v>0</v>
      </c>
      <c r="AA505">
        <f>IF(S505=Z505,0,1)</f>
        <v>1</v>
      </c>
    </row>
    <row r="506" hidden="1" spans="1:27">
      <c r="A506">
        <v>1</v>
      </c>
      <c r="B506">
        <v>4</v>
      </c>
      <c r="C506" s="3">
        <v>46046</v>
      </c>
      <c r="D506" t="s">
        <v>27</v>
      </c>
      <c r="E506" t="s">
        <v>607</v>
      </c>
      <c r="F506" t="s">
        <v>185</v>
      </c>
      <c r="G506" t="s">
        <v>30</v>
      </c>
      <c r="H506" t="s">
        <v>224</v>
      </c>
      <c r="I506" t="s">
        <v>92</v>
      </c>
      <c r="J506" t="s">
        <v>92</v>
      </c>
      <c r="K506" t="s">
        <v>64</v>
      </c>
      <c r="L506" t="s">
        <v>65</v>
      </c>
      <c r="M506" t="s">
        <v>93</v>
      </c>
      <c r="N506">
        <v>30.1</v>
      </c>
      <c r="O506">
        <v>20.625</v>
      </c>
      <c r="P506">
        <v>270.75</v>
      </c>
      <c r="Q506">
        <v>291.375</v>
      </c>
      <c r="R506">
        <v>0</v>
      </c>
      <c r="S506">
        <v>291.375</v>
      </c>
      <c r="T506">
        <v>219</v>
      </c>
      <c r="U506">
        <f>SUMIF(货件明细!J:J,E506,货件明细!AP:AP)</f>
        <v>0</v>
      </c>
      <c r="V506">
        <f>IF(U506=T506,0,1)</f>
        <v>1</v>
      </c>
      <c r="W506">
        <f>T506</f>
        <v>219</v>
      </c>
      <c r="X506">
        <f>SUMIF(货件明细!J:J,E506,货件明细!H:H)</f>
        <v>0</v>
      </c>
      <c r="Y506">
        <f>N506-X506</f>
        <v>30.1</v>
      </c>
      <c r="Z506">
        <f>SUMIF(货件明细!J:J,E506,货件明细!I:I)</f>
        <v>0</v>
      </c>
      <c r="AA506">
        <f>IF(S506=Z506,0,1)</f>
        <v>1</v>
      </c>
    </row>
    <row r="507" hidden="1" spans="1:27">
      <c r="A507">
        <v>1</v>
      </c>
      <c r="B507">
        <v>4</v>
      </c>
      <c r="C507" s="3">
        <v>46046</v>
      </c>
      <c r="D507" t="s">
        <v>27</v>
      </c>
      <c r="E507" t="s">
        <v>608</v>
      </c>
      <c r="F507" t="s">
        <v>198</v>
      </c>
      <c r="G507" t="s">
        <v>69</v>
      </c>
      <c r="H507" t="s">
        <v>224</v>
      </c>
      <c r="I507" t="s">
        <v>92</v>
      </c>
      <c r="J507" t="s">
        <v>92</v>
      </c>
      <c r="K507" t="s">
        <v>64</v>
      </c>
      <c r="L507" t="s">
        <v>65</v>
      </c>
      <c r="M507" t="s">
        <v>93</v>
      </c>
      <c r="N507">
        <v>30.1</v>
      </c>
      <c r="O507">
        <v>20.625</v>
      </c>
      <c r="P507">
        <v>218.4</v>
      </c>
      <c r="Q507">
        <v>239.025</v>
      </c>
      <c r="R507">
        <v>0</v>
      </c>
      <c r="S507">
        <v>239.025</v>
      </c>
      <c r="T507">
        <v>219</v>
      </c>
      <c r="U507">
        <f>SUMIF(货件明细!J:J,E507,货件明细!AP:AP)</f>
        <v>0</v>
      </c>
      <c r="V507">
        <f>IF(U507=T507,0,1)</f>
        <v>1</v>
      </c>
      <c r="W507">
        <f>T507</f>
        <v>219</v>
      </c>
      <c r="X507">
        <f>SUMIF(货件明细!J:J,E507,货件明细!H:H)</f>
        <v>0</v>
      </c>
      <c r="Y507">
        <f>N507-X507</f>
        <v>30.1</v>
      </c>
      <c r="Z507">
        <f>SUMIF(货件明细!J:J,E507,货件明细!I:I)</f>
        <v>0</v>
      </c>
      <c r="AA507">
        <f>IF(S507=Z507,0,1)</f>
        <v>1</v>
      </c>
    </row>
    <row r="508" hidden="1" spans="1:27">
      <c r="A508">
        <v>1</v>
      </c>
      <c r="B508">
        <v>4</v>
      </c>
      <c r="C508" s="3">
        <v>46046</v>
      </c>
      <c r="D508" t="s">
        <v>27</v>
      </c>
      <c r="E508" t="s">
        <v>609</v>
      </c>
      <c r="F508" t="s">
        <v>187</v>
      </c>
      <c r="G508" t="s">
        <v>72</v>
      </c>
      <c r="H508" t="s">
        <v>224</v>
      </c>
      <c r="I508" t="s">
        <v>92</v>
      </c>
      <c r="J508" t="s">
        <v>92</v>
      </c>
      <c r="K508" t="s">
        <v>64</v>
      </c>
      <c r="L508" t="s">
        <v>65</v>
      </c>
      <c r="M508" t="s">
        <v>93</v>
      </c>
      <c r="N508">
        <v>30.1</v>
      </c>
      <c r="O508">
        <v>13.2</v>
      </c>
      <c r="P508">
        <v>121.090909090909</v>
      </c>
      <c r="Q508">
        <v>134.290909090909</v>
      </c>
      <c r="R508">
        <v>0</v>
      </c>
      <c r="S508">
        <v>134.290909090909</v>
      </c>
      <c r="T508">
        <v>219</v>
      </c>
      <c r="U508">
        <f>SUMIF(货件明细!J:J,E508,货件明细!AP:AP)</f>
        <v>0</v>
      </c>
      <c r="V508">
        <f>IF(U508=T508,0,1)</f>
        <v>1</v>
      </c>
      <c r="W508">
        <f>T508</f>
        <v>219</v>
      </c>
      <c r="X508">
        <f>SUMIF(货件明细!J:J,E508,货件明细!H:H)</f>
        <v>0</v>
      </c>
      <c r="Y508">
        <f>N508-X508</f>
        <v>30.1</v>
      </c>
      <c r="Z508">
        <f>SUMIF(货件明细!J:J,E508,货件明细!I:I)</f>
        <v>0</v>
      </c>
      <c r="AA508">
        <f>IF(S508=Z508,0,1)</f>
        <v>1</v>
      </c>
    </row>
    <row r="509" hidden="1" spans="1:27">
      <c r="A509">
        <v>1</v>
      </c>
      <c r="B509">
        <v>4</v>
      </c>
      <c r="C509" s="3">
        <v>46046</v>
      </c>
      <c r="D509" t="s">
        <v>27</v>
      </c>
      <c r="E509" t="s">
        <v>610</v>
      </c>
      <c r="F509" t="s">
        <v>143</v>
      </c>
      <c r="G509" t="s">
        <v>72</v>
      </c>
      <c r="H509" t="s">
        <v>224</v>
      </c>
      <c r="I509" t="s">
        <v>92</v>
      </c>
      <c r="J509" t="s">
        <v>92</v>
      </c>
      <c r="K509" t="s">
        <v>64</v>
      </c>
      <c r="L509" t="s">
        <v>65</v>
      </c>
      <c r="M509" t="s">
        <v>188</v>
      </c>
      <c r="N509">
        <v>30.1</v>
      </c>
      <c r="O509">
        <v>13.2</v>
      </c>
      <c r="P509">
        <v>168.6</v>
      </c>
      <c r="Q509">
        <v>181.8</v>
      </c>
      <c r="R509">
        <v>0</v>
      </c>
      <c r="S509">
        <v>181.8</v>
      </c>
      <c r="T509">
        <v>219</v>
      </c>
      <c r="U509">
        <f>SUMIF(货件明细!J:J,E509,货件明细!AP:AP)</f>
        <v>0</v>
      </c>
      <c r="V509">
        <f>IF(U509=T509,0,1)</f>
        <v>1</v>
      </c>
      <c r="W509">
        <f>T509</f>
        <v>219</v>
      </c>
      <c r="X509">
        <f>SUMIF(货件明细!J:J,E509,货件明细!H:H)</f>
        <v>0</v>
      </c>
      <c r="Y509">
        <f>N509-X509</f>
        <v>30.1</v>
      </c>
      <c r="Z509">
        <f>SUMIF(货件明细!J:J,E509,货件明细!I:I)</f>
        <v>0</v>
      </c>
      <c r="AA509">
        <f>IF(S509=Z509,0,1)</f>
        <v>1</v>
      </c>
    </row>
    <row r="510" hidden="1" spans="1:27">
      <c r="A510">
        <v>1</v>
      </c>
      <c r="B510">
        <v>4</v>
      </c>
      <c r="C510" s="3">
        <v>46046</v>
      </c>
      <c r="D510" t="s">
        <v>27</v>
      </c>
      <c r="E510" t="s">
        <v>611</v>
      </c>
      <c r="F510" t="s">
        <v>239</v>
      </c>
      <c r="G510" t="s">
        <v>72</v>
      </c>
      <c r="H510" t="s">
        <v>224</v>
      </c>
      <c r="I510" t="s">
        <v>92</v>
      </c>
      <c r="J510" t="s">
        <v>92</v>
      </c>
      <c r="K510" t="s">
        <v>64</v>
      </c>
      <c r="L510" t="s">
        <v>65</v>
      </c>
      <c r="M510" t="s">
        <v>93</v>
      </c>
      <c r="N510">
        <v>30.1</v>
      </c>
      <c r="O510">
        <v>13.2</v>
      </c>
      <c r="P510">
        <v>130.909090909091</v>
      </c>
      <c r="Q510">
        <v>144.109090909091</v>
      </c>
      <c r="R510">
        <v>0</v>
      </c>
      <c r="S510">
        <v>144.109090909091</v>
      </c>
      <c r="T510">
        <v>219</v>
      </c>
      <c r="U510">
        <f>SUMIF(货件明细!J:J,E510,货件明细!AP:AP)</f>
        <v>0</v>
      </c>
      <c r="V510">
        <f>IF(U510=T510,0,1)</f>
        <v>1</v>
      </c>
      <c r="W510">
        <f>T510</f>
        <v>219</v>
      </c>
      <c r="X510">
        <f>SUMIF(货件明细!J:J,E510,货件明细!H:H)</f>
        <v>0</v>
      </c>
      <c r="Y510">
        <f>N510-X510</f>
        <v>30.1</v>
      </c>
      <c r="Z510">
        <f>SUMIF(货件明细!J:J,E510,货件明细!I:I)</f>
        <v>0</v>
      </c>
      <c r="AA510">
        <f>IF(S510=Z510,0,1)</f>
        <v>1</v>
      </c>
    </row>
    <row r="511" hidden="1" spans="1:27">
      <c r="A511">
        <v>1</v>
      </c>
      <c r="B511">
        <v>4</v>
      </c>
      <c r="C511" s="3">
        <v>46046</v>
      </c>
      <c r="D511" t="s">
        <v>27</v>
      </c>
      <c r="E511" t="s">
        <v>612</v>
      </c>
      <c r="F511" t="s">
        <v>239</v>
      </c>
      <c r="G511" t="s">
        <v>72</v>
      </c>
      <c r="H511" t="s">
        <v>78</v>
      </c>
      <c r="I511" t="s">
        <v>78</v>
      </c>
      <c r="J511" t="s">
        <v>92</v>
      </c>
      <c r="K511" t="s">
        <v>64</v>
      </c>
      <c r="L511" t="s">
        <v>65</v>
      </c>
      <c r="M511" t="s">
        <v>93</v>
      </c>
      <c r="N511">
        <v>10.7</v>
      </c>
      <c r="O511">
        <v>13.2</v>
      </c>
      <c r="P511">
        <v>65.4545454545455</v>
      </c>
      <c r="Q511">
        <v>78.6545454545455</v>
      </c>
      <c r="R511">
        <v>0</v>
      </c>
      <c r="S511">
        <v>78.6545454545455</v>
      </c>
      <c r="T511">
        <v>71</v>
      </c>
      <c r="U511">
        <f>SUMIF(货件明细!J:J,E511,货件明细!AP:AP)</f>
        <v>0</v>
      </c>
      <c r="V511">
        <f>IF(U511=T511,0,1)</f>
        <v>1</v>
      </c>
      <c r="W511">
        <f>T511</f>
        <v>71</v>
      </c>
      <c r="X511">
        <f>SUMIF(货件明细!J:J,E511,货件明细!H:H)</f>
        <v>0</v>
      </c>
      <c r="Y511">
        <f>N511-X511</f>
        <v>10.7</v>
      </c>
      <c r="Z511">
        <f>SUMIF(货件明细!J:J,E511,货件明细!I:I)</f>
        <v>0</v>
      </c>
      <c r="AA511">
        <f>IF(S511=Z511,0,1)</f>
        <v>1</v>
      </c>
    </row>
    <row r="512" hidden="1" spans="1:27">
      <c r="A512">
        <v>1</v>
      </c>
      <c r="B512">
        <v>4</v>
      </c>
      <c r="C512" s="3">
        <v>46046</v>
      </c>
      <c r="D512" t="s">
        <v>27</v>
      </c>
      <c r="E512" t="s">
        <v>613</v>
      </c>
      <c r="F512" t="s">
        <v>187</v>
      </c>
      <c r="G512" t="s">
        <v>72</v>
      </c>
      <c r="H512" t="s">
        <v>78</v>
      </c>
      <c r="I512" t="s">
        <v>78</v>
      </c>
      <c r="J512" t="s">
        <v>92</v>
      </c>
      <c r="K512" t="s">
        <v>64</v>
      </c>
      <c r="L512" t="s">
        <v>65</v>
      </c>
      <c r="M512" t="s">
        <v>93</v>
      </c>
      <c r="N512">
        <v>10.7</v>
      </c>
      <c r="O512">
        <v>13.2</v>
      </c>
      <c r="P512">
        <v>60.5454545454545</v>
      </c>
      <c r="Q512">
        <v>73.7454545454545</v>
      </c>
      <c r="R512">
        <v>0</v>
      </c>
      <c r="S512">
        <v>73.7454545454545</v>
      </c>
      <c r="T512">
        <v>71</v>
      </c>
      <c r="U512">
        <f>SUMIF(货件明细!J:J,E512,货件明细!AP:AP)</f>
        <v>0</v>
      </c>
      <c r="V512">
        <f>IF(U512=T512,0,1)</f>
        <v>1</v>
      </c>
      <c r="W512">
        <f>T512</f>
        <v>71</v>
      </c>
      <c r="X512">
        <f>SUMIF(货件明细!J:J,E512,货件明细!H:H)</f>
        <v>0</v>
      </c>
      <c r="Y512">
        <f>N512-X512</f>
        <v>10.7</v>
      </c>
      <c r="Z512">
        <f>SUMIF(货件明细!J:J,E512,货件明细!I:I)</f>
        <v>0</v>
      </c>
      <c r="AA512">
        <f>IF(S512=Z512,0,1)</f>
        <v>1</v>
      </c>
    </row>
    <row r="513" hidden="1" spans="1:27">
      <c r="A513">
        <v>1</v>
      </c>
      <c r="B513">
        <v>4</v>
      </c>
      <c r="C513" s="3">
        <v>46046</v>
      </c>
      <c r="D513" t="s">
        <v>27</v>
      </c>
      <c r="E513" t="s">
        <v>614</v>
      </c>
      <c r="F513" t="s">
        <v>195</v>
      </c>
      <c r="G513" t="s">
        <v>30</v>
      </c>
      <c r="H513" t="s">
        <v>78</v>
      </c>
      <c r="I513" t="s">
        <v>78</v>
      </c>
      <c r="J513" t="s">
        <v>92</v>
      </c>
      <c r="K513" t="s">
        <v>64</v>
      </c>
      <c r="L513" t="s">
        <v>65</v>
      </c>
      <c r="M513" t="s">
        <v>93</v>
      </c>
      <c r="N513">
        <v>10.7</v>
      </c>
      <c r="O513">
        <v>20.625</v>
      </c>
      <c r="P513">
        <v>87.99375</v>
      </c>
      <c r="Q513">
        <v>108.61875</v>
      </c>
      <c r="R513">
        <v>0</v>
      </c>
      <c r="S513">
        <v>108.61875</v>
      </c>
      <c r="T513">
        <v>71</v>
      </c>
      <c r="U513">
        <f>SUMIF(货件明细!J:J,E513,货件明细!AP:AP)</f>
        <v>0</v>
      </c>
      <c r="V513">
        <f>IF(U513=T513,0,1)</f>
        <v>1</v>
      </c>
      <c r="W513">
        <f>T513</f>
        <v>71</v>
      </c>
      <c r="X513">
        <f>SUMIF(货件明细!J:J,E513,货件明细!H:H)</f>
        <v>0</v>
      </c>
      <c r="Y513">
        <f>N513-X513</f>
        <v>10.7</v>
      </c>
      <c r="Z513">
        <f>SUMIF(货件明细!J:J,E513,货件明细!I:I)</f>
        <v>0</v>
      </c>
      <c r="AA513">
        <f>IF(S513=Z513,0,1)</f>
        <v>1</v>
      </c>
    </row>
    <row r="514" hidden="1" spans="1:27">
      <c r="A514">
        <v>1</v>
      </c>
      <c r="B514">
        <v>4</v>
      </c>
      <c r="C514" s="3">
        <v>46046</v>
      </c>
      <c r="D514" t="s">
        <v>27</v>
      </c>
      <c r="E514" t="s">
        <v>615</v>
      </c>
      <c r="F514" t="s">
        <v>62</v>
      </c>
      <c r="G514" t="s">
        <v>30</v>
      </c>
      <c r="H514" t="s">
        <v>78</v>
      </c>
      <c r="I514" t="s">
        <v>78</v>
      </c>
      <c r="J514" t="s">
        <v>92</v>
      </c>
      <c r="K514" t="s">
        <v>64</v>
      </c>
      <c r="L514" t="s">
        <v>65</v>
      </c>
      <c r="M514" t="s">
        <v>93</v>
      </c>
      <c r="N514">
        <v>10.7</v>
      </c>
      <c r="O514">
        <v>20.625</v>
      </c>
      <c r="P514">
        <v>84.825</v>
      </c>
      <c r="Q514">
        <v>105.45</v>
      </c>
      <c r="R514">
        <v>0</v>
      </c>
      <c r="S514">
        <v>105.45</v>
      </c>
      <c r="T514">
        <v>71</v>
      </c>
      <c r="U514">
        <f>SUMIF(货件明细!J:J,E514,货件明细!AP:AP)</f>
        <v>0</v>
      </c>
      <c r="V514">
        <f>IF(U514=T514,0,1)</f>
        <v>1</v>
      </c>
      <c r="W514">
        <f>T514</f>
        <v>71</v>
      </c>
      <c r="X514">
        <f>SUMIF(货件明细!J:J,E514,货件明细!H:H)</f>
        <v>0</v>
      </c>
      <c r="Y514">
        <f>N514-X514</f>
        <v>10.7</v>
      </c>
      <c r="Z514">
        <f>SUMIF(货件明细!J:J,E514,货件明细!I:I)</f>
        <v>0</v>
      </c>
      <c r="AA514">
        <f>IF(S514=Z514,0,1)</f>
        <v>1</v>
      </c>
    </row>
    <row r="515" hidden="1" spans="1:27">
      <c r="A515">
        <v>1</v>
      </c>
      <c r="B515">
        <v>4</v>
      </c>
      <c r="C515" s="3">
        <v>46046</v>
      </c>
      <c r="D515" t="s">
        <v>27</v>
      </c>
      <c r="E515" t="s">
        <v>616</v>
      </c>
      <c r="F515" t="s">
        <v>243</v>
      </c>
      <c r="G515" t="s">
        <v>72</v>
      </c>
      <c r="H515" t="s">
        <v>78</v>
      </c>
      <c r="I515" t="s">
        <v>78</v>
      </c>
      <c r="J515" t="s">
        <v>92</v>
      </c>
      <c r="K515" t="s">
        <v>64</v>
      </c>
      <c r="L515" t="s">
        <v>65</v>
      </c>
      <c r="M515" t="s">
        <v>93</v>
      </c>
      <c r="N515">
        <v>10.7</v>
      </c>
      <c r="O515">
        <v>13.2</v>
      </c>
      <c r="P515">
        <v>48</v>
      </c>
      <c r="Q515">
        <v>61.2</v>
      </c>
      <c r="R515">
        <v>0</v>
      </c>
      <c r="S515">
        <v>61.2</v>
      </c>
      <c r="T515">
        <v>71</v>
      </c>
      <c r="U515">
        <f>SUMIF(货件明细!J:J,E515,货件明细!AP:AP)</f>
        <v>0</v>
      </c>
      <c r="V515">
        <f>IF(U515=T515,0,1)</f>
        <v>1</v>
      </c>
      <c r="W515">
        <f>T515</f>
        <v>71</v>
      </c>
      <c r="X515">
        <f>SUMIF(货件明细!J:J,E515,货件明细!H:H)</f>
        <v>0</v>
      </c>
      <c r="Y515">
        <f>N515-X515</f>
        <v>10.7</v>
      </c>
      <c r="Z515">
        <f>SUMIF(货件明细!J:J,E515,货件明细!I:I)</f>
        <v>0</v>
      </c>
      <c r="AA515">
        <f>IF(S515=Z515,0,1)</f>
        <v>1</v>
      </c>
    </row>
    <row r="516" hidden="1" spans="1:27">
      <c r="A516">
        <v>1</v>
      </c>
      <c r="B516">
        <v>4</v>
      </c>
      <c r="C516" s="3">
        <v>46046</v>
      </c>
      <c r="D516" t="s">
        <v>27</v>
      </c>
      <c r="E516" t="s">
        <v>617</v>
      </c>
      <c r="F516" t="s">
        <v>195</v>
      </c>
      <c r="G516" t="s">
        <v>30</v>
      </c>
      <c r="H516" t="s">
        <v>51</v>
      </c>
      <c r="I516" t="s">
        <v>92</v>
      </c>
      <c r="J516" t="s">
        <v>92</v>
      </c>
      <c r="K516" t="s">
        <v>64</v>
      </c>
      <c r="L516" t="s">
        <v>65</v>
      </c>
      <c r="M516" t="s">
        <v>93</v>
      </c>
      <c r="N516">
        <v>13.2</v>
      </c>
      <c r="O516">
        <v>20.625</v>
      </c>
      <c r="P516">
        <v>87.99375</v>
      </c>
      <c r="Q516">
        <v>108.61875</v>
      </c>
      <c r="R516">
        <v>0</v>
      </c>
      <c r="S516">
        <v>108.61875</v>
      </c>
      <c r="T516">
        <v>106</v>
      </c>
      <c r="U516">
        <f>SUMIF(货件明细!J:J,E516,货件明细!AP:AP)</f>
        <v>0</v>
      </c>
      <c r="V516">
        <f>IF(U516=T516,0,1)</f>
        <v>1</v>
      </c>
      <c r="W516">
        <f>T516</f>
        <v>106</v>
      </c>
      <c r="X516">
        <f>SUMIF(货件明细!J:J,E516,货件明细!H:H)</f>
        <v>0</v>
      </c>
      <c r="Y516">
        <f>N516-X516</f>
        <v>13.2</v>
      </c>
      <c r="Z516">
        <f>SUMIF(货件明细!J:J,E516,货件明细!I:I)</f>
        <v>0</v>
      </c>
      <c r="AA516">
        <f>IF(S516=Z516,0,1)</f>
        <v>1</v>
      </c>
    </row>
    <row r="517" hidden="1" spans="1:27">
      <c r="A517">
        <v>1</v>
      </c>
      <c r="B517">
        <v>4</v>
      </c>
      <c r="C517" s="3">
        <v>46046</v>
      </c>
      <c r="D517" t="s">
        <v>27</v>
      </c>
      <c r="E517" t="s">
        <v>618</v>
      </c>
      <c r="F517" t="s">
        <v>62</v>
      </c>
      <c r="G517" t="s">
        <v>30</v>
      </c>
      <c r="H517" t="s">
        <v>51</v>
      </c>
      <c r="I517" t="s">
        <v>92</v>
      </c>
      <c r="J517" t="s">
        <v>92</v>
      </c>
      <c r="K517" t="s">
        <v>64</v>
      </c>
      <c r="L517" t="s">
        <v>65</v>
      </c>
      <c r="M517" t="s">
        <v>93</v>
      </c>
      <c r="N517">
        <v>13.2</v>
      </c>
      <c r="O517">
        <v>20.625</v>
      </c>
      <c r="P517">
        <v>84.825</v>
      </c>
      <c r="Q517">
        <v>105.45</v>
      </c>
      <c r="R517">
        <v>0</v>
      </c>
      <c r="S517">
        <v>105.45</v>
      </c>
      <c r="T517">
        <v>106</v>
      </c>
      <c r="U517">
        <f>SUMIF(货件明细!J:J,E517,货件明细!AP:AP)</f>
        <v>0</v>
      </c>
      <c r="V517">
        <f>IF(U517=T517,0,1)</f>
        <v>1</v>
      </c>
      <c r="W517">
        <f>T517</f>
        <v>106</v>
      </c>
      <c r="X517">
        <f>SUMIF(货件明细!J:J,E517,货件明细!H:H)</f>
        <v>0</v>
      </c>
      <c r="Y517">
        <f>N517-X517</f>
        <v>13.2</v>
      </c>
      <c r="Z517">
        <f>SUMIF(货件明细!J:J,E517,货件明细!I:I)</f>
        <v>0</v>
      </c>
      <c r="AA517">
        <f>IF(S517=Z517,0,1)</f>
        <v>1</v>
      </c>
    </row>
    <row r="518" hidden="1" spans="1:27">
      <c r="A518">
        <v>1</v>
      </c>
      <c r="B518">
        <v>4</v>
      </c>
      <c r="C518" s="3">
        <v>46046</v>
      </c>
      <c r="D518" t="s">
        <v>27</v>
      </c>
      <c r="E518" t="s">
        <v>619</v>
      </c>
      <c r="F518" t="s">
        <v>243</v>
      </c>
      <c r="G518" t="s">
        <v>72</v>
      </c>
      <c r="H518" t="s">
        <v>51</v>
      </c>
      <c r="I518" t="s">
        <v>92</v>
      </c>
      <c r="J518" t="s">
        <v>92</v>
      </c>
      <c r="K518" t="s">
        <v>64</v>
      </c>
      <c r="L518" t="s">
        <v>65</v>
      </c>
      <c r="M518" t="s">
        <v>93</v>
      </c>
      <c r="N518">
        <v>13.2</v>
      </c>
      <c r="O518">
        <v>13.2</v>
      </c>
      <c r="P518">
        <v>48</v>
      </c>
      <c r="Q518">
        <v>61.2</v>
      </c>
      <c r="R518">
        <v>0</v>
      </c>
      <c r="S518">
        <v>61.2</v>
      </c>
      <c r="T518">
        <v>106</v>
      </c>
      <c r="U518">
        <f>SUMIF(货件明细!J:J,E518,货件明细!AP:AP)</f>
        <v>0</v>
      </c>
      <c r="V518">
        <f>IF(U518=T518,0,1)</f>
        <v>1</v>
      </c>
      <c r="W518">
        <f>T518</f>
        <v>106</v>
      </c>
      <c r="X518">
        <f>SUMIF(货件明细!J:J,E518,货件明细!H:H)</f>
        <v>0</v>
      </c>
      <c r="Y518">
        <f>N518-X518</f>
        <v>13.2</v>
      </c>
      <c r="Z518">
        <f>SUMIF(货件明细!J:J,E518,货件明细!I:I)</f>
        <v>0</v>
      </c>
      <c r="AA518">
        <f>IF(S518=Z518,0,1)</f>
        <v>1</v>
      </c>
    </row>
    <row r="519" hidden="1" spans="1:27">
      <c r="A519">
        <v>1</v>
      </c>
      <c r="B519">
        <v>4</v>
      </c>
      <c r="C519" s="3">
        <v>46046</v>
      </c>
      <c r="D519" t="s">
        <v>27</v>
      </c>
      <c r="E519" t="s">
        <v>620</v>
      </c>
      <c r="F519" t="s">
        <v>187</v>
      </c>
      <c r="G519" t="s">
        <v>72</v>
      </c>
      <c r="H519" t="s">
        <v>51</v>
      </c>
      <c r="I519" t="s">
        <v>92</v>
      </c>
      <c r="J519" t="s">
        <v>92</v>
      </c>
      <c r="K519" t="s">
        <v>64</v>
      </c>
      <c r="L519" t="s">
        <v>65</v>
      </c>
      <c r="M519" t="s">
        <v>93</v>
      </c>
      <c r="N519">
        <v>13.2</v>
      </c>
      <c r="O519">
        <v>13.2</v>
      </c>
      <c r="P519">
        <v>60.5454545454545</v>
      </c>
      <c r="Q519">
        <v>73.7454545454545</v>
      </c>
      <c r="R519">
        <v>0</v>
      </c>
      <c r="S519">
        <v>73.7454545454545</v>
      </c>
      <c r="T519">
        <v>106</v>
      </c>
      <c r="U519">
        <f>SUMIF(货件明细!J:J,E519,货件明细!AP:AP)</f>
        <v>0</v>
      </c>
      <c r="V519">
        <f>IF(U519=T519,0,1)</f>
        <v>1</v>
      </c>
      <c r="W519">
        <f>T519</f>
        <v>106</v>
      </c>
      <c r="X519">
        <f>SUMIF(货件明细!J:J,E519,货件明细!H:H)</f>
        <v>0</v>
      </c>
      <c r="Y519">
        <f>N519-X519</f>
        <v>13.2</v>
      </c>
      <c r="Z519">
        <f>SUMIF(货件明细!J:J,E519,货件明细!I:I)</f>
        <v>0</v>
      </c>
      <c r="AA519">
        <f>IF(S519=Z519,0,1)</f>
        <v>1</v>
      </c>
    </row>
    <row r="520" hidden="1" spans="1:27">
      <c r="A520">
        <v>1</v>
      </c>
      <c r="B520">
        <v>4</v>
      </c>
      <c r="C520" s="3">
        <v>46046</v>
      </c>
      <c r="D520" t="s">
        <v>27</v>
      </c>
      <c r="E520" t="s">
        <v>621</v>
      </c>
      <c r="F520" t="s">
        <v>239</v>
      </c>
      <c r="G520" t="s">
        <v>72</v>
      </c>
      <c r="H520" t="s">
        <v>51</v>
      </c>
      <c r="I520" t="s">
        <v>92</v>
      </c>
      <c r="J520" t="s">
        <v>92</v>
      </c>
      <c r="K520" t="s">
        <v>64</v>
      </c>
      <c r="L520" t="s">
        <v>65</v>
      </c>
      <c r="M520" t="s">
        <v>93</v>
      </c>
      <c r="N520">
        <v>13.2</v>
      </c>
      <c r="O520">
        <v>13.2</v>
      </c>
      <c r="P520">
        <v>65.4545454545455</v>
      </c>
      <c r="Q520">
        <v>78.6545454545455</v>
      </c>
      <c r="R520">
        <v>0</v>
      </c>
      <c r="S520">
        <v>78.6545454545455</v>
      </c>
      <c r="T520">
        <v>106</v>
      </c>
      <c r="U520">
        <f>SUMIF(货件明细!J:J,E520,货件明细!AP:AP)</f>
        <v>0</v>
      </c>
      <c r="V520">
        <f>IF(U520=T520,0,1)</f>
        <v>1</v>
      </c>
      <c r="W520">
        <f>T520</f>
        <v>106</v>
      </c>
      <c r="X520">
        <f>SUMIF(货件明细!J:J,E520,货件明细!H:H)</f>
        <v>0</v>
      </c>
      <c r="Y520">
        <f>N520-X520</f>
        <v>13.2</v>
      </c>
      <c r="Z520">
        <f>SUMIF(货件明细!J:J,E520,货件明细!I:I)</f>
        <v>0</v>
      </c>
      <c r="AA520">
        <f>IF(S520=Z520,0,1)</f>
        <v>1</v>
      </c>
    </row>
    <row r="521" hidden="1" spans="1:27">
      <c r="A521">
        <v>1</v>
      </c>
      <c r="B521">
        <v>4</v>
      </c>
      <c r="C521" s="3">
        <v>46046</v>
      </c>
      <c r="D521" t="s">
        <v>27</v>
      </c>
      <c r="E521" t="s">
        <v>622</v>
      </c>
      <c r="F521" t="s">
        <v>561</v>
      </c>
      <c r="G521" t="s">
        <v>72</v>
      </c>
      <c r="H521" t="s">
        <v>46</v>
      </c>
      <c r="I521" t="s">
        <v>46</v>
      </c>
      <c r="J521" t="s">
        <v>92</v>
      </c>
      <c r="K521" t="s">
        <v>64</v>
      </c>
      <c r="L521" t="s">
        <v>65</v>
      </c>
      <c r="M521" t="s">
        <v>188</v>
      </c>
      <c r="N521">
        <v>22.2</v>
      </c>
      <c r="O521">
        <v>13.2</v>
      </c>
      <c r="P521">
        <v>135.01</v>
      </c>
      <c r="Q521">
        <v>148.21</v>
      </c>
      <c r="R521">
        <v>214.06</v>
      </c>
      <c r="S521">
        <v>362.27</v>
      </c>
      <c r="T521">
        <v>70</v>
      </c>
      <c r="U521">
        <f>SUMIF(货件明细!J:J,E521,货件明细!AP:AP)</f>
        <v>0</v>
      </c>
      <c r="V521">
        <f>IF(U521=T521,0,1)</f>
        <v>1</v>
      </c>
      <c r="W521">
        <f>T521</f>
        <v>70</v>
      </c>
      <c r="X521">
        <f>SUMIF(货件明细!J:J,E521,货件明细!H:H)</f>
        <v>0</v>
      </c>
      <c r="Y521">
        <f>N521-X521</f>
        <v>22.2</v>
      </c>
      <c r="Z521">
        <f>SUMIF(货件明细!J:J,E521,货件明细!I:I)</f>
        <v>0</v>
      </c>
      <c r="AA521">
        <f>IF(S521=Z521,0,1)</f>
        <v>1</v>
      </c>
    </row>
    <row r="522" hidden="1" spans="1:27">
      <c r="A522">
        <v>1</v>
      </c>
      <c r="B522">
        <v>4</v>
      </c>
      <c r="C522" s="3">
        <v>46046</v>
      </c>
      <c r="D522" t="s">
        <v>27</v>
      </c>
      <c r="E522" t="s">
        <v>623</v>
      </c>
      <c r="F522" t="s">
        <v>200</v>
      </c>
      <c r="G522" t="s">
        <v>30</v>
      </c>
      <c r="H522" t="s">
        <v>59</v>
      </c>
      <c r="I522" t="s">
        <v>59</v>
      </c>
      <c r="J522" t="s">
        <v>92</v>
      </c>
      <c r="K522" t="s">
        <v>64</v>
      </c>
      <c r="L522" t="s">
        <v>65</v>
      </c>
      <c r="M522" t="s">
        <v>188</v>
      </c>
      <c r="N522">
        <v>19.6</v>
      </c>
      <c r="O522">
        <v>20.625</v>
      </c>
      <c r="P522">
        <v>212.2</v>
      </c>
      <c r="Q522">
        <v>232.825</v>
      </c>
      <c r="R522">
        <v>0</v>
      </c>
      <c r="S522">
        <v>232.825</v>
      </c>
      <c r="T522">
        <v>117</v>
      </c>
      <c r="U522">
        <f>SUMIF(货件明细!J:J,E522,货件明细!AP:AP)</f>
        <v>0</v>
      </c>
      <c r="V522">
        <f>IF(U522=T522,0,1)</f>
        <v>1</v>
      </c>
      <c r="W522">
        <f>T522</f>
        <v>117</v>
      </c>
      <c r="X522">
        <f>SUMIF(货件明细!J:J,E522,货件明细!H:H)</f>
        <v>0</v>
      </c>
      <c r="Y522">
        <f>N522-X522</f>
        <v>19.6</v>
      </c>
      <c r="Z522">
        <f>SUMIF(货件明细!J:J,E522,货件明细!I:I)</f>
        <v>0</v>
      </c>
      <c r="AA522">
        <f>IF(S522=Z522,0,1)</f>
        <v>1</v>
      </c>
    </row>
    <row r="523" hidden="1" spans="1:27">
      <c r="A523">
        <v>1</v>
      </c>
      <c r="B523">
        <v>4</v>
      </c>
      <c r="C523" s="3">
        <v>46046</v>
      </c>
      <c r="D523" t="s">
        <v>27</v>
      </c>
      <c r="E523" t="s">
        <v>624</v>
      </c>
      <c r="F523" t="s">
        <v>548</v>
      </c>
      <c r="G523" t="s">
        <v>72</v>
      </c>
      <c r="H523" t="s">
        <v>59</v>
      </c>
      <c r="I523" t="s">
        <v>59</v>
      </c>
      <c r="J523" t="s">
        <v>92</v>
      </c>
      <c r="K523" t="s">
        <v>64</v>
      </c>
      <c r="L523" t="s">
        <v>65</v>
      </c>
      <c r="M523" t="s">
        <v>188</v>
      </c>
      <c r="N523">
        <v>19.6</v>
      </c>
      <c r="O523">
        <v>13.2</v>
      </c>
      <c r="P523">
        <v>108</v>
      </c>
      <c r="Q523">
        <v>121.2</v>
      </c>
      <c r="R523">
        <v>0</v>
      </c>
      <c r="S523">
        <v>121.2</v>
      </c>
      <c r="T523">
        <v>117</v>
      </c>
      <c r="U523">
        <f>SUMIF(货件明细!J:J,E523,货件明细!AP:AP)</f>
        <v>0</v>
      </c>
      <c r="V523">
        <f>IF(U523=T523,0,1)</f>
        <v>1</v>
      </c>
      <c r="W523">
        <f>T523</f>
        <v>117</v>
      </c>
      <c r="X523">
        <f>SUMIF(货件明细!J:J,E523,货件明细!H:H)</f>
        <v>0</v>
      </c>
      <c r="Y523">
        <f>N523-X523</f>
        <v>19.6</v>
      </c>
      <c r="Z523">
        <f>SUMIF(货件明细!J:J,E523,货件明细!I:I)</f>
        <v>0</v>
      </c>
      <c r="AA523">
        <f>IF(S523=Z523,0,1)</f>
        <v>1</v>
      </c>
    </row>
    <row r="524" hidden="1" spans="1:27">
      <c r="A524">
        <v>1</v>
      </c>
      <c r="B524">
        <v>4</v>
      </c>
      <c r="C524" s="3">
        <v>46046</v>
      </c>
      <c r="D524" t="s">
        <v>27</v>
      </c>
      <c r="E524" t="s">
        <v>625</v>
      </c>
      <c r="F524" t="s">
        <v>74</v>
      </c>
      <c r="G524" t="s">
        <v>30</v>
      </c>
      <c r="H524" t="s">
        <v>59</v>
      </c>
      <c r="I524" t="s">
        <v>59</v>
      </c>
      <c r="J524" t="s">
        <v>92</v>
      </c>
      <c r="K524" t="s">
        <v>64</v>
      </c>
      <c r="L524" t="s">
        <v>65</v>
      </c>
      <c r="M524" t="s">
        <v>188</v>
      </c>
      <c r="N524">
        <v>19.6</v>
      </c>
      <c r="O524">
        <v>20.625</v>
      </c>
      <c r="P524">
        <v>216.6</v>
      </c>
      <c r="Q524">
        <v>237.225</v>
      </c>
      <c r="R524">
        <v>0</v>
      </c>
      <c r="S524">
        <v>237.225</v>
      </c>
      <c r="T524">
        <v>117</v>
      </c>
      <c r="U524">
        <f>SUMIF(货件明细!J:J,E524,货件明细!AP:AP)</f>
        <v>0</v>
      </c>
      <c r="V524">
        <f>IF(U524=T524,0,1)</f>
        <v>1</v>
      </c>
      <c r="W524">
        <f>T524</f>
        <v>117</v>
      </c>
      <c r="X524">
        <f>SUMIF(货件明细!J:J,E524,货件明细!H:H)</f>
        <v>0</v>
      </c>
      <c r="Y524">
        <f>N524-X524</f>
        <v>19.6</v>
      </c>
      <c r="Z524">
        <f>SUMIF(货件明细!J:J,E524,货件明细!I:I)</f>
        <v>0</v>
      </c>
      <c r="AA524">
        <f>IF(S524=Z524,0,1)</f>
        <v>1</v>
      </c>
    </row>
    <row r="525" hidden="1" spans="1:27">
      <c r="A525">
        <v>1</v>
      </c>
      <c r="B525">
        <v>4</v>
      </c>
      <c r="C525" s="3">
        <v>46046</v>
      </c>
      <c r="D525" t="s">
        <v>27</v>
      </c>
      <c r="E525" t="s">
        <v>626</v>
      </c>
      <c r="F525" t="s">
        <v>187</v>
      </c>
      <c r="G525" t="s">
        <v>72</v>
      </c>
      <c r="H525" t="s">
        <v>59</v>
      </c>
      <c r="I525" t="s">
        <v>59</v>
      </c>
      <c r="J525" t="s">
        <v>92</v>
      </c>
      <c r="K525" t="s">
        <v>64</v>
      </c>
      <c r="L525" t="s">
        <v>65</v>
      </c>
      <c r="M525" t="s">
        <v>93</v>
      </c>
      <c r="N525">
        <v>19.6</v>
      </c>
      <c r="O525">
        <v>13.2</v>
      </c>
      <c r="P525">
        <v>60.5454545454545</v>
      </c>
      <c r="Q525">
        <v>73.7454545454545</v>
      </c>
      <c r="R525">
        <v>0</v>
      </c>
      <c r="S525">
        <v>73.7454545454545</v>
      </c>
      <c r="T525">
        <v>117</v>
      </c>
      <c r="U525">
        <f>SUMIF(货件明细!J:J,E525,货件明细!AP:AP)</f>
        <v>0</v>
      </c>
      <c r="V525">
        <f>IF(U525=T525,0,1)</f>
        <v>1</v>
      </c>
      <c r="W525">
        <f>T525</f>
        <v>117</v>
      </c>
      <c r="X525">
        <f>SUMIF(货件明细!J:J,E525,货件明细!H:H)</f>
        <v>0</v>
      </c>
      <c r="Y525">
        <f>N525-X525</f>
        <v>19.6</v>
      </c>
      <c r="Z525">
        <f>SUMIF(货件明细!J:J,E525,货件明细!I:I)</f>
        <v>0</v>
      </c>
      <c r="AA525">
        <f>IF(S525=Z525,0,1)</f>
        <v>1</v>
      </c>
    </row>
    <row r="526" hidden="1" spans="1:27">
      <c r="A526">
        <v>1</v>
      </c>
      <c r="B526">
        <v>4</v>
      </c>
      <c r="C526" s="3">
        <v>46046</v>
      </c>
      <c r="D526" t="s">
        <v>27</v>
      </c>
      <c r="E526" t="s">
        <v>627</v>
      </c>
      <c r="F526" t="s">
        <v>239</v>
      </c>
      <c r="G526" t="s">
        <v>72</v>
      </c>
      <c r="H526" t="s">
        <v>59</v>
      </c>
      <c r="I526" t="s">
        <v>59</v>
      </c>
      <c r="J526" t="s">
        <v>92</v>
      </c>
      <c r="K526" t="s">
        <v>64</v>
      </c>
      <c r="L526" t="s">
        <v>65</v>
      </c>
      <c r="M526" t="s">
        <v>93</v>
      </c>
      <c r="N526">
        <v>19.6</v>
      </c>
      <c r="O526">
        <v>13.2</v>
      </c>
      <c r="P526">
        <v>65.4545454545455</v>
      </c>
      <c r="Q526">
        <v>78.6545454545455</v>
      </c>
      <c r="R526">
        <v>0</v>
      </c>
      <c r="S526">
        <v>78.6545454545455</v>
      </c>
      <c r="T526">
        <v>117</v>
      </c>
      <c r="U526">
        <f>SUMIF(货件明细!J:J,E526,货件明细!AP:AP)</f>
        <v>0</v>
      </c>
      <c r="V526">
        <f>IF(U526=T526,0,1)</f>
        <v>1</v>
      </c>
      <c r="W526">
        <f>T526</f>
        <v>117</v>
      </c>
      <c r="X526">
        <f>SUMIF(货件明细!J:J,E526,货件明细!H:H)</f>
        <v>0</v>
      </c>
      <c r="Y526">
        <f>N526-X526</f>
        <v>19.6</v>
      </c>
      <c r="Z526">
        <f>SUMIF(货件明细!J:J,E526,货件明细!I:I)</f>
        <v>0</v>
      </c>
      <c r="AA526">
        <f>IF(S526=Z526,0,1)</f>
        <v>1</v>
      </c>
    </row>
    <row r="527" hidden="1" spans="1:27">
      <c r="A527">
        <v>1</v>
      </c>
      <c r="B527">
        <v>4</v>
      </c>
      <c r="C527" s="3">
        <v>46046</v>
      </c>
      <c r="D527" t="s">
        <v>27</v>
      </c>
      <c r="E527" t="s">
        <v>628</v>
      </c>
      <c r="F527" t="s">
        <v>62</v>
      </c>
      <c r="G527" t="s">
        <v>30</v>
      </c>
      <c r="H527" t="s">
        <v>54</v>
      </c>
      <c r="I527" t="s">
        <v>54</v>
      </c>
      <c r="J527" t="s">
        <v>92</v>
      </c>
      <c r="K527" t="s">
        <v>64</v>
      </c>
      <c r="L527" t="s">
        <v>65</v>
      </c>
      <c r="M527" t="s">
        <v>93</v>
      </c>
      <c r="N527">
        <v>15.9</v>
      </c>
      <c r="O527">
        <v>20.625</v>
      </c>
      <c r="P527">
        <v>84.825</v>
      </c>
      <c r="Q527">
        <v>105.45</v>
      </c>
      <c r="R527">
        <v>0</v>
      </c>
      <c r="S527">
        <v>105.45</v>
      </c>
      <c r="T527">
        <v>138</v>
      </c>
      <c r="U527">
        <f>SUMIF(货件明细!J:J,E527,货件明细!AP:AP)</f>
        <v>0</v>
      </c>
      <c r="V527">
        <f>IF(U527=T527,0,1)</f>
        <v>1</v>
      </c>
      <c r="W527">
        <f>T527</f>
        <v>138</v>
      </c>
      <c r="X527">
        <f>SUMIF(货件明细!J:J,E527,货件明细!H:H)</f>
        <v>0</v>
      </c>
      <c r="Y527">
        <f>N527-X527</f>
        <v>15.9</v>
      </c>
      <c r="Z527">
        <f>SUMIF(货件明细!J:J,E527,货件明细!I:I)</f>
        <v>0</v>
      </c>
      <c r="AA527">
        <f>IF(S527=Z527,0,1)</f>
        <v>1</v>
      </c>
    </row>
    <row r="528" hidden="1" spans="1:27">
      <c r="A528">
        <v>1</v>
      </c>
      <c r="B528">
        <v>4</v>
      </c>
      <c r="C528" s="3">
        <v>46046</v>
      </c>
      <c r="D528" t="s">
        <v>27</v>
      </c>
      <c r="E528" t="s">
        <v>629</v>
      </c>
      <c r="F528" t="s">
        <v>195</v>
      </c>
      <c r="G528" t="s">
        <v>30</v>
      </c>
      <c r="H528" t="s">
        <v>54</v>
      </c>
      <c r="I528" t="s">
        <v>54</v>
      </c>
      <c r="J528" t="s">
        <v>92</v>
      </c>
      <c r="K528" t="s">
        <v>64</v>
      </c>
      <c r="L528" t="s">
        <v>65</v>
      </c>
      <c r="M528" t="s">
        <v>93</v>
      </c>
      <c r="N528">
        <v>15.9</v>
      </c>
      <c r="O528">
        <v>20.625</v>
      </c>
      <c r="P528">
        <v>87.99375</v>
      </c>
      <c r="Q528">
        <v>108.61875</v>
      </c>
      <c r="R528">
        <v>0</v>
      </c>
      <c r="S528">
        <v>108.61875</v>
      </c>
      <c r="T528">
        <v>138</v>
      </c>
      <c r="U528">
        <f>SUMIF(货件明细!J:J,E528,货件明细!AP:AP)</f>
        <v>0</v>
      </c>
      <c r="V528">
        <f>IF(U528=T528,0,1)</f>
        <v>1</v>
      </c>
      <c r="W528">
        <f>T528</f>
        <v>138</v>
      </c>
      <c r="X528">
        <f>SUMIF(货件明细!J:J,E528,货件明细!H:H)</f>
        <v>0</v>
      </c>
      <c r="Y528">
        <f>N528-X528</f>
        <v>15.9</v>
      </c>
      <c r="Z528">
        <f>SUMIF(货件明细!J:J,E528,货件明细!I:I)</f>
        <v>0</v>
      </c>
      <c r="AA528">
        <f>IF(S528=Z528,0,1)</f>
        <v>1</v>
      </c>
    </row>
    <row r="529" hidden="1" spans="1:27">
      <c r="A529">
        <v>1</v>
      </c>
      <c r="B529">
        <v>4</v>
      </c>
      <c r="C529" s="3">
        <v>46046</v>
      </c>
      <c r="D529" t="s">
        <v>27</v>
      </c>
      <c r="E529" t="s">
        <v>630</v>
      </c>
      <c r="F529" t="s">
        <v>243</v>
      </c>
      <c r="G529" t="s">
        <v>72</v>
      </c>
      <c r="H529" t="s">
        <v>54</v>
      </c>
      <c r="I529" t="s">
        <v>54</v>
      </c>
      <c r="J529" t="s">
        <v>92</v>
      </c>
      <c r="K529" t="s">
        <v>64</v>
      </c>
      <c r="L529" t="s">
        <v>65</v>
      </c>
      <c r="M529" t="s">
        <v>93</v>
      </c>
      <c r="N529">
        <v>15.9</v>
      </c>
      <c r="O529">
        <v>13.2</v>
      </c>
      <c r="P529">
        <v>84</v>
      </c>
      <c r="Q529">
        <v>97.2</v>
      </c>
      <c r="R529">
        <v>0</v>
      </c>
      <c r="S529">
        <v>97.2</v>
      </c>
      <c r="T529">
        <v>138</v>
      </c>
      <c r="U529">
        <f>SUMIF(货件明细!J:J,E529,货件明细!AP:AP)</f>
        <v>0</v>
      </c>
      <c r="V529">
        <f>IF(U529=T529,0,1)</f>
        <v>1</v>
      </c>
      <c r="W529">
        <f>T529</f>
        <v>138</v>
      </c>
      <c r="X529">
        <f>SUMIF(货件明细!J:J,E529,货件明细!H:H)</f>
        <v>0</v>
      </c>
      <c r="Y529">
        <f>N529-X529</f>
        <v>15.9</v>
      </c>
      <c r="Z529">
        <f>SUMIF(货件明细!J:J,E529,货件明细!I:I)</f>
        <v>0</v>
      </c>
      <c r="AA529">
        <f>IF(S529=Z529,0,1)</f>
        <v>1</v>
      </c>
    </row>
    <row r="530" hidden="1" spans="1:27">
      <c r="A530">
        <v>1</v>
      </c>
      <c r="B530">
        <v>4</v>
      </c>
      <c r="C530" s="3">
        <v>46046</v>
      </c>
      <c r="D530" t="s">
        <v>27</v>
      </c>
      <c r="E530" t="s">
        <v>631</v>
      </c>
      <c r="F530" t="s">
        <v>187</v>
      </c>
      <c r="G530" t="s">
        <v>72</v>
      </c>
      <c r="H530" t="s">
        <v>54</v>
      </c>
      <c r="I530" t="s">
        <v>54</v>
      </c>
      <c r="J530" t="s">
        <v>92</v>
      </c>
      <c r="K530" t="s">
        <v>64</v>
      </c>
      <c r="L530" t="s">
        <v>65</v>
      </c>
      <c r="M530" t="s">
        <v>93</v>
      </c>
      <c r="N530">
        <v>15.9</v>
      </c>
      <c r="O530">
        <v>13.2</v>
      </c>
      <c r="P530">
        <v>60.5454545454545</v>
      </c>
      <c r="Q530">
        <v>73.7454545454545</v>
      </c>
      <c r="R530">
        <v>0</v>
      </c>
      <c r="S530">
        <v>73.7454545454545</v>
      </c>
      <c r="T530">
        <v>138</v>
      </c>
      <c r="U530">
        <f>SUMIF(货件明细!J:J,E530,货件明细!AP:AP)</f>
        <v>0</v>
      </c>
      <c r="V530">
        <f>IF(U530=T530,0,1)</f>
        <v>1</v>
      </c>
      <c r="W530">
        <f>T530</f>
        <v>138</v>
      </c>
      <c r="X530">
        <f>SUMIF(货件明细!J:J,E530,货件明细!H:H)</f>
        <v>0</v>
      </c>
      <c r="Y530">
        <f>N530-X530</f>
        <v>15.9</v>
      </c>
      <c r="Z530">
        <f>SUMIF(货件明细!J:J,E530,货件明细!I:I)</f>
        <v>0</v>
      </c>
      <c r="AA530">
        <f>IF(S530=Z530,0,1)</f>
        <v>1</v>
      </c>
    </row>
    <row r="531" hidden="1" spans="1:27">
      <c r="A531">
        <v>1</v>
      </c>
      <c r="B531">
        <v>4</v>
      </c>
      <c r="C531" s="3">
        <v>46046</v>
      </c>
      <c r="D531" t="s">
        <v>27</v>
      </c>
      <c r="E531" t="s">
        <v>632</v>
      </c>
      <c r="F531" t="s">
        <v>239</v>
      </c>
      <c r="G531" t="s">
        <v>72</v>
      </c>
      <c r="H531" t="s">
        <v>54</v>
      </c>
      <c r="I531" t="s">
        <v>54</v>
      </c>
      <c r="J531" t="s">
        <v>92</v>
      </c>
      <c r="K531" t="s">
        <v>64</v>
      </c>
      <c r="L531" t="s">
        <v>65</v>
      </c>
      <c r="M531" t="s">
        <v>93</v>
      </c>
      <c r="N531">
        <v>15.9</v>
      </c>
      <c r="O531">
        <v>13.2</v>
      </c>
      <c r="P531">
        <v>65.4545454545455</v>
      </c>
      <c r="Q531">
        <v>78.6545454545455</v>
      </c>
      <c r="R531">
        <v>0</v>
      </c>
      <c r="S531">
        <v>78.6545454545455</v>
      </c>
      <c r="T531">
        <v>138</v>
      </c>
      <c r="U531">
        <f>SUMIF(货件明细!J:J,E531,货件明细!AP:AP)</f>
        <v>0</v>
      </c>
      <c r="V531">
        <f>IF(U531=T531,0,1)</f>
        <v>1</v>
      </c>
      <c r="W531">
        <f>T531</f>
        <v>138</v>
      </c>
      <c r="X531">
        <f>SUMIF(货件明细!J:J,E531,货件明细!H:H)</f>
        <v>0</v>
      </c>
      <c r="Y531">
        <f>N531-X531</f>
        <v>15.9</v>
      </c>
      <c r="Z531">
        <f>SUMIF(货件明细!J:J,E531,货件明细!I:I)</f>
        <v>0</v>
      </c>
      <c r="AA531">
        <f>IF(S531=Z531,0,1)</f>
        <v>1</v>
      </c>
    </row>
    <row r="532" hidden="1" spans="1:27">
      <c r="A532">
        <v>1</v>
      </c>
      <c r="B532">
        <v>4</v>
      </c>
      <c r="C532" s="3">
        <v>46046</v>
      </c>
      <c r="D532" t="s">
        <v>27</v>
      </c>
      <c r="E532" t="s">
        <v>633</v>
      </c>
      <c r="F532" t="s">
        <v>187</v>
      </c>
      <c r="G532" t="s">
        <v>72</v>
      </c>
      <c r="H532" t="s">
        <v>39</v>
      </c>
      <c r="I532" t="s">
        <v>39</v>
      </c>
      <c r="J532" t="s">
        <v>92</v>
      </c>
      <c r="K532" t="s">
        <v>64</v>
      </c>
      <c r="L532" t="s">
        <v>65</v>
      </c>
      <c r="M532" t="s">
        <v>93</v>
      </c>
      <c r="N532">
        <v>10.5</v>
      </c>
      <c r="O532">
        <v>13.2</v>
      </c>
      <c r="P532">
        <v>60.5454545454545</v>
      </c>
      <c r="Q532">
        <v>73.7454545454545</v>
      </c>
      <c r="R532">
        <v>0</v>
      </c>
      <c r="S532">
        <v>73.7454545454545</v>
      </c>
      <c r="T532">
        <v>77</v>
      </c>
      <c r="U532">
        <f>SUMIF(货件明细!J:J,E532,货件明细!AP:AP)</f>
        <v>0</v>
      </c>
      <c r="V532">
        <f>IF(U532=T532,0,1)</f>
        <v>1</v>
      </c>
      <c r="W532">
        <f>T532</f>
        <v>77</v>
      </c>
      <c r="X532">
        <f>SUMIF(货件明细!J:J,E532,货件明细!H:H)</f>
        <v>0</v>
      </c>
      <c r="Y532">
        <f>N532-X532</f>
        <v>10.5</v>
      </c>
      <c r="Z532">
        <f>SUMIF(货件明细!J:J,E532,货件明细!I:I)</f>
        <v>0</v>
      </c>
      <c r="AA532">
        <f>IF(S532=Z532,0,1)</f>
        <v>1</v>
      </c>
    </row>
    <row r="533" hidden="1" spans="1:27">
      <c r="A533">
        <v>1</v>
      </c>
      <c r="B533">
        <v>4</v>
      </c>
      <c r="C533" s="3">
        <v>46046</v>
      </c>
      <c r="D533" t="s">
        <v>27</v>
      </c>
      <c r="E533" t="s">
        <v>634</v>
      </c>
      <c r="F533" t="s">
        <v>243</v>
      </c>
      <c r="G533" t="s">
        <v>72</v>
      </c>
      <c r="H533" t="s">
        <v>39</v>
      </c>
      <c r="I533" t="s">
        <v>39</v>
      </c>
      <c r="J533" t="s">
        <v>92</v>
      </c>
      <c r="K533" t="s">
        <v>64</v>
      </c>
      <c r="L533" t="s">
        <v>65</v>
      </c>
      <c r="M533" t="s">
        <v>93</v>
      </c>
      <c r="N533">
        <v>10.5</v>
      </c>
      <c r="O533">
        <v>13.2</v>
      </c>
      <c r="P533">
        <v>60</v>
      </c>
      <c r="Q533">
        <v>73.2</v>
      </c>
      <c r="R533">
        <v>0</v>
      </c>
      <c r="S533">
        <v>73.2</v>
      </c>
      <c r="T533">
        <v>77</v>
      </c>
      <c r="U533">
        <f>SUMIF(货件明细!J:J,E533,货件明细!AP:AP)</f>
        <v>0</v>
      </c>
      <c r="V533">
        <f>IF(U533=T533,0,1)</f>
        <v>1</v>
      </c>
      <c r="W533">
        <f>T533</f>
        <v>77</v>
      </c>
      <c r="X533">
        <f>SUMIF(货件明细!J:J,E533,货件明细!H:H)</f>
        <v>0</v>
      </c>
      <c r="Y533">
        <f>N533-X533</f>
        <v>10.5</v>
      </c>
      <c r="Z533">
        <f>SUMIF(货件明细!J:J,E533,货件明细!I:I)</f>
        <v>0</v>
      </c>
      <c r="AA533">
        <f>IF(S533=Z533,0,1)</f>
        <v>1</v>
      </c>
    </row>
    <row r="534" hidden="1" spans="1:27">
      <c r="A534">
        <v>1</v>
      </c>
      <c r="B534">
        <v>4</v>
      </c>
      <c r="C534" s="3">
        <v>46046</v>
      </c>
      <c r="D534" t="s">
        <v>27</v>
      </c>
      <c r="E534" t="s">
        <v>635</v>
      </c>
      <c r="F534" t="s">
        <v>62</v>
      </c>
      <c r="G534" t="s">
        <v>30</v>
      </c>
      <c r="H534" t="s">
        <v>39</v>
      </c>
      <c r="I534" t="s">
        <v>39</v>
      </c>
      <c r="J534" t="s">
        <v>92</v>
      </c>
      <c r="K534" t="s">
        <v>64</v>
      </c>
      <c r="L534" t="s">
        <v>65</v>
      </c>
      <c r="M534" t="s">
        <v>93</v>
      </c>
      <c r="N534">
        <v>10.5</v>
      </c>
      <c r="O534">
        <v>20.625</v>
      </c>
      <c r="P534">
        <v>84.825</v>
      </c>
      <c r="Q534">
        <v>105.45</v>
      </c>
      <c r="R534">
        <v>0</v>
      </c>
      <c r="S534">
        <v>105.45</v>
      </c>
      <c r="T534">
        <v>77</v>
      </c>
      <c r="U534">
        <f>SUMIF(货件明细!J:J,E534,货件明细!AP:AP)</f>
        <v>0</v>
      </c>
      <c r="V534">
        <f>IF(U534=T534,0,1)</f>
        <v>1</v>
      </c>
      <c r="W534">
        <f>T534</f>
        <v>77</v>
      </c>
      <c r="X534">
        <f>SUMIF(货件明细!J:J,E534,货件明细!H:H)</f>
        <v>0</v>
      </c>
      <c r="Y534">
        <f>N534-X534</f>
        <v>10.5</v>
      </c>
      <c r="Z534">
        <f>SUMIF(货件明细!J:J,E534,货件明细!I:I)</f>
        <v>0</v>
      </c>
      <c r="AA534">
        <f>IF(S534=Z534,0,1)</f>
        <v>1</v>
      </c>
    </row>
    <row r="535" hidden="1" spans="1:27">
      <c r="A535">
        <v>1</v>
      </c>
      <c r="B535">
        <v>4</v>
      </c>
      <c r="C535" s="3">
        <v>46046</v>
      </c>
      <c r="D535" t="s">
        <v>27</v>
      </c>
      <c r="E535" t="s">
        <v>636</v>
      </c>
      <c r="F535" t="s">
        <v>239</v>
      </c>
      <c r="G535" t="s">
        <v>72</v>
      </c>
      <c r="H535" t="s">
        <v>39</v>
      </c>
      <c r="I535" t="s">
        <v>39</v>
      </c>
      <c r="J535" t="s">
        <v>92</v>
      </c>
      <c r="K535" t="s">
        <v>64</v>
      </c>
      <c r="L535" t="s">
        <v>65</v>
      </c>
      <c r="M535" t="s">
        <v>93</v>
      </c>
      <c r="N535">
        <v>10.5</v>
      </c>
      <c r="O535">
        <v>13.2</v>
      </c>
      <c r="P535">
        <v>65.4545454545455</v>
      </c>
      <c r="Q535">
        <v>78.6545454545455</v>
      </c>
      <c r="R535">
        <v>0</v>
      </c>
      <c r="S535">
        <v>78.6545454545455</v>
      </c>
      <c r="T535">
        <v>77</v>
      </c>
      <c r="U535">
        <f>SUMIF(货件明细!J:J,E535,货件明细!AP:AP)</f>
        <v>0</v>
      </c>
      <c r="V535">
        <f>IF(U535=T535,0,1)</f>
        <v>1</v>
      </c>
      <c r="W535">
        <f>T535</f>
        <v>77</v>
      </c>
      <c r="X535">
        <f>SUMIF(货件明细!J:J,E535,货件明细!H:H)</f>
        <v>0</v>
      </c>
      <c r="Y535">
        <f>N535-X535</f>
        <v>10.5</v>
      </c>
      <c r="Z535">
        <f>SUMIF(货件明细!J:J,E535,货件明细!I:I)</f>
        <v>0</v>
      </c>
      <c r="AA535">
        <f>IF(S535=Z535,0,1)</f>
        <v>1</v>
      </c>
    </row>
    <row r="536" hidden="1" spans="1:27">
      <c r="A536">
        <v>1</v>
      </c>
      <c r="B536">
        <v>4</v>
      </c>
      <c r="C536" s="3">
        <v>46046</v>
      </c>
      <c r="D536" t="s">
        <v>27</v>
      </c>
      <c r="E536" t="s">
        <v>637</v>
      </c>
      <c r="F536" t="s">
        <v>195</v>
      </c>
      <c r="G536" t="s">
        <v>30</v>
      </c>
      <c r="H536" t="s">
        <v>39</v>
      </c>
      <c r="I536" t="s">
        <v>39</v>
      </c>
      <c r="J536" t="s">
        <v>92</v>
      </c>
      <c r="K536" t="s">
        <v>64</v>
      </c>
      <c r="L536" t="s">
        <v>65</v>
      </c>
      <c r="M536" t="s">
        <v>93</v>
      </c>
      <c r="N536">
        <v>10.5</v>
      </c>
      <c r="O536">
        <v>20.625</v>
      </c>
      <c r="P536">
        <v>87.99375</v>
      </c>
      <c r="Q536">
        <v>108.61875</v>
      </c>
      <c r="R536">
        <v>0</v>
      </c>
      <c r="S536">
        <v>108.61875</v>
      </c>
      <c r="T536">
        <v>77</v>
      </c>
      <c r="U536">
        <f>SUMIF(货件明细!J:J,E536,货件明细!AP:AP)</f>
        <v>0</v>
      </c>
      <c r="V536">
        <f>IF(U536=T536,0,1)</f>
        <v>1</v>
      </c>
      <c r="W536">
        <f>T536</f>
        <v>77</v>
      </c>
      <c r="X536">
        <f>SUMIF(货件明细!J:J,E536,货件明细!H:H)</f>
        <v>0</v>
      </c>
      <c r="Y536">
        <f>N536-X536</f>
        <v>10.5</v>
      </c>
      <c r="Z536">
        <f>SUMIF(货件明细!J:J,E536,货件明细!I:I)</f>
        <v>0</v>
      </c>
      <c r="AA536">
        <f>IF(S536=Z536,0,1)</f>
        <v>1</v>
      </c>
    </row>
    <row r="537" hidden="1" spans="1:27">
      <c r="A537">
        <v>1</v>
      </c>
      <c r="B537">
        <v>4</v>
      </c>
      <c r="C537" s="3">
        <v>46046</v>
      </c>
      <c r="D537" t="s">
        <v>27</v>
      </c>
      <c r="E537" t="s">
        <v>638</v>
      </c>
      <c r="F537" t="s">
        <v>62</v>
      </c>
      <c r="G537" t="s">
        <v>30</v>
      </c>
      <c r="H537" t="s">
        <v>56</v>
      </c>
      <c r="I537" t="s">
        <v>56</v>
      </c>
      <c r="J537" t="s">
        <v>92</v>
      </c>
      <c r="K537" t="s">
        <v>64</v>
      </c>
      <c r="L537" t="s">
        <v>65</v>
      </c>
      <c r="M537" t="s">
        <v>93</v>
      </c>
      <c r="N537">
        <v>28.33</v>
      </c>
      <c r="O537">
        <v>20.625</v>
      </c>
      <c r="P537">
        <v>169.65</v>
      </c>
      <c r="Q537">
        <v>190.275</v>
      </c>
      <c r="R537">
        <v>0</v>
      </c>
      <c r="S537">
        <v>190.275</v>
      </c>
      <c r="T537">
        <v>133</v>
      </c>
      <c r="U537">
        <f>SUMIF(货件明细!J:J,E537,货件明细!AP:AP)</f>
        <v>0</v>
      </c>
      <c r="V537">
        <f>IF(U537=T537,0,1)</f>
        <v>1</v>
      </c>
      <c r="W537">
        <f>T537</f>
        <v>133</v>
      </c>
      <c r="X537">
        <f>SUMIF(货件明细!J:J,E537,货件明细!H:H)</f>
        <v>0</v>
      </c>
      <c r="Y537">
        <f>N537-X537</f>
        <v>28.33</v>
      </c>
      <c r="Z537">
        <f>SUMIF(货件明细!J:J,E537,货件明细!I:I)</f>
        <v>0</v>
      </c>
      <c r="AA537">
        <f>IF(S537=Z537,0,1)</f>
        <v>1</v>
      </c>
    </row>
    <row r="538" hidden="1" spans="1:27">
      <c r="A538">
        <v>1</v>
      </c>
      <c r="B538">
        <v>4</v>
      </c>
      <c r="C538" s="3">
        <v>46046</v>
      </c>
      <c r="D538" t="s">
        <v>27</v>
      </c>
      <c r="E538" t="s">
        <v>639</v>
      </c>
      <c r="F538" t="s">
        <v>187</v>
      </c>
      <c r="G538" t="s">
        <v>72</v>
      </c>
      <c r="H538" t="s">
        <v>56</v>
      </c>
      <c r="I538" t="s">
        <v>56</v>
      </c>
      <c r="J538" t="s">
        <v>92</v>
      </c>
      <c r="K538" t="s">
        <v>64</v>
      </c>
      <c r="L538" t="s">
        <v>65</v>
      </c>
      <c r="M538" t="s">
        <v>93</v>
      </c>
      <c r="N538">
        <v>28.33</v>
      </c>
      <c r="O538">
        <v>13.2</v>
      </c>
      <c r="P538">
        <v>121.090909090909</v>
      </c>
      <c r="Q538">
        <v>134.290909090909</v>
      </c>
      <c r="R538">
        <v>0</v>
      </c>
      <c r="S538">
        <v>134.290909090909</v>
      </c>
      <c r="T538">
        <v>133</v>
      </c>
      <c r="U538">
        <f>SUMIF(货件明细!J:J,E538,货件明细!AP:AP)</f>
        <v>0</v>
      </c>
      <c r="V538">
        <f>IF(U538=T538,0,1)</f>
        <v>1</v>
      </c>
      <c r="W538">
        <f>T538</f>
        <v>133</v>
      </c>
      <c r="X538">
        <f>SUMIF(货件明细!J:J,E538,货件明细!H:H)</f>
        <v>0</v>
      </c>
      <c r="Y538">
        <f>N538-X538</f>
        <v>28.33</v>
      </c>
      <c r="Z538">
        <f>SUMIF(货件明细!J:J,E538,货件明细!I:I)</f>
        <v>0</v>
      </c>
      <c r="AA538">
        <f>IF(S538=Z538,0,1)</f>
        <v>1</v>
      </c>
    </row>
    <row r="539" hidden="1" spans="1:27">
      <c r="A539">
        <v>1</v>
      </c>
      <c r="B539">
        <v>4</v>
      </c>
      <c r="C539" s="3">
        <v>46046</v>
      </c>
      <c r="D539" t="s">
        <v>27</v>
      </c>
      <c r="E539" t="s">
        <v>640</v>
      </c>
      <c r="F539" t="s">
        <v>195</v>
      </c>
      <c r="G539" t="s">
        <v>30</v>
      </c>
      <c r="H539" t="s">
        <v>56</v>
      </c>
      <c r="I539" t="s">
        <v>56</v>
      </c>
      <c r="J539" t="s">
        <v>92</v>
      </c>
      <c r="K539" t="s">
        <v>64</v>
      </c>
      <c r="L539" t="s">
        <v>65</v>
      </c>
      <c r="M539" t="s">
        <v>93</v>
      </c>
      <c r="N539">
        <v>28.33</v>
      </c>
      <c r="O539">
        <v>20.625</v>
      </c>
      <c r="P539">
        <v>175.9875</v>
      </c>
      <c r="Q539">
        <v>196.6125</v>
      </c>
      <c r="R539">
        <v>0</v>
      </c>
      <c r="S539">
        <v>196.6125</v>
      </c>
      <c r="T539">
        <v>133</v>
      </c>
      <c r="U539">
        <f>SUMIF(货件明细!J:J,E539,货件明细!AP:AP)</f>
        <v>0</v>
      </c>
      <c r="V539">
        <f>IF(U539=T539,0,1)</f>
        <v>1</v>
      </c>
      <c r="W539">
        <f>T539</f>
        <v>133</v>
      </c>
      <c r="X539">
        <f>SUMIF(货件明细!J:J,E539,货件明细!H:H)</f>
        <v>0</v>
      </c>
      <c r="Y539">
        <f>N539-X539</f>
        <v>28.33</v>
      </c>
      <c r="Z539">
        <f>SUMIF(货件明细!J:J,E539,货件明细!I:I)</f>
        <v>0</v>
      </c>
      <c r="AA539">
        <f>IF(S539=Z539,0,1)</f>
        <v>1</v>
      </c>
    </row>
    <row r="540" hidden="1" spans="1:27">
      <c r="A540">
        <v>1</v>
      </c>
      <c r="B540">
        <v>4</v>
      </c>
      <c r="C540" s="3">
        <v>46046</v>
      </c>
      <c r="D540" t="s">
        <v>27</v>
      </c>
      <c r="E540" t="s">
        <v>641</v>
      </c>
      <c r="F540" t="s">
        <v>239</v>
      </c>
      <c r="G540" t="s">
        <v>72</v>
      </c>
      <c r="H540" t="s">
        <v>56</v>
      </c>
      <c r="I540" t="s">
        <v>56</v>
      </c>
      <c r="J540" t="s">
        <v>92</v>
      </c>
      <c r="K540" t="s">
        <v>64</v>
      </c>
      <c r="L540" t="s">
        <v>65</v>
      </c>
      <c r="M540" t="s">
        <v>93</v>
      </c>
      <c r="N540">
        <v>28.33</v>
      </c>
      <c r="O540">
        <v>13.2</v>
      </c>
      <c r="P540">
        <v>130.909090909091</v>
      </c>
      <c r="Q540">
        <v>144.109090909091</v>
      </c>
      <c r="R540">
        <v>0</v>
      </c>
      <c r="S540">
        <v>144.109090909091</v>
      </c>
      <c r="T540">
        <v>133</v>
      </c>
      <c r="U540">
        <f>SUMIF(货件明细!J:J,E540,货件明细!AP:AP)</f>
        <v>0</v>
      </c>
      <c r="V540">
        <f>IF(U540=T540,0,1)</f>
        <v>1</v>
      </c>
      <c r="W540">
        <f>T540</f>
        <v>133</v>
      </c>
      <c r="X540">
        <f>SUMIF(货件明细!J:J,E540,货件明细!H:H)</f>
        <v>0</v>
      </c>
      <c r="Y540">
        <f>N540-X540</f>
        <v>28.33</v>
      </c>
      <c r="Z540">
        <f>SUMIF(货件明细!J:J,E540,货件明细!I:I)</f>
        <v>0</v>
      </c>
      <c r="AA540">
        <f>IF(S540=Z540,0,1)</f>
        <v>1</v>
      </c>
    </row>
    <row r="541" hidden="1" spans="1:27">
      <c r="A541">
        <v>1</v>
      </c>
      <c r="B541">
        <v>4</v>
      </c>
      <c r="C541" s="3">
        <v>46046</v>
      </c>
      <c r="D541" t="s">
        <v>27</v>
      </c>
      <c r="E541" t="s">
        <v>642</v>
      </c>
      <c r="F541" t="s">
        <v>243</v>
      </c>
      <c r="G541" t="s">
        <v>72</v>
      </c>
      <c r="H541" t="s">
        <v>56</v>
      </c>
      <c r="I541" t="s">
        <v>56</v>
      </c>
      <c r="J541" t="s">
        <v>92</v>
      </c>
      <c r="K541" t="s">
        <v>64</v>
      </c>
      <c r="L541" t="s">
        <v>65</v>
      </c>
      <c r="M541" t="s">
        <v>93</v>
      </c>
      <c r="N541">
        <v>28.33</v>
      </c>
      <c r="O541">
        <v>13.2</v>
      </c>
      <c r="P541">
        <v>144</v>
      </c>
      <c r="Q541">
        <v>157.2</v>
      </c>
      <c r="R541">
        <v>0</v>
      </c>
      <c r="S541">
        <v>157.2</v>
      </c>
      <c r="T541">
        <v>133</v>
      </c>
      <c r="U541">
        <f>SUMIF(货件明细!J:J,E541,货件明细!AP:AP)</f>
        <v>0</v>
      </c>
      <c r="V541">
        <f>IF(U541=T541,0,1)</f>
        <v>1</v>
      </c>
      <c r="W541">
        <f>T541</f>
        <v>133</v>
      </c>
      <c r="X541">
        <f>SUMIF(货件明细!J:J,E541,货件明细!H:H)</f>
        <v>0</v>
      </c>
      <c r="Y541">
        <f>N541-X541</f>
        <v>28.33</v>
      </c>
      <c r="Z541">
        <f>SUMIF(货件明细!J:J,E541,货件明细!I:I)</f>
        <v>0</v>
      </c>
      <c r="AA541">
        <f>IF(S541=Z541,0,1)</f>
        <v>1</v>
      </c>
    </row>
    <row r="542" hidden="1" spans="1:27">
      <c r="A542">
        <v>1</v>
      </c>
      <c r="B542">
        <v>4</v>
      </c>
      <c r="C542" s="3">
        <v>46046</v>
      </c>
      <c r="D542" t="s">
        <v>27</v>
      </c>
      <c r="E542" t="s">
        <v>643</v>
      </c>
      <c r="F542" t="s">
        <v>195</v>
      </c>
      <c r="G542" t="s">
        <v>30</v>
      </c>
      <c r="H542" t="s">
        <v>37</v>
      </c>
      <c r="I542" t="s">
        <v>92</v>
      </c>
      <c r="J542" t="s">
        <v>92</v>
      </c>
      <c r="K542" t="s">
        <v>64</v>
      </c>
      <c r="L542" t="s">
        <v>65</v>
      </c>
      <c r="M542" t="s">
        <v>93</v>
      </c>
      <c r="N542">
        <v>25.5</v>
      </c>
      <c r="O542">
        <v>20.625</v>
      </c>
      <c r="P542">
        <v>175.9875</v>
      </c>
      <c r="Q542">
        <v>196.6125</v>
      </c>
      <c r="R542">
        <v>0</v>
      </c>
      <c r="S542">
        <v>196.6125</v>
      </c>
      <c r="T542">
        <v>207</v>
      </c>
      <c r="U542">
        <f>SUMIF(货件明细!J:J,E542,货件明细!AP:AP)</f>
        <v>0</v>
      </c>
      <c r="V542">
        <f>IF(U542=T542,0,1)</f>
        <v>1</v>
      </c>
      <c r="W542">
        <f>T542</f>
        <v>207</v>
      </c>
      <c r="X542">
        <f>SUMIF(货件明细!J:J,E542,货件明细!H:H)</f>
        <v>0</v>
      </c>
      <c r="Y542">
        <f>N542-X542</f>
        <v>25.5</v>
      </c>
      <c r="Z542">
        <f>SUMIF(货件明细!J:J,E542,货件明细!I:I)</f>
        <v>0</v>
      </c>
      <c r="AA542">
        <f>IF(S542=Z542,0,1)</f>
        <v>1</v>
      </c>
    </row>
    <row r="543" hidden="1" spans="1:27">
      <c r="A543">
        <v>1</v>
      </c>
      <c r="B543">
        <v>4</v>
      </c>
      <c r="C543" s="3">
        <v>46046</v>
      </c>
      <c r="D543" t="s">
        <v>27</v>
      </c>
      <c r="E543" t="s">
        <v>644</v>
      </c>
      <c r="F543" t="s">
        <v>62</v>
      </c>
      <c r="G543" t="s">
        <v>30</v>
      </c>
      <c r="H543" t="s">
        <v>37</v>
      </c>
      <c r="I543" t="s">
        <v>92</v>
      </c>
      <c r="J543" t="s">
        <v>92</v>
      </c>
      <c r="K543" t="s">
        <v>64</v>
      </c>
      <c r="L543" t="s">
        <v>65</v>
      </c>
      <c r="M543" t="s">
        <v>93</v>
      </c>
      <c r="N543">
        <v>25.5</v>
      </c>
      <c r="O543">
        <v>20.625</v>
      </c>
      <c r="P543">
        <v>169.65</v>
      </c>
      <c r="Q543">
        <v>190.275</v>
      </c>
      <c r="R543">
        <v>0</v>
      </c>
      <c r="S543">
        <v>190.275</v>
      </c>
      <c r="T543">
        <v>207</v>
      </c>
      <c r="U543">
        <f>SUMIF(货件明细!J:J,E543,货件明细!AP:AP)</f>
        <v>0</v>
      </c>
      <c r="V543">
        <f>IF(U543=T543,0,1)</f>
        <v>1</v>
      </c>
      <c r="W543">
        <f>T543</f>
        <v>207</v>
      </c>
      <c r="X543">
        <f>SUMIF(货件明细!J:J,E543,货件明细!H:H)</f>
        <v>0</v>
      </c>
      <c r="Y543">
        <f>N543-X543</f>
        <v>25.5</v>
      </c>
      <c r="Z543">
        <f>SUMIF(货件明细!J:J,E543,货件明细!I:I)</f>
        <v>0</v>
      </c>
      <c r="AA543">
        <f>IF(S543=Z543,0,1)</f>
        <v>1</v>
      </c>
    </row>
    <row r="544" hidden="1" spans="1:27">
      <c r="A544">
        <v>1</v>
      </c>
      <c r="B544">
        <v>4</v>
      </c>
      <c r="C544" s="3">
        <v>46046</v>
      </c>
      <c r="D544" t="s">
        <v>27</v>
      </c>
      <c r="E544" t="s">
        <v>645</v>
      </c>
      <c r="F544" t="s">
        <v>243</v>
      </c>
      <c r="G544" t="s">
        <v>72</v>
      </c>
      <c r="H544" t="s">
        <v>37</v>
      </c>
      <c r="I544" t="s">
        <v>92</v>
      </c>
      <c r="J544" t="s">
        <v>92</v>
      </c>
      <c r="K544" t="s">
        <v>64</v>
      </c>
      <c r="L544" t="s">
        <v>65</v>
      </c>
      <c r="M544" t="s">
        <v>93</v>
      </c>
      <c r="N544">
        <v>25.5</v>
      </c>
      <c r="O544">
        <v>13.2</v>
      </c>
      <c r="P544">
        <v>96</v>
      </c>
      <c r="Q544">
        <v>109.2</v>
      </c>
      <c r="R544">
        <v>0</v>
      </c>
      <c r="S544">
        <v>109.2</v>
      </c>
      <c r="T544">
        <v>207</v>
      </c>
      <c r="U544">
        <f>SUMIF(货件明细!J:J,E544,货件明细!AP:AP)</f>
        <v>0</v>
      </c>
      <c r="V544">
        <f>IF(U544=T544,0,1)</f>
        <v>1</v>
      </c>
      <c r="W544">
        <f>T544</f>
        <v>207</v>
      </c>
      <c r="X544">
        <f>SUMIF(货件明细!J:J,E544,货件明细!H:H)</f>
        <v>0</v>
      </c>
      <c r="Y544">
        <f>N544-X544</f>
        <v>25.5</v>
      </c>
      <c r="Z544">
        <f>SUMIF(货件明细!J:J,E544,货件明细!I:I)</f>
        <v>0</v>
      </c>
      <c r="AA544">
        <f>IF(S544=Z544,0,1)</f>
        <v>1</v>
      </c>
    </row>
    <row r="545" hidden="1" spans="1:27">
      <c r="A545">
        <v>1</v>
      </c>
      <c r="B545">
        <v>4</v>
      </c>
      <c r="C545" s="3">
        <v>46046</v>
      </c>
      <c r="D545" t="s">
        <v>27</v>
      </c>
      <c r="E545" t="s">
        <v>646</v>
      </c>
      <c r="F545" t="s">
        <v>187</v>
      </c>
      <c r="G545" t="s">
        <v>72</v>
      </c>
      <c r="H545" t="s">
        <v>37</v>
      </c>
      <c r="I545" t="s">
        <v>92</v>
      </c>
      <c r="J545" t="s">
        <v>92</v>
      </c>
      <c r="K545" t="s">
        <v>64</v>
      </c>
      <c r="L545" t="s">
        <v>65</v>
      </c>
      <c r="M545" t="s">
        <v>93</v>
      </c>
      <c r="N545">
        <v>25.5</v>
      </c>
      <c r="O545">
        <v>13.2</v>
      </c>
      <c r="P545">
        <v>121.090909090909</v>
      </c>
      <c r="Q545">
        <v>134.290909090909</v>
      </c>
      <c r="R545">
        <v>0</v>
      </c>
      <c r="S545">
        <v>134.290909090909</v>
      </c>
      <c r="T545">
        <v>207</v>
      </c>
      <c r="U545">
        <f>SUMIF(货件明细!J:J,E545,货件明细!AP:AP)</f>
        <v>0</v>
      </c>
      <c r="V545">
        <f>IF(U545=T545,0,1)</f>
        <v>1</v>
      </c>
      <c r="W545">
        <f>T545</f>
        <v>207</v>
      </c>
      <c r="X545">
        <f>SUMIF(货件明细!J:J,E545,货件明细!H:H)</f>
        <v>0</v>
      </c>
      <c r="Y545">
        <f>N545-X545</f>
        <v>25.5</v>
      </c>
      <c r="Z545">
        <f>SUMIF(货件明细!J:J,E545,货件明细!I:I)</f>
        <v>0</v>
      </c>
      <c r="AA545">
        <f>IF(S545=Z545,0,1)</f>
        <v>1</v>
      </c>
    </row>
    <row r="546" hidden="1" spans="1:27">
      <c r="A546">
        <v>1</v>
      </c>
      <c r="B546">
        <v>4</v>
      </c>
      <c r="C546" s="3">
        <v>46046</v>
      </c>
      <c r="D546" t="s">
        <v>27</v>
      </c>
      <c r="E546" t="s">
        <v>647</v>
      </c>
      <c r="F546" t="s">
        <v>239</v>
      </c>
      <c r="G546" t="s">
        <v>72</v>
      </c>
      <c r="H546" t="s">
        <v>37</v>
      </c>
      <c r="I546" t="s">
        <v>92</v>
      </c>
      <c r="J546" t="s">
        <v>92</v>
      </c>
      <c r="K546" t="s">
        <v>64</v>
      </c>
      <c r="L546" t="s">
        <v>65</v>
      </c>
      <c r="M546" t="s">
        <v>93</v>
      </c>
      <c r="N546">
        <v>25.5</v>
      </c>
      <c r="O546">
        <v>13.2</v>
      </c>
      <c r="P546">
        <v>130.909090909091</v>
      </c>
      <c r="Q546">
        <v>144.109090909091</v>
      </c>
      <c r="R546">
        <v>0</v>
      </c>
      <c r="S546">
        <v>144.109090909091</v>
      </c>
      <c r="T546">
        <v>207</v>
      </c>
      <c r="U546">
        <f>SUMIF(货件明细!J:J,E546,货件明细!AP:AP)</f>
        <v>0</v>
      </c>
      <c r="V546">
        <f>IF(U546=T546,0,1)</f>
        <v>1</v>
      </c>
      <c r="W546">
        <f>T546</f>
        <v>207</v>
      </c>
      <c r="X546">
        <f>SUMIF(货件明细!J:J,E546,货件明细!H:H)</f>
        <v>0</v>
      </c>
      <c r="Y546">
        <f>N546-X546</f>
        <v>25.5</v>
      </c>
      <c r="Z546">
        <f>SUMIF(货件明细!J:J,E546,货件明细!I:I)</f>
        <v>0</v>
      </c>
      <c r="AA546">
        <f>IF(S546=Z546,0,1)</f>
        <v>1</v>
      </c>
    </row>
    <row r="547" spans="1:27">
      <c r="A547">
        <v>1</v>
      </c>
      <c r="B547">
        <v>5</v>
      </c>
      <c r="C547" s="3">
        <v>46048</v>
      </c>
      <c r="D547" t="s">
        <v>27</v>
      </c>
      <c r="E547" t="s">
        <v>648</v>
      </c>
      <c r="F547" t="s">
        <v>649</v>
      </c>
      <c r="G547" t="s">
        <v>72</v>
      </c>
      <c r="H547" t="s">
        <v>56</v>
      </c>
      <c r="I547" t="s">
        <v>42</v>
      </c>
      <c r="J547" t="s">
        <v>42</v>
      </c>
      <c r="K547" t="s">
        <v>33</v>
      </c>
      <c r="L547" t="s">
        <v>323</v>
      </c>
      <c r="M547" t="s">
        <v>44</v>
      </c>
      <c r="N547">
        <v>17.6</v>
      </c>
      <c r="O547">
        <v>100</v>
      </c>
      <c r="P547">
        <v>951</v>
      </c>
      <c r="Q547">
        <v>1051</v>
      </c>
      <c r="R547">
        <v>145.95</v>
      </c>
      <c r="S547">
        <v>1196.95</v>
      </c>
      <c r="T547">
        <v>70</v>
      </c>
      <c r="U547">
        <f>SUMIF(货件明细!J:J,E547,货件明细!AP:AP)</f>
        <v>70</v>
      </c>
      <c r="V547">
        <f>IF(U547=T547,0,1)</f>
        <v>0</v>
      </c>
      <c r="W547">
        <f>T547</f>
        <v>70</v>
      </c>
      <c r="X547">
        <f>SUMIF(货件明细!J:J,E547,货件明细!H:H)</f>
        <v>16.156</v>
      </c>
      <c r="Y547">
        <f>N547-X547</f>
        <v>1.444</v>
      </c>
      <c r="Z547">
        <f>SUMIF(货件明细!J:J,E547,货件明细!I:I)</f>
        <v>1196.95</v>
      </c>
      <c r="AA547">
        <f>IF(S547=Z547,0,1)</f>
        <v>0</v>
      </c>
    </row>
    <row r="548" spans="1:27">
      <c r="A548">
        <v>1</v>
      </c>
      <c r="B548">
        <v>5</v>
      </c>
      <c r="C548" s="3">
        <v>46048</v>
      </c>
      <c r="D548" t="s">
        <v>27</v>
      </c>
      <c r="E548" t="s">
        <v>650</v>
      </c>
      <c r="F548" t="s">
        <v>649</v>
      </c>
      <c r="G548" t="s">
        <v>72</v>
      </c>
      <c r="H548" t="s">
        <v>37</v>
      </c>
      <c r="I548" t="s">
        <v>42</v>
      </c>
      <c r="J548" t="s">
        <v>42</v>
      </c>
      <c r="K548" t="s">
        <v>33</v>
      </c>
      <c r="L548" t="s">
        <v>323</v>
      </c>
      <c r="M548" t="s">
        <v>44</v>
      </c>
      <c r="N548">
        <v>15.29</v>
      </c>
      <c r="O548">
        <v>100</v>
      </c>
      <c r="P548">
        <v>857</v>
      </c>
      <c r="Q548">
        <v>957</v>
      </c>
      <c r="R548">
        <v>312.75</v>
      </c>
      <c r="S548">
        <v>1269.75</v>
      </c>
      <c r="T548">
        <v>150</v>
      </c>
      <c r="U548">
        <f>SUMIF(货件明细!J:J,E548,货件明细!AP:AP)</f>
        <v>150</v>
      </c>
      <c r="V548">
        <f>IF(U548=T548,0,1)</f>
        <v>0</v>
      </c>
      <c r="W548">
        <f>T548</f>
        <v>150</v>
      </c>
      <c r="X548">
        <f>SUMIF(货件明细!J:J,E548,货件明细!H:H)</f>
        <v>14.352</v>
      </c>
      <c r="Y548">
        <f>N548-X548</f>
        <v>0.937999999999999</v>
      </c>
      <c r="Z548">
        <f>SUMIF(货件明细!J:J,E548,货件明细!I:I)</f>
        <v>1269.75</v>
      </c>
      <c r="AA548">
        <f>IF(S548=Z548,0,1)</f>
        <v>0</v>
      </c>
    </row>
    <row r="549" spans="1:27">
      <c r="A549">
        <v>1</v>
      </c>
      <c r="B549">
        <v>5</v>
      </c>
      <c r="C549" s="3">
        <v>46050</v>
      </c>
      <c r="D549" t="s">
        <v>27</v>
      </c>
      <c r="E549" t="s">
        <v>651</v>
      </c>
      <c r="F549" t="s">
        <v>652</v>
      </c>
      <c r="G549" t="s">
        <v>72</v>
      </c>
      <c r="H549" t="s">
        <v>51</v>
      </c>
      <c r="I549" t="s">
        <v>32</v>
      </c>
      <c r="J549" t="s">
        <v>32</v>
      </c>
      <c r="K549" t="s">
        <v>33</v>
      </c>
      <c r="L549" t="s">
        <v>323</v>
      </c>
      <c r="M549" t="s">
        <v>47</v>
      </c>
      <c r="N549">
        <v>32.43</v>
      </c>
      <c r="O549">
        <v>100</v>
      </c>
      <c r="P549">
        <v>1485</v>
      </c>
      <c r="Q549">
        <v>1585</v>
      </c>
      <c r="R549">
        <v>305.8</v>
      </c>
      <c r="S549">
        <v>1890.8</v>
      </c>
      <c r="T549">
        <v>100</v>
      </c>
      <c r="U549">
        <f>SUMIF(货件明细!J:J,E549,货件明细!AP:AP)</f>
        <v>100</v>
      </c>
      <c r="V549">
        <f>IF(U549=T549,0,1)</f>
        <v>0</v>
      </c>
      <c r="W549">
        <f>T549</f>
        <v>100</v>
      </c>
      <c r="X549">
        <f>SUMIF(货件明细!J:J,E549,货件明细!H:H)</f>
        <v>30.3</v>
      </c>
      <c r="Y549">
        <f>N549-X549</f>
        <v>2.13</v>
      </c>
      <c r="Z549">
        <f>SUMIF(货件明细!J:J,E549,货件明细!I:I)</f>
        <v>1890.8</v>
      </c>
      <c r="AA549">
        <f>IF(S549=Z549,0,1)</f>
        <v>0</v>
      </c>
    </row>
    <row r="550" spans="1:27">
      <c r="A550">
        <v>1</v>
      </c>
      <c r="B550">
        <v>5</v>
      </c>
      <c r="C550" s="3">
        <v>46050</v>
      </c>
      <c r="D550" t="s">
        <v>27</v>
      </c>
      <c r="E550" t="s">
        <v>653</v>
      </c>
      <c r="F550" t="s">
        <v>652</v>
      </c>
      <c r="G550" t="s">
        <v>72</v>
      </c>
      <c r="H550" t="s">
        <v>59</v>
      </c>
      <c r="I550" t="s">
        <v>32</v>
      </c>
      <c r="J550" t="s">
        <v>32</v>
      </c>
      <c r="K550" t="s">
        <v>33</v>
      </c>
      <c r="L550" t="s">
        <v>323</v>
      </c>
      <c r="M550" t="s">
        <v>47</v>
      </c>
      <c r="N550">
        <v>13.7</v>
      </c>
      <c r="O550">
        <v>100</v>
      </c>
      <c r="P550">
        <v>630</v>
      </c>
      <c r="Q550">
        <v>730</v>
      </c>
      <c r="R550">
        <v>354.45</v>
      </c>
      <c r="S550">
        <v>1084.45</v>
      </c>
      <c r="T550">
        <v>170</v>
      </c>
      <c r="U550">
        <f>SUMIF(货件明细!J:J,E550,货件明细!AP:AP)</f>
        <v>170</v>
      </c>
      <c r="V550">
        <f>IF(U550=T550,0,1)</f>
        <v>0</v>
      </c>
      <c r="W550">
        <f>T550</f>
        <v>170</v>
      </c>
      <c r="X550">
        <f>SUMIF(货件明细!J:J,E550,货件明细!H:H)</f>
        <v>12.71</v>
      </c>
      <c r="Y550">
        <f>N550-X550</f>
        <v>0.99</v>
      </c>
      <c r="Z550">
        <f>SUMIF(货件明细!J:J,E550,货件明细!I:I)</f>
        <v>1084.45</v>
      </c>
      <c r="AA550">
        <f>IF(S550=Z550,0,1)</f>
        <v>0</v>
      </c>
    </row>
    <row r="551" spans="1:27">
      <c r="A551">
        <v>1</v>
      </c>
      <c r="B551">
        <v>5</v>
      </c>
      <c r="C551" s="3">
        <v>46050</v>
      </c>
      <c r="D551" t="s">
        <v>27</v>
      </c>
      <c r="E551" t="s">
        <v>654</v>
      </c>
      <c r="F551" t="s">
        <v>652</v>
      </c>
      <c r="G551" t="s">
        <v>72</v>
      </c>
      <c r="H551" t="s">
        <v>224</v>
      </c>
      <c r="I551" t="s">
        <v>32</v>
      </c>
      <c r="J551" t="s">
        <v>32</v>
      </c>
      <c r="K551" t="s">
        <v>33</v>
      </c>
      <c r="L551" t="s">
        <v>323</v>
      </c>
      <c r="M551" t="s">
        <v>47</v>
      </c>
      <c r="N551">
        <v>15.15</v>
      </c>
      <c r="O551">
        <v>100</v>
      </c>
      <c r="P551">
        <v>675</v>
      </c>
      <c r="Q551">
        <v>775</v>
      </c>
      <c r="R551">
        <v>208.5</v>
      </c>
      <c r="S551">
        <v>983.5</v>
      </c>
      <c r="T551">
        <v>100</v>
      </c>
      <c r="U551">
        <f>SUMIF(货件明细!J:J,E551,货件明细!AP:AP)</f>
        <v>100</v>
      </c>
      <c r="V551">
        <f>IF(U551=T551,0,1)</f>
        <v>0</v>
      </c>
      <c r="W551">
        <f>T551</f>
        <v>100</v>
      </c>
      <c r="X551">
        <f>SUMIF(货件明细!J:J,E551,货件明细!H:H)</f>
        <v>14.15</v>
      </c>
      <c r="Y551">
        <f>N551-X551</f>
        <v>1</v>
      </c>
      <c r="Z551">
        <f>SUMIF(货件明细!J:J,E551,货件明细!I:I)</f>
        <v>983.5</v>
      </c>
      <c r="AA551">
        <f>IF(S551=Z551,0,1)</f>
        <v>0</v>
      </c>
    </row>
    <row r="552" hidden="1" spans="1:27">
      <c r="A552">
        <v>1</v>
      </c>
      <c r="B552">
        <v>5</v>
      </c>
      <c r="C552" s="3">
        <v>46051</v>
      </c>
      <c r="D552" t="s">
        <v>27</v>
      </c>
      <c r="E552" t="s">
        <v>655</v>
      </c>
      <c r="F552" t="s">
        <v>195</v>
      </c>
      <c r="G552" t="s">
        <v>30</v>
      </c>
      <c r="H552" t="s">
        <v>59</v>
      </c>
      <c r="I552" t="s">
        <v>63</v>
      </c>
      <c r="J552" t="s">
        <v>63</v>
      </c>
      <c r="K552" t="s">
        <v>64</v>
      </c>
      <c r="L552" t="s">
        <v>65</v>
      </c>
      <c r="M552" t="s">
        <v>66</v>
      </c>
      <c r="N552">
        <v>79</v>
      </c>
      <c r="O552">
        <v>25.5555555555556</v>
      </c>
      <c r="P552">
        <v>403.65</v>
      </c>
      <c r="Q552">
        <v>429.205555555556</v>
      </c>
      <c r="R552">
        <v>0</v>
      </c>
      <c r="S552">
        <v>429.205555555556</v>
      </c>
      <c r="T552">
        <v>305</v>
      </c>
      <c r="U552">
        <f>SUMIF(货件明细!J:J,E552,货件明细!AP:AP)</f>
        <v>0</v>
      </c>
      <c r="V552">
        <f>IF(U552=T552,0,1)</f>
        <v>1</v>
      </c>
      <c r="W552">
        <f>T552</f>
        <v>305</v>
      </c>
      <c r="X552">
        <f>SUMIF(货件明细!J:J,E552,货件明细!H:H)</f>
        <v>0</v>
      </c>
      <c r="Y552">
        <f>N552-X552</f>
        <v>79</v>
      </c>
      <c r="Z552">
        <f>SUMIF(货件明细!J:J,E552,货件明细!I:I)</f>
        <v>0</v>
      </c>
      <c r="AA552">
        <f>IF(S552=Z552,0,1)</f>
        <v>1</v>
      </c>
    </row>
    <row r="553" hidden="1" spans="1:27">
      <c r="A553">
        <v>1</v>
      </c>
      <c r="B553">
        <v>5</v>
      </c>
      <c r="C553" s="3">
        <v>46051</v>
      </c>
      <c r="D553" t="s">
        <v>27</v>
      </c>
      <c r="E553" t="s">
        <v>656</v>
      </c>
      <c r="F553" t="s">
        <v>243</v>
      </c>
      <c r="G553" t="s">
        <v>72</v>
      </c>
      <c r="H553" t="s">
        <v>59</v>
      </c>
      <c r="I553" t="s">
        <v>63</v>
      </c>
      <c r="J553" t="s">
        <v>63</v>
      </c>
      <c r="K553" t="s">
        <v>64</v>
      </c>
      <c r="L553" t="s">
        <v>65</v>
      </c>
      <c r="M553" t="s">
        <v>66</v>
      </c>
      <c r="N553">
        <v>79</v>
      </c>
      <c r="O553">
        <v>25.4545454545455</v>
      </c>
      <c r="P553">
        <v>226.733333333333</v>
      </c>
      <c r="Q553">
        <v>252.187878787879</v>
      </c>
      <c r="R553">
        <v>0</v>
      </c>
      <c r="S553">
        <v>252.187878787879</v>
      </c>
      <c r="T553">
        <v>305</v>
      </c>
      <c r="U553">
        <f>SUMIF(货件明细!J:J,E553,货件明细!AP:AP)</f>
        <v>0</v>
      </c>
      <c r="V553">
        <f>IF(U553=T553,0,1)</f>
        <v>1</v>
      </c>
      <c r="W553">
        <f>T553</f>
        <v>305</v>
      </c>
      <c r="X553">
        <f>SUMIF(货件明细!J:J,E553,货件明细!H:H)</f>
        <v>0</v>
      </c>
      <c r="Y553">
        <f>N553-X553</f>
        <v>79</v>
      </c>
      <c r="Z553">
        <f>SUMIF(货件明细!J:J,E553,货件明细!I:I)</f>
        <v>0</v>
      </c>
      <c r="AA553">
        <f>IF(S553=Z553,0,1)</f>
        <v>1</v>
      </c>
    </row>
    <row r="554" hidden="1" spans="1:27">
      <c r="A554">
        <v>1</v>
      </c>
      <c r="B554">
        <v>5</v>
      </c>
      <c r="C554" s="3">
        <v>46051</v>
      </c>
      <c r="D554" t="s">
        <v>27</v>
      </c>
      <c r="E554" t="s">
        <v>657</v>
      </c>
      <c r="F554" t="s">
        <v>76</v>
      </c>
      <c r="G554" t="s">
        <v>72</v>
      </c>
      <c r="H554" t="s">
        <v>59</v>
      </c>
      <c r="I554" t="s">
        <v>63</v>
      </c>
      <c r="J554" t="s">
        <v>63</v>
      </c>
      <c r="K554" t="s">
        <v>64</v>
      </c>
      <c r="L554" t="s">
        <v>65</v>
      </c>
      <c r="M554" t="s">
        <v>66</v>
      </c>
      <c r="N554">
        <v>79</v>
      </c>
      <c r="O554">
        <v>25.4545454545455</v>
      </c>
      <c r="P554">
        <v>217.35</v>
      </c>
      <c r="Q554">
        <v>242.804545454545</v>
      </c>
      <c r="R554">
        <v>0</v>
      </c>
      <c r="S554">
        <v>242.804545454545</v>
      </c>
      <c r="T554">
        <v>305</v>
      </c>
      <c r="U554">
        <f>SUMIF(货件明细!J:J,E554,货件明细!AP:AP)</f>
        <v>0</v>
      </c>
      <c r="V554">
        <f>IF(U554=T554,0,1)</f>
        <v>1</v>
      </c>
      <c r="W554">
        <f>T554</f>
        <v>305</v>
      </c>
      <c r="X554">
        <f>SUMIF(货件明细!J:J,E554,货件明细!H:H)</f>
        <v>0</v>
      </c>
      <c r="Y554">
        <f>N554-X554</f>
        <v>79</v>
      </c>
      <c r="Z554">
        <f>SUMIF(货件明细!J:J,E554,货件明细!I:I)</f>
        <v>0</v>
      </c>
      <c r="AA554">
        <f>IF(S554=Z554,0,1)</f>
        <v>1</v>
      </c>
    </row>
    <row r="555" hidden="1" spans="1:27">
      <c r="A555">
        <v>1</v>
      </c>
      <c r="B555">
        <v>5</v>
      </c>
      <c r="C555" s="3">
        <v>46051</v>
      </c>
      <c r="D555" t="s">
        <v>27</v>
      </c>
      <c r="E555" t="s">
        <v>658</v>
      </c>
      <c r="F555" t="s">
        <v>68</v>
      </c>
      <c r="G555" t="s">
        <v>69</v>
      </c>
      <c r="H555" t="s">
        <v>59</v>
      </c>
      <c r="I555" t="s">
        <v>63</v>
      </c>
      <c r="J555" t="s">
        <v>63</v>
      </c>
      <c r="K555" t="s">
        <v>64</v>
      </c>
      <c r="L555" t="s">
        <v>65</v>
      </c>
      <c r="M555" t="s">
        <v>66</v>
      </c>
      <c r="N555">
        <v>79</v>
      </c>
      <c r="O555">
        <v>25.5555555555556</v>
      </c>
      <c r="P555">
        <v>317.933333333333</v>
      </c>
      <c r="Q555">
        <v>343.488888888889</v>
      </c>
      <c r="R555">
        <v>0</v>
      </c>
      <c r="S555">
        <v>343.488888888889</v>
      </c>
      <c r="T555">
        <v>305</v>
      </c>
      <c r="U555">
        <f>SUMIF(货件明细!J:J,E555,货件明细!AP:AP)</f>
        <v>0</v>
      </c>
      <c r="V555">
        <f>IF(U555=T555,0,1)</f>
        <v>1</v>
      </c>
      <c r="W555">
        <f>T555</f>
        <v>305</v>
      </c>
      <c r="X555">
        <f>SUMIF(货件明细!J:J,E555,货件明细!H:H)</f>
        <v>0</v>
      </c>
      <c r="Y555">
        <f>N555-X555</f>
        <v>79</v>
      </c>
      <c r="Z555">
        <f>SUMIF(货件明细!J:J,E555,货件明细!I:I)</f>
        <v>0</v>
      </c>
      <c r="AA555">
        <f>IF(S555=Z555,0,1)</f>
        <v>1</v>
      </c>
    </row>
    <row r="556" hidden="1" spans="1:27">
      <c r="A556">
        <v>1</v>
      </c>
      <c r="B556">
        <v>5</v>
      </c>
      <c r="C556" s="3">
        <v>46051</v>
      </c>
      <c r="D556" t="s">
        <v>27</v>
      </c>
      <c r="E556" t="s">
        <v>659</v>
      </c>
      <c r="F556" t="s">
        <v>62</v>
      </c>
      <c r="G556" t="s">
        <v>30</v>
      </c>
      <c r="H556" t="s">
        <v>59</v>
      </c>
      <c r="I556" t="s">
        <v>63</v>
      </c>
      <c r="J556" t="s">
        <v>63</v>
      </c>
      <c r="K556" t="s">
        <v>64</v>
      </c>
      <c r="L556" t="s">
        <v>65</v>
      </c>
      <c r="M556" t="s">
        <v>66</v>
      </c>
      <c r="N556">
        <v>79</v>
      </c>
      <c r="O556">
        <v>25.5555555555556</v>
      </c>
      <c r="P556">
        <v>386.1</v>
      </c>
      <c r="Q556">
        <v>411.655555555556</v>
      </c>
      <c r="R556">
        <v>0</v>
      </c>
      <c r="S556">
        <v>411.655555555556</v>
      </c>
      <c r="T556">
        <v>305</v>
      </c>
      <c r="U556">
        <f>SUMIF(货件明细!J:J,E556,货件明细!AP:AP)</f>
        <v>0</v>
      </c>
      <c r="V556">
        <f>IF(U556=T556,0,1)</f>
        <v>1</v>
      </c>
      <c r="W556">
        <f>T556</f>
        <v>305</v>
      </c>
      <c r="X556">
        <f>SUMIF(货件明细!J:J,E556,货件明细!H:H)</f>
        <v>0</v>
      </c>
      <c r="Y556">
        <f>N556-X556</f>
        <v>79</v>
      </c>
      <c r="Z556">
        <f>SUMIF(货件明细!J:J,E556,货件明细!I:I)</f>
        <v>0</v>
      </c>
      <c r="AA556">
        <f>IF(S556=Z556,0,1)</f>
        <v>1</v>
      </c>
    </row>
    <row r="557" hidden="1" spans="1:27">
      <c r="A557">
        <v>1</v>
      </c>
      <c r="B557">
        <v>5</v>
      </c>
      <c r="C557" s="3">
        <v>46051</v>
      </c>
      <c r="D557" t="s">
        <v>27</v>
      </c>
      <c r="E557" t="s">
        <v>660</v>
      </c>
      <c r="F557" t="s">
        <v>187</v>
      </c>
      <c r="G557" t="s">
        <v>72</v>
      </c>
      <c r="H557" t="s">
        <v>31</v>
      </c>
      <c r="I557" t="s">
        <v>63</v>
      </c>
      <c r="J557" t="s">
        <v>63</v>
      </c>
      <c r="K557" t="s">
        <v>64</v>
      </c>
      <c r="L557" t="s">
        <v>65</v>
      </c>
      <c r="M557" t="s">
        <v>66</v>
      </c>
      <c r="N557">
        <v>39.25</v>
      </c>
      <c r="O557">
        <v>25.4545454545455</v>
      </c>
      <c r="P557">
        <v>88.55</v>
      </c>
      <c r="Q557">
        <v>114.004545454545</v>
      </c>
      <c r="R557">
        <v>0</v>
      </c>
      <c r="S557">
        <v>114.004545454545</v>
      </c>
      <c r="T557">
        <v>169</v>
      </c>
      <c r="U557">
        <f>SUMIF(货件明细!J:J,E557,货件明细!AP:AP)</f>
        <v>0</v>
      </c>
      <c r="V557">
        <f>IF(U557=T557,0,1)</f>
        <v>1</v>
      </c>
      <c r="W557">
        <f>T557</f>
        <v>169</v>
      </c>
      <c r="X557">
        <f>SUMIF(货件明细!J:J,E557,货件明细!H:H)</f>
        <v>0</v>
      </c>
      <c r="Y557">
        <f>N557-X557</f>
        <v>39.25</v>
      </c>
      <c r="Z557">
        <f>SUMIF(货件明细!J:J,E557,货件明细!I:I)</f>
        <v>0</v>
      </c>
      <c r="AA557">
        <f>IF(S557=Z557,0,1)</f>
        <v>1</v>
      </c>
    </row>
    <row r="558" hidden="1" spans="1:27">
      <c r="A558">
        <v>1</v>
      </c>
      <c r="B558">
        <v>5</v>
      </c>
      <c r="C558" s="3">
        <v>46051</v>
      </c>
      <c r="D558" t="s">
        <v>27</v>
      </c>
      <c r="E558" t="s">
        <v>661</v>
      </c>
      <c r="F558" t="s">
        <v>198</v>
      </c>
      <c r="G558" t="s">
        <v>69</v>
      </c>
      <c r="H558" t="s">
        <v>31</v>
      </c>
      <c r="I558" t="s">
        <v>63</v>
      </c>
      <c r="J558" t="s">
        <v>63</v>
      </c>
      <c r="K558" t="s">
        <v>64</v>
      </c>
      <c r="L558" t="s">
        <v>65</v>
      </c>
      <c r="M558" t="s">
        <v>66</v>
      </c>
      <c r="N558">
        <v>39.25</v>
      </c>
      <c r="O558">
        <v>25.5555555555556</v>
      </c>
      <c r="P558">
        <v>155.62</v>
      </c>
      <c r="Q558">
        <v>181.175555555556</v>
      </c>
      <c r="R558">
        <v>0</v>
      </c>
      <c r="S558">
        <v>181.175555555556</v>
      </c>
      <c r="T558">
        <v>169</v>
      </c>
      <c r="U558">
        <f>SUMIF(货件明细!J:J,E558,货件明细!AP:AP)</f>
        <v>0</v>
      </c>
      <c r="V558">
        <f>IF(U558=T558,0,1)</f>
        <v>1</v>
      </c>
      <c r="W558">
        <f>T558</f>
        <v>169</v>
      </c>
      <c r="X558">
        <f>SUMIF(货件明细!J:J,E558,货件明细!H:H)</f>
        <v>0</v>
      </c>
      <c r="Y558">
        <f>N558-X558</f>
        <v>39.25</v>
      </c>
      <c r="Z558">
        <f>SUMIF(货件明细!J:J,E558,货件明细!I:I)</f>
        <v>0</v>
      </c>
      <c r="AA558">
        <f>IF(S558=Z558,0,1)</f>
        <v>1</v>
      </c>
    </row>
    <row r="559" hidden="1" spans="1:27">
      <c r="A559">
        <v>1</v>
      </c>
      <c r="B559">
        <v>5</v>
      </c>
      <c r="C559" s="3">
        <v>46051</v>
      </c>
      <c r="D559" t="s">
        <v>27</v>
      </c>
      <c r="E559" t="s">
        <v>662</v>
      </c>
      <c r="F559" t="s">
        <v>243</v>
      </c>
      <c r="G559" t="s">
        <v>72</v>
      </c>
      <c r="H559" t="s">
        <v>31</v>
      </c>
      <c r="I559" t="s">
        <v>63</v>
      </c>
      <c r="J559" t="s">
        <v>63</v>
      </c>
      <c r="K559" t="s">
        <v>64</v>
      </c>
      <c r="L559" t="s">
        <v>65</v>
      </c>
      <c r="M559" t="s">
        <v>66</v>
      </c>
      <c r="N559">
        <v>39.25</v>
      </c>
      <c r="O559">
        <v>25.4545454545455</v>
      </c>
      <c r="P559">
        <v>113.366666666667</v>
      </c>
      <c r="Q559">
        <v>138.821212121212</v>
      </c>
      <c r="R559">
        <v>0</v>
      </c>
      <c r="S559">
        <v>138.821212121212</v>
      </c>
      <c r="T559">
        <v>169</v>
      </c>
      <c r="U559">
        <f>SUMIF(货件明细!J:J,E559,货件明细!AP:AP)</f>
        <v>0</v>
      </c>
      <c r="V559">
        <f>IF(U559=T559,0,1)</f>
        <v>1</v>
      </c>
      <c r="W559">
        <f>T559</f>
        <v>169</v>
      </c>
      <c r="X559">
        <f>SUMIF(货件明细!J:J,E559,货件明细!H:H)</f>
        <v>0</v>
      </c>
      <c r="Y559">
        <f>N559-X559</f>
        <v>39.25</v>
      </c>
      <c r="Z559">
        <f>SUMIF(货件明细!J:J,E559,货件明细!I:I)</f>
        <v>0</v>
      </c>
      <c r="AA559">
        <f>IF(S559=Z559,0,1)</f>
        <v>1</v>
      </c>
    </row>
    <row r="560" hidden="1" spans="1:27">
      <c r="A560">
        <v>1</v>
      </c>
      <c r="B560">
        <v>5</v>
      </c>
      <c r="C560" s="3">
        <v>46051</v>
      </c>
      <c r="D560" t="s">
        <v>27</v>
      </c>
      <c r="E560" t="s">
        <v>663</v>
      </c>
      <c r="F560" t="s">
        <v>74</v>
      </c>
      <c r="G560" t="s">
        <v>30</v>
      </c>
      <c r="H560" t="s">
        <v>31</v>
      </c>
      <c r="I560" t="s">
        <v>63</v>
      </c>
      <c r="J560" t="s">
        <v>63</v>
      </c>
      <c r="K560" t="s">
        <v>64</v>
      </c>
      <c r="L560" t="s">
        <v>65</v>
      </c>
      <c r="M560" t="s">
        <v>664</v>
      </c>
      <c r="N560">
        <v>39.25</v>
      </c>
      <c r="O560">
        <v>25.5555555555556</v>
      </c>
      <c r="P560">
        <v>329.6</v>
      </c>
      <c r="Q560">
        <v>355.155555555556</v>
      </c>
      <c r="R560">
        <v>0</v>
      </c>
      <c r="S560">
        <v>355.155555555556</v>
      </c>
      <c r="T560">
        <v>169</v>
      </c>
      <c r="U560">
        <f>SUMIF(货件明细!J:J,E560,货件明细!AP:AP)</f>
        <v>0</v>
      </c>
      <c r="V560">
        <f>IF(U560=T560,0,1)</f>
        <v>1</v>
      </c>
      <c r="W560">
        <f>T560</f>
        <v>169</v>
      </c>
      <c r="X560">
        <f>SUMIF(货件明细!J:J,E560,货件明细!H:H)</f>
        <v>0</v>
      </c>
      <c r="Y560">
        <f>N560-X560</f>
        <v>39.25</v>
      </c>
      <c r="Z560">
        <f>SUMIF(货件明细!J:J,E560,货件明细!I:I)</f>
        <v>0</v>
      </c>
      <c r="AA560">
        <f>IF(S560=Z560,0,1)</f>
        <v>1</v>
      </c>
    </row>
    <row r="561" hidden="1" spans="1:27">
      <c r="A561">
        <v>1</v>
      </c>
      <c r="B561">
        <v>5</v>
      </c>
      <c r="C561" s="3">
        <v>46051</v>
      </c>
      <c r="D561" t="s">
        <v>27</v>
      </c>
      <c r="E561" t="s">
        <v>665</v>
      </c>
      <c r="F561" t="s">
        <v>68</v>
      </c>
      <c r="G561" t="s">
        <v>69</v>
      </c>
      <c r="H561" t="s">
        <v>31</v>
      </c>
      <c r="I561" t="s">
        <v>63</v>
      </c>
      <c r="J561" t="s">
        <v>63</v>
      </c>
      <c r="K561" t="s">
        <v>64</v>
      </c>
      <c r="L561" t="s">
        <v>65</v>
      </c>
      <c r="M561" t="s">
        <v>66</v>
      </c>
      <c r="N561">
        <v>39.25</v>
      </c>
      <c r="O561">
        <v>25.5555555555556</v>
      </c>
      <c r="P561">
        <v>158.966666666667</v>
      </c>
      <c r="Q561">
        <v>184.522222222222</v>
      </c>
      <c r="R561">
        <v>0</v>
      </c>
      <c r="S561">
        <v>184.522222222222</v>
      </c>
      <c r="T561">
        <v>169</v>
      </c>
      <c r="U561">
        <f>SUMIF(货件明细!J:J,E561,货件明细!AP:AP)</f>
        <v>0</v>
      </c>
      <c r="V561">
        <f>IF(U561=T561,0,1)</f>
        <v>1</v>
      </c>
      <c r="W561">
        <f>T561</f>
        <v>169</v>
      </c>
      <c r="X561">
        <f>SUMIF(货件明细!J:J,E561,货件明细!H:H)</f>
        <v>0</v>
      </c>
      <c r="Y561">
        <f>N561-X561</f>
        <v>39.25</v>
      </c>
      <c r="Z561">
        <f>SUMIF(货件明细!J:J,E561,货件明细!I:I)</f>
        <v>0</v>
      </c>
      <c r="AA561">
        <f>IF(S561=Z561,0,1)</f>
        <v>1</v>
      </c>
    </row>
    <row r="562" hidden="1" spans="1:27">
      <c r="A562">
        <v>1</v>
      </c>
      <c r="B562">
        <v>5</v>
      </c>
      <c r="C562" s="3">
        <v>46051</v>
      </c>
      <c r="D562" t="s">
        <v>27</v>
      </c>
      <c r="E562" t="s">
        <v>666</v>
      </c>
      <c r="F562" t="s">
        <v>198</v>
      </c>
      <c r="G562" t="s">
        <v>69</v>
      </c>
      <c r="H562" t="s">
        <v>78</v>
      </c>
      <c r="I562" t="s">
        <v>63</v>
      </c>
      <c r="J562" t="s">
        <v>63</v>
      </c>
      <c r="K562" t="s">
        <v>64</v>
      </c>
      <c r="L562" t="s">
        <v>65</v>
      </c>
      <c r="M562" t="s">
        <v>66</v>
      </c>
      <c r="N562">
        <v>48.5</v>
      </c>
      <c r="O562">
        <v>25.5555555555556</v>
      </c>
      <c r="P562">
        <v>233.43</v>
      </c>
      <c r="Q562">
        <v>258.985555555556</v>
      </c>
      <c r="R562">
        <v>0</v>
      </c>
      <c r="S562">
        <v>258.985555555556</v>
      </c>
      <c r="T562">
        <v>230</v>
      </c>
      <c r="U562">
        <f>SUMIF(货件明细!J:J,E562,货件明细!AP:AP)</f>
        <v>0</v>
      </c>
      <c r="V562">
        <f>IF(U562=T562,0,1)</f>
        <v>1</v>
      </c>
      <c r="W562">
        <f>T562</f>
        <v>230</v>
      </c>
      <c r="X562">
        <f>SUMIF(货件明细!J:J,E562,货件明细!H:H)</f>
        <v>0</v>
      </c>
      <c r="Y562">
        <f>N562-X562</f>
        <v>48.5</v>
      </c>
      <c r="Z562">
        <f>SUMIF(货件明细!J:J,E562,货件明细!I:I)</f>
        <v>0</v>
      </c>
      <c r="AA562">
        <f>IF(S562=Z562,0,1)</f>
        <v>1</v>
      </c>
    </row>
    <row r="563" hidden="1" spans="1:27">
      <c r="A563">
        <v>1</v>
      </c>
      <c r="B563">
        <v>5</v>
      </c>
      <c r="C563" s="3">
        <v>46051</v>
      </c>
      <c r="D563" t="s">
        <v>27</v>
      </c>
      <c r="E563" t="s">
        <v>667</v>
      </c>
      <c r="F563" t="s">
        <v>74</v>
      </c>
      <c r="G563" t="s">
        <v>30</v>
      </c>
      <c r="H563" t="s">
        <v>78</v>
      </c>
      <c r="I563" t="s">
        <v>63</v>
      </c>
      <c r="J563" t="s">
        <v>63</v>
      </c>
      <c r="K563" t="s">
        <v>64</v>
      </c>
      <c r="L563" t="s">
        <v>65</v>
      </c>
      <c r="M563" t="s">
        <v>664</v>
      </c>
      <c r="N563">
        <v>48.5</v>
      </c>
      <c r="O563">
        <v>25.5555555555556</v>
      </c>
      <c r="P563">
        <v>395.52</v>
      </c>
      <c r="Q563">
        <v>421.075555555556</v>
      </c>
      <c r="R563">
        <v>0</v>
      </c>
      <c r="S563">
        <v>421.075555555556</v>
      </c>
      <c r="T563">
        <v>230</v>
      </c>
      <c r="U563">
        <f>SUMIF(货件明细!J:J,E563,货件明细!AP:AP)</f>
        <v>0</v>
      </c>
      <c r="V563">
        <f>IF(U563=T563,0,1)</f>
        <v>1</v>
      </c>
      <c r="W563">
        <f>T563</f>
        <v>230</v>
      </c>
      <c r="X563">
        <f>SUMIF(货件明细!J:J,E563,货件明细!H:H)</f>
        <v>0</v>
      </c>
      <c r="Y563">
        <f>N563-X563</f>
        <v>48.5</v>
      </c>
      <c r="Z563">
        <f>SUMIF(货件明细!J:J,E563,货件明细!I:I)</f>
        <v>0</v>
      </c>
      <c r="AA563">
        <f>IF(S563=Z563,0,1)</f>
        <v>1</v>
      </c>
    </row>
    <row r="564" hidden="1" spans="1:27">
      <c r="A564">
        <v>1</v>
      </c>
      <c r="B564">
        <v>5</v>
      </c>
      <c r="C564" s="3">
        <v>46051</v>
      </c>
      <c r="D564" t="s">
        <v>27</v>
      </c>
      <c r="E564" t="s">
        <v>668</v>
      </c>
      <c r="F564" t="s">
        <v>187</v>
      </c>
      <c r="G564" t="s">
        <v>72</v>
      </c>
      <c r="H564" t="s">
        <v>78</v>
      </c>
      <c r="I564" t="s">
        <v>63</v>
      </c>
      <c r="J564" t="s">
        <v>63</v>
      </c>
      <c r="K564" t="s">
        <v>64</v>
      </c>
      <c r="L564" t="s">
        <v>65</v>
      </c>
      <c r="M564" t="s">
        <v>66</v>
      </c>
      <c r="N564">
        <v>48.5</v>
      </c>
      <c r="O564">
        <v>25.4545454545455</v>
      </c>
      <c r="P564">
        <v>161</v>
      </c>
      <c r="Q564">
        <v>186.454545454545</v>
      </c>
      <c r="R564">
        <v>0</v>
      </c>
      <c r="S564">
        <v>186.454545454545</v>
      </c>
      <c r="T564">
        <v>230</v>
      </c>
      <c r="U564">
        <f>SUMIF(货件明细!J:J,E564,货件明细!AP:AP)</f>
        <v>0</v>
      </c>
      <c r="V564">
        <f>IF(U564=T564,0,1)</f>
        <v>1</v>
      </c>
      <c r="W564">
        <f>T564</f>
        <v>230</v>
      </c>
      <c r="X564">
        <f>SUMIF(货件明细!J:J,E564,货件明细!H:H)</f>
        <v>0</v>
      </c>
      <c r="Y564">
        <f>N564-X564</f>
        <v>48.5</v>
      </c>
      <c r="Z564">
        <f>SUMIF(货件明细!J:J,E564,货件明细!I:I)</f>
        <v>0</v>
      </c>
      <c r="AA564">
        <f>IF(S564=Z564,0,1)</f>
        <v>1</v>
      </c>
    </row>
    <row r="565" hidden="1" spans="1:27">
      <c r="A565">
        <v>1</v>
      </c>
      <c r="B565">
        <v>5</v>
      </c>
      <c r="C565" s="3">
        <v>46051</v>
      </c>
      <c r="D565" t="s">
        <v>27</v>
      </c>
      <c r="E565" t="s">
        <v>669</v>
      </c>
      <c r="F565" t="s">
        <v>243</v>
      </c>
      <c r="G565" t="s">
        <v>72</v>
      </c>
      <c r="H565" t="s">
        <v>78</v>
      </c>
      <c r="I565" t="s">
        <v>63</v>
      </c>
      <c r="J565" t="s">
        <v>63</v>
      </c>
      <c r="K565" t="s">
        <v>64</v>
      </c>
      <c r="L565" t="s">
        <v>65</v>
      </c>
      <c r="M565" t="s">
        <v>66</v>
      </c>
      <c r="N565">
        <v>48.5</v>
      </c>
      <c r="O565">
        <v>25.4545454545455</v>
      </c>
      <c r="P565">
        <v>170.05</v>
      </c>
      <c r="Q565">
        <v>195.504545454545</v>
      </c>
      <c r="R565">
        <v>0</v>
      </c>
      <c r="S565">
        <v>195.504545454545</v>
      </c>
      <c r="T565">
        <v>230</v>
      </c>
      <c r="U565">
        <f>SUMIF(货件明细!J:J,E565,货件明细!AP:AP)</f>
        <v>0</v>
      </c>
      <c r="V565">
        <f>IF(U565=T565,0,1)</f>
        <v>1</v>
      </c>
      <c r="W565">
        <f>T565</f>
        <v>230</v>
      </c>
      <c r="X565">
        <f>SUMIF(货件明细!J:J,E565,货件明细!H:H)</f>
        <v>0</v>
      </c>
      <c r="Y565">
        <f>N565-X565</f>
        <v>48.5</v>
      </c>
      <c r="Z565">
        <f>SUMIF(货件明细!J:J,E565,货件明细!I:I)</f>
        <v>0</v>
      </c>
      <c r="AA565">
        <f>IF(S565=Z565,0,1)</f>
        <v>1</v>
      </c>
    </row>
    <row r="566" hidden="1" spans="1:27">
      <c r="A566">
        <v>1</v>
      </c>
      <c r="B566">
        <v>5</v>
      </c>
      <c r="C566" s="3">
        <v>46051</v>
      </c>
      <c r="D566" t="s">
        <v>27</v>
      </c>
      <c r="E566" t="s">
        <v>670</v>
      </c>
      <c r="F566" t="s">
        <v>68</v>
      </c>
      <c r="G566" t="s">
        <v>69</v>
      </c>
      <c r="H566" t="s">
        <v>78</v>
      </c>
      <c r="I566" t="s">
        <v>63</v>
      </c>
      <c r="J566" t="s">
        <v>63</v>
      </c>
      <c r="K566" t="s">
        <v>64</v>
      </c>
      <c r="L566" t="s">
        <v>65</v>
      </c>
      <c r="M566" t="s">
        <v>66</v>
      </c>
      <c r="N566">
        <v>48.5</v>
      </c>
      <c r="O566">
        <v>25.5555555555556</v>
      </c>
      <c r="P566">
        <v>238.45</v>
      </c>
      <c r="Q566">
        <v>264.005555555556</v>
      </c>
      <c r="R566">
        <v>0</v>
      </c>
      <c r="S566">
        <v>264.005555555556</v>
      </c>
      <c r="T566">
        <v>230</v>
      </c>
      <c r="U566">
        <f>SUMIF(货件明细!J:J,E566,货件明细!AP:AP)</f>
        <v>0</v>
      </c>
      <c r="V566">
        <f>IF(U566=T566,0,1)</f>
        <v>1</v>
      </c>
      <c r="W566">
        <f>T566</f>
        <v>230</v>
      </c>
      <c r="X566">
        <f>SUMIF(货件明细!J:J,E566,货件明细!H:H)</f>
        <v>0</v>
      </c>
      <c r="Y566">
        <f>N566-X566</f>
        <v>48.5</v>
      </c>
      <c r="Z566">
        <f>SUMIF(货件明细!J:J,E566,货件明细!I:I)</f>
        <v>0</v>
      </c>
      <c r="AA566">
        <f>IF(S566=Z566,0,1)</f>
        <v>1</v>
      </c>
    </row>
    <row r="567" hidden="1" spans="1:27">
      <c r="A567">
        <v>1</v>
      </c>
      <c r="B567">
        <v>5</v>
      </c>
      <c r="C567" s="3">
        <v>46051</v>
      </c>
      <c r="D567" t="s">
        <v>27</v>
      </c>
      <c r="E567" t="s">
        <v>671</v>
      </c>
      <c r="F567" t="s">
        <v>198</v>
      </c>
      <c r="G567" t="s">
        <v>69</v>
      </c>
      <c r="H567" t="s">
        <v>31</v>
      </c>
      <c r="I567" t="s">
        <v>63</v>
      </c>
      <c r="J567" t="s">
        <v>63</v>
      </c>
      <c r="K567" t="s">
        <v>64</v>
      </c>
      <c r="L567" t="s">
        <v>65</v>
      </c>
      <c r="M567" t="s">
        <v>66</v>
      </c>
      <c r="N567">
        <v>12.4</v>
      </c>
      <c r="O567">
        <v>12.1739130434783</v>
      </c>
      <c r="P567">
        <v>77.3916666666667</v>
      </c>
      <c r="Q567">
        <v>89.5655797101449</v>
      </c>
      <c r="R567">
        <v>0</v>
      </c>
      <c r="S567">
        <v>89.5655797101449</v>
      </c>
      <c r="T567">
        <v>54</v>
      </c>
      <c r="U567">
        <f>SUMIF(货件明细!J:J,E567,货件明细!AP:AP)</f>
        <v>0</v>
      </c>
      <c r="V567">
        <f>IF(U567=T567,0,1)</f>
        <v>1</v>
      </c>
      <c r="W567">
        <f>T567</f>
        <v>54</v>
      </c>
      <c r="X567">
        <f>SUMIF(货件明细!J:J,E567,货件明细!H:H)</f>
        <v>0</v>
      </c>
      <c r="Y567">
        <f>N567-X567</f>
        <v>12.4</v>
      </c>
      <c r="Z567">
        <f>SUMIF(货件明细!J:J,E567,货件明细!I:I)</f>
        <v>0</v>
      </c>
      <c r="AA567">
        <f>IF(S567=Z567,0,1)</f>
        <v>1</v>
      </c>
    </row>
    <row r="568" hidden="1" spans="1:27">
      <c r="A568">
        <v>1</v>
      </c>
      <c r="B568">
        <v>5</v>
      </c>
      <c r="C568" s="3">
        <v>46051</v>
      </c>
      <c r="D568" t="s">
        <v>27</v>
      </c>
      <c r="E568" t="s">
        <v>672</v>
      </c>
      <c r="F568" t="s">
        <v>74</v>
      </c>
      <c r="G568" t="s">
        <v>30</v>
      </c>
      <c r="H568" t="s">
        <v>31</v>
      </c>
      <c r="I568" t="s">
        <v>63</v>
      </c>
      <c r="J568" t="s">
        <v>63</v>
      </c>
      <c r="K568" t="s">
        <v>64</v>
      </c>
      <c r="L568" t="s">
        <v>65</v>
      </c>
      <c r="M568" t="s">
        <v>664</v>
      </c>
      <c r="N568">
        <v>12.4</v>
      </c>
      <c r="O568">
        <v>40</v>
      </c>
      <c r="P568">
        <v>107.12</v>
      </c>
      <c r="Q568">
        <v>147.12</v>
      </c>
      <c r="R568">
        <v>0</v>
      </c>
      <c r="S568">
        <v>147.12</v>
      </c>
      <c r="T568">
        <v>56</v>
      </c>
      <c r="U568">
        <f>SUMIF(货件明细!J:J,E568,货件明细!AP:AP)</f>
        <v>0</v>
      </c>
      <c r="V568">
        <f>IF(U568=T568,0,1)</f>
        <v>1</v>
      </c>
      <c r="W568">
        <f>T568</f>
        <v>56</v>
      </c>
      <c r="X568">
        <f>SUMIF(货件明细!J:J,E568,货件明细!H:H)</f>
        <v>0</v>
      </c>
      <c r="Y568">
        <f>N568-X568</f>
        <v>12.4</v>
      </c>
      <c r="Z568">
        <f>SUMIF(货件明细!J:J,E568,货件明细!I:I)</f>
        <v>0</v>
      </c>
      <c r="AA568">
        <f>IF(S568=Z568,0,1)</f>
        <v>1</v>
      </c>
    </row>
    <row r="569" hidden="1" spans="1:27">
      <c r="A569">
        <v>1</v>
      </c>
      <c r="B569">
        <v>5</v>
      </c>
      <c r="C569" s="3">
        <v>46051</v>
      </c>
      <c r="D569" t="s">
        <v>27</v>
      </c>
      <c r="E569" t="s">
        <v>673</v>
      </c>
      <c r="F569" t="s">
        <v>187</v>
      </c>
      <c r="G569" t="s">
        <v>72</v>
      </c>
      <c r="H569" t="s">
        <v>31</v>
      </c>
      <c r="I569" t="s">
        <v>63</v>
      </c>
      <c r="J569" t="s">
        <v>63</v>
      </c>
      <c r="K569" t="s">
        <v>64</v>
      </c>
      <c r="L569" t="s">
        <v>65</v>
      </c>
      <c r="M569" t="s">
        <v>66</v>
      </c>
      <c r="N569">
        <v>12.4</v>
      </c>
      <c r="O569">
        <v>12.1739130434783</v>
      </c>
      <c r="P569">
        <v>48.3</v>
      </c>
      <c r="Q569">
        <v>60.4739130434783</v>
      </c>
      <c r="R569">
        <v>0</v>
      </c>
      <c r="S569">
        <v>60.4739130434783</v>
      </c>
      <c r="T569">
        <v>56</v>
      </c>
      <c r="U569">
        <f>SUMIF(货件明细!J:J,E569,货件明细!AP:AP)</f>
        <v>0</v>
      </c>
      <c r="V569">
        <f>IF(U569=T569,0,1)</f>
        <v>1</v>
      </c>
      <c r="W569">
        <f>T569</f>
        <v>56</v>
      </c>
      <c r="X569">
        <f>SUMIF(货件明细!J:J,E569,货件明细!H:H)</f>
        <v>0</v>
      </c>
      <c r="Y569">
        <f>N569-X569</f>
        <v>12.4</v>
      </c>
      <c r="Z569">
        <f>SUMIF(货件明细!J:J,E569,货件明细!I:I)</f>
        <v>0</v>
      </c>
      <c r="AA569">
        <f>IF(S569=Z569,0,1)</f>
        <v>1</v>
      </c>
    </row>
    <row r="570" hidden="1" spans="1:27">
      <c r="A570">
        <v>1</v>
      </c>
      <c r="B570">
        <v>5</v>
      </c>
      <c r="C570" s="3">
        <v>46051</v>
      </c>
      <c r="D570" t="s">
        <v>27</v>
      </c>
      <c r="E570" t="s">
        <v>674</v>
      </c>
      <c r="F570" t="s">
        <v>243</v>
      </c>
      <c r="G570" t="s">
        <v>72</v>
      </c>
      <c r="H570" t="s">
        <v>31</v>
      </c>
      <c r="I570" t="s">
        <v>63</v>
      </c>
      <c r="J570" t="s">
        <v>63</v>
      </c>
      <c r="K570" t="s">
        <v>64</v>
      </c>
      <c r="L570" t="s">
        <v>65</v>
      </c>
      <c r="M570" t="s">
        <v>66</v>
      </c>
      <c r="N570">
        <v>12.4</v>
      </c>
      <c r="O570">
        <v>12.1739130434783</v>
      </c>
      <c r="P570">
        <v>55.1916666666667</v>
      </c>
      <c r="Q570">
        <v>67.3655797101449</v>
      </c>
      <c r="R570">
        <v>0</v>
      </c>
      <c r="S570">
        <v>67.3655797101449</v>
      </c>
      <c r="T570">
        <v>56</v>
      </c>
      <c r="U570">
        <f>SUMIF(货件明细!J:J,E570,货件明细!AP:AP)</f>
        <v>0</v>
      </c>
      <c r="V570">
        <f>IF(U570=T570,0,1)</f>
        <v>1</v>
      </c>
      <c r="W570">
        <f>T570</f>
        <v>56</v>
      </c>
      <c r="X570">
        <f>SUMIF(货件明细!J:J,E570,货件明细!H:H)</f>
        <v>0</v>
      </c>
      <c r="Y570">
        <f>N570-X570</f>
        <v>12.4</v>
      </c>
      <c r="Z570">
        <f>SUMIF(货件明细!J:J,E570,货件明细!I:I)</f>
        <v>0</v>
      </c>
      <c r="AA570">
        <f>IF(S570=Z570,0,1)</f>
        <v>1</v>
      </c>
    </row>
    <row r="571" hidden="1" spans="1:27">
      <c r="A571">
        <v>1</v>
      </c>
      <c r="B571">
        <v>5</v>
      </c>
      <c r="C571" s="3">
        <v>46051</v>
      </c>
      <c r="D571" t="s">
        <v>27</v>
      </c>
      <c r="E571" t="s">
        <v>675</v>
      </c>
      <c r="F571" t="s">
        <v>68</v>
      </c>
      <c r="G571" t="s">
        <v>69</v>
      </c>
      <c r="H571" t="s">
        <v>31</v>
      </c>
      <c r="I571" t="s">
        <v>63</v>
      </c>
      <c r="J571" t="s">
        <v>63</v>
      </c>
      <c r="K571" t="s">
        <v>64</v>
      </c>
      <c r="L571" t="s">
        <v>65</v>
      </c>
      <c r="M571" t="s">
        <v>66</v>
      </c>
      <c r="N571">
        <v>12.4</v>
      </c>
      <c r="O571">
        <v>12.1739130434783</v>
      </c>
      <c r="P571">
        <v>75.3</v>
      </c>
      <c r="Q571">
        <v>87.4739130434783</v>
      </c>
      <c r="R571">
        <v>0</v>
      </c>
      <c r="S571">
        <v>87.4739130434783</v>
      </c>
      <c r="T571">
        <v>56</v>
      </c>
      <c r="U571">
        <f>SUMIF(货件明细!J:J,E571,货件明细!AP:AP)</f>
        <v>0</v>
      </c>
      <c r="V571">
        <f>IF(U571=T571,0,1)</f>
        <v>1</v>
      </c>
      <c r="W571">
        <f>T571</f>
        <v>56</v>
      </c>
      <c r="X571">
        <f>SUMIF(货件明细!J:J,E571,货件明细!H:H)</f>
        <v>0</v>
      </c>
      <c r="Y571">
        <f>N571-X571</f>
        <v>12.4</v>
      </c>
      <c r="Z571">
        <f>SUMIF(货件明细!J:J,E571,货件明细!I:I)</f>
        <v>0</v>
      </c>
      <c r="AA571">
        <f>IF(S571=Z571,0,1)</f>
        <v>1</v>
      </c>
    </row>
    <row r="572" hidden="1" spans="1:27">
      <c r="A572">
        <v>1</v>
      </c>
      <c r="B572">
        <v>5</v>
      </c>
      <c r="C572" s="3">
        <v>46051</v>
      </c>
      <c r="D572" t="s">
        <v>27</v>
      </c>
      <c r="E572" t="s">
        <v>676</v>
      </c>
      <c r="F572" t="s">
        <v>68</v>
      </c>
      <c r="G572" t="s">
        <v>69</v>
      </c>
      <c r="H572" t="s">
        <v>54</v>
      </c>
      <c r="I572" t="s">
        <v>63</v>
      </c>
      <c r="J572" t="s">
        <v>63</v>
      </c>
      <c r="K572" t="s">
        <v>64</v>
      </c>
      <c r="L572" t="s">
        <v>65</v>
      </c>
      <c r="M572" t="s">
        <v>66</v>
      </c>
      <c r="N572">
        <v>16.7</v>
      </c>
      <c r="O572">
        <v>12.1739130434783</v>
      </c>
      <c r="P572">
        <v>75.3</v>
      </c>
      <c r="Q572">
        <v>87.4739130434783</v>
      </c>
      <c r="R572">
        <v>0</v>
      </c>
      <c r="S572">
        <v>87.4739130434783</v>
      </c>
      <c r="T572">
        <v>76</v>
      </c>
      <c r="U572">
        <f>SUMIF(货件明细!J:J,E572,货件明细!AP:AP)</f>
        <v>0</v>
      </c>
      <c r="V572">
        <f>IF(U572=T572,0,1)</f>
        <v>1</v>
      </c>
      <c r="W572">
        <f>T572</f>
        <v>76</v>
      </c>
      <c r="X572">
        <f>SUMIF(货件明细!J:J,E572,货件明细!H:H)</f>
        <v>0</v>
      </c>
      <c r="Y572">
        <f>N572-X572</f>
        <v>16.7</v>
      </c>
      <c r="Z572">
        <f>SUMIF(货件明细!J:J,E572,货件明细!I:I)</f>
        <v>0</v>
      </c>
      <c r="AA572">
        <f>IF(S572=Z572,0,1)</f>
        <v>1</v>
      </c>
    </row>
    <row r="573" hidden="1" spans="1:27">
      <c r="A573">
        <v>1</v>
      </c>
      <c r="B573">
        <v>5</v>
      </c>
      <c r="C573" s="3">
        <v>46051</v>
      </c>
      <c r="D573" t="s">
        <v>27</v>
      </c>
      <c r="E573" t="s">
        <v>677</v>
      </c>
      <c r="F573" t="s">
        <v>187</v>
      </c>
      <c r="G573" t="s">
        <v>72</v>
      </c>
      <c r="H573" t="s">
        <v>54</v>
      </c>
      <c r="I573" t="s">
        <v>63</v>
      </c>
      <c r="J573" t="s">
        <v>63</v>
      </c>
      <c r="K573" t="s">
        <v>64</v>
      </c>
      <c r="L573" t="s">
        <v>65</v>
      </c>
      <c r="M573" t="s">
        <v>66</v>
      </c>
      <c r="N573">
        <v>16.7</v>
      </c>
      <c r="O573">
        <v>12.1739130434783</v>
      </c>
      <c r="P573">
        <v>48.3</v>
      </c>
      <c r="Q573">
        <v>60.4739130434783</v>
      </c>
      <c r="R573">
        <v>0</v>
      </c>
      <c r="S573">
        <v>60.4739130434783</v>
      </c>
      <c r="T573">
        <v>76</v>
      </c>
      <c r="U573">
        <f>SUMIF(货件明细!J:J,E573,货件明细!AP:AP)</f>
        <v>0</v>
      </c>
      <c r="V573">
        <f>IF(U573=T573,0,1)</f>
        <v>1</v>
      </c>
      <c r="W573">
        <f>T573</f>
        <v>76</v>
      </c>
      <c r="X573">
        <f>SUMIF(货件明细!J:J,E573,货件明细!H:H)</f>
        <v>0</v>
      </c>
      <c r="Y573">
        <f>N573-X573</f>
        <v>16.7</v>
      </c>
      <c r="Z573">
        <f>SUMIF(货件明细!J:J,E573,货件明细!I:I)</f>
        <v>0</v>
      </c>
      <c r="AA573">
        <f>IF(S573=Z573,0,1)</f>
        <v>1</v>
      </c>
    </row>
    <row r="574" hidden="1" spans="1:27">
      <c r="A574">
        <v>1</v>
      </c>
      <c r="B574">
        <v>5</v>
      </c>
      <c r="C574" s="3">
        <v>46051</v>
      </c>
      <c r="D574" t="s">
        <v>27</v>
      </c>
      <c r="E574" t="s">
        <v>678</v>
      </c>
      <c r="F574" t="s">
        <v>243</v>
      </c>
      <c r="G574" t="s">
        <v>72</v>
      </c>
      <c r="H574" t="s">
        <v>54</v>
      </c>
      <c r="I574" t="s">
        <v>63</v>
      </c>
      <c r="J574" t="s">
        <v>63</v>
      </c>
      <c r="K574" t="s">
        <v>64</v>
      </c>
      <c r="L574" t="s">
        <v>65</v>
      </c>
      <c r="M574" t="s">
        <v>66</v>
      </c>
      <c r="N574">
        <v>16.7</v>
      </c>
      <c r="O574">
        <v>12.1739130434783</v>
      </c>
      <c r="P574">
        <v>55.1916666666667</v>
      </c>
      <c r="Q574">
        <v>67.3655797101449</v>
      </c>
      <c r="R574">
        <v>0</v>
      </c>
      <c r="S574">
        <v>67.3655797101449</v>
      </c>
      <c r="T574">
        <v>76</v>
      </c>
      <c r="U574">
        <f>SUMIF(货件明细!J:J,E574,货件明细!AP:AP)</f>
        <v>0</v>
      </c>
      <c r="V574">
        <f>IF(U574=T574,0,1)</f>
        <v>1</v>
      </c>
      <c r="W574">
        <f>T574</f>
        <v>76</v>
      </c>
      <c r="X574">
        <f>SUMIF(货件明细!J:J,E574,货件明细!H:H)</f>
        <v>0</v>
      </c>
      <c r="Y574">
        <f>N574-X574</f>
        <v>16.7</v>
      </c>
      <c r="Z574">
        <f>SUMIF(货件明细!J:J,E574,货件明细!I:I)</f>
        <v>0</v>
      </c>
      <c r="AA574">
        <f>IF(S574=Z574,0,1)</f>
        <v>1</v>
      </c>
    </row>
    <row r="575" hidden="1" spans="1:27">
      <c r="A575">
        <v>1</v>
      </c>
      <c r="B575">
        <v>5</v>
      </c>
      <c r="C575" s="3">
        <v>46051</v>
      </c>
      <c r="D575" t="s">
        <v>27</v>
      </c>
      <c r="E575" t="s">
        <v>679</v>
      </c>
      <c r="F575" t="s">
        <v>74</v>
      </c>
      <c r="G575" t="s">
        <v>30</v>
      </c>
      <c r="H575" t="s">
        <v>54</v>
      </c>
      <c r="I575" t="s">
        <v>63</v>
      </c>
      <c r="J575" t="s">
        <v>63</v>
      </c>
      <c r="K575" t="s">
        <v>64</v>
      </c>
      <c r="L575" t="s">
        <v>65</v>
      </c>
      <c r="M575" t="s">
        <v>664</v>
      </c>
      <c r="N575">
        <v>16.7</v>
      </c>
      <c r="O575">
        <v>40</v>
      </c>
      <c r="P575">
        <v>140.08</v>
      </c>
      <c r="Q575">
        <v>180.08</v>
      </c>
      <c r="R575">
        <v>0</v>
      </c>
      <c r="S575">
        <v>180.08</v>
      </c>
      <c r="T575">
        <v>76</v>
      </c>
      <c r="U575">
        <f>SUMIF(货件明细!J:J,E575,货件明细!AP:AP)</f>
        <v>0</v>
      </c>
      <c r="V575">
        <f>IF(U575=T575,0,1)</f>
        <v>1</v>
      </c>
      <c r="W575">
        <f>T575</f>
        <v>76</v>
      </c>
      <c r="X575">
        <f>SUMIF(货件明细!J:J,E575,货件明细!H:H)</f>
        <v>0</v>
      </c>
      <c r="Y575">
        <f>N575-X575</f>
        <v>16.7</v>
      </c>
      <c r="Z575">
        <f>SUMIF(货件明细!J:J,E575,货件明细!I:I)</f>
        <v>0</v>
      </c>
      <c r="AA575">
        <f>IF(S575=Z575,0,1)</f>
        <v>1</v>
      </c>
    </row>
    <row r="576" hidden="1" spans="1:27">
      <c r="A576">
        <v>1</v>
      </c>
      <c r="B576">
        <v>5</v>
      </c>
      <c r="C576" s="3">
        <v>46051</v>
      </c>
      <c r="D576" t="s">
        <v>27</v>
      </c>
      <c r="E576" t="s">
        <v>680</v>
      </c>
      <c r="F576" t="s">
        <v>198</v>
      </c>
      <c r="G576" t="s">
        <v>69</v>
      </c>
      <c r="H576" t="s">
        <v>54</v>
      </c>
      <c r="I576" t="s">
        <v>63</v>
      </c>
      <c r="J576" t="s">
        <v>63</v>
      </c>
      <c r="K576" t="s">
        <v>64</v>
      </c>
      <c r="L576" t="s">
        <v>65</v>
      </c>
      <c r="M576" t="s">
        <v>66</v>
      </c>
      <c r="N576">
        <v>16.7</v>
      </c>
      <c r="O576">
        <v>12.1739130434783</v>
      </c>
      <c r="P576">
        <v>77.3916666666667</v>
      </c>
      <c r="Q576">
        <v>89.5655797101449</v>
      </c>
      <c r="R576">
        <v>0</v>
      </c>
      <c r="S576">
        <v>89.5655797101449</v>
      </c>
      <c r="T576">
        <v>76</v>
      </c>
      <c r="U576">
        <f>SUMIF(货件明细!J:J,E576,货件明细!AP:AP)</f>
        <v>0</v>
      </c>
      <c r="V576">
        <f>IF(U576=T576,0,1)</f>
        <v>1</v>
      </c>
      <c r="W576">
        <f>T576</f>
        <v>76</v>
      </c>
      <c r="X576">
        <f>SUMIF(货件明细!J:J,E576,货件明细!H:H)</f>
        <v>0</v>
      </c>
      <c r="Y576">
        <f>N576-X576</f>
        <v>16.7</v>
      </c>
      <c r="Z576">
        <f>SUMIF(货件明细!J:J,E576,货件明细!I:I)</f>
        <v>0</v>
      </c>
      <c r="AA576">
        <f>IF(S576=Z576,0,1)</f>
        <v>1</v>
      </c>
    </row>
    <row r="577" hidden="1" spans="1:27">
      <c r="A577">
        <v>1</v>
      </c>
      <c r="B577">
        <v>5</v>
      </c>
      <c r="C577" s="3">
        <v>46051</v>
      </c>
      <c r="D577" t="s">
        <v>27</v>
      </c>
      <c r="E577" t="s">
        <v>681</v>
      </c>
      <c r="F577" t="s">
        <v>68</v>
      </c>
      <c r="G577" t="s">
        <v>69</v>
      </c>
      <c r="H577" t="s">
        <v>39</v>
      </c>
      <c r="I577" t="s">
        <v>63</v>
      </c>
      <c r="J577" t="s">
        <v>63</v>
      </c>
      <c r="K577" t="s">
        <v>64</v>
      </c>
      <c r="L577" t="s">
        <v>65</v>
      </c>
      <c r="M577" t="s">
        <v>66</v>
      </c>
      <c r="N577">
        <v>10.6</v>
      </c>
      <c r="O577">
        <v>12.1739130434783</v>
      </c>
      <c r="P577">
        <v>75.3</v>
      </c>
      <c r="Q577">
        <v>87.4739130434783</v>
      </c>
      <c r="R577">
        <v>0</v>
      </c>
      <c r="S577">
        <v>87.4739130434783</v>
      </c>
      <c r="T577">
        <v>42</v>
      </c>
      <c r="U577">
        <f>SUMIF(货件明细!J:J,E577,货件明细!AP:AP)</f>
        <v>0</v>
      </c>
      <c r="V577">
        <f>IF(U577=T577,0,1)</f>
        <v>1</v>
      </c>
      <c r="W577">
        <f>T577</f>
        <v>42</v>
      </c>
      <c r="X577">
        <f>SUMIF(货件明细!J:J,E577,货件明细!H:H)</f>
        <v>0</v>
      </c>
      <c r="Y577">
        <f>N577-X577</f>
        <v>10.6</v>
      </c>
      <c r="Z577">
        <f>SUMIF(货件明细!J:J,E577,货件明细!I:I)</f>
        <v>0</v>
      </c>
      <c r="AA577">
        <f>IF(S577=Z577,0,1)</f>
        <v>1</v>
      </c>
    </row>
    <row r="578" hidden="1" spans="1:27">
      <c r="A578">
        <v>1</v>
      </c>
      <c r="B578">
        <v>5</v>
      </c>
      <c r="C578" s="3">
        <v>46051</v>
      </c>
      <c r="D578" t="s">
        <v>27</v>
      </c>
      <c r="E578" t="s">
        <v>682</v>
      </c>
      <c r="F578" t="s">
        <v>198</v>
      </c>
      <c r="G578" t="s">
        <v>69</v>
      </c>
      <c r="H578" t="s">
        <v>39</v>
      </c>
      <c r="I578" t="s">
        <v>63</v>
      </c>
      <c r="J578" t="s">
        <v>63</v>
      </c>
      <c r="K578" t="s">
        <v>64</v>
      </c>
      <c r="L578" t="s">
        <v>65</v>
      </c>
      <c r="M578" t="s">
        <v>66</v>
      </c>
      <c r="N578">
        <v>10.6</v>
      </c>
      <c r="O578">
        <v>12.1739130434783</v>
      </c>
      <c r="P578">
        <v>77.3916666666667</v>
      </c>
      <c r="Q578">
        <v>89.5655797101449</v>
      </c>
      <c r="R578">
        <v>0</v>
      </c>
      <c r="S578">
        <v>89.5655797101449</v>
      </c>
      <c r="T578">
        <v>42</v>
      </c>
      <c r="U578">
        <f>SUMIF(货件明细!J:J,E578,货件明细!AP:AP)</f>
        <v>0</v>
      </c>
      <c r="V578">
        <f>IF(U578=T578,0,1)</f>
        <v>1</v>
      </c>
      <c r="W578">
        <f>T578</f>
        <v>42</v>
      </c>
      <c r="X578">
        <f>SUMIF(货件明细!J:J,E578,货件明细!H:H)</f>
        <v>0</v>
      </c>
      <c r="Y578">
        <f>N578-X578</f>
        <v>10.6</v>
      </c>
      <c r="Z578">
        <f>SUMIF(货件明细!J:J,E578,货件明细!I:I)</f>
        <v>0</v>
      </c>
      <c r="AA578">
        <f>IF(S578=Z578,0,1)</f>
        <v>1</v>
      </c>
    </row>
    <row r="579" hidden="1" spans="1:27">
      <c r="A579">
        <v>1</v>
      </c>
      <c r="B579">
        <v>5</v>
      </c>
      <c r="C579" s="3">
        <v>46051</v>
      </c>
      <c r="D579" t="s">
        <v>27</v>
      </c>
      <c r="E579" t="s">
        <v>683</v>
      </c>
      <c r="F579" t="s">
        <v>187</v>
      </c>
      <c r="G579" t="s">
        <v>72</v>
      </c>
      <c r="H579" t="s">
        <v>39</v>
      </c>
      <c r="I579" t="s">
        <v>63</v>
      </c>
      <c r="J579" t="s">
        <v>63</v>
      </c>
      <c r="K579" t="s">
        <v>64</v>
      </c>
      <c r="L579" t="s">
        <v>65</v>
      </c>
      <c r="M579" t="s">
        <v>66</v>
      </c>
      <c r="N579">
        <v>10.6</v>
      </c>
      <c r="O579">
        <v>12.1739130434783</v>
      </c>
      <c r="P579">
        <v>48.3</v>
      </c>
      <c r="Q579">
        <v>60.4739130434783</v>
      </c>
      <c r="R579">
        <v>0</v>
      </c>
      <c r="S579">
        <v>60.4739130434783</v>
      </c>
      <c r="T579">
        <v>42</v>
      </c>
      <c r="U579">
        <f>SUMIF(货件明细!J:J,E579,货件明细!AP:AP)</f>
        <v>0</v>
      </c>
      <c r="V579">
        <f>IF(U579=T579,0,1)</f>
        <v>1</v>
      </c>
      <c r="W579">
        <f>T579</f>
        <v>42</v>
      </c>
      <c r="X579">
        <f>SUMIF(货件明细!J:J,E579,货件明细!H:H)</f>
        <v>0</v>
      </c>
      <c r="Y579">
        <f>N579-X579</f>
        <v>10.6</v>
      </c>
      <c r="Z579">
        <f>SUMIF(货件明细!J:J,E579,货件明细!I:I)</f>
        <v>0</v>
      </c>
      <c r="AA579">
        <f>IF(S579=Z579,0,1)</f>
        <v>1</v>
      </c>
    </row>
    <row r="580" hidden="1" spans="1:27">
      <c r="A580">
        <v>1</v>
      </c>
      <c r="B580">
        <v>5</v>
      </c>
      <c r="C580" s="3">
        <v>46051</v>
      </c>
      <c r="D580" t="s">
        <v>27</v>
      </c>
      <c r="E580" t="s">
        <v>684</v>
      </c>
      <c r="F580" t="s">
        <v>243</v>
      </c>
      <c r="G580" t="s">
        <v>72</v>
      </c>
      <c r="H580" t="s">
        <v>39</v>
      </c>
      <c r="I580" t="s">
        <v>63</v>
      </c>
      <c r="J580" t="s">
        <v>63</v>
      </c>
      <c r="K580" t="s">
        <v>64</v>
      </c>
      <c r="L580" t="s">
        <v>65</v>
      </c>
      <c r="M580" t="s">
        <v>66</v>
      </c>
      <c r="N580">
        <v>10.6</v>
      </c>
      <c r="O580">
        <v>12.1739130434783</v>
      </c>
      <c r="P580">
        <v>55.1916666666667</v>
      </c>
      <c r="Q580">
        <v>67.3655797101449</v>
      </c>
      <c r="R580">
        <v>0</v>
      </c>
      <c r="S580">
        <v>67.3655797101449</v>
      </c>
      <c r="T580">
        <v>42</v>
      </c>
      <c r="U580">
        <f>SUMIF(货件明细!J:J,E580,货件明细!AP:AP)</f>
        <v>0</v>
      </c>
      <c r="V580">
        <f>IF(U580=T580,0,1)</f>
        <v>1</v>
      </c>
      <c r="W580">
        <f>T580</f>
        <v>42</v>
      </c>
      <c r="X580">
        <f>SUMIF(货件明细!J:J,E580,货件明细!H:H)</f>
        <v>0</v>
      </c>
      <c r="Y580">
        <f>N580-X580</f>
        <v>10.6</v>
      </c>
      <c r="Z580">
        <f>SUMIF(货件明细!J:J,E580,货件明细!I:I)</f>
        <v>0</v>
      </c>
      <c r="AA580">
        <f>IF(S580=Z580,0,1)</f>
        <v>1</v>
      </c>
    </row>
    <row r="581" hidden="1" spans="1:27">
      <c r="A581">
        <v>1</v>
      </c>
      <c r="B581">
        <v>5</v>
      </c>
      <c r="C581" s="3">
        <v>46051</v>
      </c>
      <c r="D581" t="s">
        <v>27</v>
      </c>
      <c r="E581" t="s">
        <v>685</v>
      </c>
      <c r="F581" t="s">
        <v>74</v>
      </c>
      <c r="G581" t="s">
        <v>30</v>
      </c>
      <c r="H581" t="s">
        <v>39</v>
      </c>
      <c r="I581" t="s">
        <v>63</v>
      </c>
      <c r="J581" t="s">
        <v>63</v>
      </c>
      <c r="K581" t="s">
        <v>64</v>
      </c>
      <c r="L581" t="s">
        <v>65</v>
      </c>
      <c r="M581" t="s">
        <v>664</v>
      </c>
      <c r="N581">
        <v>10.6</v>
      </c>
      <c r="O581">
        <v>40</v>
      </c>
      <c r="P581">
        <v>90.64</v>
      </c>
      <c r="Q581">
        <v>130.64</v>
      </c>
      <c r="R581">
        <v>0</v>
      </c>
      <c r="S581">
        <v>130.64</v>
      </c>
      <c r="T581">
        <v>42</v>
      </c>
      <c r="U581">
        <f>SUMIF(货件明细!J:J,E581,货件明细!AP:AP)</f>
        <v>0</v>
      </c>
      <c r="V581">
        <f>IF(U581=T581,0,1)</f>
        <v>1</v>
      </c>
      <c r="W581">
        <f>T581</f>
        <v>42</v>
      </c>
      <c r="X581">
        <f>SUMIF(货件明细!J:J,E581,货件明细!H:H)</f>
        <v>0</v>
      </c>
      <c r="Y581">
        <f>N581-X581</f>
        <v>10.6</v>
      </c>
      <c r="Z581">
        <f>SUMIF(货件明细!J:J,E581,货件明细!I:I)</f>
        <v>0</v>
      </c>
      <c r="AA581">
        <f>IF(S581=Z581,0,1)</f>
        <v>1</v>
      </c>
    </row>
    <row r="582" hidden="1" spans="1:27">
      <c r="A582">
        <v>1</v>
      </c>
      <c r="B582">
        <v>5</v>
      </c>
      <c r="C582" s="3">
        <v>46051</v>
      </c>
      <c r="D582" t="s">
        <v>27</v>
      </c>
      <c r="E582" t="s">
        <v>686</v>
      </c>
      <c r="F582" t="s">
        <v>187</v>
      </c>
      <c r="G582" t="s">
        <v>72</v>
      </c>
      <c r="H582" t="s">
        <v>78</v>
      </c>
      <c r="I582" t="s">
        <v>63</v>
      </c>
      <c r="J582" t="s">
        <v>63</v>
      </c>
      <c r="K582" t="s">
        <v>64</v>
      </c>
      <c r="L582" t="s">
        <v>65</v>
      </c>
      <c r="M582" t="s">
        <v>66</v>
      </c>
      <c r="N582">
        <v>18.5</v>
      </c>
      <c r="O582">
        <v>12.1739130434783</v>
      </c>
      <c r="P582">
        <v>48.3</v>
      </c>
      <c r="Q582">
        <v>60.4739130434783</v>
      </c>
      <c r="R582">
        <v>0</v>
      </c>
      <c r="S582">
        <v>60.4739130434783</v>
      </c>
      <c r="T582">
        <v>106</v>
      </c>
      <c r="U582">
        <f>SUMIF(货件明细!J:J,E582,货件明细!AP:AP)</f>
        <v>0</v>
      </c>
      <c r="V582">
        <f>IF(U582=T582,0,1)</f>
        <v>1</v>
      </c>
      <c r="W582">
        <f>T582</f>
        <v>106</v>
      </c>
      <c r="X582">
        <f>SUMIF(货件明细!J:J,E582,货件明细!H:H)</f>
        <v>0</v>
      </c>
      <c r="Y582">
        <f>N582-X582</f>
        <v>18.5</v>
      </c>
      <c r="Z582">
        <f>SUMIF(货件明细!J:J,E582,货件明细!I:I)</f>
        <v>0</v>
      </c>
      <c r="AA582">
        <f>IF(S582=Z582,0,1)</f>
        <v>1</v>
      </c>
    </row>
    <row r="583" hidden="1" spans="1:27">
      <c r="A583">
        <v>1</v>
      </c>
      <c r="B583">
        <v>5</v>
      </c>
      <c r="C583" s="3">
        <v>46051</v>
      </c>
      <c r="D583" t="s">
        <v>27</v>
      </c>
      <c r="E583" t="s">
        <v>687</v>
      </c>
      <c r="F583" t="s">
        <v>74</v>
      </c>
      <c r="G583" t="s">
        <v>30</v>
      </c>
      <c r="H583" t="s">
        <v>78</v>
      </c>
      <c r="I583" t="s">
        <v>63</v>
      </c>
      <c r="J583" t="s">
        <v>63</v>
      </c>
      <c r="K583" t="s">
        <v>64</v>
      </c>
      <c r="L583" t="s">
        <v>65</v>
      </c>
      <c r="M583" t="s">
        <v>664</v>
      </c>
      <c r="N583">
        <v>18.5</v>
      </c>
      <c r="O583">
        <v>40</v>
      </c>
      <c r="P583">
        <v>148.32</v>
      </c>
      <c r="Q583">
        <v>188.32</v>
      </c>
      <c r="R583">
        <v>0</v>
      </c>
      <c r="S583">
        <v>188.32</v>
      </c>
      <c r="T583">
        <v>106</v>
      </c>
      <c r="U583">
        <f>SUMIF(货件明细!J:J,E583,货件明细!AP:AP)</f>
        <v>0</v>
      </c>
      <c r="V583">
        <f>IF(U583=T583,0,1)</f>
        <v>1</v>
      </c>
      <c r="W583">
        <f>T583</f>
        <v>106</v>
      </c>
      <c r="X583">
        <f>SUMIF(货件明细!J:J,E583,货件明细!H:H)</f>
        <v>0</v>
      </c>
      <c r="Y583">
        <f>N583-X583</f>
        <v>18.5</v>
      </c>
      <c r="Z583">
        <f>SUMIF(货件明细!J:J,E583,货件明细!I:I)</f>
        <v>0</v>
      </c>
      <c r="AA583">
        <f>IF(S583=Z583,0,1)</f>
        <v>1</v>
      </c>
    </row>
    <row r="584" hidden="1" spans="1:27">
      <c r="A584">
        <v>1</v>
      </c>
      <c r="B584">
        <v>5</v>
      </c>
      <c r="C584" s="3">
        <v>46051</v>
      </c>
      <c r="D584" t="s">
        <v>27</v>
      </c>
      <c r="E584" t="s">
        <v>688</v>
      </c>
      <c r="F584" t="s">
        <v>68</v>
      </c>
      <c r="G584" t="s">
        <v>69</v>
      </c>
      <c r="H584" t="s">
        <v>78</v>
      </c>
      <c r="I584" t="s">
        <v>63</v>
      </c>
      <c r="J584" t="s">
        <v>63</v>
      </c>
      <c r="K584" t="s">
        <v>64</v>
      </c>
      <c r="L584" t="s">
        <v>65</v>
      </c>
      <c r="M584" t="s">
        <v>66</v>
      </c>
      <c r="N584">
        <v>18.5</v>
      </c>
      <c r="O584">
        <v>12.1739130434783</v>
      </c>
      <c r="P584">
        <v>75.3</v>
      </c>
      <c r="Q584">
        <v>87.4739130434783</v>
      </c>
      <c r="R584">
        <v>0</v>
      </c>
      <c r="S584">
        <v>87.4739130434783</v>
      </c>
      <c r="T584">
        <v>106</v>
      </c>
      <c r="U584">
        <f>SUMIF(货件明细!J:J,E584,货件明细!AP:AP)</f>
        <v>0</v>
      </c>
      <c r="V584">
        <f>IF(U584=T584,0,1)</f>
        <v>1</v>
      </c>
      <c r="W584">
        <f>T584</f>
        <v>106</v>
      </c>
      <c r="X584">
        <f>SUMIF(货件明细!J:J,E584,货件明细!H:H)</f>
        <v>0</v>
      </c>
      <c r="Y584">
        <f>N584-X584</f>
        <v>18.5</v>
      </c>
      <c r="Z584">
        <f>SUMIF(货件明细!J:J,E584,货件明细!I:I)</f>
        <v>0</v>
      </c>
      <c r="AA584">
        <f>IF(S584=Z584,0,1)</f>
        <v>1</v>
      </c>
    </row>
    <row r="585" hidden="1" spans="1:27">
      <c r="A585">
        <v>1</v>
      </c>
      <c r="B585">
        <v>5</v>
      </c>
      <c r="C585" s="3">
        <v>46051</v>
      </c>
      <c r="D585" t="s">
        <v>27</v>
      </c>
      <c r="E585" t="s">
        <v>689</v>
      </c>
      <c r="F585" t="s">
        <v>198</v>
      </c>
      <c r="G585" t="s">
        <v>69</v>
      </c>
      <c r="H585" t="s">
        <v>78</v>
      </c>
      <c r="I585" t="s">
        <v>63</v>
      </c>
      <c r="J585" t="s">
        <v>63</v>
      </c>
      <c r="K585" t="s">
        <v>64</v>
      </c>
      <c r="L585" t="s">
        <v>65</v>
      </c>
      <c r="M585" t="s">
        <v>66</v>
      </c>
      <c r="N585">
        <v>18.5</v>
      </c>
      <c r="O585">
        <v>12.1739130434783</v>
      </c>
      <c r="P585">
        <v>77.3916666666667</v>
      </c>
      <c r="Q585">
        <v>89.5655797101449</v>
      </c>
      <c r="R585">
        <v>0</v>
      </c>
      <c r="S585">
        <v>89.5655797101449</v>
      </c>
      <c r="T585">
        <v>106</v>
      </c>
      <c r="U585">
        <f>SUMIF(货件明细!J:J,E585,货件明细!AP:AP)</f>
        <v>0</v>
      </c>
      <c r="V585">
        <f>IF(U585=T585,0,1)</f>
        <v>1</v>
      </c>
      <c r="W585">
        <f>T585</f>
        <v>106</v>
      </c>
      <c r="X585">
        <f>SUMIF(货件明细!J:J,E585,货件明细!H:H)</f>
        <v>0</v>
      </c>
      <c r="Y585">
        <f>N585-X585</f>
        <v>18.5</v>
      </c>
      <c r="Z585">
        <f>SUMIF(货件明细!J:J,E585,货件明细!I:I)</f>
        <v>0</v>
      </c>
      <c r="AA585">
        <f>IF(S585=Z585,0,1)</f>
        <v>1</v>
      </c>
    </row>
    <row r="586" hidden="1" spans="1:27">
      <c r="A586">
        <v>1</v>
      </c>
      <c r="B586">
        <v>5</v>
      </c>
      <c r="C586" s="3">
        <v>46051</v>
      </c>
      <c r="D586" t="s">
        <v>27</v>
      </c>
      <c r="E586" t="s">
        <v>690</v>
      </c>
      <c r="F586" t="s">
        <v>243</v>
      </c>
      <c r="G586" t="s">
        <v>72</v>
      </c>
      <c r="H586" t="s">
        <v>78</v>
      </c>
      <c r="I586" t="s">
        <v>63</v>
      </c>
      <c r="J586" t="s">
        <v>63</v>
      </c>
      <c r="K586" t="s">
        <v>64</v>
      </c>
      <c r="L586" t="s">
        <v>65</v>
      </c>
      <c r="M586" t="s">
        <v>66</v>
      </c>
      <c r="N586">
        <v>18.5</v>
      </c>
      <c r="O586">
        <v>12.1739130434783</v>
      </c>
      <c r="P586">
        <v>55.1916666666667</v>
      </c>
      <c r="Q586">
        <v>67.3655797101449</v>
      </c>
      <c r="R586">
        <v>0</v>
      </c>
      <c r="S586">
        <v>67.3655797101449</v>
      </c>
      <c r="T586">
        <v>106</v>
      </c>
      <c r="U586">
        <f>SUMIF(货件明细!J:J,E586,货件明细!AP:AP)</f>
        <v>0</v>
      </c>
      <c r="V586">
        <f>IF(U586=T586,0,1)</f>
        <v>1</v>
      </c>
      <c r="W586">
        <f>T586</f>
        <v>106</v>
      </c>
      <c r="X586">
        <f>SUMIF(货件明细!J:J,E586,货件明细!H:H)</f>
        <v>0</v>
      </c>
      <c r="Y586">
        <f>N586-X586</f>
        <v>18.5</v>
      </c>
      <c r="Z586">
        <f>SUMIF(货件明细!J:J,E586,货件明细!I:I)</f>
        <v>0</v>
      </c>
      <c r="AA586">
        <f>IF(S586=Z586,0,1)</f>
        <v>1</v>
      </c>
    </row>
    <row r="587" hidden="1" spans="1:27">
      <c r="A587">
        <v>1</v>
      </c>
      <c r="B587">
        <v>5</v>
      </c>
      <c r="C587" s="3">
        <v>46051</v>
      </c>
      <c r="D587" t="s">
        <v>27</v>
      </c>
      <c r="E587" t="s">
        <v>691</v>
      </c>
      <c r="F587" t="s">
        <v>68</v>
      </c>
      <c r="G587" t="s">
        <v>69</v>
      </c>
      <c r="H587" t="s">
        <v>59</v>
      </c>
      <c r="I587" t="s">
        <v>63</v>
      </c>
      <c r="J587" t="s">
        <v>63</v>
      </c>
      <c r="K587" t="s">
        <v>64</v>
      </c>
      <c r="L587" t="s">
        <v>65</v>
      </c>
      <c r="M587" t="s">
        <v>66</v>
      </c>
      <c r="N587">
        <v>10.25</v>
      </c>
      <c r="O587">
        <v>12.1739130434783</v>
      </c>
      <c r="P587">
        <v>75.3</v>
      </c>
      <c r="Q587">
        <v>87.4739130434783</v>
      </c>
      <c r="R587">
        <v>0</v>
      </c>
      <c r="S587">
        <v>87.4739130434783</v>
      </c>
      <c r="T587">
        <v>27</v>
      </c>
      <c r="U587">
        <f>SUMIF(货件明细!J:J,E587,货件明细!AP:AP)</f>
        <v>0</v>
      </c>
      <c r="V587">
        <f>IF(U587=T587,0,1)</f>
        <v>1</v>
      </c>
      <c r="W587">
        <f>T587</f>
        <v>27</v>
      </c>
      <c r="X587">
        <f>SUMIF(货件明细!J:J,E587,货件明细!H:H)</f>
        <v>0</v>
      </c>
      <c r="Y587">
        <f>N587-X587</f>
        <v>10.25</v>
      </c>
      <c r="Z587">
        <f>SUMIF(货件明细!J:J,E587,货件明细!I:I)</f>
        <v>0</v>
      </c>
      <c r="AA587">
        <f>IF(S587=Z587,0,1)</f>
        <v>1</v>
      </c>
    </row>
    <row r="588" hidden="1" spans="1:27">
      <c r="A588">
        <v>1</v>
      </c>
      <c r="B588">
        <v>5</v>
      </c>
      <c r="C588" s="3">
        <v>46051</v>
      </c>
      <c r="D588" t="s">
        <v>27</v>
      </c>
      <c r="E588" t="s">
        <v>692</v>
      </c>
      <c r="F588" t="s">
        <v>62</v>
      </c>
      <c r="G588" t="s">
        <v>30</v>
      </c>
      <c r="H588" t="s">
        <v>59</v>
      </c>
      <c r="I588" t="s">
        <v>63</v>
      </c>
      <c r="J588" t="s">
        <v>63</v>
      </c>
      <c r="K588" t="s">
        <v>64</v>
      </c>
      <c r="L588" t="s">
        <v>65</v>
      </c>
      <c r="M588" t="s">
        <v>664</v>
      </c>
      <c r="N588">
        <v>10.25</v>
      </c>
      <c r="O588">
        <v>40</v>
      </c>
      <c r="P588">
        <v>86.46</v>
      </c>
      <c r="Q588">
        <v>126.46</v>
      </c>
      <c r="R588">
        <v>0</v>
      </c>
      <c r="S588">
        <v>126.46</v>
      </c>
      <c r="T588">
        <v>27</v>
      </c>
      <c r="U588">
        <f>SUMIF(货件明细!J:J,E588,货件明细!AP:AP)</f>
        <v>0</v>
      </c>
      <c r="V588">
        <f>IF(U588=T588,0,1)</f>
        <v>1</v>
      </c>
      <c r="W588">
        <f>T588</f>
        <v>27</v>
      </c>
      <c r="X588">
        <f>SUMIF(货件明细!J:J,E588,货件明细!H:H)</f>
        <v>0</v>
      </c>
      <c r="Y588">
        <f>N588-X588</f>
        <v>10.25</v>
      </c>
      <c r="Z588">
        <f>SUMIF(货件明细!J:J,E588,货件明细!I:I)</f>
        <v>0</v>
      </c>
      <c r="AA588">
        <f>IF(S588=Z588,0,1)</f>
        <v>1</v>
      </c>
    </row>
    <row r="589" hidden="1" spans="1:27">
      <c r="A589">
        <v>1</v>
      </c>
      <c r="B589">
        <v>5</v>
      </c>
      <c r="C589" s="3">
        <v>46051</v>
      </c>
      <c r="D589" t="s">
        <v>27</v>
      </c>
      <c r="E589" t="s">
        <v>693</v>
      </c>
      <c r="F589" t="s">
        <v>71</v>
      </c>
      <c r="G589" t="s">
        <v>72</v>
      </c>
      <c r="H589" t="s">
        <v>59</v>
      </c>
      <c r="I589" t="s">
        <v>63</v>
      </c>
      <c r="J589" t="s">
        <v>63</v>
      </c>
      <c r="K589" t="s">
        <v>64</v>
      </c>
      <c r="L589" t="s">
        <v>65</v>
      </c>
      <c r="M589" t="s">
        <v>664</v>
      </c>
      <c r="N589">
        <v>10.25</v>
      </c>
      <c r="O589">
        <v>12.1739130434783</v>
      </c>
      <c r="P589">
        <v>47.52</v>
      </c>
      <c r="Q589">
        <v>59.6939130434783</v>
      </c>
      <c r="R589">
        <v>0</v>
      </c>
      <c r="S589">
        <v>59.6939130434783</v>
      </c>
      <c r="T589">
        <v>27</v>
      </c>
      <c r="U589">
        <f>SUMIF(货件明细!J:J,E589,货件明细!AP:AP)</f>
        <v>0</v>
      </c>
      <c r="V589">
        <f>IF(U589=T589,0,1)</f>
        <v>1</v>
      </c>
      <c r="W589">
        <f>T589</f>
        <v>27</v>
      </c>
      <c r="X589">
        <f>SUMIF(货件明细!J:J,E589,货件明细!H:H)</f>
        <v>0</v>
      </c>
      <c r="Y589">
        <f>N589-X589</f>
        <v>10.25</v>
      </c>
      <c r="Z589">
        <f>SUMIF(货件明细!J:J,E589,货件明细!I:I)</f>
        <v>0</v>
      </c>
      <c r="AA589">
        <f>IF(S589=Z589,0,1)</f>
        <v>1</v>
      </c>
    </row>
    <row r="590" hidden="1" spans="1:27">
      <c r="A590">
        <v>1</v>
      </c>
      <c r="B590">
        <v>5</v>
      </c>
      <c r="C590" s="3">
        <v>46051</v>
      </c>
      <c r="D590" t="s">
        <v>27</v>
      </c>
      <c r="E590" t="s">
        <v>694</v>
      </c>
      <c r="F590" t="s">
        <v>185</v>
      </c>
      <c r="G590" t="s">
        <v>30</v>
      </c>
      <c r="H590" t="s">
        <v>59</v>
      </c>
      <c r="I590" t="s">
        <v>63</v>
      </c>
      <c r="J590" t="s">
        <v>63</v>
      </c>
      <c r="K590" t="s">
        <v>64</v>
      </c>
      <c r="L590" t="s">
        <v>65</v>
      </c>
      <c r="M590" t="s">
        <v>664</v>
      </c>
      <c r="N590">
        <v>10.25</v>
      </c>
      <c r="O590">
        <v>40</v>
      </c>
      <c r="P590">
        <v>89.98</v>
      </c>
      <c r="Q590">
        <v>129.98</v>
      </c>
      <c r="R590">
        <v>0</v>
      </c>
      <c r="S590">
        <v>129.98</v>
      </c>
      <c r="T590">
        <v>27</v>
      </c>
      <c r="U590">
        <f>SUMIF(货件明细!J:J,E590,货件明细!AP:AP)</f>
        <v>0</v>
      </c>
      <c r="V590">
        <f>IF(U590=T590,0,1)</f>
        <v>1</v>
      </c>
      <c r="W590">
        <f>T590</f>
        <v>27</v>
      </c>
      <c r="X590">
        <f>SUMIF(货件明细!J:J,E590,货件明细!H:H)</f>
        <v>0</v>
      </c>
      <c r="Y590">
        <f>N590-X590</f>
        <v>10.25</v>
      </c>
      <c r="Z590">
        <f>SUMIF(货件明细!J:J,E590,货件明细!I:I)</f>
        <v>0</v>
      </c>
      <c r="AA590">
        <f>IF(S590=Z590,0,1)</f>
        <v>1</v>
      </c>
    </row>
    <row r="591" hidden="1" spans="1:27">
      <c r="A591">
        <v>1</v>
      </c>
      <c r="B591">
        <v>5</v>
      </c>
      <c r="C591" s="3">
        <v>46051</v>
      </c>
      <c r="D591" t="s">
        <v>27</v>
      </c>
      <c r="E591" t="s">
        <v>695</v>
      </c>
      <c r="F591" t="s">
        <v>187</v>
      </c>
      <c r="G591" t="s">
        <v>72</v>
      </c>
      <c r="H591" t="s">
        <v>59</v>
      </c>
      <c r="I591" t="s">
        <v>63</v>
      </c>
      <c r="J591" t="s">
        <v>63</v>
      </c>
      <c r="K591" t="s">
        <v>64</v>
      </c>
      <c r="L591" t="s">
        <v>65</v>
      </c>
      <c r="M591" t="s">
        <v>66</v>
      </c>
      <c r="N591">
        <v>10.25</v>
      </c>
      <c r="O591">
        <v>12.1739130434783</v>
      </c>
      <c r="P591">
        <v>48.3</v>
      </c>
      <c r="Q591">
        <v>60.4739130434783</v>
      </c>
      <c r="R591">
        <v>0</v>
      </c>
      <c r="S591">
        <v>60.4739130434783</v>
      </c>
      <c r="T591">
        <v>27</v>
      </c>
      <c r="U591">
        <f>SUMIF(货件明细!J:J,E591,货件明细!AP:AP)</f>
        <v>0</v>
      </c>
      <c r="V591">
        <f>IF(U591=T591,0,1)</f>
        <v>1</v>
      </c>
      <c r="W591">
        <f>T591</f>
        <v>27</v>
      </c>
      <c r="X591">
        <f>SUMIF(货件明细!J:J,E591,货件明细!H:H)</f>
        <v>0</v>
      </c>
      <c r="Y591">
        <f>N591-X591</f>
        <v>10.25</v>
      </c>
      <c r="Z591">
        <f>SUMIF(货件明细!J:J,E591,货件明细!I:I)</f>
        <v>0</v>
      </c>
      <c r="AA591">
        <f>IF(S591=Z591,0,1)</f>
        <v>1</v>
      </c>
    </row>
    <row r="592" hidden="1" spans="1:27">
      <c r="A592">
        <v>1</v>
      </c>
      <c r="B592">
        <v>5</v>
      </c>
      <c r="C592" s="3">
        <v>46051</v>
      </c>
      <c r="D592" t="s">
        <v>27</v>
      </c>
      <c r="E592" t="s">
        <v>696</v>
      </c>
      <c r="F592" t="s">
        <v>198</v>
      </c>
      <c r="G592" t="s">
        <v>69</v>
      </c>
      <c r="H592" t="s">
        <v>51</v>
      </c>
      <c r="I592" t="s">
        <v>92</v>
      </c>
      <c r="J592" t="s">
        <v>92</v>
      </c>
      <c r="K592" t="s">
        <v>64</v>
      </c>
      <c r="L592" t="s">
        <v>65</v>
      </c>
      <c r="M592" t="s">
        <v>93</v>
      </c>
      <c r="N592">
        <v>80.55</v>
      </c>
      <c r="O592">
        <v>38.3333333333333</v>
      </c>
      <c r="P592">
        <v>326.607142857143</v>
      </c>
      <c r="Q592">
        <v>364.940476190476</v>
      </c>
      <c r="R592">
        <v>0</v>
      </c>
      <c r="S592">
        <v>364.940476190476</v>
      </c>
      <c r="T592">
        <v>363</v>
      </c>
      <c r="U592">
        <f>SUMIF(货件明细!J:J,E592,货件明细!AP:AP)</f>
        <v>0</v>
      </c>
      <c r="V592">
        <f>IF(U592=T592,0,1)</f>
        <v>1</v>
      </c>
      <c r="W592">
        <f>T592</f>
        <v>363</v>
      </c>
      <c r="X592">
        <f>SUMIF(货件明细!J:J,E592,货件明细!H:H)</f>
        <v>0</v>
      </c>
      <c r="Y592">
        <f>N592-X592</f>
        <v>80.55</v>
      </c>
      <c r="Z592">
        <f>SUMIF(货件明细!J:J,E592,货件明细!I:I)</f>
        <v>0</v>
      </c>
      <c r="AA592">
        <f>IF(S592=Z592,0,1)</f>
        <v>1</v>
      </c>
    </row>
    <row r="593" hidden="1" spans="1:27">
      <c r="A593">
        <v>1</v>
      </c>
      <c r="B593">
        <v>5</v>
      </c>
      <c r="C593" s="3">
        <v>46051</v>
      </c>
      <c r="D593" t="s">
        <v>27</v>
      </c>
      <c r="E593" t="s">
        <v>697</v>
      </c>
      <c r="F593" t="s">
        <v>68</v>
      </c>
      <c r="G593" t="s">
        <v>69</v>
      </c>
      <c r="H593" t="s">
        <v>51</v>
      </c>
      <c r="I593" t="s">
        <v>92</v>
      </c>
      <c r="J593" t="s">
        <v>92</v>
      </c>
      <c r="K593" t="s">
        <v>64</v>
      </c>
      <c r="L593" t="s">
        <v>65</v>
      </c>
      <c r="M593" t="s">
        <v>93</v>
      </c>
      <c r="N593">
        <v>80.55</v>
      </c>
      <c r="O593">
        <v>38.3333333333333</v>
      </c>
      <c r="P593">
        <v>337.142857142857</v>
      </c>
      <c r="Q593">
        <v>375.47619047619</v>
      </c>
      <c r="R593">
        <v>0</v>
      </c>
      <c r="S593">
        <v>375.47619047619</v>
      </c>
      <c r="T593">
        <v>363</v>
      </c>
      <c r="U593">
        <f>SUMIF(货件明细!J:J,E593,货件明细!AP:AP)</f>
        <v>0</v>
      </c>
      <c r="V593">
        <f>IF(U593=T593,0,1)</f>
        <v>1</v>
      </c>
      <c r="W593">
        <f>T593</f>
        <v>363</v>
      </c>
      <c r="X593">
        <f>SUMIF(货件明细!J:J,E593,货件明细!H:H)</f>
        <v>0</v>
      </c>
      <c r="Y593">
        <f>N593-X593</f>
        <v>80.55</v>
      </c>
      <c r="Z593">
        <f>SUMIF(货件明细!J:J,E593,货件明细!I:I)</f>
        <v>0</v>
      </c>
      <c r="AA593">
        <f>IF(S593=Z593,0,1)</f>
        <v>1</v>
      </c>
    </row>
    <row r="594" hidden="1" spans="1:27">
      <c r="A594">
        <v>1</v>
      </c>
      <c r="B594">
        <v>5</v>
      </c>
      <c r="C594" s="3">
        <v>46051</v>
      </c>
      <c r="D594" t="s">
        <v>27</v>
      </c>
      <c r="E594" t="s">
        <v>698</v>
      </c>
      <c r="F594" t="s">
        <v>187</v>
      </c>
      <c r="G594" t="s">
        <v>72</v>
      </c>
      <c r="H594" t="s">
        <v>51</v>
      </c>
      <c r="I594" t="s">
        <v>92</v>
      </c>
      <c r="J594" t="s">
        <v>92</v>
      </c>
      <c r="K594" t="s">
        <v>64</v>
      </c>
      <c r="L594" t="s">
        <v>65</v>
      </c>
      <c r="M594" t="s">
        <v>93</v>
      </c>
      <c r="N594">
        <v>80.55</v>
      </c>
      <c r="O594">
        <v>57.5</v>
      </c>
      <c r="P594">
        <v>235.428571428571</v>
      </c>
      <c r="Q594">
        <v>292.928571428571</v>
      </c>
      <c r="R594">
        <v>0</v>
      </c>
      <c r="S594">
        <v>292.928571428571</v>
      </c>
      <c r="T594">
        <v>363</v>
      </c>
      <c r="U594">
        <f>SUMIF(货件明细!J:J,E594,货件明细!AP:AP)</f>
        <v>0</v>
      </c>
      <c r="V594">
        <f>IF(U594=T594,0,1)</f>
        <v>1</v>
      </c>
      <c r="W594">
        <f>T594</f>
        <v>363</v>
      </c>
      <c r="X594">
        <f>SUMIF(货件明细!J:J,E594,货件明细!H:H)</f>
        <v>0</v>
      </c>
      <c r="Y594">
        <f>N594-X594</f>
        <v>80.55</v>
      </c>
      <c r="Z594">
        <f>SUMIF(货件明细!J:J,E594,货件明细!I:I)</f>
        <v>0</v>
      </c>
      <c r="AA594">
        <f>IF(S594=Z594,0,1)</f>
        <v>1</v>
      </c>
    </row>
    <row r="595" hidden="1" spans="1:27">
      <c r="A595">
        <v>1</v>
      </c>
      <c r="B595">
        <v>5</v>
      </c>
      <c r="C595" s="3">
        <v>46051</v>
      </c>
      <c r="D595" t="s">
        <v>27</v>
      </c>
      <c r="E595" t="s">
        <v>699</v>
      </c>
      <c r="F595" t="s">
        <v>243</v>
      </c>
      <c r="G595" t="s">
        <v>72</v>
      </c>
      <c r="H595" t="s">
        <v>51</v>
      </c>
      <c r="I595" t="s">
        <v>92</v>
      </c>
      <c r="J595" t="s">
        <v>92</v>
      </c>
      <c r="K595" t="s">
        <v>64</v>
      </c>
      <c r="L595" t="s">
        <v>65</v>
      </c>
      <c r="M595" t="s">
        <v>93</v>
      </c>
      <c r="N595">
        <v>80.55</v>
      </c>
      <c r="O595">
        <v>57.5</v>
      </c>
      <c r="P595">
        <v>246.892857142857</v>
      </c>
      <c r="Q595">
        <v>304.392857142857</v>
      </c>
      <c r="R595">
        <v>0</v>
      </c>
      <c r="S595">
        <v>304.392857142857</v>
      </c>
      <c r="T595">
        <v>363</v>
      </c>
      <c r="U595">
        <f>SUMIF(货件明细!J:J,E595,货件明细!AP:AP)</f>
        <v>0</v>
      </c>
      <c r="V595">
        <f>IF(U595=T595,0,1)</f>
        <v>1</v>
      </c>
      <c r="W595">
        <f>T595</f>
        <v>363</v>
      </c>
      <c r="X595">
        <f>SUMIF(货件明细!J:J,E595,货件明细!H:H)</f>
        <v>0</v>
      </c>
      <c r="Y595">
        <f>N595-X595</f>
        <v>80.55</v>
      </c>
      <c r="Z595">
        <f>SUMIF(货件明细!J:J,E595,货件明细!I:I)</f>
        <v>0</v>
      </c>
      <c r="AA595">
        <f>IF(S595=Z595,0,1)</f>
        <v>1</v>
      </c>
    </row>
    <row r="596" hidden="1" spans="1:27">
      <c r="A596">
        <v>1</v>
      </c>
      <c r="B596">
        <v>5</v>
      </c>
      <c r="C596" s="3">
        <v>46051</v>
      </c>
      <c r="D596" t="s">
        <v>27</v>
      </c>
      <c r="E596" t="s">
        <v>700</v>
      </c>
      <c r="F596" t="s">
        <v>74</v>
      </c>
      <c r="G596" t="s">
        <v>30</v>
      </c>
      <c r="H596" t="s">
        <v>51</v>
      </c>
      <c r="I596" t="s">
        <v>92</v>
      </c>
      <c r="J596" t="s">
        <v>92</v>
      </c>
      <c r="K596" t="s">
        <v>64</v>
      </c>
      <c r="L596" t="s">
        <v>65</v>
      </c>
      <c r="M596" t="s">
        <v>188</v>
      </c>
      <c r="N596">
        <v>80.55</v>
      </c>
      <c r="O596">
        <v>38.3333333333333</v>
      </c>
      <c r="P596">
        <v>598.59</v>
      </c>
      <c r="Q596">
        <v>636.923333333333</v>
      </c>
      <c r="R596">
        <v>0</v>
      </c>
      <c r="S596">
        <v>636.923333333333</v>
      </c>
      <c r="T596">
        <v>363</v>
      </c>
      <c r="U596">
        <f>SUMIF(货件明细!J:J,E596,货件明细!AP:AP)</f>
        <v>0</v>
      </c>
      <c r="V596">
        <f>IF(U596=T596,0,1)</f>
        <v>1</v>
      </c>
      <c r="W596">
        <f>T596</f>
        <v>363</v>
      </c>
      <c r="X596">
        <f>SUMIF(货件明细!J:J,E596,货件明细!H:H)</f>
        <v>0</v>
      </c>
      <c r="Y596">
        <f>N596-X596</f>
        <v>80.55</v>
      </c>
      <c r="Z596">
        <f>SUMIF(货件明细!J:J,E596,货件明细!I:I)</f>
        <v>0</v>
      </c>
      <c r="AA596">
        <f>IF(S596=Z596,0,1)</f>
        <v>1</v>
      </c>
    </row>
    <row r="597" hidden="1" spans="1:27">
      <c r="A597">
        <v>1</v>
      </c>
      <c r="B597">
        <v>5</v>
      </c>
      <c r="C597" s="3">
        <v>46051</v>
      </c>
      <c r="D597" t="s">
        <v>27</v>
      </c>
      <c r="E597" t="s">
        <v>701</v>
      </c>
      <c r="F597" t="s">
        <v>187</v>
      </c>
      <c r="G597" t="s">
        <v>72</v>
      </c>
      <c r="H597" t="s">
        <v>56</v>
      </c>
      <c r="I597" t="s">
        <v>63</v>
      </c>
      <c r="J597" t="s">
        <v>63</v>
      </c>
      <c r="K597" t="s">
        <v>64</v>
      </c>
      <c r="L597" t="s">
        <v>65</v>
      </c>
      <c r="M597" t="s">
        <v>66</v>
      </c>
      <c r="N597">
        <v>36.15</v>
      </c>
      <c r="O597">
        <v>12.1739130434783</v>
      </c>
      <c r="P597">
        <v>96.6</v>
      </c>
      <c r="Q597">
        <v>108.773913043478</v>
      </c>
      <c r="R597">
        <v>0</v>
      </c>
      <c r="S597">
        <v>108.773913043478</v>
      </c>
      <c r="T597">
        <v>168</v>
      </c>
      <c r="U597">
        <f>SUMIF(货件明细!J:J,E597,货件明细!AP:AP)</f>
        <v>0</v>
      </c>
      <c r="V597">
        <f>IF(U597=T597,0,1)</f>
        <v>1</v>
      </c>
      <c r="W597">
        <f>T597</f>
        <v>168</v>
      </c>
      <c r="X597">
        <f>SUMIF(货件明细!J:J,E597,货件明细!H:H)</f>
        <v>0</v>
      </c>
      <c r="Y597">
        <f>N597-X597</f>
        <v>36.15</v>
      </c>
      <c r="Z597">
        <f>SUMIF(货件明细!J:J,E597,货件明细!I:I)</f>
        <v>0</v>
      </c>
      <c r="AA597">
        <f>IF(S597=Z597,0,1)</f>
        <v>1</v>
      </c>
    </row>
    <row r="598" hidden="1" spans="1:27">
      <c r="A598">
        <v>1</v>
      </c>
      <c r="B598">
        <v>5</v>
      </c>
      <c r="C598" s="3">
        <v>46051</v>
      </c>
      <c r="D598" t="s">
        <v>27</v>
      </c>
      <c r="E598" t="s">
        <v>702</v>
      </c>
      <c r="F598" t="s">
        <v>68</v>
      </c>
      <c r="G598" t="s">
        <v>69</v>
      </c>
      <c r="H598" t="s">
        <v>56</v>
      </c>
      <c r="I598" t="s">
        <v>63</v>
      </c>
      <c r="J598" t="s">
        <v>63</v>
      </c>
      <c r="K598" t="s">
        <v>64</v>
      </c>
      <c r="L598" t="s">
        <v>65</v>
      </c>
      <c r="M598" t="s">
        <v>66</v>
      </c>
      <c r="N598">
        <v>36.15</v>
      </c>
      <c r="O598">
        <v>12.1739130434783</v>
      </c>
      <c r="P598">
        <v>150.6</v>
      </c>
      <c r="Q598">
        <v>162.773913043478</v>
      </c>
      <c r="R598">
        <v>0</v>
      </c>
      <c r="S598">
        <v>162.773913043478</v>
      </c>
      <c r="T598">
        <v>168</v>
      </c>
      <c r="U598">
        <f>SUMIF(货件明细!J:J,E598,货件明细!AP:AP)</f>
        <v>0</v>
      </c>
      <c r="V598">
        <f>IF(U598=T598,0,1)</f>
        <v>1</v>
      </c>
      <c r="W598">
        <f>T598</f>
        <v>168</v>
      </c>
      <c r="X598">
        <f>SUMIF(货件明细!J:J,E598,货件明细!H:H)</f>
        <v>0</v>
      </c>
      <c r="Y598">
        <f>N598-X598</f>
        <v>36.15</v>
      </c>
      <c r="Z598">
        <f>SUMIF(货件明细!J:J,E598,货件明细!I:I)</f>
        <v>0</v>
      </c>
      <c r="AA598">
        <f>IF(S598=Z598,0,1)</f>
        <v>1</v>
      </c>
    </row>
    <row r="599" hidden="1" spans="1:27">
      <c r="A599">
        <v>1</v>
      </c>
      <c r="B599">
        <v>5</v>
      </c>
      <c r="C599" s="3">
        <v>46051</v>
      </c>
      <c r="D599" t="s">
        <v>27</v>
      </c>
      <c r="E599" t="s">
        <v>703</v>
      </c>
      <c r="F599" t="s">
        <v>74</v>
      </c>
      <c r="G599" t="s">
        <v>30</v>
      </c>
      <c r="H599" t="s">
        <v>56</v>
      </c>
      <c r="I599" t="s">
        <v>63</v>
      </c>
      <c r="J599" t="s">
        <v>63</v>
      </c>
      <c r="K599" t="s">
        <v>64</v>
      </c>
      <c r="L599" t="s">
        <v>65</v>
      </c>
      <c r="M599" t="s">
        <v>664</v>
      </c>
      <c r="N599">
        <v>36.15</v>
      </c>
      <c r="O599">
        <v>40</v>
      </c>
      <c r="P599">
        <v>296.64</v>
      </c>
      <c r="Q599">
        <v>336.64</v>
      </c>
      <c r="R599">
        <v>0</v>
      </c>
      <c r="S599">
        <v>336.64</v>
      </c>
      <c r="T599">
        <v>168</v>
      </c>
      <c r="U599">
        <f>SUMIF(货件明细!J:J,E599,货件明细!AP:AP)</f>
        <v>0</v>
      </c>
      <c r="V599">
        <f>IF(U599=T599,0,1)</f>
        <v>1</v>
      </c>
      <c r="W599">
        <f>T599</f>
        <v>168</v>
      </c>
      <c r="X599">
        <f>SUMIF(货件明细!J:J,E599,货件明细!H:H)</f>
        <v>0</v>
      </c>
      <c r="Y599">
        <f>N599-X599</f>
        <v>36.15</v>
      </c>
      <c r="Z599">
        <f>SUMIF(货件明细!J:J,E599,货件明细!I:I)</f>
        <v>0</v>
      </c>
      <c r="AA599">
        <f>IF(S599=Z599,0,1)</f>
        <v>1</v>
      </c>
    </row>
    <row r="600" hidden="1" spans="1:27">
      <c r="A600">
        <v>1</v>
      </c>
      <c r="B600">
        <v>5</v>
      </c>
      <c r="C600" s="3">
        <v>46051</v>
      </c>
      <c r="D600" t="s">
        <v>27</v>
      </c>
      <c r="E600" t="s">
        <v>704</v>
      </c>
      <c r="F600" t="s">
        <v>243</v>
      </c>
      <c r="G600" t="s">
        <v>72</v>
      </c>
      <c r="H600" t="s">
        <v>56</v>
      </c>
      <c r="I600" t="s">
        <v>63</v>
      </c>
      <c r="J600" t="s">
        <v>63</v>
      </c>
      <c r="K600" t="s">
        <v>64</v>
      </c>
      <c r="L600" t="s">
        <v>65</v>
      </c>
      <c r="M600" t="s">
        <v>66</v>
      </c>
      <c r="N600">
        <v>36.15</v>
      </c>
      <c r="O600">
        <v>12.1739130434783</v>
      </c>
      <c r="P600">
        <v>110.383333333333</v>
      </c>
      <c r="Q600">
        <v>122.557246376812</v>
      </c>
      <c r="R600">
        <v>0</v>
      </c>
      <c r="S600">
        <v>122.557246376812</v>
      </c>
      <c r="T600">
        <v>168</v>
      </c>
      <c r="U600">
        <f>SUMIF(货件明细!J:J,E600,货件明细!AP:AP)</f>
        <v>0</v>
      </c>
      <c r="V600">
        <f>IF(U600=T600,0,1)</f>
        <v>1</v>
      </c>
      <c r="W600">
        <f>T600</f>
        <v>168</v>
      </c>
      <c r="X600">
        <f>SUMIF(货件明细!J:J,E600,货件明细!H:H)</f>
        <v>0</v>
      </c>
      <c r="Y600">
        <f>N600-X600</f>
        <v>36.15</v>
      </c>
      <c r="Z600">
        <f>SUMIF(货件明细!J:J,E600,货件明细!I:I)</f>
        <v>0</v>
      </c>
      <c r="AA600">
        <f>IF(S600=Z600,0,1)</f>
        <v>1</v>
      </c>
    </row>
    <row r="601" hidden="1" spans="1:27">
      <c r="A601">
        <v>1</v>
      </c>
      <c r="B601">
        <v>5</v>
      </c>
      <c r="C601" s="3">
        <v>46051</v>
      </c>
      <c r="D601" t="s">
        <v>27</v>
      </c>
      <c r="E601" t="s">
        <v>705</v>
      </c>
      <c r="F601" t="s">
        <v>198</v>
      </c>
      <c r="G601" t="s">
        <v>69</v>
      </c>
      <c r="H601" t="s">
        <v>56</v>
      </c>
      <c r="I601" t="s">
        <v>63</v>
      </c>
      <c r="J601" t="s">
        <v>63</v>
      </c>
      <c r="K601" t="s">
        <v>64</v>
      </c>
      <c r="L601" t="s">
        <v>65</v>
      </c>
      <c r="M601" t="s">
        <v>66</v>
      </c>
      <c r="N601">
        <v>36.15</v>
      </c>
      <c r="O601">
        <v>12.1739130434783</v>
      </c>
      <c r="P601">
        <v>154.783333333333</v>
      </c>
      <c r="Q601">
        <v>166.957246376812</v>
      </c>
      <c r="R601">
        <v>0</v>
      </c>
      <c r="S601">
        <v>166.957246376812</v>
      </c>
      <c r="T601">
        <v>168</v>
      </c>
      <c r="U601">
        <f>SUMIF(货件明细!J:J,E601,货件明细!AP:AP)</f>
        <v>0</v>
      </c>
      <c r="V601">
        <f>IF(U601=T601,0,1)</f>
        <v>1</v>
      </c>
      <c r="W601">
        <f>T601</f>
        <v>168</v>
      </c>
      <c r="X601">
        <f>SUMIF(货件明细!J:J,E601,货件明细!H:H)</f>
        <v>0</v>
      </c>
      <c r="Y601">
        <f>N601-X601</f>
        <v>36.15</v>
      </c>
      <c r="Z601">
        <f>SUMIF(货件明细!J:J,E601,货件明细!I:I)</f>
        <v>0</v>
      </c>
      <c r="AA601">
        <f>IF(S601=Z601,0,1)</f>
        <v>1</v>
      </c>
    </row>
    <row r="602" hidden="1" spans="1:27">
      <c r="A602">
        <v>1</v>
      </c>
      <c r="B602">
        <v>5</v>
      </c>
      <c r="C602" s="3">
        <v>46051</v>
      </c>
      <c r="D602" t="s">
        <v>27</v>
      </c>
      <c r="E602" t="s">
        <v>706</v>
      </c>
      <c r="F602" t="s">
        <v>198</v>
      </c>
      <c r="G602" t="s">
        <v>69</v>
      </c>
      <c r="H602" t="s">
        <v>37</v>
      </c>
      <c r="I602" t="s">
        <v>92</v>
      </c>
      <c r="J602" t="s">
        <v>92</v>
      </c>
      <c r="K602" t="s">
        <v>64</v>
      </c>
      <c r="L602" t="s">
        <v>65</v>
      </c>
      <c r="M602" t="s">
        <v>93</v>
      </c>
      <c r="N602">
        <v>28.3</v>
      </c>
      <c r="O602">
        <v>38.3333333333333</v>
      </c>
      <c r="P602">
        <v>130.642857142857</v>
      </c>
      <c r="Q602">
        <v>168.97619047619</v>
      </c>
      <c r="R602">
        <v>0</v>
      </c>
      <c r="S602">
        <v>168.97619047619</v>
      </c>
      <c r="T602">
        <v>206</v>
      </c>
      <c r="U602">
        <f>SUMIF(货件明细!J:J,E602,货件明细!AP:AP)</f>
        <v>0</v>
      </c>
      <c r="V602">
        <f>IF(U602=T602,0,1)</f>
        <v>1</v>
      </c>
      <c r="W602">
        <f>T602</f>
        <v>206</v>
      </c>
      <c r="X602">
        <f>SUMIF(货件明细!J:J,E602,货件明细!H:H)</f>
        <v>0</v>
      </c>
      <c r="Y602">
        <f>N602-X602</f>
        <v>28.3</v>
      </c>
      <c r="Z602">
        <f>SUMIF(货件明细!J:J,E602,货件明细!I:I)</f>
        <v>0</v>
      </c>
      <c r="AA602">
        <f>IF(S602=Z602,0,1)</f>
        <v>1</v>
      </c>
    </row>
    <row r="603" hidden="1" spans="1:27">
      <c r="A603">
        <v>1</v>
      </c>
      <c r="B603">
        <v>5</v>
      </c>
      <c r="C603" s="3">
        <v>46051</v>
      </c>
      <c r="D603" t="s">
        <v>27</v>
      </c>
      <c r="E603" t="s">
        <v>707</v>
      </c>
      <c r="F603" t="s">
        <v>243</v>
      </c>
      <c r="G603" t="s">
        <v>72</v>
      </c>
      <c r="H603" t="s">
        <v>37</v>
      </c>
      <c r="I603" t="s">
        <v>92</v>
      </c>
      <c r="J603" t="s">
        <v>92</v>
      </c>
      <c r="K603" t="s">
        <v>64</v>
      </c>
      <c r="L603" t="s">
        <v>65</v>
      </c>
      <c r="M603" t="s">
        <v>93</v>
      </c>
      <c r="N603">
        <v>28.3</v>
      </c>
      <c r="O603">
        <v>57.5</v>
      </c>
      <c r="P603">
        <v>98.7571428571429</v>
      </c>
      <c r="Q603">
        <v>156.257142857143</v>
      </c>
      <c r="R603">
        <v>0</v>
      </c>
      <c r="S603">
        <v>156.257142857143</v>
      </c>
      <c r="T603">
        <v>206</v>
      </c>
      <c r="U603">
        <f>SUMIF(货件明细!J:J,E603,货件明细!AP:AP)</f>
        <v>0</v>
      </c>
      <c r="V603">
        <f>IF(U603=T603,0,1)</f>
        <v>1</v>
      </c>
      <c r="W603">
        <f>T603</f>
        <v>206</v>
      </c>
      <c r="X603">
        <f>SUMIF(货件明细!J:J,E603,货件明细!H:H)</f>
        <v>0</v>
      </c>
      <c r="Y603">
        <f>N603-X603</f>
        <v>28.3</v>
      </c>
      <c r="Z603">
        <f>SUMIF(货件明细!J:J,E603,货件明细!I:I)</f>
        <v>0</v>
      </c>
      <c r="AA603">
        <f>IF(S603=Z603,0,1)</f>
        <v>1</v>
      </c>
    </row>
    <row r="604" hidden="1" spans="1:27">
      <c r="A604">
        <v>1</v>
      </c>
      <c r="B604">
        <v>5</v>
      </c>
      <c r="C604" s="3">
        <v>46051</v>
      </c>
      <c r="D604" t="s">
        <v>27</v>
      </c>
      <c r="E604" t="s">
        <v>708</v>
      </c>
      <c r="F604" t="s">
        <v>68</v>
      </c>
      <c r="G604" t="s">
        <v>69</v>
      </c>
      <c r="H604" t="s">
        <v>37</v>
      </c>
      <c r="I604" t="s">
        <v>92</v>
      </c>
      <c r="J604" t="s">
        <v>92</v>
      </c>
      <c r="K604" t="s">
        <v>64</v>
      </c>
      <c r="L604" t="s">
        <v>65</v>
      </c>
      <c r="M604" t="s">
        <v>93</v>
      </c>
      <c r="N604">
        <v>28.3</v>
      </c>
      <c r="O604">
        <v>38.3333333333333</v>
      </c>
      <c r="P604">
        <v>134.857142857143</v>
      </c>
      <c r="Q604">
        <v>173.190476190476</v>
      </c>
      <c r="R604">
        <v>0</v>
      </c>
      <c r="S604">
        <v>173.190476190476</v>
      </c>
      <c r="T604">
        <v>206</v>
      </c>
      <c r="U604">
        <f>SUMIF(货件明细!J:J,E604,货件明细!AP:AP)</f>
        <v>0</v>
      </c>
      <c r="V604">
        <f>IF(U604=T604,0,1)</f>
        <v>1</v>
      </c>
      <c r="W604">
        <f>T604</f>
        <v>206</v>
      </c>
      <c r="X604">
        <f>SUMIF(货件明细!J:J,E604,货件明细!H:H)</f>
        <v>0</v>
      </c>
      <c r="Y604">
        <f>N604-X604</f>
        <v>28.3</v>
      </c>
      <c r="Z604">
        <f>SUMIF(货件明细!J:J,E604,货件明细!I:I)</f>
        <v>0</v>
      </c>
      <c r="AA604">
        <f>IF(S604=Z604,0,1)</f>
        <v>1</v>
      </c>
    </row>
    <row r="605" hidden="1" spans="1:27">
      <c r="A605">
        <v>1</v>
      </c>
      <c r="B605">
        <v>5</v>
      </c>
      <c r="C605" s="3">
        <v>46051</v>
      </c>
      <c r="D605" t="s">
        <v>27</v>
      </c>
      <c r="E605" t="s">
        <v>709</v>
      </c>
      <c r="F605" t="s">
        <v>187</v>
      </c>
      <c r="G605" t="s">
        <v>72</v>
      </c>
      <c r="H605" t="s">
        <v>37</v>
      </c>
      <c r="I605" t="s">
        <v>92</v>
      </c>
      <c r="J605" t="s">
        <v>92</v>
      </c>
      <c r="K605" t="s">
        <v>64</v>
      </c>
      <c r="L605" t="s">
        <v>65</v>
      </c>
      <c r="M605" t="s">
        <v>93</v>
      </c>
      <c r="N605">
        <v>28.3</v>
      </c>
      <c r="O605">
        <v>57.5</v>
      </c>
      <c r="P605">
        <v>94.1714285714286</v>
      </c>
      <c r="Q605">
        <v>151.671428571429</v>
      </c>
      <c r="R605">
        <v>0</v>
      </c>
      <c r="S605">
        <v>151.671428571429</v>
      </c>
      <c r="T605">
        <v>206</v>
      </c>
      <c r="U605">
        <f>SUMIF(货件明细!J:J,E605,货件明细!AP:AP)</f>
        <v>0</v>
      </c>
      <c r="V605">
        <f>IF(U605=T605,0,1)</f>
        <v>1</v>
      </c>
      <c r="W605">
        <f>T605</f>
        <v>206</v>
      </c>
      <c r="X605">
        <f>SUMIF(货件明细!J:J,E605,货件明细!H:H)</f>
        <v>0</v>
      </c>
      <c r="Y605">
        <f>N605-X605</f>
        <v>28.3</v>
      </c>
      <c r="Z605">
        <f>SUMIF(货件明细!J:J,E605,货件明细!I:I)</f>
        <v>0</v>
      </c>
      <c r="AA605">
        <f>IF(S605=Z605,0,1)</f>
        <v>1</v>
      </c>
    </row>
    <row r="606" hidden="1" spans="1:27">
      <c r="A606">
        <v>1</v>
      </c>
      <c r="B606">
        <v>5</v>
      </c>
      <c r="C606" s="3">
        <v>46051</v>
      </c>
      <c r="D606" t="s">
        <v>27</v>
      </c>
      <c r="E606" t="s">
        <v>710</v>
      </c>
      <c r="F606" t="s">
        <v>74</v>
      </c>
      <c r="G606" t="s">
        <v>30</v>
      </c>
      <c r="H606" t="s">
        <v>37</v>
      </c>
      <c r="I606" t="s">
        <v>92</v>
      </c>
      <c r="J606" t="s">
        <v>92</v>
      </c>
      <c r="K606" t="s">
        <v>64</v>
      </c>
      <c r="L606" t="s">
        <v>65</v>
      </c>
      <c r="M606" t="s">
        <v>188</v>
      </c>
      <c r="N606">
        <v>28.3</v>
      </c>
      <c r="O606">
        <v>38.3333333333333</v>
      </c>
      <c r="P606">
        <v>214.31</v>
      </c>
      <c r="Q606">
        <v>252.643333333333</v>
      </c>
      <c r="R606">
        <v>0</v>
      </c>
      <c r="S606">
        <v>252.643333333333</v>
      </c>
      <c r="T606">
        <v>206</v>
      </c>
      <c r="U606">
        <f>SUMIF(货件明细!J:J,E606,货件明细!AP:AP)</f>
        <v>0</v>
      </c>
      <c r="V606">
        <f>IF(U606=T606,0,1)</f>
        <v>1</v>
      </c>
      <c r="W606">
        <f>T606</f>
        <v>206</v>
      </c>
      <c r="X606">
        <f>SUMIF(货件明细!J:J,E606,货件明细!H:H)</f>
        <v>0</v>
      </c>
      <c r="Y606">
        <f>N606-X606</f>
        <v>28.3</v>
      </c>
      <c r="Z606">
        <f>SUMIF(货件明细!J:J,E606,货件明细!I:I)</f>
        <v>0</v>
      </c>
      <c r="AA606">
        <f>IF(S606=Z606,0,1)</f>
        <v>1</v>
      </c>
    </row>
    <row r="607" hidden="1" spans="1:27">
      <c r="A607">
        <v>1</v>
      </c>
      <c r="B607">
        <v>5</v>
      </c>
      <c r="C607" s="3">
        <v>46051</v>
      </c>
      <c r="D607" t="s">
        <v>27</v>
      </c>
      <c r="E607" t="s">
        <v>711</v>
      </c>
      <c r="F607" t="s">
        <v>62</v>
      </c>
      <c r="G607" t="s">
        <v>30</v>
      </c>
      <c r="H607" t="s">
        <v>31</v>
      </c>
      <c r="I607" t="s">
        <v>63</v>
      </c>
      <c r="J607" t="s">
        <v>63</v>
      </c>
      <c r="K607" t="s">
        <v>64</v>
      </c>
      <c r="L607" t="s">
        <v>65</v>
      </c>
      <c r="M607" t="s">
        <v>66</v>
      </c>
      <c r="N607">
        <v>10.6</v>
      </c>
      <c r="O607">
        <v>23.5714285714286</v>
      </c>
      <c r="P607">
        <v>73.0888888888889</v>
      </c>
      <c r="Q607">
        <v>96.6603174603175</v>
      </c>
      <c r="R607">
        <v>0</v>
      </c>
      <c r="S607">
        <v>96.6603174603175</v>
      </c>
      <c r="T607">
        <v>97</v>
      </c>
      <c r="U607">
        <f>SUMIF(货件明细!J:J,E607,货件明细!AP:AP)</f>
        <v>0</v>
      </c>
      <c r="V607">
        <f>IF(U607=T607,0,1)</f>
        <v>1</v>
      </c>
      <c r="W607">
        <f>T607</f>
        <v>97</v>
      </c>
      <c r="X607">
        <f>SUMIF(货件明细!J:J,E607,货件明细!H:H)</f>
        <v>0</v>
      </c>
      <c r="Y607">
        <f>N607-X607</f>
        <v>10.6</v>
      </c>
      <c r="Z607">
        <f>SUMIF(货件明细!J:J,E607,货件明细!I:I)</f>
        <v>0</v>
      </c>
      <c r="AA607">
        <f>IF(S607=Z607,0,1)</f>
        <v>1</v>
      </c>
    </row>
    <row r="608" hidden="1" spans="1:27">
      <c r="A608">
        <v>1</v>
      </c>
      <c r="B608">
        <v>5</v>
      </c>
      <c r="C608" s="3">
        <v>46051</v>
      </c>
      <c r="D608" t="s">
        <v>27</v>
      </c>
      <c r="E608" t="s">
        <v>712</v>
      </c>
      <c r="F608" t="s">
        <v>243</v>
      </c>
      <c r="G608" t="s">
        <v>72</v>
      </c>
      <c r="H608" t="s">
        <v>31</v>
      </c>
      <c r="I608" t="s">
        <v>63</v>
      </c>
      <c r="J608" t="s">
        <v>63</v>
      </c>
      <c r="K608" t="s">
        <v>64</v>
      </c>
      <c r="L608" t="s">
        <v>65</v>
      </c>
      <c r="M608" t="s">
        <v>66</v>
      </c>
      <c r="N608">
        <v>10.6</v>
      </c>
      <c r="O608">
        <v>15.7142857142857</v>
      </c>
      <c r="P608">
        <v>45.7444444444444</v>
      </c>
      <c r="Q608">
        <v>61.4587301587302</v>
      </c>
      <c r="R608">
        <v>0</v>
      </c>
      <c r="S608">
        <v>61.4587301587302</v>
      </c>
      <c r="T608">
        <v>97</v>
      </c>
      <c r="U608">
        <f>SUMIF(货件明细!J:J,E608,货件明细!AP:AP)</f>
        <v>0</v>
      </c>
      <c r="V608">
        <f>IF(U608=T608,0,1)</f>
        <v>1</v>
      </c>
      <c r="W608">
        <f>T608</f>
        <v>97</v>
      </c>
      <c r="X608">
        <f>SUMIF(货件明细!J:J,E608,货件明细!H:H)</f>
        <v>0</v>
      </c>
      <c r="Y608">
        <f>N608-X608</f>
        <v>10.6</v>
      </c>
      <c r="Z608">
        <f>SUMIF(货件明细!J:J,E608,货件明细!I:I)</f>
        <v>0</v>
      </c>
      <c r="AA608">
        <f>IF(S608=Z608,0,1)</f>
        <v>1</v>
      </c>
    </row>
    <row r="609" hidden="1" spans="1:27">
      <c r="A609">
        <v>1</v>
      </c>
      <c r="B609">
        <v>5</v>
      </c>
      <c r="C609" s="3">
        <v>46051</v>
      </c>
      <c r="D609" t="s">
        <v>27</v>
      </c>
      <c r="E609" t="s">
        <v>713</v>
      </c>
      <c r="F609" t="s">
        <v>187</v>
      </c>
      <c r="G609" t="s">
        <v>72</v>
      </c>
      <c r="H609" t="s">
        <v>31</v>
      </c>
      <c r="I609" t="s">
        <v>63</v>
      </c>
      <c r="J609" t="s">
        <v>63</v>
      </c>
      <c r="K609" t="s">
        <v>64</v>
      </c>
      <c r="L609" t="s">
        <v>65</v>
      </c>
      <c r="M609" t="s">
        <v>66</v>
      </c>
      <c r="N609">
        <v>10.6</v>
      </c>
      <c r="O609">
        <v>15.7142857142857</v>
      </c>
      <c r="P609">
        <v>41.1444444444444</v>
      </c>
      <c r="Q609">
        <v>56.8587301587302</v>
      </c>
      <c r="R609">
        <v>0</v>
      </c>
      <c r="S609">
        <v>56.8587301587302</v>
      </c>
      <c r="T609">
        <v>97</v>
      </c>
      <c r="U609">
        <f>SUMIF(货件明细!J:J,E609,货件明细!AP:AP)</f>
        <v>0</v>
      </c>
      <c r="V609">
        <f>IF(U609=T609,0,1)</f>
        <v>1</v>
      </c>
      <c r="W609">
        <f>T609</f>
        <v>97</v>
      </c>
      <c r="X609">
        <f>SUMIF(货件明细!J:J,E609,货件明细!H:H)</f>
        <v>0</v>
      </c>
      <c r="Y609">
        <f>N609-X609</f>
        <v>10.6</v>
      </c>
      <c r="Z609">
        <f>SUMIF(货件明细!J:J,E609,货件明细!I:I)</f>
        <v>0</v>
      </c>
      <c r="AA609">
        <f>IF(S609=Z609,0,1)</f>
        <v>1</v>
      </c>
    </row>
    <row r="610" hidden="1" spans="1:27">
      <c r="A610">
        <v>1</v>
      </c>
      <c r="B610">
        <v>5</v>
      </c>
      <c r="C610" s="3">
        <v>46051</v>
      </c>
      <c r="D610" t="s">
        <v>27</v>
      </c>
      <c r="E610" t="s">
        <v>714</v>
      </c>
      <c r="F610" t="s">
        <v>715</v>
      </c>
      <c r="G610" t="s">
        <v>69</v>
      </c>
      <c r="H610" t="s">
        <v>31</v>
      </c>
      <c r="I610" t="s">
        <v>63</v>
      </c>
      <c r="J610" t="s">
        <v>63</v>
      </c>
      <c r="K610" t="s">
        <v>64</v>
      </c>
      <c r="L610" t="s">
        <v>65</v>
      </c>
      <c r="M610" t="s">
        <v>66</v>
      </c>
      <c r="N610">
        <v>10.6</v>
      </c>
      <c r="O610">
        <v>15.7142857142857</v>
      </c>
      <c r="P610">
        <v>66.75</v>
      </c>
      <c r="Q610">
        <v>82.4642857142857</v>
      </c>
      <c r="R610">
        <v>0</v>
      </c>
      <c r="S610">
        <v>82.4642857142857</v>
      </c>
      <c r="T610">
        <v>97</v>
      </c>
      <c r="U610">
        <f>SUMIF(货件明细!J:J,E610,货件明细!AP:AP)</f>
        <v>0</v>
      </c>
      <c r="V610">
        <f>IF(U610=T610,0,1)</f>
        <v>1</v>
      </c>
      <c r="W610">
        <f>T610</f>
        <v>97</v>
      </c>
      <c r="X610">
        <f>SUMIF(货件明细!J:J,E610,货件明细!H:H)</f>
        <v>0</v>
      </c>
      <c r="Y610">
        <f>N610-X610</f>
        <v>10.6</v>
      </c>
      <c r="Z610">
        <f>SUMIF(货件明细!J:J,E610,货件明细!I:I)</f>
        <v>0</v>
      </c>
      <c r="AA610">
        <f>IF(S610=Z610,0,1)</f>
        <v>1</v>
      </c>
    </row>
    <row r="611" hidden="1" spans="1:27">
      <c r="A611">
        <v>1</v>
      </c>
      <c r="B611">
        <v>5</v>
      </c>
      <c r="C611" s="3">
        <v>46051</v>
      </c>
      <c r="D611" t="s">
        <v>27</v>
      </c>
      <c r="E611" t="s">
        <v>716</v>
      </c>
      <c r="F611" t="s">
        <v>74</v>
      </c>
      <c r="G611" t="s">
        <v>30</v>
      </c>
      <c r="H611" t="s">
        <v>31</v>
      </c>
      <c r="I611" t="s">
        <v>63</v>
      </c>
      <c r="J611" t="s">
        <v>63</v>
      </c>
      <c r="K611" t="s">
        <v>64</v>
      </c>
      <c r="L611" t="s">
        <v>65</v>
      </c>
      <c r="M611" t="s">
        <v>664</v>
      </c>
      <c r="N611">
        <v>10.6</v>
      </c>
      <c r="O611">
        <v>23.5714285714286</v>
      </c>
      <c r="P611">
        <v>90.64</v>
      </c>
      <c r="Q611">
        <v>114.211428571429</v>
      </c>
      <c r="R611">
        <v>0</v>
      </c>
      <c r="S611">
        <v>114.211428571429</v>
      </c>
      <c r="T611">
        <v>97</v>
      </c>
      <c r="U611">
        <f>SUMIF(货件明细!J:J,E611,货件明细!AP:AP)</f>
        <v>0</v>
      </c>
      <c r="V611">
        <f>IF(U611=T611,0,1)</f>
        <v>1</v>
      </c>
      <c r="W611">
        <f>T611</f>
        <v>97</v>
      </c>
      <c r="X611">
        <f>SUMIF(货件明细!J:J,E611,货件明细!H:H)</f>
        <v>0</v>
      </c>
      <c r="Y611">
        <f>N611-X611</f>
        <v>10.6</v>
      </c>
      <c r="Z611">
        <f>SUMIF(货件明细!J:J,E611,货件明细!I:I)</f>
        <v>0</v>
      </c>
      <c r="AA611">
        <f>IF(S611=Z611,0,1)</f>
        <v>1</v>
      </c>
    </row>
    <row r="612" hidden="1" spans="1:27">
      <c r="A612">
        <v>1</v>
      </c>
      <c r="B612">
        <v>5</v>
      </c>
      <c r="C612" s="3">
        <v>46051</v>
      </c>
      <c r="D612" t="s">
        <v>27</v>
      </c>
      <c r="E612" t="s">
        <v>717</v>
      </c>
      <c r="F612" t="s">
        <v>62</v>
      </c>
      <c r="G612" t="s">
        <v>30</v>
      </c>
      <c r="H612" t="s">
        <v>78</v>
      </c>
      <c r="I612" t="s">
        <v>63</v>
      </c>
      <c r="J612" t="s">
        <v>63</v>
      </c>
      <c r="K612" t="s">
        <v>64</v>
      </c>
      <c r="L612" t="s">
        <v>65</v>
      </c>
      <c r="M612" t="s">
        <v>66</v>
      </c>
      <c r="N612">
        <v>15.65</v>
      </c>
      <c r="O612">
        <v>23.5714285714286</v>
      </c>
      <c r="P612">
        <v>73.0888888888889</v>
      </c>
      <c r="Q612">
        <v>96.6603174603175</v>
      </c>
      <c r="R612">
        <v>0</v>
      </c>
      <c r="S612">
        <v>96.6603174603175</v>
      </c>
      <c r="T612">
        <v>110</v>
      </c>
      <c r="U612">
        <f>SUMIF(货件明细!J:J,E612,货件明细!AP:AP)</f>
        <v>0</v>
      </c>
      <c r="V612">
        <f>IF(U612=T612,0,1)</f>
        <v>1</v>
      </c>
      <c r="W612">
        <f>T612</f>
        <v>110</v>
      </c>
      <c r="X612">
        <f>SUMIF(货件明细!J:J,E612,货件明细!H:H)</f>
        <v>0</v>
      </c>
      <c r="Y612">
        <f>N612-X612</f>
        <v>15.65</v>
      </c>
      <c r="Z612">
        <f>SUMIF(货件明细!J:J,E612,货件明细!I:I)</f>
        <v>0</v>
      </c>
      <c r="AA612">
        <f>IF(S612=Z612,0,1)</f>
        <v>1</v>
      </c>
    </row>
    <row r="613" hidden="1" spans="1:27">
      <c r="A613">
        <v>1</v>
      </c>
      <c r="B613">
        <v>5</v>
      </c>
      <c r="C613" s="3">
        <v>46051</v>
      </c>
      <c r="D613" t="s">
        <v>27</v>
      </c>
      <c r="E613" t="s">
        <v>718</v>
      </c>
      <c r="F613" t="s">
        <v>243</v>
      </c>
      <c r="G613" t="s">
        <v>72</v>
      </c>
      <c r="H613" t="s">
        <v>78</v>
      </c>
      <c r="I613" t="s">
        <v>63</v>
      </c>
      <c r="J613" t="s">
        <v>63</v>
      </c>
      <c r="K613" t="s">
        <v>64</v>
      </c>
      <c r="L613" t="s">
        <v>65</v>
      </c>
      <c r="M613" t="s">
        <v>66</v>
      </c>
      <c r="N613">
        <v>15.65</v>
      </c>
      <c r="O613">
        <v>15.7142857142857</v>
      </c>
      <c r="P613">
        <v>45.7444444444444</v>
      </c>
      <c r="Q613">
        <v>61.4587301587302</v>
      </c>
      <c r="R613">
        <v>0</v>
      </c>
      <c r="S613">
        <v>61.4587301587302</v>
      </c>
      <c r="T613">
        <v>110</v>
      </c>
      <c r="U613">
        <f>SUMIF(货件明细!J:J,E613,货件明细!AP:AP)</f>
        <v>0</v>
      </c>
      <c r="V613">
        <f>IF(U613=T613,0,1)</f>
        <v>1</v>
      </c>
      <c r="W613">
        <f>T613</f>
        <v>110</v>
      </c>
      <c r="X613">
        <f>SUMIF(货件明细!J:J,E613,货件明细!H:H)</f>
        <v>0</v>
      </c>
      <c r="Y613">
        <f>N613-X613</f>
        <v>15.65</v>
      </c>
      <c r="Z613">
        <f>SUMIF(货件明细!J:J,E613,货件明细!I:I)</f>
        <v>0</v>
      </c>
      <c r="AA613">
        <f>IF(S613=Z613,0,1)</f>
        <v>1</v>
      </c>
    </row>
    <row r="614" hidden="1" spans="1:27">
      <c r="A614">
        <v>1</v>
      </c>
      <c r="B614">
        <v>5</v>
      </c>
      <c r="C614" s="3">
        <v>46051</v>
      </c>
      <c r="D614" t="s">
        <v>27</v>
      </c>
      <c r="E614" t="s">
        <v>719</v>
      </c>
      <c r="F614" t="s">
        <v>187</v>
      </c>
      <c r="G614" t="s">
        <v>72</v>
      </c>
      <c r="H614" t="s">
        <v>78</v>
      </c>
      <c r="I614" t="s">
        <v>63</v>
      </c>
      <c r="J614" t="s">
        <v>63</v>
      </c>
      <c r="K614" t="s">
        <v>64</v>
      </c>
      <c r="L614" t="s">
        <v>65</v>
      </c>
      <c r="M614" t="s">
        <v>66</v>
      </c>
      <c r="N614">
        <v>15.65</v>
      </c>
      <c r="O614">
        <v>15.7142857142857</v>
      </c>
      <c r="P614">
        <v>41.1444444444444</v>
      </c>
      <c r="Q614">
        <v>56.8587301587302</v>
      </c>
      <c r="R614">
        <v>0</v>
      </c>
      <c r="S614">
        <v>56.8587301587302</v>
      </c>
      <c r="T614">
        <v>110</v>
      </c>
      <c r="U614">
        <f>SUMIF(货件明细!J:J,E614,货件明细!AP:AP)</f>
        <v>0</v>
      </c>
      <c r="V614">
        <f>IF(U614=T614,0,1)</f>
        <v>1</v>
      </c>
      <c r="W614">
        <f>T614</f>
        <v>110</v>
      </c>
      <c r="X614">
        <f>SUMIF(货件明细!J:J,E614,货件明细!H:H)</f>
        <v>0</v>
      </c>
      <c r="Y614">
        <f>N614-X614</f>
        <v>15.65</v>
      </c>
      <c r="Z614">
        <f>SUMIF(货件明细!J:J,E614,货件明细!I:I)</f>
        <v>0</v>
      </c>
      <c r="AA614">
        <f>IF(S614=Z614,0,1)</f>
        <v>1</v>
      </c>
    </row>
    <row r="615" hidden="1" spans="1:27">
      <c r="A615">
        <v>1</v>
      </c>
      <c r="B615">
        <v>5</v>
      </c>
      <c r="C615" s="3">
        <v>46051</v>
      </c>
      <c r="D615" t="s">
        <v>27</v>
      </c>
      <c r="E615" t="s">
        <v>720</v>
      </c>
      <c r="F615" t="s">
        <v>715</v>
      </c>
      <c r="G615" t="s">
        <v>69</v>
      </c>
      <c r="H615" t="s">
        <v>78</v>
      </c>
      <c r="I615" t="s">
        <v>63</v>
      </c>
      <c r="J615" t="s">
        <v>63</v>
      </c>
      <c r="K615" t="s">
        <v>64</v>
      </c>
      <c r="L615" t="s">
        <v>65</v>
      </c>
      <c r="M615" t="s">
        <v>66</v>
      </c>
      <c r="N615">
        <v>15.65</v>
      </c>
      <c r="O615">
        <v>15.7142857142857</v>
      </c>
      <c r="P615">
        <v>66.75</v>
      </c>
      <c r="Q615">
        <v>82.4642857142857</v>
      </c>
      <c r="R615">
        <v>0</v>
      </c>
      <c r="S615">
        <v>82.4642857142857</v>
      </c>
      <c r="T615">
        <v>110</v>
      </c>
      <c r="U615">
        <f>SUMIF(货件明细!J:J,E615,货件明细!AP:AP)</f>
        <v>0</v>
      </c>
      <c r="V615">
        <f>IF(U615=T615,0,1)</f>
        <v>1</v>
      </c>
      <c r="W615">
        <f>T615</f>
        <v>110</v>
      </c>
      <c r="X615">
        <f>SUMIF(货件明细!J:J,E615,货件明细!H:H)</f>
        <v>0</v>
      </c>
      <c r="Y615">
        <f>N615-X615</f>
        <v>15.65</v>
      </c>
      <c r="Z615">
        <f>SUMIF(货件明细!J:J,E615,货件明细!I:I)</f>
        <v>0</v>
      </c>
      <c r="AA615">
        <f>IF(S615=Z615,0,1)</f>
        <v>1</v>
      </c>
    </row>
    <row r="616" hidden="1" spans="1:27">
      <c r="A616">
        <v>1</v>
      </c>
      <c r="B616">
        <v>5</v>
      </c>
      <c r="C616" s="3">
        <v>46051</v>
      </c>
      <c r="D616" t="s">
        <v>27</v>
      </c>
      <c r="E616" t="s">
        <v>721</v>
      </c>
      <c r="F616" t="s">
        <v>74</v>
      </c>
      <c r="G616" t="s">
        <v>30</v>
      </c>
      <c r="H616" t="s">
        <v>78</v>
      </c>
      <c r="I616" t="s">
        <v>63</v>
      </c>
      <c r="J616" t="s">
        <v>63</v>
      </c>
      <c r="K616" t="s">
        <v>64</v>
      </c>
      <c r="L616" t="s">
        <v>65</v>
      </c>
      <c r="M616" t="s">
        <v>664</v>
      </c>
      <c r="N616">
        <v>15.65</v>
      </c>
      <c r="O616">
        <v>23.5714285714286</v>
      </c>
      <c r="P616">
        <v>131.84</v>
      </c>
      <c r="Q616">
        <v>155.411428571429</v>
      </c>
      <c r="R616">
        <v>0</v>
      </c>
      <c r="S616">
        <v>155.411428571429</v>
      </c>
      <c r="T616">
        <v>110</v>
      </c>
      <c r="U616">
        <f>SUMIF(货件明细!J:J,E616,货件明细!AP:AP)</f>
        <v>0</v>
      </c>
      <c r="V616">
        <f>IF(U616=T616,0,1)</f>
        <v>1</v>
      </c>
      <c r="W616">
        <f>T616</f>
        <v>110</v>
      </c>
      <c r="X616">
        <f>SUMIF(货件明细!J:J,E616,货件明细!H:H)</f>
        <v>0</v>
      </c>
      <c r="Y616">
        <f>N616-X616</f>
        <v>15.65</v>
      </c>
      <c r="Z616">
        <f>SUMIF(货件明细!J:J,E616,货件明细!I:I)</f>
        <v>0</v>
      </c>
      <c r="AA616">
        <f>IF(S616=Z616,0,1)</f>
        <v>1</v>
      </c>
    </row>
    <row r="617" hidden="1" spans="1:27">
      <c r="A617">
        <v>1</v>
      </c>
      <c r="B617">
        <v>5</v>
      </c>
      <c r="C617" s="3">
        <v>46051</v>
      </c>
      <c r="D617" t="s">
        <v>27</v>
      </c>
      <c r="E617" t="s">
        <v>722</v>
      </c>
      <c r="F617" t="s">
        <v>62</v>
      </c>
      <c r="G617" t="s">
        <v>30</v>
      </c>
      <c r="H617" t="s">
        <v>37</v>
      </c>
      <c r="I617" t="s">
        <v>63</v>
      </c>
      <c r="J617" t="s">
        <v>63</v>
      </c>
      <c r="K617" t="s">
        <v>64</v>
      </c>
      <c r="L617" t="s">
        <v>65</v>
      </c>
      <c r="M617" t="s">
        <v>66</v>
      </c>
      <c r="N617">
        <v>25.6</v>
      </c>
      <c r="O617">
        <v>23.5714285714286</v>
      </c>
      <c r="P617">
        <v>146.177777777778</v>
      </c>
      <c r="Q617">
        <v>169.749206349206</v>
      </c>
      <c r="R617">
        <v>0</v>
      </c>
      <c r="S617">
        <v>169.749206349206</v>
      </c>
      <c r="T617">
        <v>207</v>
      </c>
      <c r="U617">
        <f>SUMIF(货件明细!J:J,E617,货件明细!AP:AP)</f>
        <v>0</v>
      </c>
      <c r="V617">
        <f>IF(U617=T617,0,1)</f>
        <v>1</v>
      </c>
      <c r="W617">
        <f>T617</f>
        <v>207</v>
      </c>
      <c r="X617">
        <f>SUMIF(货件明细!J:J,E617,货件明细!H:H)</f>
        <v>0</v>
      </c>
      <c r="Y617">
        <f>N617-X617</f>
        <v>25.6</v>
      </c>
      <c r="Z617">
        <f>SUMIF(货件明细!J:J,E617,货件明细!I:I)</f>
        <v>0</v>
      </c>
      <c r="AA617">
        <f>IF(S617=Z617,0,1)</f>
        <v>1</v>
      </c>
    </row>
    <row r="618" hidden="1" spans="1:27">
      <c r="A618">
        <v>1</v>
      </c>
      <c r="B618">
        <v>5</v>
      </c>
      <c r="C618" s="3">
        <v>46051</v>
      </c>
      <c r="D618" t="s">
        <v>27</v>
      </c>
      <c r="E618" t="s">
        <v>723</v>
      </c>
      <c r="F618" t="s">
        <v>243</v>
      </c>
      <c r="G618" t="s">
        <v>72</v>
      </c>
      <c r="H618" t="s">
        <v>37</v>
      </c>
      <c r="I618" t="s">
        <v>63</v>
      </c>
      <c r="J618" t="s">
        <v>63</v>
      </c>
      <c r="K618" t="s">
        <v>64</v>
      </c>
      <c r="L618" t="s">
        <v>65</v>
      </c>
      <c r="M618" t="s">
        <v>66</v>
      </c>
      <c r="N618">
        <v>25.6</v>
      </c>
      <c r="O618">
        <v>15.7142857142857</v>
      </c>
      <c r="P618">
        <v>91.4888888888889</v>
      </c>
      <c r="Q618">
        <v>107.203174603175</v>
      </c>
      <c r="R618">
        <v>0</v>
      </c>
      <c r="S618">
        <v>107.203174603175</v>
      </c>
      <c r="T618">
        <v>207</v>
      </c>
      <c r="U618">
        <f>SUMIF(货件明细!J:J,E618,货件明细!AP:AP)</f>
        <v>0</v>
      </c>
      <c r="V618">
        <f>IF(U618=T618,0,1)</f>
        <v>1</v>
      </c>
      <c r="W618">
        <f>T618</f>
        <v>207</v>
      </c>
      <c r="X618">
        <f>SUMIF(货件明细!J:J,E618,货件明细!H:H)</f>
        <v>0</v>
      </c>
      <c r="Y618">
        <f>N618-X618</f>
        <v>25.6</v>
      </c>
      <c r="Z618">
        <f>SUMIF(货件明细!J:J,E618,货件明细!I:I)</f>
        <v>0</v>
      </c>
      <c r="AA618">
        <f>IF(S618=Z618,0,1)</f>
        <v>1</v>
      </c>
    </row>
    <row r="619" hidden="1" spans="1:27">
      <c r="A619">
        <v>1</v>
      </c>
      <c r="B619">
        <v>5</v>
      </c>
      <c r="C619" s="3">
        <v>46051</v>
      </c>
      <c r="D619" t="s">
        <v>27</v>
      </c>
      <c r="E619" t="s">
        <v>724</v>
      </c>
      <c r="F619" t="s">
        <v>187</v>
      </c>
      <c r="G619" t="s">
        <v>72</v>
      </c>
      <c r="H619" t="s">
        <v>37</v>
      </c>
      <c r="I619" t="s">
        <v>63</v>
      </c>
      <c r="J619" t="s">
        <v>63</v>
      </c>
      <c r="K619" t="s">
        <v>64</v>
      </c>
      <c r="L619" t="s">
        <v>65</v>
      </c>
      <c r="M619" t="s">
        <v>66</v>
      </c>
      <c r="N619">
        <v>25.6</v>
      </c>
      <c r="O619">
        <v>15.7142857142857</v>
      </c>
      <c r="P619">
        <v>82.2888888888889</v>
      </c>
      <c r="Q619">
        <v>98.0031746031746</v>
      </c>
      <c r="R619">
        <v>0</v>
      </c>
      <c r="S619">
        <v>98.0031746031746</v>
      </c>
      <c r="T619">
        <v>207</v>
      </c>
      <c r="U619">
        <f>SUMIF(货件明细!J:J,E619,货件明细!AP:AP)</f>
        <v>0</v>
      </c>
      <c r="V619">
        <f>IF(U619=T619,0,1)</f>
        <v>1</v>
      </c>
      <c r="W619">
        <f>T619</f>
        <v>207</v>
      </c>
      <c r="X619">
        <f>SUMIF(货件明细!J:J,E619,货件明细!H:H)</f>
        <v>0</v>
      </c>
      <c r="Y619">
        <f>N619-X619</f>
        <v>25.6</v>
      </c>
      <c r="Z619">
        <f>SUMIF(货件明细!J:J,E619,货件明细!I:I)</f>
        <v>0</v>
      </c>
      <c r="AA619">
        <f>IF(S619=Z619,0,1)</f>
        <v>1</v>
      </c>
    </row>
    <row r="620" hidden="1" spans="1:27">
      <c r="A620">
        <v>1</v>
      </c>
      <c r="B620">
        <v>5</v>
      </c>
      <c r="C620" s="3">
        <v>46051</v>
      </c>
      <c r="D620" t="s">
        <v>27</v>
      </c>
      <c r="E620" t="s">
        <v>725</v>
      </c>
      <c r="F620" t="s">
        <v>715</v>
      </c>
      <c r="G620" t="s">
        <v>69</v>
      </c>
      <c r="H620" t="s">
        <v>37</v>
      </c>
      <c r="I620" t="s">
        <v>63</v>
      </c>
      <c r="J620" t="s">
        <v>63</v>
      </c>
      <c r="K620" t="s">
        <v>64</v>
      </c>
      <c r="L620" t="s">
        <v>65</v>
      </c>
      <c r="M620" t="s">
        <v>66</v>
      </c>
      <c r="N620">
        <v>25.6</v>
      </c>
      <c r="O620">
        <v>15.7142857142857</v>
      </c>
      <c r="P620">
        <v>133.5</v>
      </c>
      <c r="Q620">
        <v>149.214285714286</v>
      </c>
      <c r="R620">
        <v>0</v>
      </c>
      <c r="S620">
        <v>149.214285714286</v>
      </c>
      <c r="T620">
        <v>207</v>
      </c>
      <c r="U620">
        <f>SUMIF(货件明细!J:J,E620,货件明细!AP:AP)</f>
        <v>0</v>
      </c>
      <c r="V620">
        <f>IF(U620=T620,0,1)</f>
        <v>1</v>
      </c>
      <c r="W620">
        <f>T620</f>
        <v>207</v>
      </c>
      <c r="X620">
        <f>SUMIF(货件明细!J:J,E620,货件明细!H:H)</f>
        <v>0</v>
      </c>
      <c r="Y620">
        <f>N620-X620</f>
        <v>25.6</v>
      </c>
      <c r="Z620">
        <f>SUMIF(货件明细!J:J,E620,货件明细!I:I)</f>
        <v>0</v>
      </c>
      <c r="AA620">
        <f>IF(S620=Z620,0,1)</f>
        <v>1</v>
      </c>
    </row>
    <row r="621" hidden="1" spans="1:27">
      <c r="A621">
        <v>1</v>
      </c>
      <c r="B621">
        <v>5</v>
      </c>
      <c r="C621" s="3">
        <v>46051</v>
      </c>
      <c r="D621" t="s">
        <v>27</v>
      </c>
      <c r="E621" t="s">
        <v>726</v>
      </c>
      <c r="F621" t="s">
        <v>74</v>
      </c>
      <c r="G621" t="s">
        <v>30</v>
      </c>
      <c r="H621" t="s">
        <v>37</v>
      </c>
      <c r="I621" t="s">
        <v>63</v>
      </c>
      <c r="J621" t="s">
        <v>63</v>
      </c>
      <c r="K621" t="s">
        <v>64</v>
      </c>
      <c r="L621" t="s">
        <v>65</v>
      </c>
      <c r="M621" t="s">
        <v>664</v>
      </c>
      <c r="N621">
        <v>25.6</v>
      </c>
      <c r="O621">
        <v>23.5714285714286</v>
      </c>
      <c r="P621">
        <v>214.24</v>
      </c>
      <c r="Q621">
        <v>237.811428571429</v>
      </c>
      <c r="R621">
        <v>0</v>
      </c>
      <c r="S621">
        <v>237.811428571429</v>
      </c>
      <c r="T621">
        <v>207</v>
      </c>
      <c r="U621">
        <f>SUMIF(货件明细!J:J,E621,货件明细!AP:AP)</f>
        <v>0</v>
      </c>
      <c r="V621">
        <f>IF(U621=T621,0,1)</f>
        <v>1</v>
      </c>
      <c r="W621">
        <f>T621</f>
        <v>207</v>
      </c>
      <c r="X621">
        <f>SUMIF(货件明细!J:J,E621,货件明细!H:H)</f>
        <v>0</v>
      </c>
      <c r="Y621">
        <f>N621-X621</f>
        <v>25.6</v>
      </c>
      <c r="Z621">
        <f>SUMIF(货件明细!J:J,E621,货件明细!I:I)</f>
        <v>0</v>
      </c>
      <c r="AA621">
        <f>IF(S621=Z621,0,1)</f>
        <v>1</v>
      </c>
    </row>
    <row r="622" hidden="1" spans="1:27">
      <c r="A622">
        <v>1</v>
      </c>
      <c r="B622">
        <v>5</v>
      </c>
      <c r="C622" s="3">
        <v>46051</v>
      </c>
      <c r="D622" t="s">
        <v>27</v>
      </c>
      <c r="E622" t="s">
        <v>727</v>
      </c>
      <c r="F622" t="s">
        <v>195</v>
      </c>
      <c r="G622" t="s">
        <v>30</v>
      </c>
      <c r="H622" t="s">
        <v>59</v>
      </c>
      <c r="I622" t="s">
        <v>63</v>
      </c>
      <c r="J622" t="s">
        <v>63</v>
      </c>
      <c r="K622" t="s">
        <v>64</v>
      </c>
      <c r="L622" t="s">
        <v>65</v>
      </c>
      <c r="M622" t="s">
        <v>66</v>
      </c>
      <c r="N622">
        <v>32.5</v>
      </c>
      <c r="O622">
        <v>23.5714285714286</v>
      </c>
      <c r="P622">
        <v>179.4</v>
      </c>
      <c r="Q622">
        <v>202.971428571429</v>
      </c>
      <c r="R622">
        <v>0</v>
      </c>
      <c r="S622">
        <v>202.971428571429</v>
      </c>
      <c r="T622">
        <v>263</v>
      </c>
      <c r="U622">
        <f>SUMIF(货件明细!J:J,E622,货件明细!AP:AP)</f>
        <v>0</v>
      </c>
      <c r="V622">
        <f>IF(U622=T622,0,1)</f>
        <v>1</v>
      </c>
      <c r="W622">
        <f>T622</f>
        <v>263</v>
      </c>
      <c r="X622">
        <f>SUMIF(货件明细!J:J,E622,货件明细!H:H)</f>
        <v>0</v>
      </c>
      <c r="Y622">
        <f>N622-X622</f>
        <v>32.5</v>
      </c>
      <c r="Z622">
        <f>SUMIF(货件明细!J:J,E622,货件明细!I:I)</f>
        <v>0</v>
      </c>
      <c r="AA622">
        <f>IF(S622=Z622,0,1)</f>
        <v>1</v>
      </c>
    </row>
    <row r="623" hidden="1" spans="1:27">
      <c r="A623">
        <v>1</v>
      </c>
      <c r="B623">
        <v>5</v>
      </c>
      <c r="C623" s="3">
        <v>46051</v>
      </c>
      <c r="D623" t="s">
        <v>27</v>
      </c>
      <c r="E623" t="s">
        <v>728</v>
      </c>
      <c r="F623" t="s">
        <v>62</v>
      </c>
      <c r="G623" t="s">
        <v>30</v>
      </c>
      <c r="H623" t="s">
        <v>59</v>
      </c>
      <c r="I623" t="s">
        <v>63</v>
      </c>
      <c r="J623" t="s">
        <v>63</v>
      </c>
      <c r="K623" t="s">
        <v>64</v>
      </c>
      <c r="L623" t="s">
        <v>65</v>
      </c>
      <c r="M623" t="s">
        <v>66</v>
      </c>
      <c r="N623">
        <v>32.5</v>
      </c>
      <c r="O623">
        <v>23.5714285714286</v>
      </c>
      <c r="P623">
        <v>146.177777777778</v>
      </c>
      <c r="Q623">
        <v>169.749206349206</v>
      </c>
      <c r="R623">
        <v>0</v>
      </c>
      <c r="S623">
        <v>169.749206349206</v>
      </c>
      <c r="T623">
        <v>263</v>
      </c>
      <c r="U623">
        <f>SUMIF(货件明细!J:J,E623,货件明细!AP:AP)</f>
        <v>0</v>
      </c>
      <c r="V623">
        <f>IF(U623=T623,0,1)</f>
        <v>1</v>
      </c>
      <c r="W623">
        <f>T623</f>
        <v>263</v>
      </c>
      <c r="X623">
        <f>SUMIF(货件明细!J:J,E623,货件明细!H:H)</f>
        <v>0</v>
      </c>
      <c r="Y623">
        <f>N623-X623</f>
        <v>32.5</v>
      </c>
      <c r="Z623">
        <f>SUMIF(货件明细!J:J,E623,货件明细!I:I)</f>
        <v>0</v>
      </c>
      <c r="AA623">
        <f>IF(S623=Z623,0,1)</f>
        <v>1</v>
      </c>
    </row>
    <row r="624" hidden="1" spans="1:27">
      <c r="A624">
        <v>1</v>
      </c>
      <c r="B624">
        <v>5</v>
      </c>
      <c r="C624" s="3">
        <v>46051</v>
      </c>
      <c r="D624" t="s">
        <v>27</v>
      </c>
      <c r="E624" t="s">
        <v>729</v>
      </c>
      <c r="F624" t="s">
        <v>68</v>
      </c>
      <c r="G624" t="s">
        <v>69</v>
      </c>
      <c r="H624" t="s">
        <v>59</v>
      </c>
      <c r="I624" t="s">
        <v>63</v>
      </c>
      <c r="J624" t="s">
        <v>63</v>
      </c>
      <c r="K624" t="s">
        <v>64</v>
      </c>
      <c r="L624" t="s">
        <v>65</v>
      </c>
      <c r="M624" t="s">
        <v>66</v>
      </c>
      <c r="N624">
        <v>32.5</v>
      </c>
      <c r="O624">
        <v>15.7142857142857</v>
      </c>
      <c r="P624">
        <v>138.05</v>
      </c>
      <c r="Q624">
        <v>153.764285714286</v>
      </c>
      <c r="R624">
        <v>0</v>
      </c>
      <c r="S624">
        <v>153.764285714286</v>
      </c>
      <c r="T624">
        <v>263</v>
      </c>
      <c r="U624">
        <f>SUMIF(货件明细!J:J,E624,货件明细!AP:AP)</f>
        <v>0</v>
      </c>
      <c r="V624">
        <f>IF(U624=T624,0,1)</f>
        <v>1</v>
      </c>
      <c r="W624">
        <f>T624</f>
        <v>263</v>
      </c>
      <c r="X624">
        <f>SUMIF(货件明细!J:J,E624,货件明细!H:H)</f>
        <v>0</v>
      </c>
      <c r="Y624">
        <f>N624-X624</f>
        <v>32.5</v>
      </c>
      <c r="Z624">
        <f>SUMIF(货件明细!J:J,E624,货件明细!I:I)</f>
        <v>0</v>
      </c>
      <c r="AA624">
        <f>IF(S624=Z624,0,1)</f>
        <v>1</v>
      </c>
    </row>
    <row r="625" hidden="1" spans="1:27">
      <c r="A625">
        <v>1</v>
      </c>
      <c r="B625">
        <v>5</v>
      </c>
      <c r="C625" s="3">
        <v>46051</v>
      </c>
      <c r="D625" t="s">
        <v>27</v>
      </c>
      <c r="E625" t="s">
        <v>730</v>
      </c>
      <c r="F625" t="s">
        <v>243</v>
      </c>
      <c r="G625" t="s">
        <v>72</v>
      </c>
      <c r="H625" t="s">
        <v>59</v>
      </c>
      <c r="I625" t="s">
        <v>63</v>
      </c>
      <c r="J625" t="s">
        <v>63</v>
      </c>
      <c r="K625" t="s">
        <v>64</v>
      </c>
      <c r="L625" t="s">
        <v>65</v>
      </c>
      <c r="M625" t="s">
        <v>66</v>
      </c>
      <c r="N625">
        <v>32.5</v>
      </c>
      <c r="O625">
        <v>15.7142857142857</v>
      </c>
      <c r="P625">
        <v>91.4888888888889</v>
      </c>
      <c r="Q625">
        <v>107.203174603175</v>
      </c>
      <c r="R625">
        <v>0</v>
      </c>
      <c r="S625">
        <v>107.203174603175</v>
      </c>
      <c r="T625">
        <v>263</v>
      </c>
      <c r="U625">
        <f>SUMIF(货件明细!J:J,E625,货件明细!AP:AP)</f>
        <v>0</v>
      </c>
      <c r="V625">
        <f>IF(U625=T625,0,1)</f>
        <v>1</v>
      </c>
      <c r="W625">
        <f>T625</f>
        <v>263</v>
      </c>
      <c r="X625">
        <f>SUMIF(货件明细!J:J,E625,货件明细!H:H)</f>
        <v>0</v>
      </c>
      <c r="Y625">
        <f>N625-X625</f>
        <v>32.5</v>
      </c>
      <c r="Z625">
        <f>SUMIF(货件明细!J:J,E625,货件明细!I:I)</f>
        <v>0</v>
      </c>
      <c r="AA625">
        <f>IF(S625=Z625,0,1)</f>
        <v>1</v>
      </c>
    </row>
    <row r="626" hidden="1" spans="1:27">
      <c r="A626">
        <v>1</v>
      </c>
      <c r="B626">
        <v>5</v>
      </c>
      <c r="C626" s="3">
        <v>46051</v>
      </c>
      <c r="D626" t="s">
        <v>27</v>
      </c>
      <c r="E626" t="s">
        <v>731</v>
      </c>
      <c r="F626" t="s">
        <v>187</v>
      </c>
      <c r="G626" t="s">
        <v>72</v>
      </c>
      <c r="H626" t="s">
        <v>59</v>
      </c>
      <c r="I626" t="s">
        <v>63</v>
      </c>
      <c r="J626" t="s">
        <v>63</v>
      </c>
      <c r="K626" t="s">
        <v>64</v>
      </c>
      <c r="L626" t="s">
        <v>65</v>
      </c>
      <c r="M626" t="s">
        <v>66</v>
      </c>
      <c r="N626">
        <v>32.5</v>
      </c>
      <c r="O626">
        <v>15.7142857142857</v>
      </c>
      <c r="P626">
        <v>82.2888888888889</v>
      </c>
      <c r="Q626">
        <v>98.0031746031746</v>
      </c>
      <c r="R626">
        <v>0</v>
      </c>
      <c r="S626">
        <v>98.0031746031746</v>
      </c>
      <c r="T626">
        <v>263</v>
      </c>
      <c r="U626">
        <f>SUMIF(货件明细!J:J,E626,货件明细!AP:AP)</f>
        <v>0</v>
      </c>
      <c r="V626">
        <f>IF(U626=T626,0,1)</f>
        <v>1</v>
      </c>
      <c r="W626">
        <f>T626</f>
        <v>263</v>
      </c>
      <c r="X626">
        <f>SUMIF(货件明细!J:J,E626,货件明细!H:H)</f>
        <v>0</v>
      </c>
      <c r="Y626">
        <f>N626-X626</f>
        <v>32.5</v>
      </c>
      <c r="Z626">
        <f>SUMIF(货件明细!J:J,E626,货件明细!I:I)</f>
        <v>0</v>
      </c>
      <c r="AA626">
        <f>IF(S626=Z626,0,1)</f>
        <v>1</v>
      </c>
    </row>
    <row r="627" hidden="1" spans="1:27">
      <c r="A627">
        <v>1</v>
      </c>
      <c r="B627">
        <v>5</v>
      </c>
      <c r="C627" s="3">
        <v>46051</v>
      </c>
      <c r="D627" t="s">
        <v>27</v>
      </c>
      <c r="E627" t="s">
        <v>732</v>
      </c>
      <c r="F627" t="s">
        <v>62</v>
      </c>
      <c r="G627" t="s">
        <v>30</v>
      </c>
      <c r="H627" t="s">
        <v>51</v>
      </c>
      <c r="I627" t="s">
        <v>63</v>
      </c>
      <c r="J627" t="s">
        <v>63</v>
      </c>
      <c r="K627" t="s">
        <v>64</v>
      </c>
      <c r="L627" t="s">
        <v>65</v>
      </c>
      <c r="M627" t="s">
        <v>66</v>
      </c>
      <c r="N627">
        <v>11.25</v>
      </c>
      <c r="O627">
        <v>23.5714285714286</v>
      </c>
      <c r="P627">
        <v>73.0888888888889</v>
      </c>
      <c r="Q627">
        <v>96.6603174603175</v>
      </c>
      <c r="R627">
        <v>0</v>
      </c>
      <c r="S627">
        <v>96.6603174603175</v>
      </c>
      <c r="T627">
        <v>84</v>
      </c>
      <c r="U627">
        <f>SUMIF(货件明细!J:J,E627,货件明细!AP:AP)</f>
        <v>0</v>
      </c>
      <c r="V627">
        <f>IF(U627=T627,0,1)</f>
        <v>1</v>
      </c>
      <c r="W627">
        <f>T627</f>
        <v>84</v>
      </c>
      <c r="X627">
        <f>SUMIF(货件明细!J:J,E627,货件明细!H:H)</f>
        <v>0</v>
      </c>
      <c r="Y627">
        <f>N627-X627</f>
        <v>11.25</v>
      </c>
      <c r="Z627">
        <f>SUMIF(货件明细!J:J,E627,货件明细!I:I)</f>
        <v>0</v>
      </c>
      <c r="AA627">
        <f>IF(S627=Z627,0,1)</f>
        <v>1</v>
      </c>
    </row>
    <row r="628" hidden="1" spans="1:27">
      <c r="A628">
        <v>1</v>
      </c>
      <c r="B628">
        <v>5</v>
      </c>
      <c r="C628" s="3">
        <v>46051</v>
      </c>
      <c r="D628" t="s">
        <v>27</v>
      </c>
      <c r="E628" t="s">
        <v>733</v>
      </c>
      <c r="F628" t="s">
        <v>243</v>
      </c>
      <c r="G628" t="s">
        <v>72</v>
      </c>
      <c r="H628" t="s">
        <v>51</v>
      </c>
      <c r="I628" t="s">
        <v>63</v>
      </c>
      <c r="J628" t="s">
        <v>63</v>
      </c>
      <c r="K628" t="s">
        <v>64</v>
      </c>
      <c r="L628" t="s">
        <v>65</v>
      </c>
      <c r="M628" t="s">
        <v>66</v>
      </c>
      <c r="N628">
        <v>11.25</v>
      </c>
      <c r="O628">
        <v>15.7142857142857</v>
      </c>
      <c r="P628">
        <v>45.7444444444444</v>
      </c>
      <c r="Q628">
        <v>61.4587301587302</v>
      </c>
      <c r="R628">
        <v>0</v>
      </c>
      <c r="S628">
        <v>61.4587301587302</v>
      </c>
      <c r="T628">
        <v>84</v>
      </c>
      <c r="U628">
        <f>SUMIF(货件明细!J:J,E628,货件明细!AP:AP)</f>
        <v>0</v>
      </c>
      <c r="V628">
        <f>IF(U628=T628,0,1)</f>
        <v>1</v>
      </c>
      <c r="W628">
        <f>T628</f>
        <v>84</v>
      </c>
      <c r="X628">
        <f>SUMIF(货件明细!J:J,E628,货件明细!H:H)</f>
        <v>0</v>
      </c>
      <c r="Y628">
        <f>N628-X628</f>
        <v>11.25</v>
      </c>
      <c r="Z628">
        <f>SUMIF(货件明细!J:J,E628,货件明细!I:I)</f>
        <v>0</v>
      </c>
      <c r="AA628">
        <f>IF(S628=Z628,0,1)</f>
        <v>1</v>
      </c>
    </row>
    <row r="629" hidden="1" spans="1:27">
      <c r="A629">
        <v>1</v>
      </c>
      <c r="B629">
        <v>5</v>
      </c>
      <c r="C629" s="3">
        <v>46051</v>
      </c>
      <c r="D629" t="s">
        <v>27</v>
      </c>
      <c r="E629" t="s">
        <v>734</v>
      </c>
      <c r="F629" t="s">
        <v>187</v>
      </c>
      <c r="G629" t="s">
        <v>72</v>
      </c>
      <c r="H629" t="s">
        <v>51</v>
      </c>
      <c r="I629" t="s">
        <v>63</v>
      </c>
      <c r="J629" t="s">
        <v>63</v>
      </c>
      <c r="K629" t="s">
        <v>64</v>
      </c>
      <c r="L629" t="s">
        <v>65</v>
      </c>
      <c r="M629" t="s">
        <v>66</v>
      </c>
      <c r="N629">
        <v>11.25</v>
      </c>
      <c r="O629">
        <v>15.7142857142857</v>
      </c>
      <c r="P629">
        <v>41.1444444444444</v>
      </c>
      <c r="Q629">
        <v>56.8587301587302</v>
      </c>
      <c r="R629">
        <v>0</v>
      </c>
      <c r="S629">
        <v>56.8587301587302</v>
      </c>
      <c r="T629">
        <v>84</v>
      </c>
      <c r="U629">
        <f>SUMIF(货件明细!J:J,E629,货件明细!AP:AP)</f>
        <v>0</v>
      </c>
      <c r="V629">
        <f>IF(U629=T629,0,1)</f>
        <v>1</v>
      </c>
      <c r="W629">
        <f>T629</f>
        <v>84</v>
      </c>
      <c r="X629">
        <f>SUMIF(货件明细!J:J,E629,货件明细!H:H)</f>
        <v>0</v>
      </c>
      <c r="Y629">
        <f>N629-X629</f>
        <v>11.25</v>
      </c>
      <c r="Z629">
        <f>SUMIF(货件明细!J:J,E629,货件明细!I:I)</f>
        <v>0</v>
      </c>
      <c r="AA629">
        <f>IF(S629=Z629,0,1)</f>
        <v>1</v>
      </c>
    </row>
    <row r="630" hidden="1" spans="1:27">
      <c r="A630">
        <v>1</v>
      </c>
      <c r="B630">
        <v>5</v>
      </c>
      <c r="C630" s="3">
        <v>46051</v>
      </c>
      <c r="D630" t="s">
        <v>27</v>
      </c>
      <c r="E630" t="s">
        <v>735</v>
      </c>
      <c r="F630" t="s">
        <v>715</v>
      </c>
      <c r="G630" t="s">
        <v>69</v>
      </c>
      <c r="H630" t="s">
        <v>51</v>
      </c>
      <c r="I630" t="s">
        <v>63</v>
      </c>
      <c r="J630" t="s">
        <v>63</v>
      </c>
      <c r="K630" t="s">
        <v>64</v>
      </c>
      <c r="L630" t="s">
        <v>65</v>
      </c>
      <c r="M630" t="s">
        <v>66</v>
      </c>
      <c r="N630">
        <v>11.25</v>
      </c>
      <c r="O630">
        <v>15.7142857142857</v>
      </c>
      <c r="P630">
        <v>66.75</v>
      </c>
      <c r="Q630">
        <v>82.4642857142857</v>
      </c>
      <c r="R630">
        <v>0</v>
      </c>
      <c r="S630">
        <v>82.4642857142857</v>
      </c>
      <c r="T630">
        <v>84</v>
      </c>
      <c r="U630">
        <f>SUMIF(货件明细!J:J,E630,货件明细!AP:AP)</f>
        <v>0</v>
      </c>
      <c r="V630">
        <f>IF(U630=T630,0,1)</f>
        <v>1</v>
      </c>
      <c r="W630">
        <f>T630</f>
        <v>84</v>
      </c>
      <c r="X630">
        <f>SUMIF(货件明细!J:J,E630,货件明细!H:H)</f>
        <v>0</v>
      </c>
      <c r="Y630">
        <f>N630-X630</f>
        <v>11.25</v>
      </c>
      <c r="Z630">
        <f>SUMIF(货件明细!J:J,E630,货件明细!I:I)</f>
        <v>0</v>
      </c>
      <c r="AA630">
        <f>IF(S630=Z630,0,1)</f>
        <v>1</v>
      </c>
    </row>
    <row r="631" hidden="1" spans="1:27">
      <c r="A631">
        <v>1</v>
      </c>
      <c r="B631">
        <v>5</v>
      </c>
      <c r="C631" s="3">
        <v>46051</v>
      </c>
      <c r="D631" t="s">
        <v>27</v>
      </c>
      <c r="E631" t="s">
        <v>736</v>
      </c>
      <c r="F631" t="s">
        <v>74</v>
      </c>
      <c r="G631" t="s">
        <v>30</v>
      </c>
      <c r="H631" t="s">
        <v>51</v>
      </c>
      <c r="I631" t="s">
        <v>63</v>
      </c>
      <c r="J631" t="s">
        <v>63</v>
      </c>
      <c r="K631" t="s">
        <v>64</v>
      </c>
      <c r="L631" t="s">
        <v>65</v>
      </c>
      <c r="M631" t="s">
        <v>664</v>
      </c>
      <c r="N631">
        <v>11.25</v>
      </c>
      <c r="O631">
        <v>23.5714285714286</v>
      </c>
      <c r="P631">
        <v>90.64</v>
      </c>
      <c r="Q631">
        <v>114.211428571429</v>
      </c>
      <c r="R631">
        <v>0</v>
      </c>
      <c r="S631">
        <v>114.211428571429</v>
      </c>
      <c r="T631">
        <v>84</v>
      </c>
      <c r="U631">
        <f>SUMIF(货件明细!J:J,E631,货件明细!AP:AP)</f>
        <v>0</v>
      </c>
      <c r="V631">
        <f>IF(U631=T631,0,1)</f>
        <v>1</v>
      </c>
      <c r="W631">
        <f>T631</f>
        <v>84</v>
      </c>
      <c r="X631">
        <f>SUMIF(货件明细!J:J,E631,货件明细!H:H)</f>
        <v>0</v>
      </c>
      <c r="Y631">
        <f>N631-X631</f>
        <v>11.25</v>
      </c>
      <c r="Z631">
        <f>SUMIF(货件明细!J:J,E631,货件明细!I:I)</f>
        <v>0</v>
      </c>
      <c r="AA631">
        <f>IF(S631=Z631,0,1)</f>
        <v>1</v>
      </c>
    </row>
    <row r="632" hidden="1" spans="1:27">
      <c r="A632">
        <v>1</v>
      </c>
      <c r="B632">
        <v>5</v>
      </c>
      <c r="C632" s="3">
        <v>46051</v>
      </c>
      <c r="D632" t="s">
        <v>27</v>
      </c>
      <c r="E632" t="s">
        <v>737</v>
      </c>
      <c r="F632" t="s">
        <v>62</v>
      </c>
      <c r="G632" t="s">
        <v>30</v>
      </c>
      <c r="H632" t="s">
        <v>54</v>
      </c>
      <c r="I632" t="s">
        <v>63</v>
      </c>
      <c r="J632" t="s">
        <v>63</v>
      </c>
      <c r="K632" t="s">
        <v>64</v>
      </c>
      <c r="L632" t="s">
        <v>65</v>
      </c>
      <c r="M632" t="s">
        <v>66</v>
      </c>
      <c r="N632">
        <v>14.75</v>
      </c>
      <c r="O632">
        <v>23.5714285714286</v>
      </c>
      <c r="P632">
        <v>73.0888888888889</v>
      </c>
      <c r="Q632">
        <v>96.6603174603175</v>
      </c>
      <c r="R632">
        <v>0</v>
      </c>
      <c r="S632">
        <v>96.6603174603175</v>
      </c>
      <c r="T632">
        <v>124</v>
      </c>
      <c r="U632">
        <f>SUMIF(货件明细!J:J,E632,货件明细!AP:AP)</f>
        <v>0</v>
      </c>
      <c r="V632">
        <f>IF(U632=T632,0,1)</f>
        <v>1</v>
      </c>
      <c r="W632">
        <f>T632</f>
        <v>124</v>
      </c>
      <c r="X632">
        <f>SUMIF(货件明细!J:J,E632,货件明细!H:H)</f>
        <v>0</v>
      </c>
      <c r="Y632">
        <f>N632-X632</f>
        <v>14.75</v>
      </c>
      <c r="Z632">
        <f>SUMIF(货件明细!J:J,E632,货件明细!I:I)</f>
        <v>0</v>
      </c>
      <c r="AA632">
        <f>IF(S632=Z632,0,1)</f>
        <v>1</v>
      </c>
    </row>
    <row r="633" hidden="1" spans="1:27">
      <c r="A633">
        <v>1</v>
      </c>
      <c r="B633">
        <v>5</v>
      </c>
      <c r="C633" s="3">
        <v>46051</v>
      </c>
      <c r="D633" t="s">
        <v>27</v>
      </c>
      <c r="E633" t="s">
        <v>738</v>
      </c>
      <c r="F633" t="s">
        <v>243</v>
      </c>
      <c r="G633" t="s">
        <v>72</v>
      </c>
      <c r="H633" t="s">
        <v>54</v>
      </c>
      <c r="I633" t="s">
        <v>63</v>
      </c>
      <c r="J633" t="s">
        <v>63</v>
      </c>
      <c r="K633" t="s">
        <v>64</v>
      </c>
      <c r="L633" t="s">
        <v>65</v>
      </c>
      <c r="M633" t="s">
        <v>66</v>
      </c>
      <c r="N633">
        <v>14.75</v>
      </c>
      <c r="O633">
        <v>15.7142857142857</v>
      </c>
      <c r="P633">
        <v>45.7444444444444</v>
      </c>
      <c r="Q633">
        <v>61.4587301587302</v>
      </c>
      <c r="R633">
        <v>0</v>
      </c>
      <c r="S633">
        <v>61.4587301587302</v>
      </c>
      <c r="T633">
        <v>124</v>
      </c>
      <c r="U633">
        <f>SUMIF(货件明细!J:J,E633,货件明细!AP:AP)</f>
        <v>0</v>
      </c>
      <c r="V633">
        <f>IF(U633=T633,0,1)</f>
        <v>1</v>
      </c>
      <c r="W633">
        <f>T633</f>
        <v>124</v>
      </c>
      <c r="X633">
        <f>SUMIF(货件明细!J:J,E633,货件明细!H:H)</f>
        <v>0</v>
      </c>
      <c r="Y633">
        <f>N633-X633</f>
        <v>14.75</v>
      </c>
      <c r="Z633">
        <f>SUMIF(货件明细!J:J,E633,货件明细!I:I)</f>
        <v>0</v>
      </c>
      <c r="AA633">
        <f>IF(S633=Z633,0,1)</f>
        <v>1</v>
      </c>
    </row>
    <row r="634" hidden="1" spans="1:27">
      <c r="A634">
        <v>1</v>
      </c>
      <c r="B634">
        <v>5</v>
      </c>
      <c r="C634" s="3">
        <v>46051</v>
      </c>
      <c r="D634" t="s">
        <v>27</v>
      </c>
      <c r="E634" t="s">
        <v>739</v>
      </c>
      <c r="F634" t="s">
        <v>187</v>
      </c>
      <c r="G634" t="s">
        <v>72</v>
      </c>
      <c r="H634" t="s">
        <v>54</v>
      </c>
      <c r="I634" t="s">
        <v>63</v>
      </c>
      <c r="J634" t="s">
        <v>63</v>
      </c>
      <c r="K634" t="s">
        <v>64</v>
      </c>
      <c r="L634" t="s">
        <v>65</v>
      </c>
      <c r="M634" t="s">
        <v>66</v>
      </c>
      <c r="N634">
        <v>14.75</v>
      </c>
      <c r="O634">
        <v>15.7142857142857</v>
      </c>
      <c r="P634">
        <v>41.1444444444444</v>
      </c>
      <c r="Q634">
        <v>56.8587301587302</v>
      </c>
      <c r="R634">
        <v>0</v>
      </c>
      <c r="S634">
        <v>56.8587301587302</v>
      </c>
      <c r="T634">
        <v>124</v>
      </c>
      <c r="U634">
        <f>SUMIF(货件明细!J:J,E634,货件明细!AP:AP)</f>
        <v>0</v>
      </c>
      <c r="V634">
        <f>IF(U634=T634,0,1)</f>
        <v>1</v>
      </c>
      <c r="W634">
        <f>T634</f>
        <v>124</v>
      </c>
      <c r="X634">
        <f>SUMIF(货件明细!J:J,E634,货件明细!H:H)</f>
        <v>0</v>
      </c>
      <c r="Y634">
        <f>N634-X634</f>
        <v>14.75</v>
      </c>
      <c r="Z634">
        <f>SUMIF(货件明细!J:J,E634,货件明细!I:I)</f>
        <v>0</v>
      </c>
      <c r="AA634">
        <f>IF(S634=Z634,0,1)</f>
        <v>1</v>
      </c>
    </row>
    <row r="635" hidden="1" spans="1:27">
      <c r="A635">
        <v>1</v>
      </c>
      <c r="B635">
        <v>5</v>
      </c>
      <c r="C635" s="3">
        <v>46051</v>
      </c>
      <c r="D635" t="s">
        <v>27</v>
      </c>
      <c r="E635" t="s">
        <v>740</v>
      </c>
      <c r="F635" t="s">
        <v>715</v>
      </c>
      <c r="G635" t="s">
        <v>69</v>
      </c>
      <c r="H635" t="s">
        <v>54</v>
      </c>
      <c r="I635" t="s">
        <v>63</v>
      </c>
      <c r="J635" t="s">
        <v>63</v>
      </c>
      <c r="K635" t="s">
        <v>64</v>
      </c>
      <c r="L635" t="s">
        <v>65</v>
      </c>
      <c r="M635" t="s">
        <v>66</v>
      </c>
      <c r="N635">
        <v>14.75</v>
      </c>
      <c r="O635">
        <v>15.7142857142857</v>
      </c>
      <c r="P635">
        <v>66.75</v>
      </c>
      <c r="Q635">
        <v>82.4642857142857</v>
      </c>
      <c r="R635">
        <v>0</v>
      </c>
      <c r="S635">
        <v>82.4642857142857</v>
      </c>
      <c r="T635">
        <v>124</v>
      </c>
      <c r="U635">
        <f>SUMIF(货件明细!J:J,E635,货件明细!AP:AP)</f>
        <v>0</v>
      </c>
      <c r="V635">
        <f>IF(U635=T635,0,1)</f>
        <v>1</v>
      </c>
      <c r="W635">
        <f>T635</f>
        <v>124</v>
      </c>
      <c r="X635">
        <f>SUMIF(货件明细!J:J,E635,货件明细!H:H)</f>
        <v>0</v>
      </c>
      <c r="Y635">
        <f>N635-X635</f>
        <v>14.75</v>
      </c>
      <c r="Z635">
        <f>SUMIF(货件明细!J:J,E635,货件明细!I:I)</f>
        <v>0</v>
      </c>
      <c r="AA635">
        <f>IF(S635=Z635,0,1)</f>
        <v>1</v>
      </c>
    </row>
    <row r="636" hidden="1" spans="1:27">
      <c r="A636">
        <v>1</v>
      </c>
      <c r="B636">
        <v>5</v>
      </c>
      <c r="C636" s="3">
        <v>46051</v>
      </c>
      <c r="D636" t="s">
        <v>27</v>
      </c>
      <c r="E636" t="s">
        <v>741</v>
      </c>
      <c r="F636" t="s">
        <v>74</v>
      </c>
      <c r="G636" t="s">
        <v>30</v>
      </c>
      <c r="H636" t="s">
        <v>54</v>
      </c>
      <c r="I636" t="s">
        <v>63</v>
      </c>
      <c r="J636" t="s">
        <v>63</v>
      </c>
      <c r="K636" t="s">
        <v>64</v>
      </c>
      <c r="L636" t="s">
        <v>65</v>
      </c>
      <c r="M636" t="s">
        <v>664</v>
      </c>
      <c r="N636">
        <v>14.75</v>
      </c>
      <c r="O636">
        <v>23.5714285714286</v>
      </c>
      <c r="P636">
        <v>115.36</v>
      </c>
      <c r="Q636">
        <v>138.931428571429</v>
      </c>
      <c r="R636">
        <v>0</v>
      </c>
      <c r="S636">
        <v>138.931428571429</v>
      </c>
      <c r="T636">
        <v>124</v>
      </c>
      <c r="U636">
        <f>SUMIF(货件明细!J:J,E636,货件明细!AP:AP)</f>
        <v>0</v>
      </c>
      <c r="V636">
        <f>IF(U636=T636,0,1)</f>
        <v>1</v>
      </c>
      <c r="W636">
        <f>T636</f>
        <v>124</v>
      </c>
      <c r="X636">
        <f>SUMIF(货件明细!J:J,E636,货件明细!H:H)</f>
        <v>0</v>
      </c>
      <c r="Y636">
        <f>N636-X636</f>
        <v>14.75</v>
      </c>
      <c r="Z636">
        <f>SUMIF(货件明细!J:J,E636,货件明细!I:I)</f>
        <v>0</v>
      </c>
      <c r="AA636">
        <f>IF(S636=Z636,0,1)</f>
        <v>1</v>
      </c>
    </row>
    <row r="637" hidden="1" spans="1:27">
      <c r="A637">
        <v>1</v>
      </c>
      <c r="B637">
        <v>5</v>
      </c>
      <c r="C637" s="3">
        <v>46051</v>
      </c>
      <c r="D637" t="s">
        <v>27</v>
      </c>
      <c r="E637" t="s">
        <v>742</v>
      </c>
      <c r="F637" t="s">
        <v>243</v>
      </c>
      <c r="G637" t="s">
        <v>72</v>
      </c>
      <c r="H637" t="s">
        <v>224</v>
      </c>
      <c r="I637" t="s">
        <v>92</v>
      </c>
      <c r="J637" t="s">
        <v>92</v>
      </c>
      <c r="K637" t="s">
        <v>64</v>
      </c>
      <c r="L637" t="s">
        <v>65</v>
      </c>
      <c r="M637" t="s">
        <v>188</v>
      </c>
      <c r="N637">
        <v>10.6</v>
      </c>
      <c r="O637">
        <v>115</v>
      </c>
      <c r="P637">
        <v>60.17</v>
      </c>
      <c r="Q637">
        <v>175.17</v>
      </c>
      <c r="R637">
        <v>0</v>
      </c>
      <c r="S637">
        <v>175.17</v>
      </c>
      <c r="T637">
        <v>96</v>
      </c>
      <c r="U637">
        <f>SUMIF(货件明细!J:J,E637,货件明细!AP:AP)</f>
        <v>0</v>
      </c>
      <c r="V637">
        <f>IF(U637=T637,0,1)</f>
        <v>1</v>
      </c>
      <c r="W637">
        <f>T637</f>
        <v>96</v>
      </c>
      <c r="X637">
        <f>SUMIF(货件明细!J:J,E637,货件明细!H:H)</f>
        <v>0</v>
      </c>
      <c r="Y637">
        <f>N637-X637</f>
        <v>10.6</v>
      </c>
      <c r="Z637">
        <f>SUMIF(货件明细!J:J,E637,货件明细!I:I)</f>
        <v>0</v>
      </c>
      <c r="AA637">
        <f>IF(S637=Z637,0,1)</f>
        <v>1</v>
      </c>
    </row>
    <row r="638" hidden="1" spans="1:27">
      <c r="A638">
        <v>1</v>
      </c>
      <c r="B638">
        <v>5</v>
      </c>
      <c r="C638" s="3">
        <v>46051</v>
      </c>
      <c r="D638" t="s">
        <v>27</v>
      </c>
      <c r="E638" t="s">
        <v>743</v>
      </c>
      <c r="F638" t="s">
        <v>198</v>
      </c>
      <c r="G638" t="s">
        <v>69</v>
      </c>
      <c r="H638" t="s">
        <v>224</v>
      </c>
      <c r="I638" t="s">
        <v>92</v>
      </c>
      <c r="J638" t="s">
        <v>92</v>
      </c>
      <c r="K638" t="s">
        <v>64</v>
      </c>
      <c r="L638" t="s">
        <v>65</v>
      </c>
      <c r="M638" t="s">
        <v>188</v>
      </c>
      <c r="N638">
        <v>10.6</v>
      </c>
      <c r="O638">
        <v>76.6666666666667</v>
      </c>
      <c r="P638">
        <v>88.88</v>
      </c>
      <c r="Q638">
        <v>165.546666666667</v>
      </c>
      <c r="R638">
        <v>0</v>
      </c>
      <c r="S638">
        <v>165.546666666667</v>
      </c>
      <c r="T638">
        <v>96</v>
      </c>
      <c r="U638">
        <f>SUMIF(货件明细!J:J,E638,货件明细!AP:AP)</f>
        <v>0</v>
      </c>
      <c r="V638">
        <f>IF(U638=T638,0,1)</f>
        <v>1</v>
      </c>
      <c r="W638">
        <f>T638</f>
        <v>96</v>
      </c>
      <c r="X638">
        <f>SUMIF(货件明细!J:J,E638,货件明细!H:H)</f>
        <v>0</v>
      </c>
      <c r="Y638">
        <f>N638-X638</f>
        <v>10.6</v>
      </c>
      <c r="Z638">
        <f>SUMIF(货件明细!J:J,E638,货件明细!I:I)</f>
        <v>0</v>
      </c>
      <c r="AA638">
        <f>IF(S638=Z638,0,1)</f>
        <v>1</v>
      </c>
    </row>
    <row r="639" hidden="1" spans="1:27">
      <c r="A639">
        <v>1</v>
      </c>
      <c r="B639">
        <v>5</v>
      </c>
      <c r="C639" s="3">
        <v>46051</v>
      </c>
      <c r="D639" t="s">
        <v>27</v>
      </c>
      <c r="E639" t="s">
        <v>744</v>
      </c>
      <c r="F639" t="s">
        <v>187</v>
      </c>
      <c r="G639" t="s">
        <v>72</v>
      </c>
      <c r="H639" t="s">
        <v>224</v>
      </c>
      <c r="I639" t="s">
        <v>92</v>
      </c>
      <c r="J639" t="s">
        <v>92</v>
      </c>
      <c r="K639" t="s">
        <v>64</v>
      </c>
      <c r="L639" t="s">
        <v>65</v>
      </c>
      <c r="M639" t="s">
        <v>188</v>
      </c>
      <c r="N639">
        <v>10.6</v>
      </c>
      <c r="O639">
        <v>115</v>
      </c>
      <c r="P639">
        <v>55</v>
      </c>
      <c r="Q639">
        <v>170</v>
      </c>
      <c r="R639">
        <v>0</v>
      </c>
      <c r="S639">
        <v>170</v>
      </c>
      <c r="T639">
        <v>96</v>
      </c>
      <c r="U639">
        <f>SUMIF(货件明细!J:J,E639,货件明细!AP:AP)</f>
        <v>0</v>
      </c>
      <c r="V639">
        <f>IF(U639=T639,0,1)</f>
        <v>1</v>
      </c>
      <c r="W639">
        <f>T639</f>
        <v>96</v>
      </c>
      <c r="X639">
        <f>SUMIF(货件明细!J:J,E639,货件明细!H:H)</f>
        <v>0</v>
      </c>
      <c r="Y639">
        <f>N639-X639</f>
        <v>10.6</v>
      </c>
      <c r="Z639">
        <f>SUMIF(货件明细!J:J,E639,货件明细!I:I)</f>
        <v>0</v>
      </c>
      <c r="AA639">
        <f>IF(S639=Z639,0,1)</f>
        <v>1</v>
      </c>
    </row>
    <row r="640" hidden="1" spans="1:27">
      <c r="A640">
        <v>1</v>
      </c>
      <c r="B640">
        <v>5</v>
      </c>
      <c r="C640" s="3">
        <v>46051</v>
      </c>
      <c r="D640" t="s">
        <v>27</v>
      </c>
      <c r="E640" t="s">
        <v>745</v>
      </c>
      <c r="F640" t="s">
        <v>715</v>
      </c>
      <c r="G640" t="s">
        <v>69</v>
      </c>
      <c r="H640" t="s">
        <v>224</v>
      </c>
      <c r="I640" t="s">
        <v>92</v>
      </c>
      <c r="J640" t="s">
        <v>92</v>
      </c>
      <c r="K640" t="s">
        <v>64</v>
      </c>
      <c r="L640" t="s">
        <v>65</v>
      </c>
      <c r="M640" t="s">
        <v>188</v>
      </c>
      <c r="N640">
        <v>10.6</v>
      </c>
      <c r="O640">
        <v>76.6666666666667</v>
      </c>
      <c r="P640">
        <v>93.83</v>
      </c>
      <c r="Q640">
        <v>170.496666666667</v>
      </c>
      <c r="R640">
        <v>0</v>
      </c>
      <c r="S640">
        <v>170.496666666667</v>
      </c>
      <c r="T640">
        <v>96</v>
      </c>
      <c r="U640">
        <f>SUMIF(货件明细!J:J,E640,货件明细!AP:AP)</f>
        <v>0</v>
      </c>
      <c r="V640">
        <f>IF(U640=T640,0,1)</f>
        <v>1</v>
      </c>
      <c r="W640">
        <f>T640</f>
        <v>96</v>
      </c>
      <c r="X640">
        <f>SUMIF(货件明细!J:J,E640,货件明细!H:H)</f>
        <v>0</v>
      </c>
      <c r="Y640">
        <f>N640-X640</f>
        <v>10.6</v>
      </c>
      <c r="Z640">
        <f>SUMIF(货件明细!J:J,E640,货件明细!I:I)</f>
        <v>0</v>
      </c>
      <c r="AA640">
        <f>IF(S640=Z640,0,1)</f>
        <v>1</v>
      </c>
    </row>
    <row r="641" hidden="1" spans="1:27">
      <c r="A641">
        <v>1</v>
      </c>
      <c r="B641">
        <v>5</v>
      </c>
      <c r="C641" s="3">
        <v>46051</v>
      </c>
      <c r="D641" t="s">
        <v>27</v>
      </c>
      <c r="E641" t="s">
        <v>746</v>
      </c>
      <c r="F641" t="s">
        <v>74</v>
      </c>
      <c r="G641" t="s">
        <v>30</v>
      </c>
      <c r="H641" t="s">
        <v>224</v>
      </c>
      <c r="I641" t="s">
        <v>92</v>
      </c>
      <c r="J641" t="s">
        <v>92</v>
      </c>
      <c r="K641" t="s">
        <v>64</v>
      </c>
      <c r="L641" t="s">
        <v>65</v>
      </c>
      <c r="M641" t="s">
        <v>188</v>
      </c>
      <c r="N641">
        <v>10.6</v>
      </c>
      <c r="O641">
        <v>76.6666666666667</v>
      </c>
      <c r="P641">
        <v>114.29</v>
      </c>
      <c r="Q641">
        <v>190.956666666667</v>
      </c>
      <c r="R641">
        <v>0</v>
      </c>
      <c r="S641">
        <v>190.956666666667</v>
      </c>
      <c r="T641">
        <v>96</v>
      </c>
      <c r="U641">
        <f>SUMIF(货件明细!J:J,E641,货件明细!AP:AP)</f>
        <v>0</v>
      </c>
      <c r="V641">
        <f>IF(U641=T641,0,1)</f>
        <v>1</v>
      </c>
      <c r="W641">
        <f>T641</f>
        <v>96</v>
      </c>
      <c r="X641">
        <f>SUMIF(货件明细!J:J,E641,货件明细!H:H)</f>
        <v>0</v>
      </c>
      <c r="Y641">
        <f>N641-X641</f>
        <v>10.6</v>
      </c>
      <c r="Z641">
        <f>SUMIF(货件明细!J:J,E641,货件明细!I:I)</f>
        <v>0</v>
      </c>
      <c r="AA641">
        <f>IF(S641=Z641,0,1)</f>
        <v>1</v>
      </c>
    </row>
    <row r="642" hidden="1" spans="1:27">
      <c r="A642">
        <v>1</v>
      </c>
      <c r="B642">
        <v>5</v>
      </c>
      <c r="C642" s="3">
        <v>46051</v>
      </c>
      <c r="D642" t="s">
        <v>27</v>
      </c>
      <c r="E642" t="s">
        <v>747</v>
      </c>
      <c r="F642" t="s">
        <v>62</v>
      </c>
      <c r="G642" t="s">
        <v>30</v>
      </c>
      <c r="H642" t="s">
        <v>56</v>
      </c>
      <c r="I642" t="s">
        <v>63</v>
      </c>
      <c r="J642" t="s">
        <v>63</v>
      </c>
      <c r="K642" t="s">
        <v>64</v>
      </c>
      <c r="L642" t="s">
        <v>65</v>
      </c>
      <c r="M642" t="s">
        <v>66</v>
      </c>
      <c r="N642">
        <v>12.95</v>
      </c>
      <c r="O642">
        <v>23.5714285714286</v>
      </c>
      <c r="P642">
        <v>73.0888888888889</v>
      </c>
      <c r="Q642">
        <v>96.6603174603175</v>
      </c>
      <c r="R642">
        <v>0</v>
      </c>
      <c r="S642">
        <v>96.6603174603175</v>
      </c>
      <c r="T642">
        <v>67</v>
      </c>
      <c r="U642">
        <f>SUMIF(货件明细!J:J,E642,货件明细!AP:AP)</f>
        <v>0</v>
      </c>
      <c r="V642">
        <f>IF(U642=T642,0,1)</f>
        <v>1</v>
      </c>
      <c r="W642">
        <f>T642</f>
        <v>67</v>
      </c>
      <c r="X642">
        <f>SUMIF(货件明细!J:J,E642,货件明细!H:H)</f>
        <v>0</v>
      </c>
      <c r="Y642">
        <f>N642-X642</f>
        <v>12.95</v>
      </c>
      <c r="Z642">
        <f>SUMIF(货件明细!J:J,E642,货件明细!I:I)</f>
        <v>0</v>
      </c>
      <c r="AA642">
        <f>IF(S642=Z642,0,1)</f>
        <v>1</v>
      </c>
    </row>
    <row r="643" hidden="1" spans="1:27">
      <c r="A643">
        <v>1</v>
      </c>
      <c r="B643">
        <v>5</v>
      </c>
      <c r="C643" s="3">
        <v>46051</v>
      </c>
      <c r="D643" t="s">
        <v>27</v>
      </c>
      <c r="E643" t="s">
        <v>748</v>
      </c>
      <c r="F643" t="s">
        <v>243</v>
      </c>
      <c r="G643" t="s">
        <v>72</v>
      </c>
      <c r="H643" t="s">
        <v>56</v>
      </c>
      <c r="I643" t="s">
        <v>63</v>
      </c>
      <c r="J643" t="s">
        <v>63</v>
      </c>
      <c r="K643" t="s">
        <v>64</v>
      </c>
      <c r="L643" t="s">
        <v>65</v>
      </c>
      <c r="M643" t="s">
        <v>66</v>
      </c>
      <c r="N643">
        <v>12.95</v>
      </c>
      <c r="O643">
        <v>15.7142857142857</v>
      </c>
      <c r="P643">
        <v>45.7444444444444</v>
      </c>
      <c r="Q643">
        <v>61.4587301587302</v>
      </c>
      <c r="R643">
        <v>0</v>
      </c>
      <c r="S643">
        <v>61.4587301587302</v>
      </c>
      <c r="T643">
        <v>67</v>
      </c>
      <c r="U643">
        <f>SUMIF(货件明细!J:J,E643,货件明细!AP:AP)</f>
        <v>0</v>
      </c>
      <c r="V643">
        <f>IF(U643=T643,0,1)</f>
        <v>1</v>
      </c>
      <c r="W643">
        <f>T643</f>
        <v>67</v>
      </c>
      <c r="X643">
        <f>SUMIF(货件明细!J:J,E643,货件明细!H:H)</f>
        <v>0</v>
      </c>
      <c r="Y643">
        <f>N643-X643</f>
        <v>12.95</v>
      </c>
      <c r="Z643">
        <f>SUMIF(货件明细!J:J,E643,货件明细!I:I)</f>
        <v>0</v>
      </c>
      <c r="AA643">
        <f>IF(S643=Z643,0,1)</f>
        <v>1</v>
      </c>
    </row>
    <row r="644" hidden="1" spans="1:27">
      <c r="A644">
        <v>1</v>
      </c>
      <c r="B644">
        <v>5</v>
      </c>
      <c r="C644" s="3">
        <v>46051</v>
      </c>
      <c r="D644" t="s">
        <v>27</v>
      </c>
      <c r="E644" t="s">
        <v>749</v>
      </c>
      <c r="F644" t="s">
        <v>187</v>
      </c>
      <c r="G644" t="s">
        <v>72</v>
      </c>
      <c r="H644" t="s">
        <v>56</v>
      </c>
      <c r="I644" t="s">
        <v>63</v>
      </c>
      <c r="J644" t="s">
        <v>63</v>
      </c>
      <c r="K644" t="s">
        <v>64</v>
      </c>
      <c r="L644" t="s">
        <v>65</v>
      </c>
      <c r="M644" t="s">
        <v>66</v>
      </c>
      <c r="N644">
        <v>12.95</v>
      </c>
      <c r="O644">
        <v>15.7142857142857</v>
      </c>
      <c r="P644">
        <v>41.1444444444444</v>
      </c>
      <c r="Q644">
        <v>56.8587301587302</v>
      </c>
      <c r="R644">
        <v>0</v>
      </c>
      <c r="S644">
        <v>56.8587301587302</v>
      </c>
      <c r="T644">
        <v>67</v>
      </c>
      <c r="U644">
        <f>SUMIF(货件明细!J:J,E644,货件明细!AP:AP)</f>
        <v>0</v>
      </c>
      <c r="V644">
        <f>IF(U644=T644,0,1)</f>
        <v>1</v>
      </c>
      <c r="W644">
        <f>T644</f>
        <v>67</v>
      </c>
      <c r="X644">
        <f>SUMIF(货件明细!J:J,E644,货件明细!H:H)</f>
        <v>0</v>
      </c>
      <c r="Y644">
        <f>N644-X644</f>
        <v>12.95</v>
      </c>
      <c r="Z644">
        <f>SUMIF(货件明细!J:J,E644,货件明细!I:I)</f>
        <v>0</v>
      </c>
      <c r="AA644">
        <f>IF(S644=Z644,0,1)</f>
        <v>1</v>
      </c>
    </row>
    <row r="645" hidden="1" spans="1:27">
      <c r="A645">
        <v>1</v>
      </c>
      <c r="B645">
        <v>5</v>
      </c>
      <c r="C645" s="3">
        <v>46051</v>
      </c>
      <c r="D645" t="s">
        <v>27</v>
      </c>
      <c r="E645" t="s">
        <v>750</v>
      </c>
      <c r="F645" t="s">
        <v>715</v>
      </c>
      <c r="G645" t="s">
        <v>69</v>
      </c>
      <c r="H645" t="s">
        <v>56</v>
      </c>
      <c r="I645" t="s">
        <v>63</v>
      </c>
      <c r="J645" t="s">
        <v>63</v>
      </c>
      <c r="K645" t="s">
        <v>64</v>
      </c>
      <c r="L645" t="s">
        <v>65</v>
      </c>
      <c r="M645" t="s">
        <v>66</v>
      </c>
      <c r="N645">
        <v>12.95</v>
      </c>
      <c r="O645">
        <v>15.7142857142857</v>
      </c>
      <c r="P645">
        <v>66.75</v>
      </c>
      <c r="Q645">
        <v>82.4642857142857</v>
      </c>
      <c r="R645">
        <v>0</v>
      </c>
      <c r="S645">
        <v>82.4642857142857</v>
      </c>
      <c r="T645">
        <v>67</v>
      </c>
      <c r="U645">
        <f>SUMIF(货件明细!J:J,E645,货件明细!AP:AP)</f>
        <v>0</v>
      </c>
      <c r="V645">
        <f>IF(U645=T645,0,1)</f>
        <v>1</v>
      </c>
      <c r="W645">
        <f>T645</f>
        <v>67</v>
      </c>
      <c r="X645">
        <f>SUMIF(货件明细!J:J,E645,货件明细!H:H)</f>
        <v>0</v>
      </c>
      <c r="Y645">
        <f>N645-X645</f>
        <v>12.95</v>
      </c>
      <c r="Z645">
        <f>SUMIF(货件明细!J:J,E645,货件明细!I:I)</f>
        <v>0</v>
      </c>
      <c r="AA645">
        <f>IF(S645=Z645,0,1)</f>
        <v>1</v>
      </c>
    </row>
    <row r="646" hidden="1" spans="1:27">
      <c r="A646">
        <v>1</v>
      </c>
      <c r="B646">
        <v>5</v>
      </c>
      <c r="C646" s="3">
        <v>46051</v>
      </c>
      <c r="D646" t="s">
        <v>27</v>
      </c>
      <c r="E646" t="s">
        <v>751</v>
      </c>
      <c r="F646" t="s">
        <v>74</v>
      </c>
      <c r="G646" t="s">
        <v>30</v>
      </c>
      <c r="H646" t="s">
        <v>56</v>
      </c>
      <c r="I646" t="s">
        <v>63</v>
      </c>
      <c r="J646" t="s">
        <v>63</v>
      </c>
      <c r="K646" t="s">
        <v>64</v>
      </c>
      <c r="L646" t="s">
        <v>65</v>
      </c>
      <c r="M646" t="s">
        <v>664</v>
      </c>
      <c r="N646">
        <v>12.95</v>
      </c>
      <c r="O646">
        <v>23.5714285714286</v>
      </c>
      <c r="P646">
        <v>107.12</v>
      </c>
      <c r="Q646">
        <v>130.691428571429</v>
      </c>
      <c r="R646">
        <v>0</v>
      </c>
      <c r="S646">
        <v>130.691428571429</v>
      </c>
      <c r="T646">
        <v>67</v>
      </c>
      <c r="U646">
        <f>SUMIF(货件明细!J:J,E646,货件明细!AP:AP)</f>
        <v>0</v>
      </c>
      <c r="V646">
        <f>IF(U646=T646,0,1)</f>
        <v>1</v>
      </c>
      <c r="W646">
        <f>T646</f>
        <v>67</v>
      </c>
      <c r="X646">
        <f>SUMIF(货件明细!J:J,E646,货件明细!H:H)</f>
        <v>0</v>
      </c>
      <c r="Y646">
        <f>N646-X646</f>
        <v>12.95</v>
      </c>
      <c r="Z646">
        <f>SUMIF(货件明细!J:J,E646,货件明细!I:I)</f>
        <v>0</v>
      </c>
      <c r="AA646">
        <f>IF(S646=Z646,0,1)</f>
        <v>1</v>
      </c>
    </row>
    <row r="647" hidden="1" spans="1:27">
      <c r="A647">
        <v>1</v>
      </c>
      <c r="B647">
        <v>5</v>
      </c>
      <c r="C647" s="3">
        <v>46051</v>
      </c>
      <c r="D647" t="s">
        <v>88</v>
      </c>
      <c r="E647" t="s">
        <v>752</v>
      </c>
      <c r="F647" t="s">
        <v>211</v>
      </c>
      <c r="G647" t="s">
        <v>72</v>
      </c>
      <c r="H647" t="s">
        <v>37</v>
      </c>
      <c r="I647" t="s">
        <v>63</v>
      </c>
      <c r="J647" t="s">
        <v>63</v>
      </c>
      <c r="K647" t="s">
        <v>64</v>
      </c>
      <c r="L647" t="s">
        <v>65</v>
      </c>
      <c r="M647" t="s">
        <v>66</v>
      </c>
      <c r="N647">
        <v>45.1</v>
      </c>
      <c r="O647">
        <v>25.4545454545455</v>
      </c>
      <c r="P647">
        <v>162.463636363636</v>
      </c>
      <c r="Q647">
        <v>187.918181818182</v>
      </c>
      <c r="R647">
        <v>0</v>
      </c>
      <c r="S647">
        <v>187.918181818182</v>
      </c>
      <c r="T647">
        <v>345</v>
      </c>
      <c r="U647">
        <f>SUMIF(货件明细!J:J,E647,货件明细!AP:AP)</f>
        <v>0</v>
      </c>
      <c r="V647">
        <f>IF(U647=T647,0,1)</f>
        <v>1</v>
      </c>
      <c r="W647">
        <f>T647</f>
        <v>345</v>
      </c>
      <c r="X647">
        <f>SUMIF(货件明细!J:J,E647,货件明细!H:H)</f>
        <v>0</v>
      </c>
      <c r="Y647">
        <f>N647-X647</f>
        <v>45.1</v>
      </c>
      <c r="Z647">
        <f>SUMIF(货件明细!J:J,E647,货件明细!I:I)</f>
        <v>0</v>
      </c>
      <c r="AA647">
        <f>IF(S647=Z647,0,1)</f>
        <v>1</v>
      </c>
    </row>
    <row r="648" hidden="1" spans="1:27">
      <c r="A648">
        <v>1</v>
      </c>
      <c r="B648">
        <v>5</v>
      </c>
      <c r="C648" s="3">
        <v>46051</v>
      </c>
      <c r="D648" t="s">
        <v>88</v>
      </c>
      <c r="E648" t="s">
        <v>753</v>
      </c>
      <c r="F648" t="s">
        <v>211</v>
      </c>
      <c r="G648" t="s">
        <v>72</v>
      </c>
      <c r="H648" t="s">
        <v>78</v>
      </c>
      <c r="I648" t="s">
        <v>63</v>
      </c>
      <c r="J648" t="s">
        <v>63</v>
      </c>
      <c r="K648" t="s">
        <v>64</v>
      </c>
      <c r="L648" t="s">
        <v>65</v>
      </c>
      <c r="M648" t="s">
        <v>66</v>
      </c>
      <c r="N648">
        <v>217.95</v>
      </c>
      <c r="O648">
        <v>25.4545454545455</v>
      </c>
      <c r="P648">
        <v>649.854545454545</v>
      </c>
      <c r="Q648">
        <v>675.309090909091</v>
      </c>
      <c r="R648">
        <v>0</v>
      </c>
      <c r="S648">
        <v>675.309090909091</v>
      </c>
      <c r="T648">
        <v>1440</v>
      </c>
      <c r="U648">
        <f>SUMIF(货件明细!J:J,E648,货件明细!AP:AP)</f>
        <v>0</v>
      </c>
      <c r="V648">
        <f>IF(U648=T648,0,1)</f>
        <v>1</v>
      </c>
      <c r="W648">
        <f>T648</f>
        <v>1440</v>
      </c>
      <c r="X648">
        <f>SUMIF(货件明细!J:J,E648,货件明细!H:H)</f>
        <v>0</v>
      </c>
      <c r="Y648">
        <f>N648-X648</f>
        <v>217.95</v>
      </c>
      <c r="Z648">
        <f>SUMIF(货件明细!J:J,E648,货件明细!I:I)</f>
        <v>0</v>
      </c>
      <c r="AA648">
        <f>IF(S648=Z648,0,1)</f>
        <v>1</v>
      </c>
    </row>
    <row r="649" hidden="1" spans="1:27">
      <c r="A649">
        <v>1</v>
      </c>
      <c r="B649">
        <v>5</v>
      </c>
      <c r="C649" s="3">
        <v>46051</v>
      </c>
      <c r="D649" t="s">
        <v>88</v>
      </c>
      <c r="E649" t="s">
        <v>754</v>
      </c>
      <c r="F649" t="s">
        <v>211</v>
      </c>
      <c r="G649" t="s">
        <v>72</v>
      </c>
      <c r="H649" t="s">
        <v>56</v>
      </c>
      <c r="I649" t="s">
        <v>63</v>
      </c>
      <c r="J649" t="s">
        <v>63</v>
      </c>
      <c r="K649" t="s">
        <v>64</v>
      </c>
      <c r="L649" t="s">
        <v>65</v>
      </c>
      <c r="M649" t="s">
        <v>66</v>
      </c>
      <c r="N649">
        <v>93.15</v>
      </c>
      <c r="O649">
        <v>25.4545454545455</v>
      </c>
      <c r="P649">
        <v>284.311363636364</v>
      </c>
      <c r="Q649">
        <v>309.765909090909</v>
      </c>
      <c r="R649">
        <v>0</v>
      </c>
      <c r="S649">
        <v>309.765909090909</v>
      </c>
      <c r="T649">
        <v>850</v>
      </c>
      <c r="U649">
        <f>SUMIF(货件明细!J:J,E649,货件明细!AP:AP)</f>
        <v>0</v>
      </c>
      <c r="V649">
        <f>IF(U649=T649,0,1)</f>
        <v>1</v>
      </c>
      <c r="W649">
        <f>T649</f>
        <v>850</v>
      </c>
      <c r="X649">
        <f>SUMIF(货件明细!J:J,E649,货件明细!H:H)</f>
        <v>0</v>
      </c>
      <c r="Y649">
        <f>N649-X649</f>
        <v>93.15</v>
      </c>
      <c r="Z649">
        <f>SUMIF(货件明细!J:J,E649,货件明细!I:I)</f>
        <v>0</v>
      </c>
      <c r="AA649">
        <f>IF(S649=Z649,0,1)</f>
        <v>1</v>
      </c>
    </row>
    <row r="650" hidden="1" spans="1:27">
      <c r="A650">
        <v>1</v>
      </c>
      <c r="B650">
        <v>5</v>
      </c>
      <c r="C650" s="3">
        <v>46051</v>
      </c>
      <c r="D650" t="s">
        <v>88</v>
      </c>
      <c r="E650" t="s">
        <v>755</v>
      </c>
      <c r="F650" t="s">
        <v>211</v>
      </c>
      <c r="G650" t="s">
        <v>72</v>
      </c>
      <c r="H650" t="s">
        <v>54</v>
      </c>
      <c r="I650" t="s">
        <v>63</v>
      </c>
      <c r="J650" t="s">
        <v>63</v>
      </c>
      <c r="K650" t="s">
        <v>64</v>
      </c>
      <c r="L650" t="s">
        <v>65</v>
      </c>
      <c r="M650" t="s">
        <v>66</v>
      </c>
      <c r="N650">
        <v>122.1</v>
      </c>
      <c r="O650">
        <v>25.4545454545455</v>
      </c>
      <c r="P650">
        <v>284.311363636364</v>
      </c>
      <c r="Q650">
        <v>309.765909090909</v>
      </c>
      <c r="R650">
        <v>0</v>
      </c>
      <c r="S650">
        <v>309.765909090909</v>
      </c>
      <c r="T650">
        <v>386</v>
      </c>
      <c r="U650">
        <f>SUMIF(货件明细!J:J,E650,货件明细!AP:AP)</f>
        <v>0</v>
      </c>
      <c r="V650">
        <f>IF(U650=T650,0,1)</f>
        <v>1</v>
      </c>
      <c r="W650">
        <f>T650</f>
        <v>386</v>
      </c>
      <c r="X650">
        <f>SUMIF(货件明细!J:J,E650,货件明细!H:H)</f>
        <v>0</v>
      </c>
      <c r="Y650">
        <f>N650-X650</f>
        <v>122.1</v>
      </c>
      <c r="Z650">
        <f>SUMIF(货件明细!J:J,E650,货件明细!I:I)</f>
        <v>0</v>
      </c>
      <c r="AA650">
        <f>IF(S650=Z650,0,1)</f>
        <v>1</v>
      </c>
    </row>
    <row r="651" hidden="1" spans="1:27">
      <c r="A651">
        <v>1</v>
      </c>
      <c r="B651">
        <v>5</v>
      </c>
      <c r="C651" s="3">
        <v>46051</v>
      </c>
      <c r="D651" t="s">
        <v>88</v>
      </c>
      <c r="E651" t="s">
        <v>756</v>
      </c>
      <c r="F651" t="s">
        <v>211</v>
      </c>
      <c r="G651" t="s">
        <v>72</v>
      </c>
      <c r="H651" t="s">
        <v>39</v>
      </c>
      <c r="I651" t="s">
        <v>63</v>
      </c>
      <c r="J651" t="s">
        <v>63</v>
      </c>
      <c r="K651" t="s">
        <v>64</v>
      </c>
      <c r="L651" t="s">
        <v>65</v>
      </c>
      <c r="M651" t="s">
        <v>66</v>
      </c>
      <c r="N651">
        <v>132.2</v>
      </c>
      <c r="O651">
        <v>25.4545454545455</v>
      </c>
      <c r="P651">
        <v>406.159090909091</v>
      </c>
      <c r="Q651">
        <v>431.613636363636</v>
      </c>
      <c r="R651">
        <v>0</v>
      </c>
      <c r="S651">
        <v>431.613636363636</v>
      </c>
      <c r="T651">
        <v>735</v>
      </c>
      <c r="U651">
        <f>SUMIF(货件明细!J:J,E651,货件明细!AP:AP)</f>
        <v>0</v>
      </c>
      <c r="V651">
        <f>IF(U651=T651,0,1)</f>
        <v>1</v>
      </c>
      <c r="W651">
        <f>T651</f>
        <v>735</v>
      </c>
      <c r="X651">
        <f>SUMIF(货件明细!J:J,E651,货件明细!H:H)</f>
        <v>0</v>
      </c>
      <c r="Y651">
        <f>N651-X651</f>
        <v>132.2</v>
      </c>
      <c r="Z651">
        <f>SUMIF(货件明细!J:J,E651,货件明细!I:I)</f>
        <v>0</v>
      </c>
      <c r="AA651">
        <f>IF(S651=Z651,0,1)</f>
        <v>1</v>
      </c>
    </row>
    <row r="652" spans="1:27">
      <c r="A652">
        <v>1</v>
      </c>
      <c r="B652">
        <v>5</v>
      </c>
      <c r="C652" s="3">
        <v>46051</v>
      </c>
      <c r="D652" t="s">
        <v>27</v>
      </c>
      <c r="E652" t="s">
        <v>757</v>
      </c>
      <c r="F652" t="s">
        <v>652</v>
      </c>
      <c r="G652" t="s">
        <v>72</v>
      </c>
      <c r="H652" t="s">
        <v>224</v>
      </c>
      <c r="I652" t="s">
        <v>32</v>
      </c>
      <c r="J652" t="s">
        <v>32</v>
      </c>
      <c r="K652" t="s">
        <v>33</v>
      </c>
      <c r="L652" t="s">
        <v>323</v>
      </c>
      <c r="M652" t="s">
        <v>47</v>
      </c>
      <c r="N652">
        <v>13.1</v>
      </c>
      <c r="O652">
        <v>100</v>
      </c>
      <c r="P652">
        <v>585</v>
      </c>
      <c r="Q652">
        <v>685</v>
      </c>
      <c r="R652">
        <v>177.225</v>
      </c>
      <c r="S652">
        <v>862.225</v>
      </c>
      <c r="T652">
        <v>85</v>
      </c>
      <c r="U652">
        <f>SUMIF(货件明细!J:J,E652,货件明细!AP:AP)</f>
        <v>85</v>
      </c>
      <c r="V652">
        <f>IF(U652=T652,0,1)</f>
        <v>0</v>
      </c>
      <c r="W652">
        <f>T652</f>
        <v>85</v>
      </c>
      <c r="X652">
        <f>SUMIF(货件明细!J:J,E652,货件明细!H:H)</f>
        <v>12.22</v>
      </c>
      <c r="Y652">
        <f>N652-X652</f>
        <v>0.879999999999999</v>
      </c>
      <c r="Z652">
        <f>SUMIF(货件明细!J:J,E652,货件明细!I:I)</f>
        <v>862.225</v>
      </c>
      <c r="AA652">
        <f>IF(S652=Z652,0,1)</f>
        <v>0</v>
      </c>
    </row>
    <row r="653" spans="1:27">
      <c r="A653">
        <v>1</v>
      </c>
      <c r="B653">
        <v>5</v>
      </c>
      <c r="C653" s="3">
        <v>46051</v>
      </c>
      <c r="D653" t="s">
        <v>27</v>
      </c>
      <c r="E653" t="s">
        <v>758</v>
      </c>
      <c r="F653" t="s">
        <v>652</v>
      </c>
      <c r="G653" t="s">
        <v>72</v>
      </c>
      <c r="H653" t="s">
        <v>56</v>
      </c>
      <c r="I653" t="s">
        <v>32</v>
      </c>
      <c r="J653" t="s">
        <v>32</v>
      </c>
      <c r="K653" t="s">
        <v>33</v>
      </c>
      <c r="L653" t="s">
        <v>323</v>
      </c>
      <c r="M653" t="s">
        <v>47</v>
      </c>
      <c r="N653">
        <v>13.1</v>
      </c>
      <c r="O653">
        <v>100</v>
      </c>
      <c r="P653">
        <v>585</v>
      </c>
      <c r="Q653">
        <v>685</v>
      </c>
      <c r="R653">
        <v>112.59</v>
      </c>
      <c r="S653">
        <v>797.59</v>
      </c>
      <c r="T653">
        <v>45</v>
      </c>
      <c r="U653">
        <f>SUMIF(货件明细!J:J,E653,货件明细!AP:AP)</f>
        <v>45</v>
      </c>
      <c r="V653">
        <f>IF(U653=T653,0,1)</f>
        <v>0</v>
      </c>
      <c r="W653">
        <f>T653</f>
        <v>45</v>
      </c>
      <c r="X653">
        <f>SUMIF(货件明细!J:J,E653,货件明细!H:H)</f>
        <v>12.54</v>
      </c>
      <c r="Y653">
        <f>N653-X653</f>
        <v>0.56</v>
      </c>
      <c r="Z653">
        <f>SUMIF(货件明细!J:J,E653,货件明细!I:I)</f>
        <v>797.59</v>
      </c>
      <c r="AA653">
        <f>IF(S653=Z653,0,1)</f>
        <v>0</v>
      </c>
    </row>
    <row r="654" spans="1:27">
      <c r="A654">
        <v>1</v>
      </c>
      <c r="B654">
        <v>5</v>
      </c>
      <c r="C654" s="3">
        <v>46051</v>
      </c>
      <c r="D654" t="s">
        <v>27</v>
      </c>
      <c r="E654" t="s">
        <v>759</v>
      </c>
      <c r="F654" t="s">
        <v>652</v>
      </c>
      <c r="G654" t="s">
        <v>72</v>
      </c>
      <c r="H654" t="s">
        <v>78</v>
      </c>
      <c r="I654" t="s">
        <v>32</v>
      </c>
      <c r="J654" t="s">
        <v>32</v>
      </c>
      <c r="K654" t="s">
        <v>33</v>
      </c>
      <c r="L654" t="s">
        <v>323</v>
      </c>
      <c r="M654" t="s">
        <v>47</v>
      </c>
      <c r="N654">
        <v>12.8</v>
      </c>
      <c r="O654">
        <v>100</v>
      </c>
      <c r="P654">
        <v>585</v>
      </c>
      <c r="Q654">
        <v>685</v>
      </c>
      <c r="R654">
        <v>210.585</v>
      </c>
      <c r="S654">
        <v>895.585</v>
      </c>
      <c r="T654">
        <v>100</v>
      </c>
      <c r="U654">
        <f>SUMIF(货件明细!J:J,E654,货件明细!AP:AP)</f>
        <v>100</v>
      </c>
      <c r="V654">
        <f>IF(U654=T654,0,1)</f>
        <v>0</v>
      </c>
      <c r="W654">
        <f>T654</f>
        <v>100</v>
      </c>
      <c r="X654">
        <f>SUMIF(货件明细!J:J,E654,货件明细!H:H)</f>
        <v>12</v>
      </c>
      <c r="Y654">
        <f>N654-X654</f>
        <v>0.800000000000001</v>
      </c>
      <c r="Z654">
        <f>SUMIF(货件明细!J:J,E654,货件明细!I:I)</f>
        <v>895.585</v>
      </c>
      <c r="AA654">
        <f>IF(S654=Z654,0,1)</f>
        <v>0</v>
      </c>
    </row>
    <row r="655" hidden="1" spans="1:27">
      <c r="A655">
        <v>1</v>
      </c>
      <c r="B655">
        <v>5</v>
      </c>
      <c r="C655" s="3">
        <v>46052</v>
      </c>
      <c r="D655" t="s">
        <v>88</v>
      </c>
      <c r="E655" t="s">
        <v>760</v>
      </c>
      <c r="F655" t="s">
        <v>211</v>
      </c>
      <c r="G655" t="s">
        <v>72</v>
      </c>
      <c r="H655" t="s">
        <v>51</v>
      </c>
      <c r="I655" t="s">
        <v>63</v>
      </c>
      <c r="J655" t="s">
        <v>63</v>
      </c>
      <c r="K655" t="s">
        <v>64</v>
      </c>
      <c r="L655" t="s">
        <v>212</v>
      </c>
      <c r="M655" t="s">
        <v>213</v>
      </c>
      <c r="N655">
        <v>686.85</v>
      </c>
      <c r="O655">
        <v>34.6153846153846</v>
      </c>
      <c r="P655">
        <v>1577.74509803922</v>
      </c>
      <c r="Q655">
        <v>1612.3604826546</v>
      </c>
      <c r="R655">
        <v>0</v>
      </c>
      <c r="S655">
        <v>1612.3604826546</v>
      </c>
      <c r="T655">
        <v>2900</v>
      </c>
      <c r="U655">
        <f>SUMIF(货件明细!J:J,E655,货件明细!AP:AP)</f>
        <v>0</v>
      </c>
      <c r="V655">
        <f>IF(U655=T655,0,1)</f>
        <v>1</v>
      </c>
      <c r="W655">
        <f>T655</f>
        <v>2900</v>
      </c>
      <c r="X655">
        <f>SUMIF(货件明细!J:J,E655,货件明细!H:H)</f>
        <v>0</v>
      </c>
      <c r="Y655">
        <f>N655-X655</f>
        <v>686.85</v>
      </c>
      <c r="Z655">
        <f>SUMIF(货件明细!J:J,E655,货件明细!I:I)</f>
        <v>0</v>
      </c>
      <c r="AA655">
        <f>IF(S655=Z655,0,1)</f>
        <v>1</v>
      </c>
    </row>
    <row r="656" hidden="1" spans="1:27">
      <c r="A656">
        <v>1</v>
      </c>
      <c r="B656">
        <v>5</v>
      </c>
      <c r="C656" s="3">
        <v>46052</v>
      </c>
      <c r="D656" t="s">
        <v>88</v>
      </c>
      <c r="E656" t="s">
        <v>761</v>
      </c>
      <c r="F656" t="s">
        <v>211</v>
      </c>
      <c r="G656" t="s">
        <v>72</v>
      </c>
      <c r="H656" t="s">
        <v>37</v>
      </c>
      <c r="I656" t="s">
        <v>63</v>
      </c>
      <c r="J656" t="s">
        <v>63</v>
      </c>
      <c r="K656" t="s">
        <v>64</v>
      </c>
      <c r="L656" t="s">
        <v>212</v>
      </c>
      <c r="M656" t="s">
        <v>213</v>
      </c>
      <c r="N656">
        <v>477.55</v>
      </c>
      <c r="O656">
        <v>34.6153846153846</v>
      </c>
      <c r="P656">
        <v>1287.10784313726</v>
      </c>
      <c r="Q656">
        <v>1321.72322775264</v>
      </c>
      <c r="R656">
        <v>0</v>
      </c>
      <c r="S656">
        <v>1321.72322775264</v>
      </c>
      <c r="T656">
        <v>3157</v>
      </c>
      <c r="U656">
        <f>SUMIF(货件明细!J:J,E656,货件明细!AP:AP)</f>
        <v>0</v>
      </c>
      <c r="V656">
        <f>IF(U656=T656,0,1)</f>
        <v>1</v>
      </c>
      <c r="W656">
        <f>T656</f>
        <v>3157</v>
      </c>
      <c r="X656">
        <f>SUMIF(货件明细!J:J,E656,货件明细!H:H)</f>
        <v>0</v>
      </c>
      <c r="Y656">
        <f>N656-X656</f>
        <v>477.55</v>
      </c>
      <c r="Z656">
        <f>SUMIF(货件明细!J:J,E656,货件明细!I:I)</f>
        <v>0</v>
      </c>
      <c r="AA656">
        <f>IF(S656=Z656,0,1)</f>
        <v>1</v>
      </c>
    </row>
    <row r="657" hidden="1" spans="1:27">
      <c r="A657">
        <v>1</v>
      </c>
      <c r="B657">
        <v>5</v>
      </c>
      <c r="C657" s="3">
        <v>46052</v>
      </c>
      <c r="D657" t="s">
        <v>88</v>
      </c>
      <c r="E657" t="s">
        <v>762</v>
      </c>
      <c r="F657" t="s">
        <v>211</v>
      </c>
      <c r="G657" t="s">
        <v>72</v>
      </c>
      <c r="H657" t="s">
        <v>37</v>
      </c>
      <c r="I657" t="s">
        <v>63</v>
      </c>
      <c r="J657" t="s">
        <v>63</v>
      </c>
      <c r="K657" t="s">
        <v>64</v>
      </c>
      <c r="L657" t="s">
        <v>212</v>
      </c>
      <c r="M657" t="s">
        <v>213</v>
      </c>
      <c r="N657">
        <v>51.05</v>
      </c>
      <c r="O657">
        <v>34.6153846153846</v>
      </c>
      <c r="P657">
        <v>124.558823529412</v>
      </c>
      <c r="Q657">
        <v>159.174208144796</v>
      </c>
      <c r="R657">
        <v>0</v>
      </c>
      <c r="S657">
        <v>159.174208144796</v>
      </c>
      <c r="T657">
        <v>373</v>
      </c>
      <c r="U657">
        <f>SUMIF(货件明细!J:J,E657,货件明细!AP:AP)</f>
        <v>0</v>
      </c>
      <c r="V657">
        <f>IF(U657=T657,0,1)</f>
        <v>1</v>
      </c>
      <c r="W657">
        <f>T657</f>
        <v>373</v>
      </c>
      <c r="X657">
        <f>SUMIF(货件明细!J:J,E657,货件明细!H:H)</f>
        <v>0</v>
      </c>
      <c r="Y657">
        <f>N657-X657</f>
        <v>51.05</v>
      </c>
      <c r="Z657">
        <f>SUMIF(货件明细!J:J,E657,货件明细!I:I)</f>
        <v>0</v>
      </c>
      <c r="AA657">
        <f>IF(S657=Z657,0,1)</f>
        <v>1</v>
      </c>
    </row>
    <row r="658" hidden="1" spans="1:27">
      <c r="A658">
        <v>1</v>
      </c>
      <c r="B658">
        <v>5</v>
      </c>
      <c r="C658" s="3">
        <v>46052</v>
      </c>
      <c r="D658" t="s">
        <v>88</v>
      </c>
      <c r="E658" t="s">
        <v>763</v>
      </c>
      <c r="F658" t="s">
        <v>211</v>
      </c>
      <c r="G658" t="s">
        <v>72</v>
      </c>
      <c r="H658" t="s">
        <v>31</v>
      </c>
      <c r="I658" t="s">
        <v>63</v>
      </c>
      <c r="J658" t="s">
        <v>63</v>
      </c>
      <c r="K658" t="s">
        <v>64</v>
      </c>
      <c r="L658" t="s">
        <v>212</v>
      </c>
      <c r="M658" t="s">
        <v>213</v>
      </c>
      <c r="N658">
        <v>330.45</v>
      </c>
      <c r="O658">
        <v>34.6153846153846</v>
      </c>
      <c r="P658">
        <v>871.911764705882</v>
      </c>
      <c r="Q658">
        <v>906.527149321267</v>
      </c>
      <c r="R658">
        <v>0</v>
      </c>
      <c r="S658">
        <v>906.527149321267</v>
      </c>
      <c r="T658">
        <v>985</v>
      </c>
      <c r="U658">
        <f>SUMIF(货件明细!J:J,E658,货件明细!AP:AP)</f>
        <v>0</v>
      </c>
      <c r="V658">
        <f>IF(U658=T658,0,1)</f>
        <v>1</v>
      </c>
      <c r="W658">
        <f>T658</f>
        <v>985</v>
      </c>
      <c r="X658">
        <f>SUMIF(货件明细!J:J,E658,货件明细!H:H)</f>
        <v>0</v>
      </c>
      <c r="Y658">
        <f>N658-X658</f>
        <v>330.45</v>
      </c>
      <c r="Z658">
        <f>SUMIF(货件明细!J:J,E658,货件明细!I:I)</f>
        <v>0</v>
      </c>
      <c r="AA658">
        <f>IF(S658=Z658,0,1)</f>
        <v>1</v>
      </c>
    </row>
    <row r="659" hidden="1" spans="1:27">
      <c r="A659">
        <v>1</v>
      </c>
      <c r="B659">
        <v>5</v>
      </c>
      <c r="C659" s="3">
        <v>46052</v>
      </c>
      <c r="D659" t="s">
        <v>88</v>
      </c>
      <c r="E659" t="s">
        <v>764</v>
      </c>
      <c r="F659" t="s">
        <v>211</v>
      </c>
      <c r="G659" t="s">
        <v>72</v>
      </c>
      <c r="H659" t="s">
        <v>31</v>
      </c>
      <c r="I659" t="s">
        <v>63</v>
      </c>
      <c r="J659" t="s">
        <v>63</v>
      </c>
      <c r="K659" t="s">
        <v>64</v>
      </c>
      <c r="L659" t="s">
        <v>212</v>
      </c>
      <c r="M659" t="s">
        <v>213</v>
      </c>
      <c r="N659">
        <v>39.95</v>
      </c>
      <c r="O659">
        <v>34.6153846153846</v>
      </c>
      <c r="P659">
        <v>124.558823529412</v>
      </c>
      <c r="Q659">
        <v>159.174208144796</v>
      </c>
      <c r="R659">
        <v>0</v>
      </c>
      <c r="S659">
        <v>159.174208144796</v>
      </c>
      <c r="T659">
        <v>100</v>
      </c>
      <c r="U659">
        <f>SUMIF(货件明细!J:J,E659,货件明细!AP:AP)</f>
        <v>0</v>
      </c>
      <c r="V659">
        <f>IF(U659=T659,0,1)</f>
        <v>1</v>
      </c>
      <c r="W659">
        <f>T659</f>
        <v>100</v>
      </c>
      <c r="X659">
        <f>SUMIF(货件明细!J:J,E659,货件明细!H:H)</f>
        <v>0</v>
      </c>
      <c r="Y659">
        <f>N659-X659</f>
        <v>39.95</v>
      </c>
      <c r="Z659">
        <f>SUMIF(货件明细!J:J,E659,货件明细!I:I)</f>
        <v>0</v>
      </c>
      <c r="AA659">
        <f>IF(S659=Z659,0,1)</f>
        <v>1</v>
      </c>
    </row>
    <row r="660" hidden="1" spans="1:27">
      <c r="A660">
        <v>1</v>
      </c>
      <c r="B660">
        <v>5</v>
      </c>
      <c r="C660" s="3">
        <v>46052</v>
      </c>
      <c r="D660" t="s">
        <v>88</v>
      </c>
      <c r="E660" t="s">
        <v>765</v>
      </c>
      <c r="F660" t="s">
        <v>211</v>
      </c>
      <c r="G660" t="s">
        <v>72</v>
      </c>
      <c r="H660" t="s">
        <v>56</v>
      </c>
      <c r="I660" t="s">
        <v>63</v>
      </c>
      <c r="J660" t="s">
        <v>63</v>
      </c>
      <c r="K660" t="s">
        <v>64</v>
      </c>
      <c r="L660" t="s">
        <v>212</v>
      </c>
      <c r="M660" t="s">
        <v>213</v>
      </c>
      <c r="N660">
        <v>451.04</v>
      </c>
      <c r="O660">
        <v>34.6153846153846</v>
      </c>
      <c r="P660">
        <v>1204.06862745098</v>
      </c>
      <c r="Q660">
        <v>1238.68401206636</v>
      </c>
      <c r="R660">
        <v>0</v>
      </c>
      <c r="S660">
        <v>1238.68401206636</v>
      </c>
      <c r="T660">
        <v>1766</v>
      </c>
      <c r="U660">
        <f>SUMIF(货件明细!J:J,E660,货件明细!AP:AP)</f>
        <v>0</v>
      </c>
      <c r="V660">
        <f>IF(U660=T660,0,1)</f>
        <v>1</v>
      </c>
      <c r="W660">
        <f>T660</f>
        <v>1766</v>
      </c>
      <c r="X660">
        <f>SUMIF(货件明细!J:J,E660,货件明细!H:H)</f>
        <v>0</v>
      </c>
      <c r="Y660">
        <f>N660-X660</f>
        <v>451.04</v>
      </c>
      <c r="Z660">
        <f>SUMIF(货件明细!J:J,E660,货件明细!I:I)</f>
        <v>0</v>
      </c>
      <c r="AA660">
        <f>IF(S660=Z660,0,1)</f>
        <v>1</v>
      </c>
    </row>
    <row r="661" hidden="1" spans="1:27">
      <c r="A661">
        <v>1</v>
      </c>
      <c r="B661">
        <v>5</v>
      </c>
      <c r="C661" s="3">
        <v>46052</v>
      </c>
      <c r="D661" t="s">
        <v>88</v>
      </c>
      <c r="E661" t="s">
        <v>766</v>
      </c>
      <c r="F661" t="s">
        <v>211</v>
      </c>
      <c r="G661" t="s">
        <v>72</v>
      </c>
      <c r="H661" t="s">
        <v>56</v>
      </c>
      <c r="I661" t="s">
        <v>63</v>
      </c>
      <c r="J661" t="s">
        <v>63</v>
      </c>
      <c r="K661" t="s">
        <v>64</v>
      </c>
      <c r="L661" t="s">
        <v>212</v>
      </c>
      <c r="M661" t="s">
        <v>213</v>
      </c>
      <c r="N661">
        <v>8.95</v>
      </c>
      <c r="O661">
        <v>34.6153846153846</v>
      </c>
      <c r="P661">
        <v>41.5196078431373</v>
      </c>
      <c r="Q661">
        <v>76.1349924585219</v>
      </c>
      <c r="R661">
        <v>0</v>
      </c>
      <c r="S661">
        <v>76.1349924585219</v>
      </c>
      <c r="T661">
        <v>19</v>
      </c>
      <c r="U661">
        <f>SUMIF(货件明细!J:J,E661,货件明细!AP:AP)</f>
        <v>0</v>
      </c>
      <c r="V661">
        <f>IF(U661=T661,0,1)</f>
        <v>1</v>
      </c>
      <c r="W661">
        <f>T661</f>
        <v>19</v>
      </c>
      <c r="X661">
        <f>SUMIF(货件明细!J:J,E661,货件明细!H:H)</f>
        <v>0</v>
      </c>
      <c r="Y661">
        <f>N661-X661</f>
        <v>8.95</v>
      </c>
      <c r="Z661">
        <f>SUMIF(货件明细!J:J,E661,货件明细!I:I)</f>
        <v>0</v>
      </c>
      <c r="AA661">
        <f>IF(S661=Z661,0,1)</f>
        <v>1</v>
      </c>
    </row>
    <row r="662" hidden="1" spans="1:27">
      <c r="A662">
        <v>1</v>
      </c>
      <c r="B662">
        <v>5</v>
      </c>
      <c r="C662" s="3">
        <v>46052</v>
      </c>
      <c r="D662" t="s">
        <v>88</v>
      </c>
      <c r="E662" t="s">
        <v>767</v>
      </c>
      <c r="F662" t="s">
        <v>211</v>
      </c>
      <c r="G662" t="s">
        <v>72</v>
      </c>
      <c r="H662" t="s">
        <v>54</v>
      </c>
      <c r="I662" t="s">
        <v>63</v>
      </c>
      <c r="J662" t="s">
        <v>63</v>
      </c>
      <c r="K662" t="s">
        <v>64</v>
      </c>
      <c r="L662" t="s">
        <v>212</v>
      </c>
      <c r="M662" t="s">
        <v>213</v>
      </c>
      <c r="N662">
        <v>35.3</v>
      </c>
      <c r="O662">
        <v>34.6153846153846</v>
      </c>
      <c r="P662">
        <v>124.558823529412</v>
      </c>
      <c r="Q662">
        <v>159.174208144796</v>
      </c>
      <c r="R662">
        <v>0</v>
      </c>
      <c r="S662">
        <v>159.174208144796</v>
      </c>
      <c r="T662">
        <v>190</v>
      </c>
      <c r="U662">
        <f>SUMIF(货件明细!J:J,E662,货件明细!AP:AP)</f>
        <v>0</v>
      </c>
      <c r="V662">
        <f>IF(U662=T662,0,1)</f>
        <v>1</v>
      </c>
      <c r="W662">
        <f>T662</f>
        <v>190</v>
      </c>
      <c r="X662">
        <f>SUMIF(货件明细!J:J,E662,货件明细!H:H)</f>
        <v>0</v>
      </c>
      <c r="Y662">
        <f>N662-X662</f>
        <v>35.3</v>
      </c>
      <c r="Z662">
        <f>SUMIF(货件明细!J:J,E662,货件明细!I:I)</f>
        <v>0</v>
      </c>
      <c r="AA662">
        <f>IF(S662=Z662,0,1)</f>
        <v>1</v>
      </c>
    </row>
    <row r="663" hidden="1" spans="1:27">
      <c r="A663">
        <v>1</v>
      </c>
      <c r="B663">
        <v>5</v>
      </c>
      <c r="C663" s="3">
        <v>46052</v>
      </c>
      <c r="D663" t="s">
        <v>88</v>
      </c>
      <c r="E663" t="s">
        <v>768</v>
      </c>
      <c r="F663" t="s">
        <v>211</v>
      </c>
      <c r="G663" t="s">
        <v>72</v>
      </c>
      <c r="H663" t="s">
        <v>54</v>
      </c>
      <c r="I663" t="s">
        <v>63</v>
      </c>
      <c r="J663" t="s">
        <v>63</v>
      </c>
      <c r="K663" t="s">
        <v>64</v>
      </c>
      <c r="L663" t="s">
        <v>212</v>
      </c>
      <c r="M663" t="s">
        <v>213</v>
      </c>
      <c r="N663">
        <v>17.5</v>
      </c>
      <c r="O663">
        <v>34.6153846153846</v>
      </c>
      <c r="P663">
        <v>41.5196078431373</v>
      </c>
      <c r="Q663">
        <v>76.1349924585219</v>
      </c>
      <c r="R663">
        <v>0</v>
      </c>
      <c r="S663">
        <v>76.1349924585219</v>
      </c>
      <c r="T663">
        <v>55</v>
      </c>
      <c r="U663">
        <f>SUMIF(货件明细!J:J,E663,货件明细!AP:AP)</f>
        <v>0</v>
      </c>
      <c r="V663">
        <f>IF(U663=T663,0,1)</f>
        <v>1</v>
      </c>
      <c r="W663">
        <f>T663</f>
        <v>55</v>
      </c>
      <c r="X663">
        <f>SUMIF(货件明细!J:J,E663,货件明细!H:H)</f>
        <v>0</v>
      </c>
      <c r="Y663">
        <f>N663-X663</f>
        <v>17.5</v>
      </c>
      <c r="Z663">
        <f>SUMIF(货件明细!J:J,E663,货件明细!I:I)</f>
        <v>0</v>
      </c>
      <c r="AA663">
        <f>IF(S663=Z663,0,1)</f>
        <v>1</v>
      </c>
    </row>
    <row r="664" hidden="1" spans="1:27">
      <c r="A664">
        <v>1</v>
      </c>
      <c r="B664">
        <v>5</v>
      </c>
      <c r="C664" s="3">
        <v>46052</v>
      </c>
      <c r="D664" t="s">
        <v>88</v>
      </c>
      <c r="E664" t="s">
        <v>769</v>
      </c>
      <c r="F664" t="s">
        <v>211</v>
      </c>
      <c r="G664" t="s">
        <v>72</v>
      </c>
      <c r="H664" t="s">
        <v>39</v>
      </c>
      <c r="I664" t="s">
        <v>63</v>
      </c>
      <c r="J664" t="s">
        <v>63</v>
      </c>
      <c r="K664" t="s">
        <v>64</v>
      </c>
      <c r="L664" t="s">
        <v>212</v>
      </c>
      <c r="M664" t="s">
        <v>213</v>
      </c>
      <c r="N664">
        <v>46.2</v>
      </c>
      <c r="O664">
        <v>34.6153846153846</v>
      </c>
      <c r="P664">
        <v>124.558823529412</v>
      </c>
      <c r="Q664">
        <v>159.174208144796</v>
      </c>
      <c r="R664">
        <v>0</v>
      </c>
      <c r="S664">
        <v>159.174208144796</v>
      </c>
      <c r="T664">
        <v>270</v>
      </c>
      <c r="U664">
        <f>SUMIF(货件明细!J:J,E664,货件明细!AP:AP)</f>
        <v>0</v>
      </c>
      <c r="V664">
        <f>IF(U664=T664,0,1)</f>
        <v>1</v>
      </c>
      <c r="W664">
        <f>T664</f>
        <v>270</v>
      </c>
      <c r="X664">
        <f>SUMIF(货件明细!J:J,E664,货件明细!H:H)</f>
        <v>0</v>
      </c>
      <c r="Y664">
        <f>N664-X664</f>
        <v>46.2</v>
      </c>
      <c r="Z664">
        <f>SUMIF(货件明细!J:J,E664,货件明细!I:I)</f>
        <v>0</v>
      </c>
      <c r="AA664">
        <f>IF(S664=Z664,0,1)</f>
        <v>1</v>
      </c>
    </row>
    <row r="665" hidden="1" spans="1:27">
      <c r="A665">
        <v>1</v>
      </c>
      <c r="B665">
        <v>5</v>
      </c>
      <c r="C665" s="3">
        <v>46052</v>
      </c>
      <c r="D665" t="s">
        <v>88</v>
      </c>
      <c r="E665" t="s">
        <v>770</v>
      </c>
      <c r="F665" t="s">
        <v>211</v>
      </c>
      <c r="G665" t="s">
        <v>72</v>
      </c>
      <c r="H665" t="s">
        <v>78</v>
      </c>
      <c r="I665" t="s">
        <v>63</v>
      </c>
      <c r="J665" t="s">
        <v>63</v>
      </c>
      <c r="K665" t="s">
        <v>64</v>
      </c>
      <c r="L665" t="s">
        <v>212</v>
      </c>
      <c r="M665" t="s">
        <v>213</v>
      </c>
      <c r="N665">
        <v>353.2</v>
      </c>
      <c r="O665">
        <v>34.6153846153846</v>
      </c>
      <c r="P665">
        <v>1079.50980392157</v>
      </c>
      <c r="Q665">
        <v>1114.12518853695</v>
      </c>
      <c r="R665">
        <v>0</v>
      </c>
      <c r="S665">
        <v>1114.12518853695</v>
      </c>
      <c r="T665">
        <v>1430</v>
      </c>
      <c r="U665">
        <f>SUMIF(货件明细!J:J,E665,货件明细!AP:AP)</f>
        <v>0</v>
      </c>
      <c r="V665">
        <f>IF(U665=T665,0,1)</f>
        <v>1</v>
      </c>
      <c r="W665">
        <f>T665</f>
        <v>1430</v>
      </c>
      <c r="X665">
        <f>SUMIF(货件明细!J:J,E665,货件明细!H:H)</f>
        <v>0</v>
      </c>
      <c r="Y665">
        <f>N665-X665</f>
        <v>353.2</v>
      </c>
      <c r="Z665">
        <f>SUMIF(货件明细!J:J,E665,货件明细!I:I)</f>
        <v>0</v>
      </c>
      <c r="AA665">
        <f>IF(S665=Z665,0,1)</f>
        <v>1</v>
      </c>
    </row>
    <row r="666" hidden="1" spans="1:27">
      <c r="A666">
        <v>1</v>
      </c>
      <c r="B666">
        <v>5</v>
      </c>
      <c r="C666" s="3">
        <v>46052</v>
      </c>
      <c r="D666" t="s">
        <v>88</v>
      </c>
      <c r="E666" t="s">
        <v>771</v>
      </c>
      <c r="F666" t="s">
        <v>211</v>
      </c>
      <c r="G666" t="s">
        <v>72</v>
      </c>
      <c r="H666" t="s">
        <v>59</v>
      </c>
      <c r="I666" t="s">
        <v>63</v>
      </c>
      <c r="J666" t="s">
        <v>63</v>
      </c>
      <c r="K666" t="s">
        <v>64</v>
      </c>
      <c r="L666" t="s">
        <v>212</v>
      </c>
      <c r="M666" t="s">
        <v>213</v>
      </c>
      <c r="N666">
        <v>736.35</v>
      </c>
      <c r="O666">
        <v>34.6153846153846</v>
      </c>
      <c r="P666">
        <v>1826.86274509804</v>
      </c>
      <c r="Q666">
        <v>1861.47812971342</v>
      </c>
      <c r="R666">
        <v>0</v>
      </c>
      <c r="S666">
        <v>1861.47812971342</v>
      </c>
      <c r="T666">
        <v>1960</v>
      </c>
      <c r="U666">
        <f>SUMIF(货件明细!J:J,E666,货件明细!AP:AP)</f>
        <v>0</v>
      </c>
      <c r="V666">
        <f>IF(U666=T666,0,1)</f>
        <v>1</v>
      </c>
      <c r="W666">
        <f>T666</f>
        <v>1960</v>
      </c>
      <c r="X666">
        <f>SUMIF(货件明细!J:J,E666,货件明细!H:H)</f>
        <v>0</v>
      </c>
      <c r="Y666">
        <f>N666-X666</f>
        <v>736.35</v>
      </c>
      <c r="Z666">
        <f>SUMIF(货件明细!J:J,E666,货件明细!I:I)</f>
        <v>0</v>
      </c>
      <c r="AA666">
        <f>IF(S666=Z666,0,1)</f>
        <v>1</v>
      </c>
    </row>
    <row r="667" hidden="1" spans="1:27">
      <c r="A667">
        <v>1</v>
      </c>
      <c r="B667">
        <v>5</v>
      </c>
      <c r="C667" s="3">
        <v>46052</v>
      </c>
      <c r="D667" t="s">
        <v>88</v>
      </c>
      <c r="E667" t="s">
        <v>772</v>
      </c>
      <c r="F667" t="s">
        <v>211</v>
      </c>
      <c r="G667" t="s">
        <v>72</v>
      </c>
      <c r="H667" t="s">
        <v>59</v>
      </c>
      <c r="I667" t="s">
        <v>63</v>
      </c>
      <c r="J667" t="s">
        <v>63</v>
      </c>
      <c r="K667" t="s">
        <v>64</v>
      </c>
      <c r="L667" t="s">
        <v>212</v>
      </c>
      <c r="M667" t="s">
        <v>213</v>
      </c>
      <c r="N667">
        <v>12.5</v>
      </c>
      <c r="O667">
        <v>34.6153846153846</v>
      </c>
      <c r="P667">
        <v>41.5196078431373</v>
      </c>
      <c r="Q667">
        <v>76.1349924585219</v>
      </c>
      <c r="R667">
        <v>0</v>
      </c>
      <c r="S667">
        <v>76.1349924585219</v>
      </c>
      <c r="T667">
        <v>40</v>
      </c>
      <c r="U667">
        <f>SUMIF(货件明细!J:J,E667,货件明细!AP:AP)</f>
        <v>0</v>
      </c>
      <c r="V667">
        <f>IF(U667=T667,0,1)</f>
        <v>1</v>
      </c>
      <c r="W667">
        <f>T667</f>
        <v>40</v>
      </c>
      <c r="X667">
        <f>SUMIF(货件明细!J:J,E667,货件明细!H:H)</f>
        <v>0</v>
      </c>
      <c r="Y667">
        <f>N667-X667</f>
        <v>12.5</v>
      </c>
      <c r="Z667">
        <f>SUMIF(货件明细!J:J,E667,货件明细!I:I)</f>
        <v>0</v>
      </c>
      <c r="AA667">
        <f>IF(S667=Z667,0,1)</f>
        <v>1</v>
      </c>
    </row>
    <row r="668" hidden="1" spans="1:27">
      <c r="A668">
        <v>1</v>
      </c>
      <c r="B668">
        <v>5</v>
      </c>
      <c r="C668" s="3">
        <v>46052</v>
      </c>
      <c r="D668" t="s">
        <v>88</v>
      </c>
      <c r="E668" t="s">
        <v>773</v>
      </c>
      <c r="F668" t="s">
        <v>211</v>
      </c>
      <c r="G668" t="s">
        <v>72</v>
      </c>
      <c r="H668" t="s">
        <v>39</v>
      </c>
      <c r="I668" t="s">
        <v>63</v>
      </c>
      <c r="J668" t="s">
        <v>63</v>
      </c>
      <c r="K668" t="s">
        <v>64</v>
      </c>
      <c r="L668" t="s">
        <v>147</v>
      </c>
      <c r="M668" t="s">
        <v>774</v>
      </c>
      <c r="N668">
        <v>82.25</v>
      </c>
      <c r="O668">
        <v>25</v>
      </c>
      <c r="P668">
        <v>292.422988505747</v>
      </c>
      <c r="Q668">
        <v>317.422988505747</v>
      </c>
      <c r="R668">
        <v>0</v>
      </c>
      <c r="S668">
        <v>317.422988505747</v>
      </c>
      <c r="T668">
        <v>635</v>
      </c>
      <c r="U668">
        <f>SUMIF(货件明细!J:J,E668,货件明细!AP:AP)</f>
        <v>0</v>
      </c>
      <c r="V668">
        <f>IF(U668=T668,0,1)</f>
        <v>1</v>
      </c>
      <c r="W668">
        <f>T668</f>
        <v>635</v>
      </c>
      <c r="X668">
        <f>SUMIF(货件明细!J:J,E668,货件明细!H:H)</f>
        <v>0</v>
      </c>
      <c r="Y668">
        <f>N668-X668</f>
        <v>82.25</v>
      </c>
      <c r="Z668">
        <f>SUMIF(货件明细!J:J,E668,货件明细!I:I)</f>
        <v>0</v>
      </c>
      <c r="AA668">
        <f>IF(S668=Z668,0,1)</f>
        <v>1</v>
      </c>
    </row>
    <row r="669" hidden="1" spans="1:27">
      <c r="A669">
        <v>1</v>
      </c>
      <c r="B669">
        <v>5</v>
      </c>
      <c r="C669" s="3">
        <v>46052</v>
      </c>
      <c r="D669" t="s">
        <v>88</v>
      </c>
      <c r="E669" t="s">
        <v>775</v>
      </c>
      <c r="F669" t="s">
        <v>211</v>
      </c>
      <c r="G669" t="s">
        <v>72</v>
      </c>
      <c r="H669" t="s">
        <v>54</v>
      </c>
      <c r="I669" t="s">
        <v>63</v>
      </c>
      <c r="J669" t="s">
        <v>63</v>
      </c>
      <c r="K669" t="s">
        <v>64</v>
      </c>
      <c r="L669" t="s">
        <v>147</v>
      </c>
      <c r="M669" t="s">
        <v>774</v>
      </c>
      <c r="N669">
        <v>96.9</v>
      </c>
      <c r="O669">
        <v>25</v>
      </c>
      <c r="P669">
        <v>219.31724137931</v>
      </c>
      <c r="Q669">
        <v>244.31724137931</v>
      </c>
      <c r="R669">
        <v>0</v>
      </c>
      <c r="S669">
        <v>244.31724137931</v>
      </c>
      <c r="T669">
        <v>875</v>
      </c>
      <c r="U669">
        <f>SUMIF(货件明细!J:J,E669,货件明细!AP:AP)</f>
        <v>0</v>
      </c>
      <c r="V669">
        <f>IF(U669=T669,0,1)</f>
        <v>1</v>
      </c>
      <c r="W669">
        <f>T669</f>
        <v>875</v>
      </c>
      <c r="X669">
        <f>SUMIF(货件明细!J:J,E669,货件明细!H:H)</f>
        <v>0</v>
      </c>
      <c r="Y669">
        <f>N669-X669</f>
        <v>96.9</v>
      </c>
      <c r="Z669">
        <f>SUMIF(货件明细!J:J,E669,货件明细!I:I)</f>
        <v>0</v>
      </c>
      <c r="AA669">
        <f>IF(S669=Z669,0,1)</f>
        <v>1</v>
      </c>
    </row>
    <row r="670" hidden="1" spans="1:27">
      <c r="A670">
        <v>1</v>
      </c>
      <c r="B670">
        <v>5</v>
      </c>
      <c r="C670" s="3">
        <v>46052</v>
      </c>
      <c r="D670" t="s">
        <v>88</v>
      </c>
      <c r="E670" t="s">
        <v>776</v>
      </c>
      <c r="F670" t="s">
        <v>211</v>
      </c>
      <c r="G670" t="s">
        <v>72</v>
      </c>
      <c r="H670" t="s">
        <v>78</v>
      </c>
      <c r="I670" t="s">
        <v>63</v>
      </c>
      <c r="J670" t="s">
        <v>63</v>
      </c>
      <c r="K670" t="s">
        <v>64</v>
      </c>
      <c r="L670" t="s">
        <v>147</v>
      </c>
      <c r="M670" t="s">
        <v>774</v>
      </c>
      <c r="N670">
        <v>281.15</v>
      </c>
      <c r="O670">
        <v>25</v>
      </c>
      <c r="P670">
        <v>621.398850574713</v>
      </c>
      <c r="Q670">
        <v>646.398850574713</v>
      </c>
      <c r="R670">
        <v>0</v>
      </c>
      <c r="S670">
        <v>646.398850574713</v>
      </c>
      <c r="T670">
        <v>1730</v>
      </c>
      <c r="U670">
        <f>SUMIF(货件明细!J:J,E670,货件明细!AP:AP)</f>
        <v>0</v>
      </c>
      <c r="V670">
        <f>IF(U670=T670,0,1)</f>
        <v>1</v>
      </c>
      <c r="W670">
        <f>T670</f>
        <v>1730</v>
      </c>
      <c r="X670">
        <f>SUMIF(货件明细!J:J,E670,货件明细!H:H)</f>
        <v>0</v>
      </c>
      <c r="Y670">
        <f>N670-X670</f>
        <v>281.15</v>
      </c>
      <c r="Z670">
        <f>SUMIF(货件明细!J:J,E670,货件明细!I:I)</f>
        <v>0</v>
      </c>
      <c r="AA670">
        <f>IF(S670=Z670,0,1)</f>
        <v>1</v>
      </c>
    </row>
    <row r="671" hidden="1" spans="1:27">
      <c r="A671">
        <v>1</v>
      </c>
      <c r="B671">
        <v>5</v>
      </c>
      <c r="C671" s="3">
        <v>46052</v>
      </c>
      <c r="D671" t="s">
        <v>88</v>
      </c>
      <c r="E671" t="s">
        <v>777</v>
      </c>
      <c r="F671" t="s">
        <v>211</v>
      </c>
      <c r="G671" t="s">
        <v>72</v>
      </c>
      <c r="H671" t="s">
        <v>56</v>
      </c>
      <c r="I671" t="s">
        <v>63</v>
      </c>
      <c r="J671" t="s">
        <v>63</v>
      </c>
      <c r="K671" t="s">
        <v>64</v>
      </c>
      <c r="L671" t="s">
        <v>147</v>
      </c>
      <c r="M671" t="s">
        <v>774</v>
      </c>
      <c r="N671">
        <v>39.95</v>
      </c>
      <c r="O671">
        <v>25</v>
      </c>
      <c r="P671">
        <v>109.658620689655</v>
      </c>
      <c r="Q671">
        <v>134.658620689655</v>
      </c>
      <c r="R671">
        <v>0</v>
      </c>
      <c r="S671">
        <v>134.658620689655</v>
      </c>
      <c r="T671">
        <v>260</v>
      </c>
      <c r="U671">
        <f>SUMIF(货件明细!J:J,E671,货件明细!AP:AP)</f>
        <v>0</v>
      </c>
      <c r="V671">
        <f>IF(U671=T671,0,1)</f>
        <v>1</v>
      </c>
      <c r="W671">
        <f>T671</f>
        <v>260</v>
      </c>
      <c r="X671">
        <f>SUMIF(货件明细!J:J,E671,货件明细!H:H)</f>
        <v>0</v>
      </c>
      <c r="Y671">
        <f>N671-X671</f>
        <v>39.95</v>
      </c>
      <c r="Z671">
        <f>SUMIF(货件明细!J:J,E671,货件明细!I:I)</f>
        <v>0</v>
      </c>
      <c r="AA671">
        <f>IF(S671=Z671,0,1)</f>
        <v>1</v>
      </c>
    </row>
    <row r="672" hidden="1" spans="1:27">
      <c r="A672">
        <v>1</v>
      </c>
      <c r="B672">
        <v>5</v>
      </c>
      <c r="C672" s="3">
        <v>46052</v>
      </c>
      <c r="D672" t="s">
        <v>88</v>
      </c>
      <c r="E672" t="s">
        <v>778</v>
      </c>
      <c r="F672" t="s">
        <v>211</v>
      </c>
      <c r="G672" t="s">
        <v>72</v>
      </c>
      <c r="H672" t="s">
        <v>37</v>
      </c>
      <c r="I672" t="s">
        <v>63</v>
      </c>
      <c r="J672" t="s">
        <v>63</v>
      </c>
      <c r="K672" t="s">
        <v>64</v>
      </c>
      <c r="L672" t="s">
        <v>147</v>
      </c>
      <c r="M672" t="s">
        <v>774</v>
      </c>
      <c r="N672">
        <v>616.05</v>
      </c>
      <c r="O672">
        <v>25</v>
      </c>
      <c r="P672">
        <v>1608.32643678161</v>
      </c>
      <c r="Q672">
        <v>1633.32643678161</v>
      </c>
      <c r="R672">
        <v>0</v>
      </c>
      <c r="S672">
        <v>1633.32643678161</v>
      </c>
      <c r="T672">
        <v>4937</v>
      </c>
      <c r="U672">
        <f>SUMIF(货件明细!J:J,E672,货件明细!AP:AP)</f>
        <v>0</v>
      </c>
      <c r="V672">
        <f>IF(U672=T672,0,1)</f>
        <v>1</v>
      </c>
      <c r="W672">
        <f>T672</f>
        <v>4937</v>
      </c>
      <c r="X672">
        <f>SUMIF(货件明细!J:J,E672,货件明细!H:H)</f>
        <v>0</v>
      </c>
      <c r="Y672">
        <f>N672-X672</f>
        <v>616.05</v>
      </c>
      <c r="Z672">
        <f>SUMIF(货件明细!J:J,E672,货件明细!I:I)</f>
        <v>0</v>
      </c>
      <c r="AA672">
        <f>IF(S672=Z672,0,1)</f>
        <v>1</v>
      </c>
    </row>
    <row r="673" hidden="1" spans="1:27">
      <c r="A673">
        <v>1</v>
      </c>
      <c r="B673">
        <v>5</v>
      </c>
      <c r="C673" s="3">
        <v>46052</v>
      </c>
      <c r="D673" t="s">
        <v>88</v>
      </c>
      <c r="E673" t="s">
        <v>779</v>
      </c>
      <c r="F673" t="s">
        <v>211</v>
      </c>
      <c r="G673" t="s">
        <v>72</v>
      </c>
      <c r="H673" t="s">
        <v>37</v>
      </c>
      <c r="I673" t="s">
        <v>63</v>
      </c>
      <c r="J673" t="s">
        <v>63</v>
      </c>
      <c r="K673" t="s">
        <v>64</v>
      </c>
      <c r="L673" t="s">
        <v>147</v>
      </c>
      <c r="M673" t="s">
        <v>774</v>
      </c>
      <c r="N673">
        <v>39.6</v>
      </c>
      <c r="O673">
        <v>25</v>
      </c>
      <c r="P673">
        <v>109.658620689655</v>
      </c>
      <c r="Q673">
        <v>134.658620689655</v>
      </c>
      <c r="R673">
        <v>0</v>
      </c>
      <c r="S673">
        <v>134.658620689655</v>
      </c>
      <c r="T673">
        <v>318</v>
      </c>
      <c r="U673">
        <f>SUMIF(货件明细!J:J,E673,货件明细!AP:AP)</f>
        <v>0</v>
      </c>
      <c r="V673">
        <f>IF(U673=T673,0,1)</f>
        <v>1</v>
      </c>
      <c r="W673">
        <f>T673</f>
        <v>318</v>
      </c>
      <c r="X673">
        <f>SUMIF(货件明细!J:J,E673,货件明细!H:H)</f>
        <v>0</v>
      </c>
      <c r="Y673">
        <f>N673-X673</f>
        <v>39.6</v>
      </c>
      <c r="Z673">
        <f>SUMIF(货件明细!J:J,E673,货件明细!I:I)</f>
        <v>0</v>
      </c>
      <c r="AA673">
        <f>IF(S673=Z673,0,1)</f>
        <v>1</v>
      </c>
    </row>
    <row r="674" hidden="1" spans="1:27">
      <c r="A674">
        <v>1</v>
      </c>
      <c r="B674">
        <v>5</v>
      </c>
      <c r="C674" s="3">
        <v>46052</v>
      </c>
      <c r="D674" t="s">
        <v>88</v>
      </c>
      <c r="E674" t="s">
        <v>780</v>
      </c>
      <c r="F674" t="s">
        <v>211</v>
      </c>
      <c r="G674" t="s">
        <v>72</v>
      </c>
      <c r="H674" t="s">
        <v>224</v>
      </c>
      <c r="I674" t="s">
        <v>63</v>
      </c>
      <c r="J674" t="s">
        <v>63</v>
      </c>
      <c r="K674" t="s">
        <v>64</v>
      </c>
      <c r="L674" t="s">
        <v>147</v>
      </c>
      <c r="M674" t="s">
        <v>774</v>
      </c>
      <c r="N674">
        <v>9.1</v>
      </c>
      <c r="O674">
        <v>25</v>
      </c>
      <c r="P674">
        <v>36.5528735632184</v>
      </c>
      <c r="Q674">
        <v>61.5528735632184</v>
      </c>
      <c r="R674">
        <v>0</v>
      </c>
      <c r="S674">
        <v>61.5528735632184</v>
      </c>
      <c r="T674">
        <v>37</v>
      </c>
      <c r="U674">
        <f>SUMIF(货件明细!J:J,E674,货件明细!AP:AP)</f>
        <v>0</v>
      </c>
      <c r="V674">
        <f>IF(U674=T674,0,1)</f>
        <v>1</v>
      </c>
      <c r="W674">
        <f>T674</f>
        <v>37</v>
      </c>
      <c r="X674">
        <f>SUMIF(货件明细!J:J,E674,货件明细!H:H)</f>
        <v>0</v>
      </c>
      <c r="Y674">
        <f>N674-X674</f>
        <v>9.1</v>
      </c>
      <c r="Z674">
        <f>SUMIF(货件明细!J:J,E674,货件明细!I:I)</f>
        <v>0</v>
      </c>
      <c r="AA674">
        <f>IF(S674=Z674,0,1)</f>
        <v>1</v>
      </c>
    </row>
    <row r="675" hidden="1" spans="1:27">
      <c r="A675">
        <v>1</v>
      </c>
      <c r="B675">
        <v>5</v>
      </c>
      <c r="C675" s="3">
        <v>46052</v>
      </c>
      <c r="D675" t="s">
        <v>88</v>
      </c>
      <c r="E675" t="s">
        <v>781</v>
      </c>
      <c r="F675" t="s">
        <v>211</v>
      </c>
      <c r="G675" t="s">
        <v>72</v>
      </c>
      <c r="H675" t="s">
        <v>31</v>
      </c>
      <c r="I675" t="s">
        <v>63</v>
      </c>
      <c r="J675" t="s">
        <v>63</v>
      </c>
      <c r="K675" t="s">
        <v>64</v>
      </c>
      <c r="L675" t="s">
        <v>147</v>
      </c>
      <c r="M675" t="s">
        <v>774</v>
      </c>
      <c r="N675">
        <v>40.65</v>
      </c>
      <c r="O675">
        <v>25</v>
      </c>
      <c r="P675">
        <v>182.764367816092</v>
      </c>
      <c r="Q675">
        <v>207.764367816092</v>
      </c>
      <c r="R675">
        <v>0</v>
      </c>
      <c r="S675">
        <v>207.764367816092</v>
      </c>
      <c r="T675">
        <v>315</v>
      </c>
      <c r="U675">
        <f>SUMIF(货件明细!J:J,E675,货件明细!AP:AP)</f>
        <v>0</v>
      </c>
      <c r="V675">
        <f>IF(U675=T675,0,1)</f>
        <v>1</v>
      </c>
      <c r="W675">
        <f>T675</f>
        <v>315</v>
      </c>
      <c r="X675">
        <f>SUMIF(货件明细!J:J,E675,货件明细!H:H)</f>
        <v>0</v>
      </c>
      <c r="Y675">
        <f>N675-X675</f>
        <v>40.65</v>
      </c>
      <c r="Z675">
        <f>SUMIF(货件明细!J:J,E675,货件明细!I:I)</f>
        <v>0</v>
      </c>
      <c r="AA675">
        <f>IF(S675=Z675,0,1)</f>
        <v>1</v>
      </c>
    </row>
    <row r="676" hidden="1" spans="1:27">
      <c r="A676">
        <v>1</v>
      </c>
      <c r="B676">
        <v>5</v>
      </c>
      <c r="C676" s="3">
        <v>46053</v>
      </c>
      <c r="D676" t="s">
        <v>27</v>
      </c>
      <c r="E676" t="s">
        <v>782</v>
      </c>
      <c r="F676" t="s">
        <v>68</v>
      </c>
      <c r="G676" t="s">
        <v>69</v>
      </c>
      <c r="H676" t="s">
        <v>46</v>
      </c>
      <c r="I676" t="s">
        <v>92</v>
      </c>
      <c r="J676" t="s">
        <v>92</v>
      </c>
      <c r="K676" t="s">
        <v>64</v>
      </c>
      <c r="L676" t="s">
        <v>65</v>
      </c>
      <c r="M676" t="s">
        <v>188</v>
      </c>
      <c r="N676">
        <v>13.6</v>
      </c>
      <c r="O676">
        <v>15.5555555555556</v>
      </c>
      <c r="P676">
        <v>113.12</v>
      </c>
      <c r="Q676">
        <v>128.675555555556</v>
      </c>
      <c r="R676">
        <v>0</v>
      </c>
      <c r="S676">
        <v>128.675555555556</v>
      </c>
      <c r="T676">
        <v>42</v>
      </c>
      <c r="U676">
        <f>SUMIF(货件明细!J:J,E676,货件明细!AP:AP)</f>
        <v>0</v>
      </c>
      <c r="V676">
        <f>IF(U676=T676,0,1)</f>
        <v>1</v>
      </c>
      <c r="W676">
        <f>T676</f>
        <v>42</v>
      </c>
      <c r="X676">
        <f>SUMIF(货件明细!J:J,E676,货件明细!H:H)</f>
        <v>0</v>
      </c>
      <c r="Y676">
        <f>N676-X676</f>
        <v>13.6</v>
      </c>
      <c r="Z676">
        <f>SUMIF(货件明细!J:J,E676,货件明细!I:I)</f>
        <v>0</v>
      </c>
      <c r="AA676">
        <f>IF(S676=Z676,0,1)</f>
        <v>1</v>
      </c>
    </row>
    <row r="677" hidden="1" spans="1:27">
      <c r="A677">
        <v>1</v>
      </c>
      <c r="B677">
        <v>5</v>
      </c>
      <c r="C677" s="3">
        <v>46053</v>
      </c>
      <c r="D677" t="s">
        <v>27</v>
      </c>
      <c r="E677" t="s">
        <v>783</v>
      </c>
      <c r="F677" t="s">
        <v>243</v>
      </c>
      <c r="G677" t="s">
        <v>72</v>
      </c>
      <c r="H677" t="s">
        <v>46</v>
      </c>
      <c r="I677" t="s">
        <v>92</v>
      </c>
      <c r="J677" t="s">
        <v>92</v>
      </c>
      <c r="K677" t="s">
        <v>64</v>
      </c>
      <c r="L677" t="s">
        <v>65</v>
      </c>
      <c r="M677" t="s">
        <v>188</v>
      </c>
      <c r="N677">
        <v>13.6</v>
      </c>
      <c r="O677">
        <v>14.7368421052632</v>
      </c>
      <c r="P677">
        <v>76.58</v>
      </c>
      <c r="Q677">
        <v>91.3168421052632</v>
      </c>
      <c r="R677">
        <v>0</v>
      </c>
      <c r="S677">
        <v>91.3168421052632</v>
      </c>
      <c r="T677">
        <v>42</v>
      </c>
      <c r="U677">
        <f>SUMIF(货件明细!J:J,E677,货件明细!AP:AP)</f>
        <v>0</v>
      </c>
      <c r="V677">
        <f>IF(U677=T677,0,1)</f>
        <v>1</v>
      </c>
      <c r="W677">
        <f>T677</f>
        <v>42</v>
      </c>
      <c r="X677">
        <f>SUMIF(货件明细!J:J,E677,货件明细!H:H)</f>
        <v>0</v>
      </c>
      <c r="Y677">
        <f>N677-X677</f>
        <v>13.6</v>
      </c>
      <c r="Z677">
        <f>SUMIF(货件明细!J:J,E677,货件明细!I:I)</f>
        <v>0</v>
      </c>
      <c r="AA677">
        <f>IF(S677=Z677,0,1)</f>
        <v>1</v>
      </c>
    </row>
    <row r="678" hidden="1" spans="1:27">
      <c r="A678">
        <v>1</v>
      </c>
      <c r="B678">
        <v>5</v>
      </c>
      <c r="C678" s="3">
        <v>46053</v>
      </c>
      <c r="D678" t="s">
        <v>27</v>
      </c>
      <c r="E678" t="s">
        <v>784</v>
      </c>
      <c r="F678" t="s">
        <v>198</v>
      </c>
      <c r="G678" t="s">
        <v>69</v>
      </c>
      <c r="H678" t="s">
        <v>46</v>
      </c>
      <c r="I678" t="s">
        <v>92</v>
      </c>
      <c r="J678" t="s">
        <v>92</v>
      </c>
      <c r="K678" t="s">
        <v>64</v>
      </c>
      <c r="L678" t="s">
        <v>65</v>
      </c>
      <c r="M678" t="s">
        <v>188</v>
      </c>
      <c r="N678">
        <v>13.6</v>
      </c>
      <c r="O678">
        <v>15.5555555555556</v>
      </c>
      <c r="P678">
        <v>113.12</v>
      </c>
      <c r="Q678">
        <v>128.675555555556</v>
      </c>
      <c r="R678">
        <v>0</v>
      </c>
      <c r="S678">
        <v>128.675555555556</v>
      </c>
      <c r="T678">
        <v>42</v>
      </c>
      <c r="U678">
        <f>SUMIF(货件明细!J:J,E678,货件明细!AP:AP)</f>
        <v>0</v>
      </c>
      <c r="V678">
        <f>IF(U678=T678,0,1)</f>
        <v>1</v>
      </c>
      <c r="W678">
        <f>T678</f>
        <v>42</v>
      </c>
      <c r="X678">
        <f>SUMIF(货件明细!J:J,E678,货件明细!H:H)</f>
        <v>0</v>
      </c>
      <c r="Y678">
        <f>N678-X678</f>
        <v>13.6</v>
      </c>
      <c r="Z678">
        <f>SUMIF(货件明细!J:J,E678,货件明细!I:I)</f>
        <v>0</v>
      </c>
      <c r="AA678">
        <f>IF(S678=Z678,0,1)</f>
        <v>1</v>
      </c>
    </row>
    <row r="679" hidden="1" spans="1:27">
      <c r="A679">
        <v>1</v>
      </c>
      <c r="B679">
        <v>5</v>
      </c>
      <c r="C679" s="3">
        <v>46053</v>
      </c>
      <c r="D679" t="s">
        <v>27</v>
      </c>
      <c r="E679" t="s">
        <v>785</v>
      </c>
      <c r="F679" t="s">
        <v>187</v>
      </c>
      <c r="G679" t="s">
        <v>72</v>
      </c>
      <c r="H679" t="s">
        <v>46</v>
      </c>
      <c r="I679" t="s">
        <v>92</v>
      </c>
      <c r="J679" t="s">
        <v>92</v>
      </c>
      <c r="K679" t="s">
        <v>64</v>
      </c>
      <c r="L679" t="s">
        <v>65</v>
      </c>
      <c r="M679" t="s">
        <v>93</v>
      </c>
      <c r="N679">
        <v>13.6</v>
      </c>
      <c r="O679">
        <v>14.7368421052632</v>
      </c>
      <c r="P679">
        <v>51.5</v>
      </c>
      <c r="Q679">
        <v>66.2368421052632</v>
      </c>
      <c r="R679">
        <v>0</v>
      </c>
      <c r="S679">
        <v>66.2368421052632</v>
      </c>
      <c r="T679">
        <v>42</v>
      </c>
      <c r="U679">
        <f>SUMIF(货件明细!J:J,E679,货件明细!AP:AP)</f>
        <v>0</v>
      </c>
      <c r="V679">
        <f>IF(U679=T679,0,1)</f>
        <v>1</v>
      </c>
      <c r="W679">
        <f>T679</f>
        <v>42</v>
      </c>
      <c r="X679">
        <f>SUMIF(货件明细!J:J,E679,货件明细!H:H)</f>
        <v>0</v>
      </c>
      <c r="Y679">
        <f>N679-X679</f>
        <v>13.6</v>
      </c>
      <c r="Z679">
        <f>SUMIF(货件明细!J:J,E679,货件明细!I:I)</f>
        <v>0</v>
      </c>
      <c r="AA679">
        <f>IF(S679=Z679,0,1)</f>
        <v>1</v>
      </c>
    </row>
    <row r="680" hidden="1" spans="1:27">
      <c r="A680">
        <v>1</v>
      </c>
      <c r="B680">
        <v>5</v>
      </c>
      <c r="C680" s="3">
        <v>46053</v>
      </c>
      <c r="D680" t="s">
        <v>27</v>
      </c>
      <c r="E680" t="s">
        <v>786</v>
      </c>
      <c r="F680" t="s">
        <v>390</v>
      </c>
      <c r="G680" t="s">
        <v>30</v>
      </c>
      <c r="H680" t="s">
        <v>46</v>
      </c>
      <c r="I680" t="s">
        <v>92</v>
      </c>
      <c r="J680" t="s">
        <v>92</v>
      </c>
      <c r="K680" t="s">
        <v>64</v>
      </c>
      <c r="L680" t="s">
        <v>65</v>
      </c>
      <c r="M680" t="s">
        <v>188</v>
      </c>
      <c r="N680">
        <v>13.6</v>
      </c>
      <c r="O680">
        <v>15.5555555555556</v>
      </c>
      <c r="P680">
        <v>145.46</v>
      </c>
      <c r="Q680">
        <v>161.015555555556</v>
      </c>
      <c r="R680">
        <v>0</v>
      </c>
      <c r="S680">
        <v>161.015555555556</v>
      </c>
      <c r="T680">
        <v>42</v>
      </c>
      <c r="U680">
        <f>SUMIF(货件明细!J:J,E680,货件明细!AP:AP)</f>
        <v>0</v>
      </c>
      <c r="V680">
        <f>IF(U680=T680,0,1)</f>
        <v>1</v>
      </c>
      <c r="W680">
        <f>T680</f>
        <v>42</v>
      </c>
      <c r="X680">
        <f>SUMIF(货件明细!J:J,E680,货件明细!H:H)</f>
        <v>0</v>
      </c>
      <c r="Y680">
        <f>N680-X680</f>
        <v>13.6</v>
      </c>
      <c r="Z680">
        <f>SUMIF(货件明细!J:J,E680,货件明细!I:I)</f>
        <v>0</v>
      </c>
      <c r="AA680">
        <f>IF(S680=Z680,0,1)</f>
        <v>1</v>
      </c>
    </row>
    <row r="681" hidden="1" spans="1:27">
      <c r="A681">
        <v>1</v>
      </c>
      <c r="B681">
        <v>5</v>
      </c>
      <c r="C681" s="3">
        <v>46053</v>
      </c>
      <c r="D681" t="s">
        <v>27</v>
      </c>
      <c r="E681" t="s">
        <v>787</v>
      </c>
      <c r="F681" t="s">
        <v>62</v>
      </c>
      <c r="G681" t="s">
        <v>30</v>
      </c>
      <c r="H681" t="s">
        <v>51</v>
      </c>
      <c r="I681" t="s">
        <v>92</v>
      </c>
      <c r="J681" t="s">
        <v>92</v>
      </c>
      <c r="K681" t="s">
        <v>64</v>
      </c>
      <c r="L681" t="s">
        <v>65</v>
      </c>
      <c r="M681" t="s">
        <v>93</v>
      </c>
      <c r="N681">
        <v>11.3</v>
      </c>
      <c r="O681">
        <v>15.5555555555556</v>
      </c>
      <c r="P681">
        <v>79.75</v>
      </c>
      <c r="Q681">
        <v>95.3055555555556</v>
      </c>
      <c r="R681">
        <v>0</v>
      </c>
      <c r="S681">
        <v>95.3055555555556</v>
      </c>
      <c r="T681">
        <v>55</v>
      </c>
      <c r="U681">
        <f>SUMIF(货件明细!J:J,E681,货件明细!AP:AP)</f>
        <v>0</v>
      </c>
      <c r="V681">
        <f>IF(U681=T681,0,1)</f>
        <v>1</v>
      </c>
      <c r="W681">
        <f>T681</f>
        <v>55</v>
      </c>
      <c r="X681">
        <f>SUMIF(货件明细!J:J,E681,货件明细!H:H)</f>
        <v>0</v>
      </c>
      <c r="Y681">
        <f>N681-X681</f>
        <v>11.3</v>
      </c>
      <c r="Z681">
        <f>SUMIF(货件明细!J:J,E681,货件明细!I:I)</f>
        <v>0</v>
      </c>
      <c r="AA681">
        <f>IF(S681=Z681,0,1)</f>
        <v>1</v>
      </c>
    </row>
    <row r="682" hidden="1" spans="1:27">
      <c r="A682">
        <v>1</v>
      </c>
      <c r="B682">
        <v>5</v>
      </c>
      <c r="C682" s="3">
        <v>46053</v>
      </c>
      <c r="D682" t="s">
        <v>27</v>
      </c>
      <c r="E682" t="s">
        <v>788</v>
      </c>
      <c r="F682" t="s">
        <v>71</v>
      </c>
      <c r="G682" t="s">
        <v>72</v>
      </c>
      <c r="H682" t="s">
        <v>51</v>
      </c>
      <c r="I682" t="s">
        <v>92</v>
      </c>
      <c r="J682" t="s">
        <v>92</v>
      </c>
      <c r="K682" t="s">
        <v>64</v>
      </c>
      <c r="L682" t="s">
        <v>65</v>
      </c>
      <c r="M682" t="s">
        <v>93</v>
      </c>
      <c r="N682">
        <v>11.3</v>
      </c>
      <c r="O682">
        <v>14.7368421052632</v>
      </c>
      <c r="P682">
        <v>44.6</v>
      </c>
      <c r="Q682">
        <v>59.3368421052632</v>
      </c>
      <c r="R682">
        <v>0</v>
      </c>
      <c r="S682">
        <v>59.3368421052632</v>
      </c>
      <c r="T682">
        <v>55</v>
      </c>
      <c r="U682">
        <f>SUMIF(货件明细!J:J,E682,货件明细!AP:AP)</f>
        <v>0</v>
      </c>
      <c r="V682">
        <f>IF(U682=T682,0,1)</f>
        <v>1</v>
      </c>
      <c r="W682">
        <f>T682</f>
        <v>55</v>
      </c>
      <c r="X682">
        <f>SUMIF(货件明细!J:J,E682,货件明细!H:H)</f>
        <v>0</v>
      </c>
      <c r="Y682">
        <f>N682-X682</f>
        <v>11.3</v>
      </c>
      <c r="Z682">
        <f>SUMIF(货件明细!J:J,E682,货件明细!I:I)</f>
        <v>0</v>
      </c>
      <c r="AA682">
        <f>IF(S682=Z682,0,1)</f>
        <v>1</v>
      </c>
    </row>
    <row r="683" hidden="1" spans="1:27">
      <c r="A683">
        <v>1</v>
      </c>
      <c r="B683">
        <v>5</v>
      </c>
      <c r="C683" s="3">
        <v>46053</v>
      </c>
      <c r="D683" t="s">
        <v>27</v>
      </c>
      <c r="E683" t="s">
        <v>789</v>
      </c>
      <c r="F683" t="s">
        <v>250</v>
      </c>
      <c r="G683" t="s">
        <v>72</v>
      </c>
      <c r="H683" t="s">
        <v>51</v>
      </c>
      <c r="I683" t="s">
        <v>92</v>
      </c>
      <c r="J683" t="s">
        <v>92</v>
      </c>
      <c r="K683" t="s">
        <v>64</v>
      </c>
      <c r="L683" t="s">
        <v>65</v>
      </c>
      <c r="M683" t="s">
        <v>93</v>
      </c>
      <c r="N683">
        <v>11.3</v>
      </c>
      <c r="O683">
        <v>14.7368421052632</v>
      </c>
      <c r="P683">
        <v>44.6</v>
      </c>
      <c r="Q683">
        <v>59.3368421052632</v>
      </c>
      <c r="R683">
        <v>0</v>
      </c>
      <c r="S683">
        <v>59.3368421052632</v>
      </c>
      <c r="T683">
        <v>55</v>
      </c>
      <c r="U683">
        <f>SUMIF(货件明细!J:J,E683,货件明细!AP:AP)</f>
        <v>0</v>
      </c>
      <c r="V683">
        <f>IF(U683=T683,0,1)</f>
        <v>1</v>
      </c>
      <c r="W683">
        <f>T683</f>
        <v>55</v>
      </c>
      <c r="X683">
        <f>SUMIF(货件明细!J:J,E683,货件明细!H:H)</f>
        <v>0</v>
      </c>
      <c r="Y683">
        <f>N683-X683</f>
        <v>11.3</v>
      </c>
      <c r="Z683">
        <f>SUMIF(货件明细!J:J,E683,货件明细!I:I)</f>
        <v>0</v>
      </c>
      <c r="AA683">
        <f>IF(S683=Z683,0,1)</f>
        <v>1</v>
      </c>
    </row>
    <row r="684" hidden="1" spans="1:27">
      <c r="A684">
        <v>1</v>
      </c>
      <c r="B684">
        <v>5</v>
      </c>
      <c r="C684" s="3">
        <v>46053</v>
      </c>
      <c r="D684" t="s">
        <v>27</v>
      </c>
      <c r="E684" t="s">
        <v>790</v>
      </c>
      <c r="F684" t="s">
        <v>74</v>
      </c>
      <c r="G684" t="s">
        <v>30</v>
      </c>
      <c r="H684" t="s">
        <v>51</v>
      </c>
      <c r="I684" t="s">
        <v>92</v>
      </c>
      <c r="J684" t="s">
        <v>92</v>
      </c>
      <c r="K684" t="s">
        <v>64</v>
      </c>
      <c r="L684" t="s">
        <v>65</v>
      </c>
      <c r="M684" t="s">
        <v>188</v>
      </c>
      <c r="N684">
        <v>11.3</v>
      </c>
      <c r="O684">
        <v>15.5555555555556</v>
      </c>
      <c r="P684">
        <v>114.29</v>
      </c>
      <c r="Q684">
        <v>129.845555555556</v>
      </c>
      <c r="R684">
        <v>0</v>
      </c>
      <c r="S684">
        <v>129.845555555556</v>
      </c>
      <c r="T684">
        <v>55</v>
      </c>
      <c r="U684">
        <f>SUMIF(货件明细!J:J,E684,货件明细!AP:AP)</f>
        <v>0</v>
      </c>
      <c r="V684">
        <f>IF(U684=T684,0,1)</f>
        <v>1</v>
      </c>
      <c r="W684">
        <f>T684</f>
        <v>55</v>
      </c>
      <c r="X684">
        <f>SUMIF(货件明细!J:J,E684,货件明细!H:H)</f>
        <v>0</v>
      </c>
      <c r="Y684">
        <f>N684-X684</f>
        <v>11.3</v>
      </c>
      <c r="Z684">
        <f>SUMIF(货件明细!J:J,E684,货件明细!I:I)</f>
        <v>0</v>
      </c>
      <c r="AA684">
        <f>IF(S684=Z684,0,1)</f>
        <v>1</v>
      </c>
    </row>
    <row r="685" hidden="1" spans="1:27">
      <c r="A685">
        <v>1</v>
      </c>
      <c r="B685">
        <v>5</v>
      </c>
      <c r="C685" s="3">
        <v>46053</v>
      </c>
      <c r="D685" t="s">
        <v>27</v>
      </c>
      <c r="E685" t="s">
        <v>791</v>
      </c>
      <c r="F685" t="s">
        <v>76</v>
      </c>
      <c r="G685" t="s">
        <v>72</v>
      </c>
      <c r="H685" t="s">
        <v>51</v>
      </c>
      <c r="I685" t="s">
        <v>92</v>
      </c>
      <c r="J685" t="s">
        <v>92</v>
      </c>
      <c r="K685" t="s">
        <v>64</v>
      </c>
      <c r="L685" t="s">
        <v>65</v>
      </c>
      <c r="M685" t="s">
        <v>93</v>
      </c>
      <c r="N685">
        <v>11.3</v>
      </c>
      <c r="O685">
        <v>14.7368421052632</v>
      </c>
      <c r="P685">
        <v>41.2</v>
      </c>
      <c r="Q685">
        <v>55.9368421052632</v>
      </c>
      <c r="R685">
        <v>0</v>
      </c>
      <c r="S685">
        <v>55.9368421052632</v>
      </c>
      <c r="T685">
        <v>55</v>
      </c>
      <c r="U685">
        <f>SUMIF(货件明细!J:J,E685,货件明细!AP:AP)</f>
        <v>0</v>
      </c>
      <c r="V685">
        <f>IF(U685=T685,0,1)</f>
        <v>1</v>
      </c>
      <c r="W685">
        <f>T685</f>
        <v>55</v>
      </c>
      <c r="X685">
        <f>SUMIF(货件明细!J:J,E685,货件明细!H:H)</f>
        <v>0</v>
      </c>
      <c r="Y685">
        <f>N685-X685</f>
        <v>11.3</v>
      </c>
      <c r="Z685">
        <f>SUMIF(货件明细!J:J,E685,货件明细!I:I)</f>
        <v>0</v>
      </c>
      <c r="AA685">
        <f>IF(S685=Z685,0,1)</f>
        <v>1</v>
      </c>
    </row>
    <row r="686" hidden="1" spans="1:27">
      <c r="A686">
        <v>1</v>
      </c>
      <c r="B686">
        <v>5</v>
      </c>
      <c r="C686" s="3">
        <v>46053</v>
      </c>
      <c r="D686" t="s">
        <v>27</v>
      </c>
      <c r="E686" t="s">
        <v>792</v>
      </c>
      <c r="F686" t="s">
        <v>649</v>
      </c>
      <c r="G686" t="s">
        <v>72</v>
      </c>
      <c r="H686" t="s">
        <v>31</v>
      </c>
      <c r="I686" t="s">
        <v>92</v>
      </c>
      <c r="J686" t="s">
        <v>92</v>
      </c>
      <c r="K686" t="s">
        <v>64</v>
      </c>
      <c r="L686" t="s">
        <v>65</v>
      </c>
      <c r="M686" t="s">
        <v>188</v>
      </c>
      <c r="N686">
        <v>18.5</v>
      </c>
      <c r="O686">
        <v>14.7368421052632</v>
      </c>
      <c r="P686">
        <v>103.93</v>
      </c>
      <c r="Q686">
        <v>118.666842105263</v>
      </c>
      <c r="R686">
        <v>181.395</v>
      </c>
      <c r="S686">
        <v>300.061842105263</v>
      </c>
      <c r="T686">
        <v>85</v>
      </c>
      <c r="U686">
        <f>SUMIF(货件明细!J:J,E686,货件明细!AP:AP)</f>
        <v>0</v>
      </c>
      <c r="V686">
        <f>IF(U686=T686,0,1)</f>
        <v>1</v>
      </c>
      <c r="W686">
        <f>T686</f>
        <v>85</v>
      </c>
      <c r="X686">
        <f>SUMIF(货件明细!J:J,E686,货件明细!H:H)</f>
        <v>0</v>
      </c>
      <c r="Y686">
        <f>N686-X686</f>
        <v>18.5</v>
      </c>
      <c r="Z686">
        <f>SUMIF(货件明细!J:J,E686,货件明细!I:I)</f>
        <v>0</v>
      </c>
      <c r="AA686">
        <f>IF(S686=Z686,0,1)</f>
        <v>1</v>
      </c>
    </row>
    <row r="687" hidden="1" spans="1:27">
      <c r="A687">
        <v>1</v>
      </c>
      <c r="B687">
        <v>5</v>
      </c>
      <c r="C687" s="3">
        <v>46053</v>
      </c>
      <c r="D687" t="s">
        <v>27</v>
      </c>
      <c r="E687" t="s">
        <v>793</v>
      </c>
      <c r="F687" t="s">
        <v>649</v>
      </c>
      <c r="G687" t="s">
        <v>72</v>
      </c>
      <c r="H687" t="s">
        <v>56</v>
      </c>
      <c r="I687" t="s">
        <v>92</v>
      </c>
      <c r="J687" t="s">
        <v>92</v>
      </c>
      <c r="K687" t="s">
        <v>64</v>
      </c>
      <c r="L687" t="s">
        <v>65</v>
      </c>
      <c r="M687" t="s">
        <v>188</v>
      </c>
      <c r="N687">
        <v>17.45</v>
      </c>
      <c r="O687">
        <v>14.7368421052632</v>
      </c>
      <c r="P687">
        <v>92.99</v>
      </c>
      <c r="Q687">
        <v>107.726842105263</v>
      </c>
      <c r="R687">
        <v>150.12</v>
      </c>
      <c r="S687">
        <v>257.846842105263</v>
      </c>
      <c r="T687">
        <v>60</v>
      </c>
      <c r="U687">
        <f>SUMIF(货件明细!J:J,E687,货件明细!AP:AP)</f>
        <v>0</v>
      </c>
      <c r="V687">
        <f>IF(U687=T687,0,1)</f>
        <v>1</v>
      </c>
      <c r="W687">
        <f>T687</f>
        <v>60</v>
      </c>
      <c r="X687">
        <f>SUMIF(货件明细!J:J,E687,货件明细!H:H)</f>
        <v>0</v>
      </c>
      <c r="Y687">
        <f>N687-X687</f>
        <v>17.45</v>
      </c>
      <c r="Z687">
        <f>SUMIF(货件明细!J:J,E687,货件明细!I:I)</f>
        <v>0</v>
      </c>
      <c r="AA687">
        <f>IF(S687=Z687,0,1)</f>
        <v>1</v>
      </c>
    </row>
    <row r="688" hidden="1" spans="1:27">
      <c r="A688">
        <v>1</v>
      </c>
      <c r="B688">
        <v>5</v>
      </c>
      <c r="C688" s="3">
        <v>46053</v>
      </c>
      <c r="D688" t="s">
        <v>27</v>
      </c>
      <c r="E688" t="s">
        <v>794</v>
      </c>
      <c r="F688" t="s">
        <v>62</v>
      </c>
      <c r="G688" t="s">
        <v>30</v>
      </c>
      <c r="H688" t="s">
        <v>54</v>
      </c>
      <c r="I688" t="s">
        <v>92</v>
      </c>
      <c r="J688" t="s">
        <v>92</v>
      </c>
      <c r="K688" t="s">
        <v>64</v>
      </c>
      <c r="L688" t="s">
        <v>65</v>
      </c>
      <c r="M688" t="s">
        <v>93</v>
      </c>
      <c r="N688">
        <v>11.1</v>
      </c>
      <c r="O688">
        <v>15.5555555555556</v>
      </c>
      <c r="P688">
        <v>79.75</v>
      </c>
      <c r="Q688">
        <v>95.3055555555556</v>
      </c>
      <c r="R688">
        <v>0</v>
      </c>
      <c r="S688">
        <v>95.3055555555556</v>
      </c>
      <c r="T688">
        <v>60</v>
      </c>
      <c r="U688">
        <f>SUMIF(货件明细!J:J,E688,货件明细!AP:AP)</f>
        <v>0</v>
      </c>
      <c r="V688">
        <f>IF(U688=T688,0,1)</f>
        <v>1</v>
      </c>
      <c r="W688">
        <f>T688</f>
        <v>60</v>
      </c>
      <c r="X688">
        <f>SUMIF(货件明细!J:J,E688,货件明细!H:H)</f>
        <v>0</v>
      </c>
      <c r="Y688">
        <f>N688-X688</f>
        <v>11.1</v>
      </c>
      <c r="Z688">
        <f>SUMIF(货件明细!J:J,E688,货件明细!I:I)</f>
        <v>0</v>
      </c>
      <c r="AA688">
        <f>IF(S688=Z688,0,1)</f>
        <v>1</v>
      </c>
    </row>
    <row r="689" hidden="1" spans="1:27">
      <c r="A689">
        <v>1</v>
      </c>
      <c r="B689">
        <v>5</v>
      </c>
      <c r="C689" s="3">
        <v>46053</v>
      </c>
      <c r="D689" t="s">
        <v>27</v>
      </c>
      <c r="E689" t="s">
        <v>795</v>
      </c>
      <c r="F689" t="s">
        <v>71</v>
      </c>
      <c r="G689" t="s">
        <v>72</v>
      </c>
      <c r="H689" t="s">
        <v>54</v>
      </c>
      <c r="I689" t="s">
        <v>92</v>
      </c>
      <c r="J689" t="s">
        <v>92</v>
      </c>
      <c r="K689" t="s">
        <v>64</v>
      </c>
      <c r="L689" t="s">
        <v>65</v>
      </c>
      <c r="M689" t="s">
        <v>93</v>
      </c>
      <c r="N689">
        <v>11.1</v>
      </c>
      <c r="O689">
        <v>14.7368421052632</v>
      </c>
      <c r="P689">
        <v>44.6</v>
      </c>
      <c r="Q689">
        <v>59.3368421052632</v>
      </c>
      <c r="R689">
        <v>0</v>
      </c>
      <c r="S689">
        <v>59.3368421052632</v>
      </c>
      <c r="T689">
        <v>60</v>
      </c>
      <c r="U689">
        <f>SUMIF(货件明细!J:J,E689,货件明细!AP:AP)</f>
        <v>0</v>
      </c>
      <c r="V689">
        <f>IF(U689=T689,0,1)</f>
        <v>1</v>
      </c>
      <c r="W689">
        <f>T689</f>
        <v>60</v>
      </c>
      <c r="X689">
        <f>SUMIF(货件明细!J:J,E689,货件明细!H:H)</f>
        <v>0</v>
      </c>
      <c r="Y689">
        <f>N689-X689</f>
        <v>11.1</v>
      </c>
      <c r="Z689">
        <f>SUMIF(货件明细!J:J,E689,货件明细!I:I)</f>
        <v>0</v>
      </c>
      <c r="AA689">
        <f>IF(S689=Z689,0,1)</f>
        <v>1</v>
      </c>
    </row>
    <row r="690" hidden="1" spans="1:27">
      <c r="A690">
        <v>1</v>
      </c>
      <c r="B690">
        <v>5</v>
      </c>
      <c r="C690" s="3">
        <v>46053</v>
      </c>
      <c r="D690" t="s">
        <v>27</v>
      </c>
      <c r="E690" t="s">
        <v>796</v>
      </c>
      <c r="F690" t="s">
        <v>250</v>
      </c>
      <c r="G690" t="s">
        <v>72</v>
      </c>
      <c r="H690" t="s">
        <v>54</v>
      </c>
      <c r="I690" t="s">
        <v>92</v>
      </c>
      <c r="J690" t="s">
        <v>92</v>
      </c>
      <c r="K690" t="s">
        <v>64</v>
      </c>
      <c r="L690" t="s">
        <v>65</v>
      </c>
      <c r="M690" t="s">
        <v>93</v>
      </c>
      <c r="N690">
        <v>11.1</v>
      </c>
      <c r="O690">
        <v>14.7368421052632</v>
      </c>
      <c r="P690">
        <v>44.6</v>
      </c>
      <c r="Q690">
        <v>59.3368421052632</v>
      </c>
      <c r="R690">
        <v>0</v>
      </c>
      <c r="S690">
        <v>59.3368421052632</v>
      </c>
      <c r="T690">
        <v>60</v>
      </c>
      <c r="U690">
        <f>SUMIF(货件明细!J:J,E690,货件明细!AP:AP)</f>
        <v>0</v>
      </c>
      <c r="V690">
        <f>IF(U690=T690,0,1)</f>
        <v>1</v>
      </c>
      <c r="W690">
        <f>T690</f>
        <v>60</v>
      </c>
      <c r="X690">
        <f>SUMIF(货件明细!J:J,E690,货件明细!H:H)</f>
        <v>0</v>
      </c>
      <c r="Y690">
        <f>N690-X690</f>
        <v>11.1</v>
      </c>
      <c r="Z690">
        <f>SUMIF(货件明细!J:J,E690,货件明细!I:I)</f>
        <v>0</v>
      </c>
      <c r="AA690">
        <f>IF(S690=Z690,0,1)</f>
        <v>1</v>
      </c>
    </row>
    <row r="691" hidden="1" spans="1:27">
      <c r="A691">
        <v>1</v>
      </c>
      <c r="B691">
        <v>5</v>
      </c>
      <c r="C691" s="3">
        <v>46053</v>
      </c>
      <c r="D691" t="s">
        <v>27</v>
      </c>
      <c r="E691" t="s">
        <v>797</v>
      </c>
      <c r="F691" t="s">
        <v>74</v>
      </c>
      <c r="G691" t="s">
        <v>30</v>
      </c>
      <c r="H691" t="s">
        <v>54</v>
      </c>
      <c r="I691" t="s">
        <v>92</v>
      </c>
      <c r="J691" t="s">
        <v>92</v>
      </c>
      <c r="K691" t="s">
        <v>64</v>
      </c>
      <c r="L691" t="s">
        <v>65</v>
      </c>
      <c r="M691" t="s">
        <v>188</v>
      </c>
      <c r="N691">
        <v>11.1</v>
      </c>
      <c r="O691">
        <v>15.5555555555556</v>
      </c>
      <c r="P691">
        <v>114.29</v>
      </c>
      <c r="Q691">
        <v>129.845555555556</v>
      </c>
      <c r="R691">
        <v>0</v>
      </c>
      <c r="S691">
        <v>129.845555555556</v>
      </c>
      <c r="T691">
        <v>60</v>
      </c>
      <c r="U691">
        <f>SUMIF(货件明细!J:J,E691,货件明细!AP:AP)</f>
        <v>0</v>
      </c>
      <c r="V691">
        <f>IF(U691=T691,0,1)</f>
        <v>1</v>
      </c>
      <c r="W691">
        <f>T691</f>
        <v>60</v>
      </c>
      <c r="X691">
        <f>SUMIF(货件明细!J:J,E691,货件明细!H:H)</f>
        <v>0</v>
      </c>
      <c r="Y691">
        <f>N691-X691</f>
        <v>11.1</v>
      </c>
      <c r="Z691">
        <f>SUMIF(货件明细!J:J,E691,货件明细!I:I)</f>
        <v>0</v>
      </c>
      <c r="AA691">
        <f>IF(S691=Z691,0,1)</f>
        <v>1</v>
      </c>
    </row>
    <row r="692" hidden="1" spans="1:27">
      <c r="A692">
        <v>1</v>
      </c>
      <c r="B692">
        <v>5</v>
      </c>
      <c r="C692" s="3">
        <v>46053</v>
      </c>
      <c r="D692" t="s">
        <v>27</v>
      </c>
      <c r="E692" t="s">
        <v>798</v>
      </c>
      <c r="F692" t="s">
        <v>76</v>
      </c>
      <c r="G692" t="s">
        <v>72</v>
      </c>
      <c r="H692" t="s">
        <v>54</v>
      </c>
      <c r="I692" t="s">
        <v>92</v>
      </c>
      <c r="J692" t="s">
        <v>92</v>
      </c>
      <c r="K692" t="s">
        <v>64</v>
      </c>
      <c r="L692" t="s">
        <v>65</v>
      </c>
      <c r="M692" t="s">
        <v>93</v>
      </c>
      <c r="N692">
        <v>11.1</v>
      </c>
      <c r="O692">
        <v>14.7368421052632</v>
      </c>
      <c r="P692">
        <v>41.2</v>
      </c>
      <c r="Q692">
        <v>55.9368421052632</v>
      </c>
      <c r="R692">
        <v>0</v>
      </c>
      <c r="S692">
        <v>55.9368421052632</v>
      </c>
      <c r="T692">
        <v>60</v>
      </c>
      <c r="U692">
        <f>SUMIF(货件明细!J:J,E692,货件明细!AP:AP)</f>
        <v>0</v>
      </c>
      <c r="V692">
        <f>IF(U692=T692,0,1)</f>
        <v>1</v>
      </c>
      <c r="W692">
        <f>T692</f>
        <v>60</v>
      </c>
      <c r="X692">
        <f>SUMIF(货件明细!J:J,E692,货件明细!H:H)</f>
        <v>0</v>
      </c>
      <c r="Y692">
        <f>N692-X692</f>
        <v>11.1</v>
      </c>
      <c r="Z692">
        <f>SUMIF(货件明细!J:J,E692,货件明细!I:I)</f>
        <v>0</v>
      </c>
      <c r="AA692">
        <f>IF(S692=Z692,0,1)</f>
        <v>1</v>
      </c>
    </row>
    <row r="693" hidden="1" spans="1:27">
      <c r="A693">
        <v>1</v>
      </c>
      <c r="B693">
        <v>5</v>
      </c>
      <c r="C693" s="3">
        <v>46053</v>
      </c>
      <c r="D693" t="s">
        <v>27</v>
      </c>
      <c r="E693" t="s">
        <v>799</v>
      </c>
      <c r="F693" t="s">
        <v>649</v>
      </c>
      <c r="G693" t="s">
        <v>72</v>
      </c>
      <c r="H693" t="s">
        <v>46</v>
      </c>
      <c r="I693" t="s">
        <v>92</v>
      </c>
      <c r="J693" t="s">
        <v>92</v>
      </c>
      <c r="K693" t="s">
        <v>64</v>
      </c>
      <c r="L693" t="s">
        <v>65</v>
      </c>
      <c r="M693" t="s">
        <v>188</v>
      </c>
      <c r="N693">
        <v>17.8</v>
      </c>
      <c r="O693">
        <v>25.4545454545455</v>
      </c>
      <c r="P693">
        <v>98.46</v>
      </c>
      <c r="Q693">
        <v>123.914545454545</v>
      </c>
      <c r="R693">
        <v>315.252</v>
      </c>
      <c r="S693">
        <v>439.166545454545</v>
      </c>
      <c r="T693">
        <v>150</v>
      </c>
      <c r="U693">
        <f>SUMIF(货件明细!J:J,E693,货件明细!AP:AP)</f>
        <v>0</v>
      </c>
      <c r="V693">
        <f>IF(U693=T693,0,1)</f>
        <v>1</v>
      </c>
      <c r="W693">
        <f>T693</f>
        <v>150</v>
      </c>
      <c r="X693">
        <f>SUMIF(货件明细!J:J,E693,货件明细!H:H)</f>
        <v>0</v>
      </c>
      <c r="Y693">
        <f>N693-X693</f>
        <v>17.8</v>
      </c>
      <c r="Z693">
        <f>SUMIF(货件明细!J:J,E693,货件明细!I:I)</f>
        <v>0</v>
      </c>
      <c r="AA693">
        <f>IF(S693=Z693,0,1)</f>
        <v>1</v>
      </c>
    </row>
    <row r="694" hidden="1" spans="1:27">
      <c r="A694">
        <v>1</v>
      </c>
      <c r="B694">
        <v>5</v>
      </c>
      <c r="C694" s="3">
        <v>46053</v>
      </c>
      <c r="D694" t="s">
        <v>27</v>
      </c>
      <c r="E694" t="s">
        <v>800</v>
      </c>
      <c r="F694" t="s">
        <v>62</v>
      </c>
      <c r="G694" t="s">
        <v>30</v>
      </c>
      <c r="H694" t="s">
        <v>37</v>
      </c>
      <c r="I694" t="s">
        <v>92</v>
      </c>
      <c r="J694" t="s">
        <v>92</v>
      </c>
      <c r="K694" t="s">
        <v>64</v>
      </c>
      <c r="L694" t="s">
        <v>65</v>
      </c>
      <c r="M694" t="s">
        <v>93</v>
      </c>
      <c r="N694">
        <v>10.4</v>
      </c>
      <c r="O694">
        <v>15.5555555555556</v>
      </c>
      <c r="P694">
        <v>79.75</v>
      </c>
      <c r="Q694">
        <v>95.3055555555556</v>
      </c>
      <c r="R694">
        <v>0</v>
      </c>
      <c r="S694">
        <v>95.3055555555556</v>
      </c>
      <c r="T694">
        <v>51</v>
      </c>
      <c r="U694">
        <f>SUMIF(货件明细!J:J,E694,货件明细!AP:AP)</f>
        <v>0</v>
      </c>
      <c r="V694">
        <f>IF(U694=T694,0,1)</f>
        <v>1</v>
      </c>
      <c r="W694">
        <f>T694</f>
        <v>51</v>
      </c>
      <c r="X694">
        <f>SUMIF(货件明细!J:J,E694,货件明细!H:H)</f>
        <v>0</v>
      </c>
      <c r="Y694">
        <f>N694-X694</f>
        <v>10.4</v>
      </c>
      <c r="Z694">
        <f>SUMIF(货件明细!J:J,E694,货件明细!I:I)</f>
        <v>0</v>
      </c>
      <c r="AA694">
        <f>IF(S694=Z694,0,1)</f>
        <v>1</v>
      </c>
    </row>
    <row r="695" hidden="1" spans="1:27">
      <c r="A695">
        <v>1</v>
      </c>
      <c r="B695">
        <v>5</v>
      </c>
      <c r="C695" s="3">
        <v>46053</v>
      </c>
      <c r="D695" t="s">
        <v>27</v>
      </c>
      <c r="E695" t="s">
        <v>801</v>
      </c>
      <c r="F695" t="s">
        <v>71</v>
      </c>
      <c r="G695" t="s">
        <v>72</v>
      </c>
      <c r="H695" t="s">
        <v>37</v>
      </c>
      <c r="I695" t="s">
        <v>92</v>
      </c>
      <c r="J695" t="s">
        <v>92</v>
      </c>
      <c r="K695" t="s">
        <v>64</v>
      </c>
      <c r="L695" t="s">
        <v>65</v>
      </c>
      <c r="M695" t="s">
        <v>93</v>
      </c>
      <c r="N695">
        <v>10.4</v>
      </c>
      <c r="O695">
        <v>14.7368421052632</v>
      </c>
      <c r="P695">
        <v>44.6</v>
      </c>
      <c r="Q695">
        <v>59.3368421052632</v>
      </c>
      <c r="R695">
        <v>0</v>
      </c>
      <c r="S695">
        <v>59.3368421052632</v>
      </c>
      <c r="T695">
        <v>51</v>
      </c>
      <c r="U695">
        <f>SUMIF(货件明细!J:J,E695,货件明细!AP:AP)</f>
        <v>0</v>
      </c>
      <c r="V695">
        <f>IF(U695=T695,0,1)</f>
        <v>1</v>
      </c>
      <c r="W695">
        <f>T695</f>
        <v>51</v>
      </c>
      <c r="X695">
        <f>SUMIF(货件明细!J:J,E695,货件明细!H:H)</f>
        <v>0</v>
      </c>
      <c r="Y695">
        <f>N695-X695</f>
        <v>10.4</v>
      </c>
      <c r="Z695">
        <f>SUMIF(货件明细!J:J,E695,货件明细!I:I)</f>
        <v>0</v>
      </c>
      <c r="AA695">
        <f>IF(S695=Z695,0,1)</f>
        <v>1</v>
      </c>
    </row>
    <row r="696" hidden="1" spans="1:27">
      <c r="A696">
        <v>1</v>
      </c>
      <c r="B696">
        <v>5</v>
      </c>
      <c r="C696" s="3">
        <v>46053</v>
      </c>
      <c r="D696" t="s">
        <v>27</v>
      </c>
      <c r="E696" t="s">
        <v>802</v>
      </c>
      <c r="F696" t="s">
        <v>250</v>
      </c>
      <c r="G696" t="s">
        <v>72</v>
      </c>
      <c r="H696" t="s">
        <v>37</v>
      </c>
      <c r="I696" t="s">
        <v>92</v>
      </c>
      <c r="J696" t="s">
        <v>92</v>
      </c>
      <c r="K696" t="s">
        <v>64</v>
      </c>
      <c r="L696" t="s">
        <v>65</v>
      </c>
      <c r="M696" t="s">
        <v>93</v>
      </c>
      <c r="N696">
        <v>10.4</v>
      </c>
      <c r="O696">
        <v>14.7368421052632</v>
      </c>
      <c r="P696">
        <v>44.6</v>
      </c>
      <c r="Q696">
        <v>59.3368421052632</v>
      </c>
      <c r="R696">
        <v>0</v>
      </c>
      <c r="S696">
        <v>59.3368421052632</v>
      </c>
      <c r="T696">
        <v>51</v>
      </c>
      <c r="U696">
        <f>SUMIF(货件明细!J:J,E696,货件明细!AP:AP)</f>
        <v>0</v>
      </c>
      <c r="V696">
        <f>IF(U696=T696,0,1)</f>
        <v>1</v>
      </c>
      <c r="W696">
        <f>T696</f>
        <v>51</v>
      </c>
      <c r="X696">
        <f>SUMIF(货件明细!J:J,E696,货件明细!H:H)</f>
        <v>0</v>
      </c>
      <c r="Y696">
        <f>N696-X696</f>
        <v>10.4</v>
      </c>
      <c r="Z696">
        <f>SUMIF(货件明细!J:J,E696,货件明细!I:I)</f>
        <v>0</v>
      </c>
      <c r="AA696">
        <f>IF(S696=Z696,0,1)</f>
        <v>1</v>
      </c>
    </row>
    <row r="697" hidden="1" spans="1:27">
      <c r="A697">
        <v>1</v>
      </c>
      <c r="B697">
        <v>5</v>
      </c>
      <c r="C697" s="3">
        <v>46053</v>
      </c>
      <c r="D697" t="s">
        <v>27</v>
      </c>
      <c r="E697" t="s">
        <v>803</v>
      </c>
      <c r="F697" t="s">
        <v>74</v>
      </c>
      <c r="G697" t="s">
        <v>30</v>
      </c>
      <c r="H697" t="s">
        <v>37</v>
      </c>
      <c r="I697" t="s">
        <v>92</v>
      </c>
      <c r="J697" t="s">
        <v>92</v>
      </c>
      <c r="K697" t="s">
        <v>64</v>
      </c>
      <c r="L697" t="s">
        <v>65</v>
      </c>
      <c r="M697" t="s">
        <v>188</v>
      </c>
      <c r="N697">
        <v>10.4</v>
      </c>
      <c r="O697">
        <v>15.5555555555556</v>
      </c>
      <c r="P697">
        <v>114.29</v>
      </c>
      <c r="Q697">
        <v>129.845555555556</v>
      </c>
      <c r="R697">
        <v>0</v>
      </c>
      <c r="S697">
        <v>129.845555555556</v>
      </c>
      <c r="T697">
        <v>51</v>
      </c>
      <c r="U697">
        <f>SUMIF(货件明细!J:J,E697,货件明细!AP:AP)</f>
        <v>0</v>
      </c>
      <c r="V697">
        <f>IF(U697=T697,0,1)</f>
        <v>1</v>
      </c>
      <c r="W697">
        <f>T697</f>
        <v>51</v>
      </c>
      <c r="X697">
        <f>SUMIF(货件明细!J:J,E697,货件明细!H:H)</f>
        <v>0</v>
      </c>
      <c r="Y697">
        <f>N697-X697</f>
        <v>10.4</v>
      </c>
      <c r="Z697">
        <f>SUMIF(货件明细!J:J,E697,货件明细!I:I)</f>
        <v>0</v>
      </c>
      <c r="AA697">
        <f>IF(S697=Z697,0,1)</f>
        <v>1</v>
      </c>
    </row>
    <row r="698" hidden="1" spans="1:27">
      <c r="A698">
        <v>1</v>
      </c>
      <c r="B698">
        <v>5</v>
      </c>
      <c r="C698" s="3">
        <v>46053</v>
      </c>
      <c r="D698" t="s">
        <v>27</v>
      </c>
      <c r="E698" t="s">
        <v>804</v>
      </c>
      <c r="F698" t="s">
        <v>76</v>
      </c>
      <c r="G698" t="s">
        <v>72</v>
      </c>
      <c r="H698" t="s">
        <v>37</v>
      </c>
      <c r="I698" t="s">
        <v>92</v>
      </c>
      <c r="J698" t="s">
        <v>92</v>
      </c>
      <c r="K698" t="s">
        <v>64</v>
      </c>
      <c r="L698" t="s">
        <v>65</v>
      </c>
      <c r="M698" t="s">
        <v>93</v>
      </c>
      <c r="N698">
        <v>10.4</v>
      </c>
      <c r="O698">
        <v>14.7368421052632</v>
      </c>
      <c r="P698">
        <v>41.2</v>
      </c>
      <c r="Q698">
        <v>55.9368421052632</v>
      </c>
      <c r="R698">
        <v>0</v>
      </c>
      <c r="S698">
        <v>55.9368421052632</v>
      </c>
      <c r="T698">
        <v>51</v>
      </c>
      <c r="U698">
        <f>SUMIF(货件明细!J:J,E698,货件明细!AP:AP)</f>
        <v>0</v>
      </c>
      <c r="V698">
        <f>IF(U698=T698,0,1)</f>
        <v>1</v>
      </c>
      <c r="W698">
        <f>T698</f>
        <v>51</v>
      </c>
      <c r="X698">
        <f>SUMIF(货件明细!J:J,E698,货件明细!H:H)</f>
        <v>0</v>
      </c>
      <c r="Y698">
        <f>N698-X698</f>
        <v>10.4</v>
      </c>
      <c r="Z698">
        <f>SUMIF(货件明细!J:J,E698,货件明细!I:I)</f>
        <v>0</v>
      </c>
      <c r="AA698">
        <f>IF(S698=Z698,0,1)</f>
        <v>1</v>
      </c>
    </row>
    <row r="699" hidden="1" spans="1:27">
      <c r="A699">
        <v>1</v>
      </c>
      <c r="B699">
        <v>5</v>
      </c>
      <c r="C699" s="3">
        <v>46053</v>
      </c>
      <c r="D699" t="s">
        <v>27</v>
      </c>
      <c r="E699" t="s">
        <v>805</v>
      </c>
      <c r="F699" t="s">
        <v>71</v>
      </c>
      <c r="G699" t="s">
        <v>72</v>
      </c>
      <c r="H699" t="s">
        <v>224</v>
      </c>
      <c r="I699" t="s">
        <v>92</v>
      </c>
      <c r="J699" t="s">
        <v>92</v>
      </c>
      <c r="K699" t="s">
        <v>64</v>
      </c>
      <c r="L699" t="s">
        <v>65</v>
      </c>
      <c r="M699" t="s">
        <v>188</v>
      </c>
      <c r="N699">
        <v>13.2</v>
      </c>
      <c r="P699">
        <v>71.11</v>
      </c>
      <c r="Q699">
        <v>71.11</v>
      </c>
      <c r="R699">
        <v>0</v>
      </c>
      <c r="S699">
        <v>71.11</v>
      </c>
      <c r="T699">
        <v>79</v>
      </c>
      <c r="U699">
        <f>SUMIF(货件明细!J:J,E699,货件明细!AP:AP)</f>
        <v>0</v>
      </c>
      <c r="V699">
        <f>IF(U699=T699,0,1)</f>
        <v>1</v>
      </c>
      <c r="W699">
        <f>T699</f>
        <v>79</v>
      </c>
      <c r="X699">
        <f>SUMIF(货件明细!J:J,E699,货件明细!H:H)</f>
        <v>0</v>
      </c>
      <c r="Y699">
        <f>N699-X699</f>
        <v>13.2</v>
      </c>
      <c r="Z699">
        <f>SUMIF(货件明细!J:J,E699,货件明细!I:I)</f>
        <v>0</v>
      </c>
      <c r="AA699">
        <f>IF(S699=Z699,0,1)</f>
        <v>1</v>
      </c>
    </row>
    <row r="700" hidden="1" spans="1:27">
      <c r="A700">
        <v>1</v>
      </c>
      <c r="B700">
        <v>5</v>
      </c>
      <c r="C700" s="3">
        <v>46053</v>
      </c>
      <c r="D700" t="s">
        <v>27</v>
      </c>
      <c r="E700" t="s">
        <v>806</v>
      </c>
      <c r="F700" t="s">
        <v>198</v>
      </c>
      <c r="G700" t="s">
        <v>69</v>
      </c>
      <c r="H700" t="s">
        <v>224</v>
      </c>
      <c r="I700" t="s">
        <v>92</v>
      </c>
      <c r="J700" t="s">
        <v>92</v>
      </c>
      <c r="K700" t="s">
        <v>64</v>
      </c>
      <c r="L700" t="s">
        <v>65</v>
      </c>
      <c r="M700" t="s">
        <v>188</v>
      </c>
      <c r="N700">
        <v>13.2</v>
      </c>
      <c r="P700">
        <v>105.04</v>
      </c>
      <c r="Q700">
        <v>105.04</v>
      </c>
      <c r="R700">
        <v>0</v>
      </c>
      <c r="S700">
        <v>105.04</v>
      </c>
      <c r="T700">
        <v>79</v>
      </c>
      <c r="U700">
        <f>SUMIF(货件明细!J:J,E700,货件明细!AP:AP)</f>
        <v>0</v>
      </c>
      <c r="V700">
        <f>IF(U700=T700,0,1)</f>
        <v>1</v>
      </c>
      <c r="W700">
        <f>T700</f>
        <v>79</v>
      </c>
      <c r="X700">
        <f>SUMIF(货件明细!J:J,E700,货件明细!H:H)</f>
        <v>0</v>
      </c>
      <c r="Y700">
        <f>N700-X700</f>
        <v>13.2</v>
      </c>
      <c r="Z700">
        <f>SUMIF(货件明细!J:J,E700,货件明细!I:I)</f>
        <v>0</v>
      </c>
      <c r="AA700">
        <f>IF(S700=Z700,0,1)</f>
        <v>1</v>
      </c>
    </row>
    <row r="701" hidden="1" spans="1:27">
      <c r="A701">
        <v>1</v>
      </c>
      <c r="B701">
        <v>5</v>
      </c>
      <c r="C701" s="3">
        <v>46052</v>
      </c>
      <c r="D701" t="s">
        <v>27</v>
      </c>
      <c r="E701" t="s">
        <v>807</v>
      </c>
      <c r="F701" t="s">
        <v>390</v>
      </c>
      <c r="G701" t="s">
        <v>30</v>
      </c>
      <c r="H701" t="s">
        <v>224</v>
      </c>
      <c r="I701" t="s">
        <v>92</v>
      </c>
      <c r="J701" t="s">
        <v>146</v>
      </c>
      <c r="K701" t="s">
        <v>64</v>
      </c>
      <c r="L701" t="s">
        <v>147</v>
      </c>
      <c r="M701" t="s">
        <v>191</v>
      </c>
      <c r="N701">
        <v>13.2</v>
      </c>
      <c r="P701">
        <v>128.7</v>
      </c>
      <c r="Q701">
        <v>128.7</v>
      </c>
      <c r="R701">
        <v>0</v>
      </c>
      <c r="S701">
        <v>128.7</v>
      </c>
      <c r="T701">
        <v>79</v>
      </c>
      <c r="U701">
        <f>SUMIF(货件明细!J:J,E701,货件明细!AP:AP)</f>
        <v>0</v>
      </c>
      <c r="V701">
        <f>IF(U701=T701,0,1)</f>
        <v>1</v>
      </c>
      <c r="W701">
        <f>T701</f>
        <v>79</v>
      </c>
      <c r="X701">
        <f>SUMIF(货件明细!J:J,E701,货件明细!H:H)</f>
        <v>0</v>
      </c>
      <c r="Y701">
        <f>N701-X701</f>
        <v>13.2</v>
      </c>
      <c r="Z701">
        <f>SUMIF(货件明细!J:J,E701,货件明细!I:I)</f>
        <v>0</v>
      </c>
      <c r="AA701">
        <f>IF(S701=Z701,0,1)</f>
        <v>1</v>
      </c>
    </row>
    <row r="702" hidden="1" spans="1:27">
      <c r="A702">
        <v>1</v>
      </c>
      <c r="B702">
        <v>5</v>
      </c>
      <c r="C702" s="3">
        <v>46053</v>
      </c>
      <c r="D702" t="s">
        <v>27</v>
      </c>
      <c r="E702" t="s">
        <v>808</v>
      </c>
      <c r="F702" t="s">
        <v>76</v>
      </c>
      <c r="G702" t="s">
        <v>72</v>
      </c>
      <c r="H702" t="s">
        <v>224</v>
      </c>
      <c r="I702" t="s">
        <v>92</v>
      </c>
      <c r="J702" t="s">
        <v>92</v>
      </c>
      <c r="K702" t="s">
        <v>64</v>
      </c>
      <c r="L702" t="s">
        <v>65</v>
      </c>
      <c r="M702" t="s">
        <v>188</v>
      </c>
      <c r="N702">
        <v>13.2</v>
      </c>
      <c r="P702">
        <v>65</v>
      </c>
      <c r="Q702">
        <v>65</v>
      </c>
      <c r="R702">
        <v>0</v>
      </c>
      <c r="S702">
        <v>65</v>
      </c>
      <c r="T702">
        <v>79</v>
      </c>
      <c r="U702">
        <f>SUMIF(货件明细!J:J,E702,货件明细!AP:AP)</f>
        <v>0</v>
      </c>
      <c r="V702">
        <f>IF(U702=T702,0,1)</f>
        <v>1</v>
      </c>
      <c r="W702">
        <f>T702</f>
        <v>79</v>
      </c>
      <c r="X702">
        <f>SUMIF(货件明细!J:J,E702,货件明细!H:H)</f>
        <v>0</v>
      </c>
      <c r="Y702">
        <f>N702-X702</f>
        <v>13.2</v>
      </c>
      <c r="Z702">
        <f>SUMIF(货件明细!J:J,E702,货件明细!I:I)</f>
        <v>0</v>
      </c>
      <c r="AA702">
        <f>IF(S702=Z702,0,1)</f>
        <v>1</v>
      </c>
    </row>
    <row r="703" hidden="1" spans="1:27">
      <c r="A703">
        <v>1</v>
      </c>
      <c r="B703">
        <v>5</v>
      </c>
      <c r="C703" s="3">
        <v>46053</v>
      </c>
      <c r="D703" t="s">
        <v>27</v>
      </c>
      <c r="E703" t="s">
        <v>809</v>
      </c>
      <c r="F703" t="s">
        <v>239</v>
      </c>
      <c r="G703" t="s">
        <v>72</v>
      </c>
      <c r="H703" t="s">
        <v>224</v>
      </c>
      <c r="I703" t="s">
        <v>92</v>
      </c>
      <c r="J703" t="s">
        <v>92</v>
      </c>
      <c r="K703" t="s">
        <v>64</v>
      </c>
      <c r="L703" t="s">
        <v>65</v>
      </c>
      <c r="M703" t="s">
        <v>188</v>
      </c>
      <c r="N703">
        <v>13.2</v>
      </c>
      <c r="P703">
        <v>71.11</v>
      </c>
      <c r="Q703">
        <v>71.11</v>
      </c>
      <c r="R703">
        <v>0</v>
      </c>
      <c r="S703">
        <v>71.11</v>
      </c>
      <c r="T703">
        <v>79</v>
      </c>
      <c r="U703">
        <f>SUMIF(货件明细!J:J,E703,货件明细!AP:AP)</f>
        <v>0</v>
      </c>
      <c r="V703">
        <f>IF(U703=T703,0,1)</f>
        <v>1</v>
      </c>
      <c r="W703">
        <f>T703</f>
        <v>79</v>
      </c>
      <c r="X703">
        <f>SUMIF(货件明细!J:J,E703,货件明细!H:H)</f>
        <v>0</v>
      </c>
      <c r="Y703">
        <f>N703-X703</f>
        <v>13.2</v>
      </c>
      <c r="Z703">
        <f>SUMIF(货件明细!J:J,E703,货件明细!I:I)</f>
        <v>0</v>
      </c>
      <c r="AA703">
        <f>IF(S703=Z703,0,1)</f>
        <v>1</v>
      </c>
    </row>
    <row r="704" hidden="1" spans="1:27">
      <c r="A704">
        <v>1</v>
      </c>
      <c r="B704">
        <v>5</v>
      </c>
      <c r="C704" s="3">
        <v>46053</v>
      </c>
      <c r="D704" t="s">
        <v>27</v>
      </c>
      <c r="E704" t="s">
        <v>810</v>
      </c>
      <c r="F704" t="s">
        <v>62</v>
      </c>
      <c r="G704" t="s">
        <v>30</v>
      </c>
      <c r="H704" t="s">
        <v>31</v>
      </c>
      <c r="I704" t="s">
        <v>63</v>
      </c>
      <c r="J704" t="s">
        <v>63</v>
      </c>
      <c r="K704" t="s">
        <v>64</v>
      </c>
      <c r="L704" t="s">
        <v>65</v>
      </c>
      <c r="M704" t="s">
        <v>66</v>
      </c>
      <c r="N704">
        <v>30.65</v>
      </c>
      <c r="P704">
        <v>143</v>
      </c>
      <c r="Q704">
        <v>143</v>
      </c>
      <c r="R704">
        <v>0</v>
      </c>
      <c r="S704">
        <v>143</v>
      </c>
      <c r="T704">
        <v>207</v>
      </c>
      <c r="U704">
        <f>SUMIF(货件明细!J:J,E704,货件明细!AP:AP)</f>
        <v>0</v>
      </c>
      <c r="V704">
        <f>IF(U704=T704,0,1)</f>
        <v>1</v>
      </c>
      <c r="W704">
        <f>T704</f>
        <v>207</v>
      </c>
      <c r="X704">
        <f>SUMIF(货件明细!J:J,E704,货件明细!H:H)</f>
        <v>0</v>
      </c>
      <c r="Y704">
        <f>N704-X704</f>
        <v>30.65</v>
      </c>
      <c r="Z704">
        <f>SUMIF(货件明细!J:J,E704,货件明细!I:I)</f>
        <v>0</v>
      </c>
      <c r="AA704">
        <f>IF(S704=Z704,0,1)</f>
        <v>1</v>
      </c>
    </row>
    <row r="705" hidden="1" spans="1:27">
      <c r="A705">
        <v>1</v>
      </c>
      <c r="B705">
        <v>5</v>
      </c>
      <c r="C705" s="3">
        <v>46052</v>
      </c>
      <c r="D705" t="s">
        <v>27</v>
      </c>
      <c r="E705" t="s">
        <v>811</v>
      </c>
      <c r="F705" t="s">
        <v>71</v>
      </c>
      <c r="G705" t="s">
        <v>72</v>
      </c>
      <c r="H705" t="s">
        <v>31</v>
      </c>
      <c r="I705" t="s">
        <v>63</v>
      </c>
      <c r="J705" t="s">
        <v>63</v>
      </c>
      <c r="K705" t="s">
        <v>64</v>
      </c>
      <c r="L705" t="s">
        <v>212</v>
      </c>
      <c r="M705" t="s">
        <v>213</v>
      </c>
      <c r="N705">
        <v>30.65</v>
      </c>
      <c r="P705">
        <v>96.48</v>
      </c>
      <c r="Q705">
        <v>96.48</v>
      </c>
      <c r="R705">
        <v>0</v>
      </c>
      <c r="S705">
        <v>96.48</v>
      </c>
      <c r="T705">
        <v>207</v>
      </c>
      <c r="U705">
        <f>SUMIF(货件明细!J:J,E705,货件明细!AP:AP)</f>
        <v>0</v>
      </c>
      <c r="V705">
        <f>IF(U705=T705,0,1)</f>
        <v>1</v>
      </c>
      <c r="W705">
        <f>T705</f>
        <v>207</v>
      </c>
      <c r="X705">
        <f>SUMIF(货件明细!J:J,E705,货件明细!H:H)</f>
        <v>0</v>
      </c>
      <c r="Y705">
        <f>N705-X705</f>
        <v>30.65</v>
      </c>
      <c r="Z705">
        <f>SUMIF(货件明细!J:J,E705,货件明细!I:I)</f>
        <v>0</v>
      </c>
      <c r="AA705">
        <f>IF(S705=Z705,0,1)</f>
        <v>1</v>
      </c>
    </row>
    <row r="706" hidden="1" spans="1:27">
      <c r="A706">
        <v>1</v>
      </c>
      <c r="B706">
        <v>5</v>
      </c>
      <c r="C706" s="3">
        <v>46052</v>
      </c>
      <c r="D706" t="s">
        <v>27</v>
      </c>
      <c r="E706" t="s">
        <v>812</v>
      </c>
      <c r="F706" t="s">
        <v>250</v>
      </c>
      <c r="G706" t="s">
        <v>72</v>
      </c>
      <c r="H706" t="s">
        <v>31</v>
      </c>
      <c r="I706" t="s">
        <v>63</v>
      </c>
      <c r="J706" t="s">
        <v>63</v>
      </c>
      <c r="K706" t="s">
        <v>64</v>
      </c>
      <c r="L706" t="s">
        <v>212</v>
      </c>
      <c r="M706" t="s">
        <v>213</v>
      </c>
      <c r="N706">
        <v>30.65</v>
      </c>
      <c r="P706">
        <v>96.48</v>
      </c>
      <c r="Q706">
        <v>96.48</v>
      </c>
      <c r="R706">
        <v>0</v>
      </c>
      <c r="S706">
        <v>96.48</v>
      </c>
      <c r="T706">
        <v>207</v>
      </c>
      <c r="U706">
        <f>SUMIF(货件明细!J:J,E706,货件明细!AP:AP)</f>
        <v>0</v>
      </c>
      <c r="V706">
        <f>IF(U706=T706,0,1)</f>
        <v>1</v>
      </c>
      <c r="W706">
        <f>T706</f>
        <v>207</v>
      </c>
      <c r="X706">
        <f>SUMIF(货件明细!J:J,E706,货件明细!H:H)</f>
        <v>0</v>
      </c>
      <c r="Y706">
        <f>N706-X706</f>
        <v>30.65</v>
      </c>
      <c r="Z706">
        <f>SUMIF(货件明细!J:J,E706,货件明细!I:I)</f>
        <v>0</v>
      </c>
      <c r="AA706">
        <f>IF(S706=Z706,0,1)</f>
        <v>1</v>
      </c>
    </row>
    <row r="707" hidden="1" spans="1:27">
      <c r="A707">
        <v>1</v>
      </c>
      <c r="B707">
        <v>5</v>
      </c>
      <c r="C707" s="3">
        <v>46052</v>
      </c>
      <c r="D707" t="s">
        <v>27</v>
      </c>
      <c r="E707" t="s">
        <v>813</v>
      </c>
      <c r="F707" t="s">
        <v>74</v>
      </c>
      <c r="G707" t="s">
        <v>30</v>
      </c>
      <c r="H707" t="s">
        <v>31</v>
      </c>
      <c r="I707" t="s">
        <v>63</v>
      </c>
      <c r="J707" t="s">
        <v>63</v>
      </c>
      <c r="K707" t="s">
        <v>64</v>
      </c>
      <c r="L707" t="s">
        <v>212</v>
      </c>
      <c r="M707" t="s">
        <v>213</v>
      </c>
      <c r="N707">
        <v>30.65</v>
      </c>
      <c r="P707">
        <v>194.7</v>
      </c>
      <c r="Q707">
        <v>194.7</v>
      </c>
      <c r="R707">
        <v>0</v>
      </c>
      <c r="S707">
        <v>194.7</v>
      </c>
      <c r="T707">
        <v>207</v>
      </c>
      <c r="U707">
        <f>SUMIF(货件明细!J:J,E707,货件明细!AP:AP)</f>
        <v>0</v>
      </c>
      <c r="V707">
        <f>IF(U707=T707,0,1)</f>
        <v>1</v>
      </c>
      <c r="W707">
        <f>T707</f>
        <v>207</v>
      </c>
      <c r="X707">
        <f>SUMIF(货件明细!J:J,E707,货件明细!H:H)</f>
        <v>0</v>
      </c>
      <c r="Y707">
        <f>N707-X707</f>
        <v>30.65</v>
      </c>
      <c r="Z707">
        <f>SUMIF(货件明细!J:J,E707,货件明细!I:I)</f>
        <v>0</v>
      </c>
      <c r="AA707">
        <f>IF(S707=Z707,0,1)</f>
        <v>1</v>
      </c>
    </row>
    <row r="708" hidden="1" spans="1:27">
      <c r="A708">
        <v>1</v>
      </c>
      <c r="B708">
        <v>5</v>
      </c>
      <c r="C708" s="3">
        <v>46052</v>
      </c>
      <c r="D708" t="s">
        <v>27</v>
      </c>
      <c r="E708" t="s">
        <v>814</v>
      </c>
      <c r="F708" t="s">
        <v>76</v>
      </c>
      <c r="G708" t="s">
        <v>72</v>
      </c>
      <c r="H708" t="s">
        <v>31</v>
      </c>
      <c r="I708" t="s">
        <v>63</v>
      </c>
      <c r="J708" t="s">
        <v>63</v>
      </c>
      <c r="K708" t="s">
        <v>64</v>
      </c>
      <c r="L708" t="s">
        <v>212</v>
      </c>
      <c r="M708" t="s">
        <v>213</v>
      </c>
      <c r="N708">
        <v>30.65</v>
      </c>
      <c r="P708">
        <v>89.82</v>
      </c>
      <c r="Q708">
        <v>89.82</v>
      </c>
      <c r="R708">
        <v>0</v>
      </c>
      <c r="S708">
        <v>89.82</v>
      </c>
      <c r="T708">
        <v>207</v>
      </c>
      <c r="U708">
        <f>SUMIF(货件明细!J:J,E708,货件明细!AP:AP)</f>
        <v>0</v>
      </c>
      <c r="V708">
        <f>IF(U708=T708,0,1)</f>
        <v>1</v>
      </c>
      <c r="W708">
        <f>T708</f>
        <v>207</v>
      </c>
      <c r="X708">
        <f>SUMIF(货件明细!J:J,E708,货件明细!H:H)</f>
        <v>0</v>
      </c>
      <c r="Y708">
        <f>N708-X708</f>
        <v>30.65</v>
      </c>
      <c r="Z708">
        <f>SUMIF(货件明细!J:J,E708,货件明细!I:I)</f>
        <v>0</v>
      </c>
      <c r="AA708">
        <f>IF(S708=Z708,0,1)</f>
        <v>1</v>
      </c>
    </row>
    <row r="709" hidden="1" spans="1:27">
      <c r="A709">
        <v>1</v>
      </c>
      <c r="B709">
        <v>5</v>
      </c>
      <c r="C709" s="3">
        <v>46053</v>
      </c>
      <c r="D709" t="s">
        <v>27</v>
      </c>
      <c r="E709" t="s">
        <v>815</v>
      </c>
      <c r="F709" t="s">
        <v>62</v>
      </c>
      <c r="G709" t="s">
        <v>30</v>
      </c>
      <c r="H709" t="s">
        <v>78</v>
      </c>
      <c r="I709" t="s">
        <v>63</v>
      </c>
      <c r="J709" t="s">
        <v>63</v>
      </c>
      <c r="K709" t="s">
        <v>64</v>
      </c>
      <c r="L709" t="s">
        <v>65</v>
      </c>
      <c r="M709" t="s">
        <v>66</v>
      </c>
      <c r="N709">
        <v>11.1</v>
      </c>
      <c r="P709">
        <v>71.5</v>
      </c>
      <c r="Q709">
        <v>71.5</v>
      </c>
      <c r="R709">
        <v>0</v>
      </c>
      <c r="S709">
        <v>71.5</v>
      </c>
      <c r="T709">
        <v>102</v>
      </c>
      <c r="U709">
        <f>SUMIF(货件明细!J:J,E709,货件明细!AP:AP)</f>
        <v>0</v>
      </c>
      <c r="V709">
        <f>IF(U709=T709,0,1)</f>
        <v>1</v>
      </c>
      <c r="W709">
        <f>T709</f>
        <v>102</v>
      </c>
      <c r="X709">
        <f>SUMIF(货件明细!J:J,E709,货件明细!H:H)</f>
        <v>0</v>
      </c>
      <c r="Y709">
        <f>N709-X709</f>
        <v>11.1</v>
      </c>
      <c r="Z709">
        <f>SUMIF(货件明细!J:J,E709,货件明细!I:I)</f>
        <v>0</v>
      </c>
      <c r="AA709">
        <f>IF(S709=Z709,0,1)</f>
        <v>1</v>
      </c>
    </row>
    <row r="710" hidden="1" spans="1:27">
      <c r="A710">
        <v>1</v>
      </c>
      <c r="B710">
        <v>5</v>
      </c>
      <c r="C710" s="3">
        <v>46052</v>
      </c>
      <c r="D710" t="s">
        <v>27</v>
      </c>
      <c r="E710" t="s">
        <v>816</v>
      </c>
      <c r="F710" t="s">
        <v>71</v>
      </c>
      <c r="G710" t="s">
        <v>72</v>
      </c>
      <c r="H710" t="s">
        <v>78</v>
      </c>
      <c r="I710" t="s">
        <v>63</v>
      </c>
      <c r="J710" t="s">
        <v>63</v>
      </c>
      <c r="K710" t="s">
        <v>64</v>
      </c>
      <c r="L710" t="s">
        <v>212</v>
      </c>
      <c r="M710" t="s">
        <v>213</v>
      </c>
      <c r="N710">
        <v>11.1</v>
      </c>
      <c r="P710">
        <v>32.16</v>
      </c>
      <c r="Q710">
        <v>32.16</v>
      </c>
      <c r="R710">
        <v>0</v>
      </c>
      <c r="S710">
        <v>32.16</v>
      </c>
      <c r="T710">
        <v>102</v>
      </c>
      <c r="U710">
        <f>SUMIF(货件明细!J:J,E710,货件明细!AP:AP)</f>
        <v>0</v>
      </c>
      <c r="V710">
        <f>IF(U710=T710,0,1)</f>
        <v>1</v>
      </c>
      <c r="W710">
        <f>T710</f>
        <v>102</v>
      </c>
      <c r="X710">
        <f>SUMIF(货件明细!J:J,E710,货件明细!H:H)</f>
        <v>0</v>
      </c>
      <c r="Y710">
        <f>N710-X710</f>
        <v>11.1</v>
      </c>
      <c r="Z710">
        <f>SUMIF(货件明细!J:J,E710,货件明细!I:I)</f>
        <v>0</v>
      </c>
      <c r="AA710">
        <f>IF(S710=Z710,0,1)</f>
        <v>1</v>
      </c>
    </row>
    <row r="711" hidden="1" spans="1:27">
      <c r="A711">
        <v>1</v>
      </c>
      <c r="B711">
        <v>5</v>
      </c>
      <c r="C711" s="3">
        <v>46052</v>
      </c>
      <c r="D711" t="s">
        <v>27</v>
      </c>
      <c r="E711" t="s">
        <v>817</v>
      </c>
      <c r="F711" t="s">
        <v>250</v>
      </c>
      <c r="G711" t="s">
        <v>72</v>
      </c>
      <c r="H711" t="s">
        <v>78</v>
      </c>
      <c r="I711" t="s">
        <v>63</v>
      </c>
      <c r="J711" t="s">
        <v>63</v>
      </c>
      <c r="K711" t="s">
        <v>64</v>
      </c>
      <c r="L711" t="s">
        <v>212</v>
      </c>
      <c r="M711" t="s">
        <v>213</v>
      </c>
      <c r="N711">
        <v>11.1</v>
      </c>
      <c r="P711">
        <v>32.16</v>
      </c>
      <c r="Q711">
        <v>32.16</v>
      </c>
      <c r="R711">
        <v>0</v>
      </c>
      <c r="S711">
        <v>32.16</v>
      </c>
      <c r="T711">
        <v>102</v>
      </c>
      <c r="U711">
        <f>SUMIF(货件明细!J:J,E711,货件明细!AP:AP)</f>
        <v>0</v>
      </c>
      <c r="V711">
        <f>IF(U711=T711,0,1)</f>
        <v>1</v>
      </c>
      <c r="W711">
        <f>T711</f>
        <v>102</v>
      </c>
      <c r="X711">
        <f>SUMIF(货件明细!J:J,E711,货件明细!H:H)</f>
        <v>0</v>
      </c>
      <c r="Y711">
        <f>N711-X711</f>
        <v>11.1</v>
      </c>
      <c r="Z711">
        <f>SUMIF(货件明细!J:J,E711,货件明细!I:I)</f>
        <v>0</v>
      </c>
      <c r="AA711">
        <f>IF(S711=Z711,0,1)</f>
        <v>1</v>
      </c>
    </row>
    <row r="712" hidden="1" spans="1:27">
      <c r="A712">
        <v>1</v>
      </c>
      <c r="B712">
        <v>5</v>
      </c>
      <c r="C712" s="3">
        <v>46052</v>
      </c>
      <c r="D712" t="s">
        <v>27</v>
      </c>
      <c r="E712" t="s">
        <v>818</v>
      </c>
      <c r="F712" t="s">
        <v>74</v>
      </c>
      <c r="G712" t="s">
        <v>30</v>
      </c>
      <c r="H712" t="s">
        <v>78</v>
      </c>
      <c r="I712" t="s">
        <v>63</v>
      </c>
      <c r="J712" t="s">
        <v>63</v>
      </c>
      <c r="K712" t="s">
        <v>64</v>
      </c>
      <c r="L712" t="s">
        <v>212</v>
      </c>
      <c r="M712" t="s">
        <v>213</v>
      </c>
      <c r="N712">
        <v>11.1</v>
      </c>
      <c r="P712">
        <v>64.9</v>
      </c>
      <c r="Q712">
        <v>64.9</v>
      </c>
      <c r="R712">
        <v>0</v>
      </c>
      <c r="S712">
        <v>64.9</v>
      </c>
      <c r="T712">
        <v>102</v>
      </c>
      <c r="U712">
        <f>SUMIF(货件明细!J:J,E712,货件明细!AP:AP)</f>
        <v>0</v>
      </c>
      <c r="V712">
        <f>IF(U712=T712,0,1)</f>
        <v>1</v>
      </c>
      <c r="W712">
        <f>T712</f>
        <v>102</v>
      </c>
      <c r="X712">
        <f>SUMIF(货件明细!J:J,E712,货件明细!H:H)</f>
        <v>0</v>
      </c>
      <c r="Y712">
        <f>N712-X712</f>
        <v>11.1</v>
      </c>
      <c r="Z712">
        <f>SUMIF(货件明细!J:J,E712,货件明细!I:I)</f>
        <v>0</v>
      </c>
      <c r="AA712">
        <f>IF(S712=Z712,0,1)</f>
        <v>1</v>
      </c>
    </row>
    <row r="713" hidden="1" spans="1:27">
      <c r="A713">
        <v>1</v>
      </c>
      <c r="B713">
        <v>5</v>
      </c>
      <c r="C713" s="3">
        <v>46052</v>
      </c>
      <c r="D713" t="s">
        <v>27</v>
      </c>
      <c r="E713" t="s">
        <v>819</v>
      </c>
      <c r="F713" t="s">
        <v>76</v>
      </c>
      <c r="G713" t="s">
        <v>72</v>
      </c>
      <c r="H713" t="s">
        <v>78</v>
      </c>
      <c r="I713" t="s">
        <v>63</v>
      </c>
      <c r="J713" t="s">
        <v>63</v>
      </c>
      <c r="K713" t="s">
        <v>64</v>
      </c>
      <c r="L713" t="s">
        <v>212</v>
      </c>
      <c r="M713" t="s">
        <v>213</v>
      </c>
      <c r="N713">
        <v>11.1</v>
      </c>
      <c r="P713">
        <v>29.94</v>
      </c>
      <c r="Q713">
        <v>29.94</v>
      </c>
      <c r="R713">
        <v>0</v>
      </c>
      <c r="S713">
        <v>29.94</v>
      </c>
      <c r="T713">
        <v>102</v>
      </c>
      <c r="U713">
        <f>SUMIF(货件明细!J:J,E713,货件明细!AP:AP)</f>
        <v>0</v>
      </c>
      <c r="V713">
        <f>IF(U713=T713,0,1)</f>
        <v>1</v>
      </c>
      <c r="W713">
        <f>T713</f>
        <v>102</v>
      </c>
      <c r="X713">
        <f>SUMIF(货件明细!J:J,E713,货件明细!H:H)</f>
        <v>0</v>
      </c>
      <c r="Y713">
        <f>N713-X713</f>
        <v>11.1</v>
      </c>
      <c r="Z713">
        <f>SUMIF(货件明细!J:J,E713,货件明细!I:I)</f>
        <v>0</v>
      </c>
      <c r="AA713">
        <f>IF(S713=Z713,0,1)</f>
        <v>1</v>
      </c>
    </row>
    <row r="714" spans="1:27">
      <c r="A714">
        <v>1</v>
      </c>
      <c r="B714">
        <v>5</v>
      </c>
      <c r="C714" s="3">
        <v>46052</v>
      </c>
      <c r="D714" t="s">
        <v>27</v>
      </c>
      <c r="E714" t="s">
        <v>820</v>
      </c>
      <c r="F714" t="s">
        <v>821</v>
      </c>
      <c r="G714" t="s">
        <v>72</v>
      </c>
      <c r="H714" t="s">
        <v>31</v>
      </c>
      <c r="I714" t="s">
        <v>42</v>
      </c>
      <c r="J714" t="s">
        <v>42</v>
      </c>
      <c r="K714" t="s">
        <v>33</v>
      </c>
      <c r="L714" t="s">
        <v>207</v>
      </c>
      <c r="M714" t="s">
        <v>218</v>
      </c>
      <c r="N714">
        <v>21.4</v>
      </c>
      <c r="O714">
        <v>200</v>
      </c>
      <c r="P714">
        <v>1322.4</v>
      </c>
      <c r="Q714">
        <v>1522.4</v>
      </c>
      <c r="R714">
        <v>362.79</v>
      </c>
      <c r="S714">
        <v>1885.19</v>
      </c>
      <c r="T714">
        <v>145</v>
      </c>
      <c r="U714">
        <f>SUMIF(货件明细!J:J,E714,货件明细!AP:AP)</f>
        <v>145</v>
      </c>
      <c r="V714">
        <f>IF(U714=T714,0,1)</f>
        <v>0</v>
      </c>
      <c r="W714">
        <f>T714</f>
        <v>145</v>
      </c>
      <c r="X714">
        <f>SUMIF(货件明细!J:J,E714,货件明细!H:H)</f>
        <v>20.59</v>
      </c>
      <c r="Y714">
        <f>N714-X714</f>
        <v>0.809999999999999</v>
      </c>
      <c r="Z714">
        <f>SUMIF(货件明细!J:J,E714,货件明细!I:I)</f>
        <v>1885.19</v>
      </c>
      <c r="AA714">
        <f>IF(S714=Z714,0,1)</f>
        <v>0</v>
      </c>
    </row>
    <row r="715" hidden="1" spans="1:27">
      <c r="A715">
        <v>1</v>
      </c>
      <c r="B715">
        <v>5</v>
      </c>
      <c r="C715" s="3">
        <v>46053</v>
      </c>
      <c r="D715" t="s">
        <v>27</v>
      </c>
      <c r="E715" t="s">
        <v>822</v>
      </c>
      <c r="F715" t="s">
        <v>823</v>
      </c>
      <c r="G715" t="s">
        <v>72</v>
      </c>
      <c r="H715" t="s">
        <v>31</v>
      </c>
      <c r="I715" t="s">
        <v>92</v>
      </c>
      <c r="J715" t="s">
        <v>92</v>
      </c>
      <c r="K715" t="s">
        <v>64</v>
      </c>
      <c r="L715" t="s">
        <v>65</v>
      </c>
      <c r="M715" t="s">
        <v>188</v>
      </c>
      <c r="N715">
        <v>29.2</v>
      </c>
      <c r="O715">
        <v>180</v>
      </c>
      <c r="P715">
        <v>164.1</v>
      </c>
      <c r="Q715">
        <v>344.1</v>
      </c>
      <c r="R715">
        <v>500.4</v>
      </c>
      <c r="S715">
        <v>844.5</v>
      </c>
      <c r="T715">
        <v>200</v>
      </c>
      <c r="U715">
        <f>SUMIF(货件明细!J:J,E715,货件明细!AP:AP)</f>
        <v>0</v>
      </c>
      <c r="V715">
        <f>IF(U715=T715,0,1)</f>
        <v>1</v>
      </c>
      <c r="W715">
        <f>T715</f>
        <v>200</v>
      </c>
      <c r="X715">
        <f>SUMIF(货件明细!J:J,E715,货件明细!H:H)</f>
        <v>0</v>
      </c>
      <c r="Y715">
        <f>N715-X715</f>
        <v>29.2</v>
      </c>
      <c r="Z715">
        <f>SUMIF(货件明细!J:J,E715,货件明细!I:I)</f>
        <v>0</v>
      </c>
      <c r="AA715">
        <f>IF(S715=Z715,0,1)</f>
        <v>1</v>
      </c>
    </row>
    <row r="716" hidden="1" spans="1:27">
      <c r="A716">
        <v>1</v>
      </c>
      <c r="B716">
        <v>5</v>
      </c>
      <c r="C716" s="3">
        <v>46053</v>
      </c>
      <c r="D716" t="s">
        <v>27</v>
      </c>
      <c r="E716" t="s">
        <v>824</v>
      </c>
      <c r="F716" t="s">
        <v>195</v>
      </c>
      <c r="G716" t="s">
        <v>30</v>
      </c>
      <c r="H716" t="s">
        <v>224</v>
      </c>
      <c r="I716" t="s">
        <v>92</v>
      </c>
      <c r="J716" t="s">
        <v>92</v>
      </c>
      <c r="K716" t="s">
        <v>64</v>
      </c>
      <c r="L716" t="s">
        <v>65</v>
      </c>
      <c r="M716" t="s">
        <v>93</v>
      </c>
      <c r="N716">
        <v>28.95</v>
      </c>
      <c r="O716">
        <v>14</v>
      </c>
      <c r="P716">
        <v>217.242857142857</v>
      </c>
      <c r="Q716">
        <v>231.242857142857</v>
      </c>
      <c r="R716">
        <v>0</v>
      </c>
      <c r="S716">
        <v>231.242857142857</v>
      </c>
      <c r="T716">
        <v>192</v>
      </c>
      <c r="U716">
        <f>SUMIF(货件明细!J:J,E716,货件明细!AP:AP)</f>
        <v>0</v>
      </c>
      <c r="V716">
        <f>IF(U716=T716,0,1)</f>
        <v>1</v>
      </c>
      <c r="W716">
        <f>T716</f>
        <v>192</v>
      </c>
      <c r="X716">
        <f>SUMIF(货件明细!J:J,E716,货件明细!H:H)</f>
        <v>0</v>
      </c>
      <c r="Y716">
        <f>N716-X716</f>
        <v>28.95</v>
      </c>
      <c r="Z716">
        <f>SUMIF(货件明细!J:J,E716,货件明细!I:I)</f>
        <v>0</v>
      </c>
      <c r="AA716">
        <f>IF(S716=Z716,0,1)</f>
        <v>1</v>
      </c>
    </row>
    <row r="717" hidden="1" spans="1:27">
      <c r="A717">
        <v>1</v>
      </c>
      <c r="B717">
        <v>5</v>
      </c>
      <c r="C717" s="3">
        <v>46053</v>
      </c>
      <c r="D717" t="s">
        <v>27</v>
      </c>
      <c r="E717" t="s">
        <v>825</v>
      </c>
      <c r="F717" t="s">
        <v>62</v>
      </c>
      <c r="G717" t="s">
        <v>30</v>
      </c>
      <c r="H717" t="s">
        <v>224</v>
      </c>
      <c r="I717" t="s">
        <v>92</v>
      </c>
      <c r="J717" t="s">
        <v>92</v>
      </c>
      <c r="K717" t="s">
        <v>64</v>
      </c>
      <c r="L717" t="s">
        <v>65</v>
      </c>
      <c r="M717" t="s">
        <v>93</v>
      </c>
      <c r="N717">
        <v>28.95</v>
      </c>
      <c r="O717">
        <v>14</v>
      </c>
      <c r="P717">
        <v>207.238095238095</v>
      </c>
      <c r="Q717">
        <v>221.238095238095</v>
      </c>
      <c r="R717">
        <v>0</v>
      </c>
      <c r="S717">
        <v>221.238095238095</v>
      </c>
      <c r="T717">
        <v>189</v>
      </c>
      <c r="U717">
        <f>SUMIF(货件明细!J:J,E717,货件明细!AP:AP)</f>
        <v>0</v>
      </c>
      <c r="V717">
        <f>IF(U717=T717,0,1)</f>
        <v>1</v>
      </c>
      <c r="W717">
        <f>T717</f>
        <v>189</v>
      </c>
      <c r="X717">
        <f>SUMIF(货件明细!J:J,E717,货件明细!H:H)</f>
        <v>0</v>
      </c>
      <c r="Y717">
        <f>N717-X717</f>
        <v>28.95</v>
      </c>
      <c r="Z717">
        <f>SUMIF(货件明细!J:J,E717,货件明细!I:I)</f>
        <v>0</v>
      </c>
      <c r="AA717">
        <f>IF(S717=Z717,0,1)</f>
        <v>1</v>
      </c>
    </row>
    <row r="718" hidden="1" spans="1:27">
      <c r="A718">
        <v>1</v>
      </c>
      <c r="B718">
        <v>5</v>
      </c>
      <c r="C718" s="3">
        <v>46053</v>
      </c>
      <c r="D718" t="s">
        <v>27</v>
      </c>
      <c r="E718" t="s">
        <v>826</v>
      </c>
      <c r="F718" t="s">
        <v>141</v>
      </c>
      <c r="G718" t="s">
        <v>69</v>
      </c>
      <c r="H718" t="s">
        <v>224</v>
      </c>
      <c r="I718" t="s">
        <v>92</v>
      </c>
      <c r="J718" t="s">
        <v>92</v>
      </c>
      <c r="K718" t="s">
        <v>64</v>
      </c>
      <c r="L718" t="s">
        <v>65</v>
      </c>
      <c r="M718" t="s">
        <v>93</v>
      </c>
      <c r="N718">
        <v>28.95</v>
      </c>
      <c r="O718">
        <v>14</v>
      </c>
      <c r="P718">
        <v>186.833333333333</v>
      </c>
      <c r="Q718">
        <v>200.833333333333</v>
      </c>
      <c r="R718">
        <v>0</v>
      </c>
      <c r="S718">
        <v>200.833333333333</v>
      </c>
      <c r="T718">
        <v>192</v>
      </c>
      <c r="U718">
        <f>SUMIF(货件明细!J:J,E718,货件明细!AP:AP)</f>
        <v>0</v>
      </c>
      <c r="V718">
        <f>IF(U718=T718,0,1)</f>
        <v>1</v>
      </c>
      <c r="W718">
        <f>T718</f>
        <v>192</v>
      </c>
      <c r="X718">
        <f>SUMIF(货件明细!J:J,E718,货件明细!H:H)</f>
        <v>0</v>
      </c>
      <c r="Y718">
        <f>N718-X718</f>
        <v>28.95</v>
      </c>
      <c r="Z718">
        <f>SUMIF(货件明细!J:J,E718,货件明细!I:I)</f>
        <v>0</v>
      </c>
      <c r="AA718">
        <f>IF(S718=Z718,0,1)</f>
        <v>1</v>
      </c>
    </row>
    <row r="719" hidden="1" spans="1:27">
      <c r="A719">
        <v>1</v>
      </c>
      <c r="B719">
        <v>5</v>
      </c>
      <c r="C719" s="3">
        <v>46053</v>
      </c>
      <c r="D719" t="s">
        <v>27</v>
      </c>
      <c r="E719" t="s">
        <v>827</v>
      </c>
      <c r="F719" t="s">
        <v>193</v>
      </c>
      <c r="G719" t="s">
        <v>72</v>
      </c>
      <c r="H719" t="s">
        <v>224</v>
      </c>
      <c r="I719" t="s">
        <v>92</v>
      </c>
      <c r="J719" t="s">
        <v>92</v>
      </c>
      <c r="K719" t="s">
        <v>64</v>
      </c>
      <c r="L719" t="s">
        <v>65</v>
      </c>
      <c r="M719" t="s">
        <v>188</v>
      </c>
      <c r="N719">
        <v>28.95</v>
      </c>
      <c r="O719">
        <v>25.4545454545455</v>
      </c>
      <c r="P719">
        <v>187.63</v>
      </c>
      <c r="Q719">
        <v>213.084545454545</v>
      </c>
      <c r="R719">
        <v>0</v>
      </c>
      <c r="S719">
        <v>213.084545454545</v>
      </c>
      <c r="T719">
        <v>192</v>
      </c>
      <c r="U719">
        <f>SUMIF(货件明细!J:J,E719,货件明细!AP:AP)</f>
        <v>0</v>
      </c>
      <c r="V719">
        <f>IF(U719=T719,0,1)</f>
        <v>1</v>
      </c>
      <c r="W719">
        <f>T719</f>
        <v>192</v>
      </c>
      <c r="X719">
        <f>SUMIF(货件明细!J:J,E719,货件明细!H:H)</f>
        <v>0</v>
      </c>
      <c r="Y719">
        <f>N719-X719</f>
        <v>28.95</v>
      </c>
      <c r="Z719">
        <f>SUMIF(货件明细!J:J,E719,货件明细!I:I)</f>
        <v>0</v>
      </c>
      <c r="AA719">
        <f>IF(S719=Z719,0,1)</f>
        <v>1</v>
      </c>
    </row>
    <row r="720" hidden="1" spans="1:27">
      <c r="A720">
        <v>1</v>
      </c>
      <c r="B720">
        <v>5</v>
      </c>
      <c r="C720" s="3">
        <v>46053</v>
      </c>
      <c r="D720" t="s">
        <v>27</v>
      </c>
      <c r="E720" t="s">
        <v>828</v>
      </c>
      <c r="F720" t="s">
        <v>715</v>
      </c>
      <c r="G720" t="s">
        <v>69</v>
      </c>
      <c r="H720" t="s">
        <v>224</v>
      </c>
      <c r="I720" t="s">
        <v>92</v>
      </c>
      <c r="J720" t="s">
        <v>92</v>
      </c>
      <c r="K720" t="s">
        <v>64</v>
      </c>
      <c r="L720" t="s">
        <v>65</v>
      </c>
      <c r="M720" t="s">
        <v>93</v>
      </c>
      <c r="N720">
        <v>28.95</v>
      </c>
      <c r="O720">
        <v>14</v>
      </c>
      <c r="P720">
        <v>197.671428571429</v>
      </c>
      <c r="Q720">
        <v>211.671428571429</v>
      </c>
      <c r="R720">
        <v>0</v>
      </c>
      <c r="S720">
        <v>211.671428571429</v>
      </c>
      <c r="T720">
        <v>192</v>
      </c>
      <c r="U720">
        <f>SUMIF(货件明细!J:J,E720,货件明细!AP:AP)</f>
        <v>0</v>
      </c>
      <c r="V720">
        <f>IF(U720=T720,0,1)</f>
        <v>1</v>
      </c>
      <c r="W720">
        <f>T720</f>
        <v>192</v>
      </c>
      <c r="X720">
        <f>SUMIF(货件明细!J:J,E720,货件明细!H:H)</f>
        <v>0</v>
      </c>
      <c r="Y720">
        <f>N720-X720</f>
        <v>28.95</v>
      </c>
      <c r="Z720">
        <f>SUMIF(货件明细!J:J,E720,货件明细!I:I)</f>
        <v>0</v>
      </c>
      <c r="AA720">
        <f>IF(S720=Z720,0,1)</f>
        <v>1</v>
      </c>
    </row>
    <row r="721" hidden="1" spans="1:27">
      <c r="A721">
        <v>1</v>
      </c>
      <c r="B721">
        <v>5</v>
      </c>
      <c r="C721" s="3">
        <v>46053</v>
      </c>
      <c r="D721" t="s">
        <v>27</v>
      </c>
      <c r="E721" t="s">
        <v>829</v>
      </c>
      <c r="F721" t="s">
        <v>195</v>
      </c>
      <c r="G721" t="s">
        <v>30</v>
      </c>
      <c r="H721" t="s">
        <v>31</v>
      </c>
      <c r="I721" t="s">
        <v>92</v>
      </c>
      <c r="J721" t="s">
        <v>92</v>
      </c>
      <c r="K721" t="s">
        <v>64</v>
      </c>
      <c r="L721" t="s">
        <v>65</v>
      </c>
      <c r="M721" t="s">
        <v>93</v>
      </c>
      <c r="N721">
        <v>19.35</v>
      </c>
      <c r="O721">
        <v>15.5555555555556</v>
      </c>
      <c r="P721">
        <v>108.621428571429</v>
      </c>
      <c r="Q721">
        <v>124.176984126984</v>
      </c>
      <c r="R721">
        <v>0</v>
      </c>
      <c r="S721">
        <v>124.176984126984</v>
      </c>
      <c r="T721">
        <v>144</v>
      </c>
      <c r="U721">
        <f>SUMIF(货件明细!J:J,E721,货件明细!AP:AP)</f>
        <v>0</v>
      </c>
      <c r="V721">
        <f>IF(U721=T721,0,1)</f>
        <v>1</v>
      </c>
      <c r="W721">
        <f>T721</f>
        <v>144</v>
      </c>
      <c r="X721">
        <f>SUMIF(货件明细!J:J,E721,货件明细!H:H)</f>
        <v>0</v>
      </c>
      <c r="Y721">
        <f>N721-X721</f>
        <v>19.35</v>
      </c>
      <c r="Z721">
        <f>SUMIF(货件明细!J:J,E721,货件明细!I:I)</f>
        <v>0</v>
      </c>
      <c r="AA721">
        <f>IF(S721=Z721,0,1)</f>
        <v>1</v>
      </c>
    </row>
    <row r="722" hidden="1" spans="1:27">
      <c r="A722">
        <v>1</v>
      </c>
      <c r="B722">
        <v>5</v>
      </c>
      <c r="C722" s="3">
        <v>46053</v>
      </c>
      <c r="D722" t="s">
        <v>27</v>
      </c>
      <c r="E722" t="s">
        <v>830</v>
      </c>
      <c r="F722" t="s">
        <v>62</v>
      </c>
      <c r="G722" t="s">
        <v>30</v>
      </c>
      <c r="H722" t="s">
        <v>31</v>
      </c>
      <c r="I722" t="s">
        <v>92</v>
      </c>
      <c r="J722" t="s">
        <v>92</v>
      </c>
      <c r="K722" t="s">
        <v>64</v>
      </c>
      <c r="L722" t="s">
        <v>65</v>
      </c>
      <c r="M722" t="s">
        <v>93</v>
      </c>
      <c r="N722">
        <v>19.35</v>
      </c>
      <c r="O722">
        <v>15.5555555555556</v>
      </c>
      <c r="P722">
        <v>103.619047619048</v>
      </c>
      <c r="Q722">
        <v>119.174603174603</v>
      </c>
      <c r="R722">
        <v>0</v>
      </c>
      <c r="S722">
        <v>119.174603174603</v>
      </c>
      <c r="T722">
        <v>144</v>
      </c>
      <c r="U722">
        <f>SUMIF(货件明细!J:J,E722,货件明细!AP:AP)</f>
        <v>0</v>
      </c>
      <c r="V722">
        <f>IF(U722=T722,0,1)</f>
        <v>1</v>
      </c>
      <c r="W722">
        <f>T722</f>
        <v>144</v>
      </c>
      <c r="X722">
        <f>SUMIF(货件明细!J:J,E722,货件明细!H:H)</f>
        <v>0</v>
      </c>
      <c r="Y722">
        <f>N722-X722</f>
        <v>19.35</v>
      </c>
      <c r="Z722">
        <f>SUMIF(货件明细!J:J,E722,货件明细!I:I)</f>
        <v>0</v>
      </c>
      <c r="AA722">
        <f>IF(S722=Z722,0,1)</f>
        <v>1</v>
      </c>
    </row>
    <row r="723" hidden="1" spans="1:27">
      <c r="A723">
        <v>1</v>
      </c>
      <c r="B723">
        <v>5</v>
      </c>
      <c r="C723" s="3">
        <v>46053</v>
      </c>
      <c r="D723" t="s">
        <v>27</v>
      </c>
      <c r="E723" t="s">
        <v>831</v>
      </c>
      <c r="F723" t="s">
        <v>548</v>
      </c>
      <c r="G723" t="s">
        <v>72</v>
      </c>
      <c r="H723" t="s">
        <v>31</v>
      </c>
      <c r="I723" t="s">
        <v>92</v>
      </c>
      <c r="J723" t="s">
        <v>92</v>
      </c>
      <c r="K723" t="s">
        <v>64</v>
      </c>
      <c r="L723" t="s">
        <v>65</v>
      </c>
      <c r="M723" t="s">
        <v>93</v>
      </c>
      <c r="N723">
        <v>19.35</v>
      </c>
      <c r="O723">
        <v>23.3333333333333</v>
      </c>
      <c r="P723">
        <v>67.5222222222222</v>
      </c>
      <c r="Q723">
        <v>90.8555555555555</v>
      </c>
      <c r="R723">
        <v>0</v>
      </c>
      <c r="S723">
        <v>90.8555555555555</v>
      </c>
      <c r="T723">
        <v>144</v>
      </c>
      <c r="U723">
        <f>SUMIF(货件明细!J:J,E723,货件明细!AP:AP)</f>
        <v>0</v>
      </c>
      <c r="V723">
        <f>IF(U723=T723,0,1)</f>
        <v>1</v>
      </c>
      <c r="W723">
        <f>T723</f>
        <v>144</v>
      </c>
      <c r="X723">
        <f>SUMIF(货件明细!J:J,E723,货件明细!H:H)</f>
        <v>0</v>
      </c>
      <c r="Y723">
        <f>N723-X723</f>
        <v>19.35</v>
      </c>
      <c r="Z723">
        <f>SUMIF(货件明细!J:J,E723,货件明细!I:I)</f>
        <v>0</v>
      </c>
      <c r="AA723">
        <f>IF(S723=Z723,0,1)</f>
        <v>1</v>
      </c>
    </row>
    <row r="724" hidden="1" spans="1:27">
      <c r="A724">
        <v>1</v>
      </c>
      <c r="B724">
        <v>5</v>
      </c>
      <c r="C724" s="3">
        <v>46053</v>
      </c>
      <c r="D724" t="s">
        <v>27</v>
      </c>
      <c r="E724" t="s">
        <v>832</v>
      </c>
      <c r="F724" t="s">
        <v>187</v>
      </c>
      <c r="G724" t="s">
        <v>72</v>
      </c>
      <c r="H724" t="s">
        <v>31</v>
      </c>
      <c r="I724" t="s">
        <v>92</v>
      </c>
      <c r="J724" t="s">
        <v>92</v>
      </c>
      <c r="K724" t="s">
        <v>64</v>
      </c>
      <c r="L724" t="s">
        <v>65</v>
      </c>
      <c r="M724" t="s">
        <v>93</v>
      </c>
      <c r="N724">
        <v>19.35</v>
      </c>
      <c r="O724">
        <v>23.3333333333333</v>
      </c>
      <c r="P724">
        <v>66.6789473684211</v>
      </c>
      <c r="Q724">
        <v>90.0122807017544</v>
      </c>
      <c r="R724">
        <v>0</v>
      </c>
      <c r="S724">
        <v>90.0122807017544</v>
      </c>
      <c r="T724">
        <v>144</v>
      </c>
      <c r="U724">
        <f>SUMIF(货件明细!J:J,E724,货件明细!AP:AP)</f>
        <v>0</v>
      </c>
      <c r="V724">
        <f>IF(U724=T724,0,1)</f>
        <v>1</v>
      </c>
      <c r="W724">
        <f>T724</f>
        <v>144</v>
      </c>
      <c r="X724">
        <f>SUMIF(货件明细!J:J,E724,货件明细!H:H)</f>
        <v>0</v>
      </c>
      <c r="Y724">
        <f>N724-X724</f>
        <v>19.35</v>
      </c>
      <c r="Z724">
        <f>SUMIF(货件明细!J:J,E724,货件明细!I:I)</f>
        <v>0</v>
      </c>
      <c r="AA724">
        <f>IF(S724=Z724,0,1)</f>
        <v>1</v>
      </c>
    </row>
    <row r="725" hidden="1" spans="1:27">
      <c r="A725">
        <v>1</v>
      </c>
      <c r="B725">
        <v>5</v>
      </c>
      <c r="C725" s="3">
        <v>46053</v>
      </c>
      <c r="D725" t="s">
        <v>27</v>
      </c>
      <c r="E725" t="s">
        <v>833</v>
      </c>
      <c r="F725" t="s">
        <v>715</v>
      </c>
      <c r="G725" t="s">
        <v>69</v>
      </c>
      <c r="H725" t="s">
        <v>31</v>
      </c>
      <c r="I725" t="s">
        <v>92</v>
      </c>
      <c r="J725" t="s">
        <v>92</v>
      </c>
      <c r="K725" t="s">
        <v>64</v>
      </c>
      <c r="L725" t="s">
        <v>65</v>
      </c>
      <c r="M725" t="s">
        <v>93</v>
      </c>
      <c r="N725">
        <v>19.35</v>
      </c>
      <c r="O725">
        <v>15.5555555555556</v>
      </c>
      <c r="P725">
        <v>98.8357142857143</v>
      </c>
      <c r="Q725">
        <v>114.39126984127</v>
      </c>
      <c r="R725">
        <v>0</v>
      </c>
      <c r="S725">
        <v>114.39126984127</v>
      </c>
      <c r="T725">
        <v>144</v>
      </c>
      <c r="U725">
        <f>SUMIF(货件明细!J:J,E725,货件明细!AP:AP)</f>
        <v>0</v>
      </c>
      <c r="V725">
        <f>IF(U725=T725,0,1)</f>
        <v>1</v>
      </c>
      <c r="W725">
        <f>T725</f>
        <v>144</v>
      </c>
      <c r="X725">
        <f>SUMIF(货件明细!J:J,E725,货件明细!H:H)</f>
        <v>0</v>
      </c>
      <c r="Y725">
        <f>N725-X725</f>
        <v>19.35</v>
      </c>
      <c r="Z725">
        <f>SUMIF(货件明细!J:J,E725,货件明细!I:I)</f>
        <v>0</v>
      </c>
      <c r="AA725">
        <f>IF(S725=Z725,0,1)</f>
        <v>1</v>
      </c>
    </row>
    <row r="726" hidden="1" spans="1:27">
      <c r="A726">
        <v>1</v>
      </c>
      <c r="B726">
        <v>5</v>
      </c>
      <c r="C726" s="3">
        <v>46053</v>
      </c>
      <c r="D726" t="s">
        <v>27</v>
      </c>
      <c r="E726" t="s">
        <v>834</v>
      </c>
      <c r="F726" t="s">
        <v>195</v>
      </c>
      <c r="G726" t="s">
        <v>30</v>
      </c>
      <c r="H726" t="s">
        <v>78</v>
      </c>
      <c r="I726" t="s">
        <v>92</v>
      </c>
      <c r="J726" t="s">
        <v>92</v>
      </c>
      <c r="K726" t="s">
        <v>64</v>
      </c>
      <c r="L726" t="s">
        <v>65</v>
      </c>
      <c r="M726" t="s">
        <v>93</v>
      </c>
      <c r="N726">
        <v>17.3</v>
      </c>
      <c r="O726">
        <v>15.5555555555556</v>
      </c>
      <c r="P726">
        <v>108.621428571429</v>
      </c>
      <c r="Q726">
        <v>124.176984126984</v>
      </c>
      <c r="R726">
        <v>0</v>
      </c>
      <c r="S726">
        <v>124.176984126984</v>
      </c>
      <c r="T726">
        <v>126</v>
      </c>
      <c r="U726">
        <f>SUMIF(货件明细!J:J,E726,货件明细!AP:AP)</f>
        <v>0</v>
      </c>
      <c r="V726">
        <f>IF(U726=T726,0,1)</f>
        <v>1</v>
      </c>
      <c r="W726">
        <f>T726</f>
        <v>126</v>
      </c>
      <c r="X726">
        <f>SUMIF(货件明细!J:J,E726,货件明细!H:H)</f>
        <v>0</v>
      </c>
      <c r="Y726">
        <f>N726-X726</f>
        <v>17.3</v>
      </c>
      <c r="Z726">
        <f>SUMIF(货件明细!J:J,E726,货件明细!I:I)</f>
        <v>0</v>
      </c>
      <c r="AA726">
        <f>IF(S726=Z726,0,1)</f>
        <v>1</v>
      </c>
    </row>
    <row r="727" hidden="1" spans="1:27">
      <c r="A727">
        <v>1</v>
      </c>
      <c r="B727">
        <v>5</v>
      </c>
      <c r="C727" s="3">
        <v>46053</v>
      </c>
      <c r="D727" t="s">
        <v>27</v>
      </c>
      <c r="E727" t="s">
        <v>835</v>
      </c>
      <c r="F727" t="s">
        <v>62</v>
      </c>
      <c r="G727" t="s">
        <v>30</v>
      </c>
      <c r="H727" t="s">
        <v>78</v>
      </c>
      <c r="I727" t="s">
        <v>92</v>
      </c>
      <c r="J727" t="s">
        <v>92</v>
      </c>
      <c r="K727" t="s">
        <v>64</v>
      </c>
      <c r="L727" t="s">
        <v>65</v>
      </c>
      <c r="M727" t="s">
        <v>93</v>
      </c>
      <c r="N727">
        <v>17.3</v>
      </c>
      <c r="O727">
        <v>15.5555555555556</v>
      </c>
      <c r="P727">
        <v>103.619047619048</v>
      </c>
      <c r="Q727">
        <v>119.174603174603</v>
      </c>
      <c r="R727">
        <v>0</v>
      </c>
      <c r="S727">
        <v>119.174603174603</v>
      </c>
      <c r="T727">
        <v>126</v>
      </c>
      <c r="U727">
        <f>SUMIF(货件明细!J:J,E727,货件明细!AP:AP)</f>
        <v>0</v>
      </c>
      <c r="V727">
        <f>IF(U727=T727,0,1)</f>
        <v>1</v>
      </c>
      <c r="W727">
        <f>T727</f>
        <v>126</v>
      </c>
      <c r="X727">
        <f>SUMIF(货件明细!J:J,E727,货件明细!H:H)</f>
        <v>0</v>
      </c>
      <c r="Y727">
        <f>N727-X727</f>
        <v>17.3</v>
      </c>
      <c r="Z727">
        <f>SUMIF(货件明细!J:J,E727,货件明细!I:I)</f>
        <v>0</v>
      </c>
      <c r="AA727">
        <f>IF(S727=Z727,0,1)</f>
        <v>1</v>
      </c>
    </row>
    <row r="728" hidden="1" spans="1:27">
      <c r="A728">
        <v>1</v>
      </c>
      <c r="B728">
        <v>5</v>
      </c>
      <c r="C728" s="3">
        <v>46053</v>
      </c>
      <c r="D728" t="s">
        <v>27</v>
      </c>
      <c r="E728" t="s">
        <v>836</v>
      </c>
      <c r="F728" t="s">
        <v>548</v>
      </c>
      <c r="G728" t="s">
        <v>72</v>
      </c>
      <c r="H728" t="s">
        <v>78</v>
      </c>
      <c r="I728" t="s">
        <v>92</v>
      </c>
      <c r="J728" t="s">
        <v>92</v>
      </c>
      <c r="K728" t="s">
        <v>64</v>
      </c>
      <c r="L728" t="s">
        <v>65</v>
      </c>
      <c r="M728" t="s">
        <v>93</v>
      </c>
      <c r="N728">
        <v>17.3</v>
      </c>
      <c r="O728">
        <v>23.3333333333333</v>
      </c>
      <c r="P728">
        <v>67.5222222222222</v>
      </c>
      <c r="Q728">
        <v>90.8555555555555</v>
      </c>
      <c r="R728">
        <v>0</v>
      </c>
      <c r="S728">
        <v>90.8555555555555</v>
      </c>
      <c r="T728">
        <v>126</v>
      </c>
      <c r="U728">
        <f>SUMIF(货件明细!J:J,E728,货件明细!AP:AP)</f>
        <v>0</v>
      </c>
      <c r="V728">
        <f>IF(U728=T728,0,1)</f>
        <v>1</v>
      </c>
      <c r="W728">
        <f>T728</f>
        <v>126</v>
      </c>
      <c r="X728">
        <f>SUMIF(货件明细!J:J,E728,货件明细!H:H)</f>
        <v>0</v>
      </c>
      <c r="Y728">
        <f>N728-X728</f>
        <v>17.3</v>
      </c>
      <c r="Z728">
        <f>SUMIF(货件明细!J:J,E728,货件明细!I:I)</f>
        <v>0</v>
      </c>
      <c r="AA728">
        <f>IF(S728=Z728,0,1)</f>
        <v>1</v>
      </c>
    </row>
    <row r="729" hidden="1" spans="1:27">
      <c r="A729">
        <v>1</v>
      </c>
      <c r="B729">
        <v>5</v>
      </c>
      <c r="C729" s="3">
        <v>46053</v>
      </c>
      <c r="D729" t="s">
        <v>27</v>
      </c>
      <c r="E729" t="s">
        <v>837</v>
      </c>
      <c r="F729" t="s">
        <v>187</v>
      </c>
      <c r="G729" t="s">
        <v>72</v>
      </c>
      <c r="H729" t="s">
        <v>78</v>
      </c>
      <c r="I729" t="s">
        <v>92</v>
      </c>
      <c r="J729" t="s">
        <v>92</v>
      </c>
      <c r="K729" t="s">
        <v>64</v>
      </c>
      <c r="L729" t="s">
        <v>65</v>
      </c>
      <c r="M729" t="s">
        <v>93</v>
      </c>
      <c r="N729">
        <v>17.3</v>
      </c>
      <c r="O729">
        <v>23.3333333333333</v>
      </c>
      <c r="P729">
        <v>66.6789473684211</v>
      </c>
      <c r="Q729">
        <v>90.0122807017544</v>
      </c>
      <c r="R729">
        <v>0</v>
      </c>
      <c r="S729">
        <v>90.0122807017544</v>
      </c>
      <c r="T729">
        <v>126</v>
      </c>
      <c r="U729">
        <f>SUMIF(货件明细!J:J,E729,货件明细!AP:AP)</f>
        <v>0</v>
      </c>
      <c r="V729">
        <f>IF(U729=T729,0,1)</f>
        <v>1</v>
      </c>
      <c r="W729">
        <f>T729</f>
        <v>126</v>
      </c>
      <c r="X729">
        <f>SUMIF(货件明细!J:J,E729,货件明细!H:H)</f>
        <v>0</v>
      </c>
      <c r="Y729">
        <f>N729-X729</f>
        <v>17.3</v>
      </c>
      <c r="Z729">
        <f>SUMIF(货件明细!J:J,E729,货件明细!I:I)</f>
        <v>0</v>
      </c>
      <c r="AA729">
        <f>IF(S729=Z729,0,1)</f>
        <v>1</v>
      </c>
    </row>
    <row r="730" hidden="1" spans="1:27">
      <c r="A730">
        <v>1</v>
      </c>
      <c r="B730">
        <v>5</v>
      </c>
      <c r="C730" s="3">
        <v>46053</v>
      </c>
      <c r="D730" t="s">
        <v>27</v>
      </c>
      <c r="E730" t="s">
        <v>838</v>
      </c>
      <c r="F730" t="s">
        <v>715</v>
      </c>
      <c r="G730" t="s">
        <v>69</v>
      </c>
      <c r="H730" t="s">
        <v>78</v>
      </c>
      <c r="I730" t="s">
        <v>92</v>
      </c>
      <c r="J730" t="s">
        <v>92</v>
      </c>
      <c r="K730" t="s">
        <v>64</v>
      </c>
      <c r="L730" t="s">
        <v>65</v>
      </c>
      <c r="M730" t="s">
        <v>93</v>
      </c>
      <c r="N730">
        <v>17.3</v>
      </c>
      <c r="O730">
        <v>15.5555555555556</v>
      </c>
      <c r="P730">
        <v>98.8357142857143</v>
      </c>
      <c r="Q730">
        <v>114.39126984127</v>
      </c>
      <c r="R730">
        <v>0</v>
      </c>
      <c r="S730">
        <v>114.39126984127</v>
      </c>
      <c r="T730">
        <v>126</v>
      </c>
      <c r="U730">
        <f>SUMIF(货件明细!J:J,E730,货件明细!AP:AP)</f>
        <v>0</v>
      </c>
      <c r="V730">
        <f>IF(U730=T730,0,1)</f>
        <v>1</v>
      </c>
      <c r="W730">
        <f>T730</f>
        <v>126</v>
      </c>
      <c r="X730">
        <f>SUMIF(货件明细!J:J,E730,货件明细!H:H)</f>
        <v>0</v>
      </c>
      <c r="Y730">
        <f>N730-X730</f>
        <v>17.3</v>
      </c>
      <c r="Z730">
        <f>SUMIF(货件明细!J:J,E730,货件明细!I:I)</f>
        <v>0</v>
      </c>
      <c r="AA730">
        <f>IF(S730=Z730,0,1)</f>
        <v>1</v>
      </c>
    </row>
    <row r="731" hidden="1" spans="1:27">
      <c r="A731">
        <v>1</v>
      </c>
      <c r="B731">
        <v>5</v>
      </c>
      <c r="C731" s="3">
        <v>46053</v>
      </c>
      <c r="D731" t="s">
        <v>27</v>
      </c>
      <c r="E731" t="s">
        <v>839</v>
      </c>
      <c r="F731" t="s">
        <v>195</v>
      </c>
      <c r="G731" t="s">
        <v>30</v>
      </c>
      <c r="H731" t="s">
        <v>56</v>
      </c>
      <c r="I731" t="s">
        <v>92</v>
      </c>
      <c r="J731" t="s">
        <v>92</v>
      </c>
      <c r="K731" t="s">
        <v>64</v>
      </c>
      <c r="L731" t="s">
        <v>65</v>
      </c>
      <c r="M731" t="s">
        <v>93</v>
      </c>
      <c r="N731">
        <v>12.7</v>
      </c>
      <c r="O731">
        <v>15.5555555555556</v>
      </c>
      <c r="P731">
        <v>108.621428571429</v>
      </c>
      <c r="Q731">
        <v>124.176984126984</v>
      </c>
      <c r="R731">
        <v>0</v>
      </c>
      <c r="S731">
        <v>124.176984126984</v>
      </c>
      <c r="T731">
        <v>67</v>
      </c>
      <c r="U731">
        <f>SUMIF(货件明细!J:J,E731,货件明细!AP:AP)</f>
        <v>0</v>
      </c>
      <c r="V731">
        <f>IF(U731=T731,0,1)</f>
        <v>1</v>
      </c>
      <c r="W731">
        <f>T731</f>
        <v>67</v>
      </c>
      <c r="X731">
        <f>SUMIF(货件明细!J:J,E731,货件明细!H:H)</f>
        <v>0</v>
      </c>
      <c r="Y731">
        <f>N731-X731</f>
        <v>12.7</v>
      </c>
      <c r="Z731">
        <f>SUMIF(货件明细!J:J,E731,货件明细!I:I)</f>
        <v>0</v>
      </c>
      <c r="AA731">
        <f>IF(S731=Z731,0,1)</f>
        <v>1</v>
      </c>
    </row>
    <row r="732" hidden="1" spans="1:27">
      <c r="A732">
        <v>1</v>
      </c>
      <c r="B732">
        <v>5</v>
      </c>
      <c r="C732" s="3">
        <v>46053</v>
      </c>
      <c r="D732" t="s">
        <v>27</v>
      </c>
      <c r="E732" t="s">
        <v>840</v>
      </c>
      <c r="F732" t="s">
        <v>62</v>
      </c>
      <c r="G732" t="s">
        <v>30</v>
      </c>
      <c r="H732" t="s">
        <v>56</v>
      </c>
      <c r="I732" t="s">
        <v>92</v>
      </c>
      <c r="J732" t="s">
        <v>92</v>
      </c>
      <c r="K732" t="s">
        <v>64</v>
      </c>
      <c r="L732" t="s">
        <v>65</v>
      </c>
      <c r="M732" t="s">
        <v>93</v>
      </c>
      <c r="N732">
        <v>12.7</v>
      </c>
      <c r="O732">
        <v>15.5555555555556</v>
      </c>
      <c r="P732">
        <v>103.619047619048</v>
      </c>
      <c r="Q732">
        <v>119.174603174603</v>
      </c>
      <c r="R732">
        <v>0</v>
      </c>
      <c r="S732">
        <v>119.174603174603</v>
      </c>
      <c r="T732">
        <v>67</v>
      </c>
      <c r="U732">
        <f>SUMIF(货件明细!J:J,E732,货件明细!AP:AP)</f>
        <v>0</v>
      </c>
      <c r="V732">
        <f>IF(U732=T732,0,1)</f>
        <v>1</v>
      </c>
      <c r="W732">
        <f>T732</f>
        <v>67</v>
      </c>
      <c r="X732">
        <f>SUMIF(货件明细!J:J,E732,货件明细!H:H)</f>
        <v>0</v>
      </c>
      <c r="Y732">
        <f>N732-X732</f>
        <v>12.7</v>
      </c>
      <c r="Z732">
        <f>SUMIF(货件明细!J:J,E732,货件明细!I:I)</f>
        <v>0</v>
      </c>
      <c r="AA732">
        <f>IF(S732=Z732,0,1)</f>
        <v>1</v>
      </c>
    </row>
    <row r="733" hidden="1" spans="1:27">
      <c r="A733">
        <v>1</v>
      </c>
      <c r="B733">
        <v>5</v>
      </c>
      <c r="C733" s="3">
        <v>46053</v>
      </c>
      <c r="D733" t="s">
        <v>27</v>
      </c>
      <c r="E733" t="s">
        <v>841</v>
      </c>
      <c r="F733" t="s">
        <v>548</v>
      </c>
      <c r="G733" t="s">
        <v>72</v>
      </c>
      <c r="H733" t="s">
        <v>56</v>
      </c>
      <c r="I733" t="s">
        <v>92</v>
      </c>
      <c r="J733" t="s">
        <v>92</v>
      </c>
      <c r="K733" t="s">
        <v>64</v>
      </c>
      <c r="L733" t="s">
        <v>65</v>
      </c>
      <c r="M733" t="s">
        <v>93</v>
      </c>
      <c r="N733">
        <v>12.7</v>
      </c>
      <c r="O733">
        <v>23.3333333333333</v>
      </c>
      <c r="P733">
        <v>67.5222222222222</v>
      </c>
      <c r="Q733">
        <v>90.8555555555555</v>
      </c>
      <c r="R733">
        <v>0</v>
      </c>
      <c r="S733">
        <v>90.8555555555555</v>
      </c>
      <c r="T733">
        <v>67</v>
      </c>
      <c r="U733">
        <f>SUMIF(货件明细!J:J,E733,货件明细!AP:AP)</f>
        <v>0</v>
      </c>
      <c r="V733">
        <f>IF(U733=T733,0,1)</f>
        <v>1</v>
      </c>
      <c r="W733">
        <f>T733</f>
        <v>67</v>
      </c>
      <c r="X733">
        <f>SUMIF(货件明细!J:J,E733,货件明细!H:H)</f>
        <v>0</v>
      </c>
      <c r="Y733">
        <f>N733-X733</f>
        <v>12.7</v>
      </c>
      <c r="Z733">
        <f>SUMIF(货件明细!J:J,E733,货件明细!I:I)</f>
        <v>0</v>
      </c>
      <c r="AA733">
        <f>IF(S733=Z733,0,1)</f>
        <v>1</v>
      </c>
    </row>
    <row r="734" hidden="1" spans="1:27">
      <c r="A734">
        <v>1</v>
      </c>
      <c r="B734">
        <v>5</v>
      </c>
      <c r="C734" s="3">
        <v>46053</v>
      </c>
      <c r="D734" t="s">
        <v>27</v>
      </c>
      <c r="E734" t="s">
        <v>842</v>
      </c>
      <c r="F734" t="s">
        <v>187</v>
      </c>
      <c r="G734" t="s">
        <v>72</v>
      </c>
      <c r="H734" t="s">
        <v>56</v>
      </c>
      <c r="I734" t="s">
        <v>92</v>
      </c>
      <c r="J734" t="s">
        <v>92</v>
      </c>
      <c r="K734" t="s">
        <v>64</v>
      </c>
      <c r="L734" t="s">
        <v>65</v>
      </c>
      <c r="M734" t="s">
        <v>93</v>
      </c>
      <c r="N734">
        <v>12.7</v>
      </c>
      <c r="O734">
        <v>23.3333333333333</v>
      </c>
      <c r="P734">
        <v>66.6789473684211</v>
      </c>
      <c r="Q734">
        <v>90.0122807017544</v>
      </c>
      <c r="R734">
        <v>0</v>
      </c>
      <c r="S734">
        <v>90.0122807017544</v>
      </c>
      <c r="T734">
        <v>67</v>
      </c>
      <c r="U734">
        <f>SUMIF(货件明细!J:J,E734,货件明细!AP:AP)</f>
        <v>0</v>
      </c>
      <c r="V734">
        <f>IF(U734=T734,0,1)</f>
        <v>1</v>
      </c>
      <c r="W734">
        <f>T734</f>
        <v>67</v>
      </c>
      <c r="X734">
        <f>SUMIF(货件明细!J:J,E734,货件明细!H:H)</f>
        <v>0</v>
      </c>
      <c r="Y734">
        <f>N734-X734</f>
        <v>12.7</v>
      </c>
      <c r="Z734">
        <f>SUMIF(货件明细!J:J,E734,货件明细!I:I)</f>
        <v>0</v>
      </c>
      <c r="AA734">
        <f>IF(S734=Z734,0,1)</f>
        <v>1</v>
      </c>
    </row>
    <row r="735" hidden="1" spans="1:27">
      <c r="A735">
        <v>1</v>
      </c>
      <c r="B735">
        <v>5</v>
      </c>
      <c r="C735" s="3">
        <v>46053</v>
      </c>
      <c r="D735" t="s">
        <v>27</v>
      </c>
      <c r="E735" t="s">
        <v>843</v>
      </c>
      <c r="F735" t="s">
        <v>715</v>
      </c>
      <c r="G735" t="s">
        <v>69</v>
      </c>
      <c r="H735" t="s">
        <v>56</v>
      </c>
      <c r="I735" t="s">
        <v>92</v>
      </c>
      <c r="J735" t="s">
        <v>92</v>
      </c>
      <c r="K735" t="s">
        <v>64</v>
      </c>
      <c r="L735" t="s">
        <v>65</v>
      </c>
      <c r="M735" t="s">
        <v>93</v>
      </c>
      <c r="N735">
        <v>12.7</v>
      </c>
      <c r="O735">
        <v>15.5555555555556</v>
      </c>
      <c r="P735">
        <v>98.8357142857143</v>
      </c>
      <c r="Q735">
        <v>114.39126984127</v>
      </c>
      <c r="R735">
        <v>0</v>
      </c>
      <c r="S735">
        <v>114.39126984127</v>
      </c>
      <c r="T735">
        <v>67</v>
      </c>
      <c r="U735">
        <f>SUMIF(货件明细!J:J,E735,货件明细!AP:AP)</f>
        <v>0</v>
      </c>
      <c r="V735">
        <f>IF(U735=T735,0,1)</f>
        <v>1</v>
      </c>
      <c r="W735">
        <f>T735</f>
        <v>67</v>
      </c>
      <c r="X735">
        <f>SUMIF(货件明细!J:J,E735,货件明细!H:H)</f>
        <v>0</v>
      </c>
      <c r="Y735">
        <f>N735-X735</f>
        <v>12.7</v>
      </c>
      <c r="Z735">
        <f>SUMIF(货件明细!J:J,E735,货件明细!I:I)</f>
        <v>0</v>
      </c>
      <c r="AA735">
        <f>IF(S735=Z735,0,1)</f>
        <v>1</v>
      </c>
    </row>
    <row r="736" hidden="1" spans="1:27">
      <c r="A736">
        <v>1</v>
      </c>
      <c r="B736">
        <v>5</v>
      </c>
      <c r="C736" s="3">
        <v>46053</v>
      </c>
      <c r="D736" t="s">
        <v>27</v>
      </c>
      <c r="E736" t="s">
        <v>844</v>
      </c>
      <c r="F736" t="s">
        <v>195</v>
      </c>
      <c r="G736" t="s">
        <v>30</v>
      </c>
      <c r="H736" t="s">
        <v>54</v>
      </c>
      <c r="I736" t="s">
        <v>92</v>
      </c>
      <c r="J736" t="s">
        <v>92</v>
      </c>
      <c r="K736" t="s">
        <v>64</v>
      </c>
      <c r="L736" t="s">
        <v>65</v>
      </c>
      <c r="M736" t="s">
        <v>93</v>
      </c>
      <c r="N736">
        <v>25.55</v>
      </c>
      <c r="O736">
        <v>14</v>
      </c>
      <c r="P736">
        <v>217.242857142857</v>
      </c>
      <c r="Q736">
        <v>231.242857142857</v>
      </c>
      <c r="R736">
        <v>0</v>
      </c>
      <c r="S736">
        <v>231.242857142857</v>
      </c>
      <c r="T736">
        <v>118</v>
      </c>
      <c r="U736">
        <f>SUMIF(货件明细!J:J,E736,货件明细!AP:AP)</f>
        <v>0</v>
      </c>
      <c r="V736">
        <f>IF(U736=T736,0,1)</f>
        <v>1</v>
      </c>
      <c r="W736">
        <f>T736</f>
        <v>118</v>
      </c>
      <c r="X736">
        <f>SUMIF(货件明细!J:J,E736,货件明细!H:H)</f>
        <v>0</v>
      </c>
      <c r="Y736">
        <f>N736-X736</f>
        <v>25.55</v>
      </c>
      <c r="Z736">
        <f>SUMIF(货件明细!J:J,E736,货件明细!I:I)</f>
        <v>0</v>
      </c>
      <c r="AA736">
        <f>IF(S736=Z736,0,1)</f>
        <v>1</v>
      </c>
    </row>
    <row r="737" hidden="1" spans="1:27">
      <c r="A737">
        <v>1</v>
      </c>
      <c r="B737">
        <v>5</v>
      </c>
      <c r="C737" s="3">
        <v>46053</v>
      </c>
      <c r="D737" t="s">
        <v>27</v>
      </c>
      <c r="E737" t="s">
        <v>845</v>
      </c>
      <c r="F737" t="s">
        <v>62</v>
      </c>
      <c r="G737" t="s">
        <v>30</v>
      </c>
      <c r="H737" t="s">
        <v>54</v>
      </c>
      <c r="I737" t="s">
        <v>92</v>
      </c>
      <c r="J737" t="s">
        <v>92</v>
      </c>
      <c r="K737" t="s">
        <v>64</v>
      </c>
      <c r="L737" t="s">
        <v>65</v>
      </c>
      <c r="M737" t="s">
        <v>93</v>
      </c>
      <c r="N737">
        <v>25.55</v>
      </c>
      <c r="O737">
        <v>14</v>
      </c>
      <c r="P737">
        <v>207.238095238095</v>
      </c>
      <c r="Q737">
        <v>221.238095238095</v>
      </c>
      <c r="R737">
        <v>0</v>
      </c>
      <c r="S737">
        <v>221.238095238095</v>
      </c>
      <c r="T737">
        <v>120</v>
      </c>
      <c r="U737">
        <f>SUMIF(货件明细!J:J,E737,货件明细!AP:AP)</f>
        <v>0</v>
      </c>
      <c r="V737">
        <f>IF(U737=T737,0,1)</f>
        <v>1</v>
      </c>
      <c r="W737">
        <f>T737</f>
        <v>120</v>
      </c>
      <c r="X737">
        <f>SUMIF(货件明细!J:J,E737,货件明细!H:H)</f>
        <v>0</v>
      </c>
      <c r="Y737">
        <f>N737-X737</f>
        <v>25.55</v>
      </c>
      <c r="Z737">
        <f>SUMIF(货件明细!J:J,E737,货件明细!I:I)</f>
        <v>0</v>
      </c>
      <c r="AA737">
        <f>IF(S737=Z737,0,1)</f>
        <v>1</v>
      </c>
    </row>
    <row r="738" hidden="1" spans="1:27">
      <c r="A738">
        <v>1</v>
      </c>
      <c r="B738">
        <v>5</v>
      </c>
      <c r="C738" s="3">
        <v>46053</v>
      </c>
      <c r="D738" t="s">
        <v>27</v>
      </c>
      <c r="E738" t="s">
        <v>846</v>
      </c>
      <c r="F738" t="s">
        <v>548</v>
      </c>
      <c r="G738" t="s">
        <v>72</v>
      </c>
      <c r="H738" t="s">
        <v>54</v>
      </c>
      <c r="I738" t="s">
        <v>92</v>
      </c>
      <c r="J738" t="s">
        <v>92</v>
      </c>
      <c r="K738" t="s">
        <v>64</v>
      </c>
      <c r="L738" t="s">
        <v>65</v>
      </c>
      <c r="M738" t="s">
        <v>93</v>
      </c>
      <c r="N738">
        <v>25.55</v>
      </c>
      <c r="O738">
        <v>25.4545454545455</v>
      </c>
      <c r="P738">
        <v>135.044444444444</v>
      </c>
      <c r="Q738">
        <v>160.49898989899</v>
      </c>
      <c r="R738">
        <v>0</v>
      </c>
      <c r="S738">
        <v>160.49898989899</v>
      </c>
      <c r="T738">
        <v>120</v>
      </c>
      <c r="U738">
        <f>SUMIF(货件明细!J:J,E738,货件明细!AP:AP)</f>
        <v>0</v>
      </c>
      <c r="V738">
        <f>IF(U738=T738,0,1)</f>
        <v>1</v>
      </c>
      <c r="W738">
        <f>T738</f>
        <v>120</v>
      </c>
      <c r="X738">
        <f>SUMIF(货件明细!J:J,E738,货件明细!H:H)</f>
        <v>0</v>
      </c>
      <c r="Y738">
        <f>N738-X738</f>
        <v>25.55</v>
      </c>
      <c r="Z738">
        <f>SUMIF(货件明细!J:J,E738,货件明细!I:I)</f>
        <v>0</v>
      </c>
      <c r="AA738">
        <f>IF(S738=Z738,0,1)</f>
        <v>1</v>
      </c>
    </row>
    <row r="739" hidden="1" spans="1:27">
      <c r="A739">
        <v>1</v>
      </c>
      <c r="B739">
        <v>5</v>
      </c>
      <c r="C739" s="3">
        <v>46053</v>
      </c>
      <c r="D739" t="s">
        <v>27</v>
      </c>
      <c r="E739" t="s">
        <v>847</v>
      </c>
      <c r="F739" t="s">
        <v>187</v>
      </c>
      <c r="G739" t="s">
        <v>72</v>
      </c>
      <c r="H739" t="s">
        <v>54</v>
      </c>
      <c r="I739" t="s">
        <v>92</v>
      </c>
      <c r="J739" t="s">
        <v>92</v>
      </c>
      <c r="K739" t="s">
        <v>64</v>
      </c>
      <c r="L739" t="s">
        <v>65</v>
      </c>
      <c r="M739" t="s">
        <v>93</v>
      </c>
      <c r="N739">
        <v>25.55</v>
      </c>
      <c r="O739">
        <v>25.4545454545455</v>
      </c>
      <c r="P739">
        <v>133.357894736842</v>
      </c>
      <c r="Q739">
        <v>158.812440191388</v>
      </c>
      <c r="R739">
        <v>0</v>
      </c>
      <c r="S739">
        <v>158.812440191388</v>
      </c>
      <c r="T739">
        <v>120</v>
      </c>
      <c r="U739">
        <f>SUMIF(货件明细!J:J,E739,货件明细!AP:AP)</f>
        <v>0</v>
      </c>
      <c r="V739">
        <f>IF(U739=T739,0,1)</f>
        <v>1</v>
      </c>
      <c r="W739">
        <f>T739</f>
        <v>120</v>
      </c>
      <c r="X739">
        <f>SUMIF(货件明细!J:J,E739,货件明细!H:H)</f>
        <v>0</v>
      </c>
      <c r="Y739">
        <f>N739-X739</f>
        <v>25.55</v>
      </c>
      <c r="Z739">
        <f>SUMIF(货件明细!J:J,E739,货件明细!I:I)</f>
        <v>0</v>
      </c>
      <c r="AA739">
        <f>IF(S739=Z739,0,1)</f>
        <v>1</v>
      </c>
    </row>
    <row r="740" hidden="1" spans="1:27">
      <c r="A740">
        <v>1</v>
      </c>
      <c r="B740">
        <v>5</v>
      </c>
      <c r="C740" s="3">
        <v>46053</v>
      </c>
      <c r="D740" t="s">
        <v>27</v>
      </c>
      <c r="E740" t="s">
        <v>848</v>
      </c>
      <c r="F740" t="s">
        <v>715</v>
      </c>
      <c r="G740" t="s">
        <v>69</v>
      </c>
      <c r="H740" t="s">
        <v>54</v>
      </c>
      <c r="I740" t="s">
        <v>92</v>
      </c>
      <c r="J740" t="s">
        <v>92</v>
      </c>
      <c r="K740" t="s">
        <v>64</v>
      </c>
      <c r="L740" t="s">
        <v>65</v>
      </c>
      <c r="M740" t="s">
        <v>93</v>
      </c>
      <c r="N740">
        <v>25.55</v>
      </c>
      <c r="O740">
        <v>14</v>
      </c>
      <c r="P740">
        <v>197.671428571429</v>
      </c>
      <c r="Q740">
        <v>211.671428571429</v>
      </c>
      <c r="R740">
        <v>0</v>
      </c>
      <c r="S740">
        <v>211.671428571429</v>
      </c>
      <c r="T740">
        <v>120</v>
      </c>
      <c r="U740">
        <f>SUMIF(货件明细!J:J,E740,货件明细!AP:AP)</f>
        <v>0</v>
      </c>
      <c r="V740">
        <f>IF(U740=T740,0,1)</f>
        <v>1</v>
      </c>
      <c r="W740">
        <f>T740</f>
        <v>120</v>
      </c>
      <c r="X740">
        <f>SUMIF(货件明细!J:J,E740,货件明细!H:H)</f>
        <v>0</v>
      </c>
      <c r="Y740">
        <f>N740-X740</f>
        <v>25.55</v>
      </c>
      <c r="Z740">
        <f>SUMIF(货件明细!J:J,E740,货件明细!I:I)</f>
        <v>0</v>
      </c>
      <c r="AA740">
        <f>IF(S740=Z740,0,1)</f>
        <v>1</v>
      </c>
    </row>
    <row r="741" hidden="1" spans="1:27">
      <c r="A741">
        <v>1</v>
      </c>
      <c r="B741">
        <v>5</v>
      </c>
      <c r="C741" s="3">
        <v>46053</v>
      </c>
      <c r="D741" t="s">
        <v>27</v>
      </c>
      <c r="E741" t="s">
        <v>849</v>
      </c>
      <c r="F741" t="s">
        <v>195</v>
      </c>
      <c r="G741" t="s">
        <v>30</v>
      </c>
      <c r="H741" t="s">
        <v>54</v>
      </c>
      <c r="I741" t="s">
        <v>92</v>
      </c>
      <c r="J741" t="s">
        <v>92</v>
      </c>
      <c r="K741" t="s">
        <v>64</v>
      </c>
      <c r="L741" t="s">
        <v>65</v>
      </c>
      <c r="M741" t="s">
        <v>93</v>
      </c>
      <c r="N741">
        <v>17.25</v>
      </c>
      <c r="O741">
        <v>14</v>
      </c>
      <c r="P741">
        <v>108.621428571429</v>
      </c>
      <c r="Q741">
        <v>122.621428571429</v>
      </c>
      <c r="R741">
        <v>0</v>
      </c>
      <c r="S741">
        <v>122.621428571429</v>
      </c>
      <c r="T741">
        <v>81</v>
      </c>
      <c r="U741">
        <f>SUMIF(货件明细!J:J,E741,货件明细!AP:AP)</f>
        <v>0</v>
      </c>
      <c r="V741">
        <f>IF(U741=T741,0,1)</f>
        <v>1</v>
      </c>
      <c r="W741">
        <f>T741</f>
        <v>81</v>
      </c>
      <c r="X741">
        <f>SUMIF(货件明细!J:J,E741,货件明细!H:H)</f>
        <v>0</v>
      </c>
      <c r="Y741">
        <f>N741-X741</f>
        <v>17.25</v>
      </c>
      <c r="Z741">
        <f>SUMIF(货件明细!J:J,E741,货件明细!I:I)</f>
        <v>0</v>
      </c>
      <c r="AA741">
        <f>IF(S741=Z741,0,1)</f>
        <v>1</v>
      </c>
    </row>
    <row r="742" hidden="1" spans="1:27">
      <c r="A742">
        <v>1</v>
      </c>
      <c r="B742">
        <v>5</v>
      </c>
      <c r="C742" s="3">
        <v>46053</v>
      </c>
      <c r="D742" t="s">
        <v>27</v>
      </c>
      <c r="E742" t="s">
        <v>850</v>
      </c>
      <c r="F742" t="s">
        <v>62</v>
      </c>
      <c r="G742" t="s">
        <v>30</v>
      </c>
      <c r="H742" t="s">
        <v>54</v>
      </c>
      <c r="I742" t="s">
        <v>92</v>
      </c>
      <c r="J742" t="s">
        <v>92</v>
      </c>
      <c r="K742" t="s">
        <v>64</v>
      </c>
      <c r="L742" t="s">
        <v>65</v>
      </c>
      <c r="M742" t="s">
        <v>93</v>
      </c>
      <c r="N742">
        <v>17.25</v>
      </c>
      <c r="O742">
        <v>14</v>
      </c>
      <c r="P742">
        <v>103.619047619048</v>
      </c>
      <c r="Q742">
        <v>117.619047619048</v>
      </c>
      <c r="R742">
        <v>0</v>
      </c>
      <c r="S742">
        <v>117.619047619048</v>
      </c>
      <c r="T742">
        <v>81</v>
      </c>
      <c r="U742">
        <f>SUMIF(货件明细!J:J,E742,货件明细!AP:AP)</f>
        <v>0</v>
      </c>
      <c r="V742">
        <f>IF(U742=T742,0,1)</f>
        <v>1</v>
      </c>
      <c r="W742">
        <f>T742</f>
        <v>81</v>
      </c>
      <c r="X742">
        <f>SUMIF(货件明细!J:J,E742,货件明细!H:H)</f>
        <v>0</v>
      </c>
      <c r="Y742">
        <f>N742-X742</f>
        <v>17.25</v>
      </c>
      <c r="Z742">
        <f>SUMIF(货件明细!J:J,E742,货件明细!I:I)</f>
        <v>0</v>
      </c>
      <c r="AA742">
        <f>IF(S742=Z742,0,1)</f>
        <v>1</v>
      </c>
    </row>
    <row r="743" hidden="1" spans="1:27">
      <c r="A743">
        <v>1</v>
      </c>
      <c r="B743">
        <v>5</v>
      </c>
      <c r="C743" s="3">
        <v>46053</v>
      </c>
      <c r="D743" t="s">
        <v>27</v>
      </c>
      <c r="E743" t="s">
        <v>851</v>
      </c>
      <c r="F743" t="s">
        <v>548</v>
      </c>
      <c r="G743" t="s">
        <v>72</v>
      </c>
      <c r="H743" t="s">
        <v>54</v>
      </c>
      <c r="I743" t="s">
        <v>92</v>
      </c>
      <c r="J743" t="s">
        <v>92</v>
      </c>
      <c r="K743" t="s">
        <v>64</v>
      </c>
      <c r="L743" t="s">
        <v>65</v>
      </c>
      <c r="M743" t="s">
        <v>93</v>
      </c>
      <c r="N743">
        <v>17.25</v>
      </c>
      <c r="O743">
        <v>25.4545454545455</v>
      </c>
      <c r="P743">
        <v>67.5222222222222</v>
      </c>
      <c r="Q743">
        <v>92.9767676767677</v>
      </c>
      <c r="R743">
        <v>0</v>
      </c>
      <c r="S743">
        <v>92.9767676767677</v>
      </c>
      <c r="T743">
        <v>81</v>
      </c>
      <c r="U743">
        <f>SUMIF(货件明细!J:J,E743,货件明细!AP:AP)</f>
        <v>0</v>
      </c>
      <c r="V743">
        <f>IF(U743=T743,0,1)</f>
        <v>1</v>
      </c>
      <c r="W743">
        <f>T743</f>
        <v>81</v>
      </c>
      <c r="X743">
        <f>SUMIF(货件明细!J:J,E743,货件明细!H:H)</f>
        <v>0</v>
      </c>
      <c r="Y743">
        <f>N743-X743</f>
        <v>17.25</v>
      </c>
      <c r="Z743">
        <f>SUMIF(货件明细!J:J,E743,货件明细!I:I)</f>
        <v>0</v>
      </c>
      <c r="AA743">
        <f>IF(S743=Z743,0,1)</f>
        <v>1</v>
      </c>
    </row>
    <row r="744" hidden="1" spans="1:27">
      <c r="A744">
        <v>1</v>
      </c>
      <c r="B744">
        <v>5</v>
      </c>
      <c r="C744" s="3">
        <v>46053</v>
      </c>
      <c r="D744" t="s">
        <v>27</v>
      </c>
      <c r="E744" t="s">
        <v>852</v>
      </c>
      <c r="F744" t="s">
        <v>187</v>
      </c>
      <c r="G744" t="s">
        <v>72</v>
      </c>
      <c r="H744" t="s">
        <v>54</v>
      </c>
      <c r="I744" t="s">
        <v>92</v>
      </c>
      <c r="J744" t="s">
        <v>92</v>
      </c>
      <c r="K744" t="s">
        <v>64</v>
      </c>
      <c r="L744" t="s">
        <v>65</v>
      </c>
      <c r="M744" t="s">
        <v>93</v>
      </c>
      <c r="N744">
        <v>17.25</v>
      </c>
      <c r="O744">
        <v>25.4545454545455</v>
      </c>
      <c r="P744">
        <v>66.6789473684211</v>
      </c>
      <c r="Q744">
        <v>92.1334928229665</v>
      </c>
      <c r="R744">
        <v>0</v>
      </c>
      <c r="S744">
        <v>92.1334928229665</v>
      </c>
      <c r="T744">
        <v>81</v>
      </c>
      <c r="U744">
        <f>SUMIF(货件明细!J:J,E744,货件明细!AP:AP)</f>
        <v>0</v>
      </c>
      <c r="V744">
        <f>IF(U744=T744,0,1)</f>
        <v>1</v>
      </c>
      <c r="W744">
        <f>T744</f>
        <v>81</v>
      </c>
      <c r="X744">
        <f>SUMIF(货件明细!J:J,E744,货件明细!H:H)</f>
        <v>0</v>
      </c>
      <c r="Y744">
        <f>N744-X744</f>
        <v>17.25</v>
      </c>
      <c r="Z744">
        <f>SUMIF(货件明细!J:J,E744,货件明细!I:I)</f>
        <v>0</v>
      </c>
      <c r="AA744">
        <f>IF(S744=Z744,0,1)</f>
        <v>1</v>
      </c>
    </row>
    <row r="745" hidden="1" spans="1:27">
      <c r="A745">
        <v>1</v>
      </c>
      <c r="B745">
        <v>5</v>
      </c>
      <c r="C745" s="3">
        <v>46053</v>
      </c>
      <c r="D745" t="s">
        <v>27</v>
      </c>
      <c r="E745" t="s">
        <v>853</v>
      </c>
      <c r="F745" t="s">
        <v>715</v>
      </c>
      <c r="G745" t="s">
        <v>69</v>
      </c>
      <c r="H745" t="s">
        <v>54</v>
      </c>
      <c r="I745" t="s">
        <v>92</v>
      </c>
      <c r="J745" t="s">
        <v>92</v>
      </c>
      <c r="K745" t="s">
        <v>64</v>
      </c>
      <c r="L745" t="s">
        <v>65</v>
      </c>
      <c r="M745" t="s">
        <v>93</v>
      </c>
      <c r="N745">
        <v>17.25</v>
      </c>
      <c r="O745">
        <v>14</v>
      </c>
      <c r="P745">
        <v>98.8357142857143</v>
      </c>
      <c r="Q745">
        <v>112.835714285714</v>
      </c>
      <c r="R745">
        <v>0</v>
      </c>
      <c r="S745">
        <v>112.835714285714</v>
      </c>
      <c r="T745">
        <v>81</v>
      </c>
      <c r="U745">
        <f>SUMIF(货件明细!J:J,E745,货件明细!AP:AP)</f>
        <v>0</v>
      </c>
      <c r="V745">
        <f>IF(U745=T745,0,1)</f>
        <v>1</v>
      </c>
      <c r="W745">
        <f>T745</f>
        <v>81</v>
      </c>
      <c r="X745">
        <f>SUMIF(货件明细!J:J,E745,货件明细!H:H)</f>
        <v>0</v>
      </c>
      <c r="Y745">
        <f>N745-X745</f>
        <v>17.25</v>
      </c>
      <c r="Z745">
        <f>SUMIF(货件明细!J:J,E745,货件明细!I:I)</f>
        <v>0</v>
      </c>
      <c r="AA745">
        <f>IF(S745=Z745,0,1)</f>
        <v>1</v>
      </c>
    </row>
    <row r="746" hidden="1" spans="1:27">
      <c r="A746">
        <v>1</v>
      </c>
      <c r="B746">
        <v>5</v>
      </c>
      <c r="C746" s="3">
        <v>46053</v>
      </c>
      <c r="D746" t="s">
        <v>27</v>
      </c>
      <c r="E746" t="s">
        <v>854</v>
      </c>
      <c r="F746" t="s">
        <v>195</v>
      </c>
      <c r="G746" t="s">
        <v>30</v>
      </c>
      <c r="H746" t="s">
        <v>51</v>
      </c>
      <c r="I746" t="s">
        <v>92</v>
      </c>
      <c r="J746" t="s">
        <v>92</v>
      </c>
      <c r="K746" t="s">
        <v>64</v>
      </c>
      <c r="L746" t="s">
        <v>65</v>
      </c>
      <c r="M746" t="s">
        <v>93</v>
      </c>
      <c r="N746">
        <v>110.2</v>
      </c>
      <c r="O746">
        <v>15.5555555555556</v>
      </c>
      <c r="P746">
        <v>760.35</v>
      </c>
      <c r="Q746">
        <v>775.905555555556</v>
      </c>
      <c r="R746">
        <v>0</v>
      </c>
      <c r="S746">
        <v>775.905555555556</v>
      </c>
      <c r="T746">
        <v>418</v>
      </c>
      <c r="U746">
        <f>SUMIF(货件明细!J:J,E746,货件明细!AP:AP)</f>
        <v>0</v>
      </c>
      <c r="V746">
        <f>IF(U746=T746,0,1)</f>
        <v>1</v>
      </c>
      <c r="W746">
        <f>T746</f>
        <v>418</v>
      </c>
      <c r="X746">
        <f>SUMIF(货件明细!J:J,E746,货件明细!H:H)</f>
        <v>0</v>
      </c>
      <c r="Y746">
        <f>N746-X746</f>
        <v>110.2</v>
      </c>
      <c r="Z746">
        <f>SUMIF(货件明细!J:J,E746,货件明细!I:I)</f>
        <v>0</v>
      </c>
      <c r="AA746">
        <f>IF(S746=Z746,0,1)</f>
        <v>1</v>
      </c>
    </row>
    <row r="747" hidden="1" spans="1:27">
      <c r="A747">
        <v>1</v>
      </c>
      <c r="B747">
        <v>5</v>
      </c>
      <c r="C747" s="3">
        <v>46053</v>
      </c>
      <c r="D747" t="s">
        <v>27</v>
      </c>
      <c r="E747" t="s">
        <v>855</v>
      </c>
      <c r="F747" t="s">
        <v>62</v>
      </c>
      <c r="G747" t="s">
        <v>30</v>
      </c>
      <c r="H747" t="s">
        <v>51</v>
      </c>
      <c r="I747" t="s">
        <v>92</v>
      </c>
      <c r="J747" t="s">
        <v>92</v>
      </c>
      <c r="K747" t="s">
        <v>64</v>
      </c>
      <c r="L747" t="s">
        <v>65</v>
      </c>
      <c r="M747" t="s">
        <v>93</v>
      </c>
      <c r="N747">
        <v>110.2</v>
      </c>
      <c r="O747">
        <v>15.5555555555556</v>
      </c>
      <c r="P747">
        <v>725.333333333333</v>
      </c>
      <c r="Q747">
        <v>740.888888888889</v>
      </c>
      <c r="R747">
        <v>0</v>
      </c>
      <c r="S747">
        <v>740.888888888889</v>
      </c>
      <c r="T747">
        <v>418</v>
      </c>
      <c r="U747">
        <f>SUMIF(货件明细!J:J,E747,货件明细!AP:AP)</f>
        <v>0</v>
      </c>
      <c r="V747">
        <f>IF(U747=T747,0,1)</f>
        <v>1</v>
      </c>
      <c r="W747">
        <f>T747</f>
        <v>418</v>
      </c>
      <c r="X747">
        <f>SUMIF(货件明细!J:J,E747,货件明细!H:H)</f>
        <v>0</v>
      </c>
      <c r="Y747">
        <f>N747-X747</f>
        <v>110.2</v>
      </c>
      <c r="Z747">
        <f>SUMIF(货件明细!J:J,E747,货件明细!I:I)</f>
        <v>0</v>
      </c>
      <c r="AA747">
        <f>IF(S747=Z747,0,1)</f>
        <v>1</v>
      </c>
    </row>
    <row r="748" hidden="1" spans="1:27">
      <c r="A748">
        <v>1</v>
      </c>
      <c r="B748">
        <v>5</v>
      </c>
      <c r="C748" s="3">
        <v>46053</v>
      </c>
      <c r="D748" t="s">
        <v>27</v>
      </c>
      <c r="E748" t="s">
        <v>856</v>
      </c>
      <c r="F748" t="s">
        <v>548</v>
      </c>
      <c r="G748" t="s">
        <v>72</v>
      </c>
      <c r="H748" t="s">
        <v>51</v>
      </c>
      <c r="I748" t="s">
        <v>92</v>
      </c>
      <c r="J748" t="s">
        <v>92</v>
      </c>
      <c r="K748" t="s">
        <v>64</v>
      </c>
      <c r="L748" t="s">
        <v>65</v>
      </c>
      <c r="M748" t="s">
        <v>93</v>
      </c>
      <c r="N748">
        <v>110.2</v>
      </c>
      <c r="O748">
        <v>23.3333333333333</v>
      </c>
      <c r="P748">
        <v>472.655555555556</v>
      </c>
      <c r="Q748">
        <v>495.988888888889</v>
      </c>
      <c r="R748">
        <v>0</v>
      </c>
      <c r="S748">
        <v>495.988888888889</v>
      </c>
      <c r="T748">
        <v>418</v>
      </c>
      <c r="U748">
        <f>SUMIF(货件明细!J:J,E748,货件明细!AP:AP)</f>
        <v>0</v>
      </c>
      <c r="V748">
        <f>IF(U748=T748,0,1)</f>
        <v>1</v>
      </c>
      <c r="W748">
        <f>T748</f>
        <v>418</v>
      </c>
      <c r="X748">
        <f>SUMIF(货件明细!J:J,E748,货件明细!H:H)</f>
        <v>0</v>
      </c>
      <c r="Y748">
        <f>N748-X748</f>
        <v>110.2</v>
      </c>
      <c r="Z748">
        <f>SUMIF(货件明细!J:J,E748,货件明细!I:I)</f>
        <v>0</v>
      </c>
      <c r="AA748">
        <f>IF(S748=Z748,0,1)</f>
        <v>1</v>
      </c>
    </row>
    <row r="749" hidden="1" spans="1:27">
      <c r="A749">
        <v>1</v>
      </c>
      <c r="B749">
        <v>5</v>
      </c>
      <c r="C749" s="3">
        <v>46053</v>
      </c>
      <c r="D749" t="s">
        <v>27</v>
      </c>
      <c r="E749" t="s">
        <v>857</v>
      </c>
      <c r="F749" t="s">
        <v>187</v>
      </c>
      <c r="G749" t="s">
        <v>72</v>
      </c>
      <c r="H749" t="s">
        <v>51</v>
      </c>
      <c r="I749" t="s">
        <v>92</v>
      </c>
      <c r="J749" t="s">
        <v>92</v>
      </c>
      <c r="K749" t="s">
        <v>64</v>
      </c>
      <c r="L749" t="s">
        <v>65</v>
      </c>
      <c r="M749" t="s">
        <v>93</v>
      </c>
      <c r="N749">
        <v>110.2</v>
      </c>
      <c r="O749">
        <v>23.3333333333333</v>
      </c>
      <c r="P749">
        <v>466.752631578947</v>
      </c>
      <c r="Q749">
        <v>490.085964912281</v>
      </c>
      <c r="R749">
        <v>0</v>
      </c>
      <c r="S749">
        <v>490.085964912281</v>
      </c>
      <c r="T749">
        <v>418</v>
      </c>
      <c r="U749">
        <f>SUMIF(货件明细!J:J,E749,货件明细!AP:AP)</f>
        <v>0</v>
      </c>
      <c r="V749">
        <f>IF(U749=T749,0,1)</f>
        <v>1</v>
      </c>
      <c r="W749">
        <f>T749</f>
        <v>418</v>
      </c>
      <c r="X749">
        <f>SUMIF(货件明细!J:J,E749,货件明细!H:H)</f>
        <v>0</v>
      </c>
      <c r="Y749">
        <f>N749-X749</f>
        <v>110.2</v>
      </c>
      <c r="Z749">
        <f>SUMIF(货件明细!J:J,E749,货件明细!I:I)</f>
        <v>0</v>
      </c>
      <c r="AA749">
        <f>IF(S749=Z749,0,1)</f>
        <v>1</v>
      </c>
    </row>
    <row r="750" hidden="1" spans="1:27">
      <c r="A750">
        <v>1</v>
      </c>
      <c r="B750">
        <v>5</v>
      </c>
      <c r="C750" s="3">
        <v>46053</v>
      </c>
      <c r="D750" t="s">
        <v>27</v>
      </c>
      <c r="E750" t="s">
        <v>858</v>
      </c>
      <c r="F750" t="s">
        <v>715</v>
      </c>
      <c r="G750" t="s">
        <v>69</v>
      </c>
      <c r="H750" t="s">
        <v>51</v>
      </c>
      <c r="I750" t="s">
        <v>92</v>
      </c>
      <c r="J750" t="s">
        <v>92</v>
      </c>
      <c r="K750" t="s">
        <v>64</v>
      </c>
      <c r="L750" t="s">
        <v>65</v>
      </c>
      <c r="M750" t="s">
        <v>93</v>
      </c>
      <c r="N750">
        <v>110.2</v>
      </c>
      <c r="O750">
        <v>15.5555555555556</v>
      </c>
      <c r="P750">
        <v>691.85</v>
      </c>
      <c r="Q750">
        <v>707.405555555556</v>
      </c>
      <c r="R750">
        <v>0</v>
      </c>
      <c r="S750">
        <v>707.405555555556</v>
      </c>
      <c r="T750">
        <v>418</v>
      </c>
      <c r="U750">
        <f>SUMIF(货件明细!J:J,E750,货件明细!AP:AP)</f>
        <v>0</v>
      </c>
      <c r="V750">
        <f>IF(U750=T750,0,1)</f>
        <v>1</v>
      </c>
      <c r="W750">
        <f>T750</f>
        <v>418</v>
      </c>
      <c r="X750">
        <f>SUMIF(货件明细!J:J,E750,货件明细!H:H)</f>
        <v>0</v>
      </c>
      <c r="Y750">
        <f>N750-X750</f>
        <v>110.2</v>
      </c>
      <c r="Z750">
        <f>SUMIF(货件明细!J:J,E750,货件明细!I:I)</f>
        <v>0</v>
      </c>
      <c r="AA750">
        <f>IF(S750=Z750,0,1)</f>
        <v>1</v>
      </c>
    </row>
    <row r="751" hidden="1" spans="1:27">
      <c r="A751">
        <v>1</v>
      </c>
      <c r="B751">
        <v>5</v>
      </c>
      <c r="C751" s="3">
        <v>46053</v>
      </c>
      <c r="D751" t="s">
        <v>27</v>
      </c>
      <c r="E751" t="s">
        <v>859</v>
      </c>
      <c r="F751" t="s">
        <v>195</v>
      </c>
      <c r="G751" t="s">
        <v>30</v>
      </c>
      <c r="H751" t="s">
        <v>56</v>
      </c>
      <c r="I751" t="s">
        <v>92</v>
      </c>
      <c r="J751" t="s">
        <v>92</v>
      </c>
      <c r="K751" t="s">
        <v>64</v>
      </c>
      <c r="L751" t="s">
        <v>65</v>
      </c>
      <c r="M751" t="s">
        <v>93</v>
      </c>
      <c r="N751">
        <v>9.95</v>
      </c>
      <c r="O751">
        <v>15.5555555555556</v>
      </c>
      <c r="P751">
        <v>85.75</v>
      </c>
      <c r="Q751">
        <v>101.305555555556</v>
      </c>
      <c r="R751">
        <v>0</v>
      </c>
      <c r="S751">
        <v>101.305555555556</v>
      </c>
      <c r="T751">
        <v>47</v>
      </c>
      <c r="U751">
        <f>SUMIF(货件明细!J:J,E751,货件明细!AP:AP)</f>
        <v>0</v>
      </c>
      <c r="V751">
        <f>IF(U751=T751,0,1)</f>
        <v>1</v>
      </c>
      <c r="W751">
        <f>T751</f>
        <v>47</v>
      </c>
      <c r="X751">
        <f>SUMIF(货件明细!J:J,E751,货件明细!H:H)</f>
        <v>0</v>
      </c>
      <c r="Y751">
        <f>N751-X751</f>
        <v>9.95</v>
      </c>
      <c r="Z751">
        <f>SUMIF(货件明细!J:J,E751,货件明细!I:I)</f>
        <v>0</v>
      </c>
      <c r="AA751">
        <f>IF(S751=Z751,0,1)</f>
        <v>1</v>
      </c>
    </row>
    <row r="752" hidden="1" spans="1:27">
      <c r="A752">
        <v>1</v>
      </c>
      <c r="B752">
        <v>5</v>
      </c>
      <c r="C752" s="3">
        <v>46053</v>
      </c>
      <c r="D752" t="s">
        <v>27</v>
      </c>
      <c r="E752" t="s">
        <v>860</v>
      </c>
      <c r="F752" t="s">
        <v>62</v>
      </c>
      <c r="G752" t="s">
        <v>30</v>
      </c>
      <c r="H752" t="s">
        <v>56</v>
      </c>
      <c r="I752" t="s">
        <v>92</v>
      </c>
      <c r="J752" t="s">
        <v>92</v>
      </c>
      <c r="K752" t="s">
        <v>64</v>
      </c>
      <c r="L752" t="s">
        <v>65</v>
      </c>
      <c r="M752" t="s">
        <v>93</v>
      </c>
      <c r="N752">
        <v>9.95</v>
      </c>
      <c r="O752">
        <v>15.5555555555556</v>
      </c>
      <c r="P752">
        <v>79.75</v>
      </c>
      <c r="Q752">
        <v>95.3055555555556</v>
      </c>
      <c r="R752">
        <v>0</v>
      </c>
      <c r="S752">
        <v>95.3055555555556</v>
      </c>
      <c r="T752">
        <v>47</v>
      </c>
      <c r="U752">
        <f>SUMIF(货件明细!J:J,E752,货件明细!AP:AP)</f>
        <v>0</v>
      </c>
      <c r="V752">
        <f>IF(U752=T752,0,1)</f>
        <v>1</v>
      </c>
      <c r="W752">
        <f>T752</f>
        <v>47</v>
      </c>
      <c r="X752">
        <f>SUMIF(货件明细!J:J,E752,货件明细!H:H)</f>
        <v>0</v>
      </c>
      <c r="Y752">
        <f>N752-X752</f>
        <v>9.95</v>
      </c>
      <c r="Z752">
        <f>SUMIF(货件明细!J:J,E752,货件明细!I:I)</f>
        <v>0</v>
      </c>
      <c r="AA752">
        <f>IF(S752=Z752,0,1)</f>
        <v>1</v>
      </c>
    </row>
    <row r="753" hidden="1" spans="1:27">
      <c r="A753">
        <v>1</v>
      </c>
      <c r="B753">
        <v>5</v>
      </c>
      <c r="C753" s="3">
        <v>46053</v>
      </c>
      <c r="D753" t="s">
        <v>27</v>
      </c>
      <c r="E753" t="s">
        <v>861</v>
      </c>
      <c r="F753" t="s">
        <v>548</v>
      </c>
      <c r="G753" t="s">
        <v>72</v>
      </c>
      <c r="H753" t="s">
        <v>56</v>
      </c>
      <c r="I753" t="s">
        <v>92</v>
      </c>
      <c r="J753" t="s">
        <v>92</v>
      </c>
      <c r="K753" t="s">
        <v>64</v>
      </c>
      <c r="L753" t="s">
        <v>65</v>
      </c>
      <c r="M753" t="s">
        <v>93</v>
      </c>
      <c r="N753">
        <v>9.95</v>
      </c>
      <c r="O753">
        <v>14.7368421052632</v>
      </c>
      <c r="P753">
        <v>58.3666666666667</v>
      </c>
      <c r="Q753">
        <v>73.1035087719298</v>
      </c>
      <c r="R753">
        <v>0</v>
      </c>
      <c r="S753">
        <v>73.1035087719298</v>
      </c>
      <c r="T753">
        <v>47</v>
      </c>
      <c r="U753">
        <f>SUMIF(货件明细!J:J,E753,货件明细!AP:AP)</f>
        <v>0</v>
      </c>
      <c r="V753">
        <f>IF(U753=T753,0,1)</f>
        <v>1</v>
      </c>
      <c r="W753">
        <f>T753</f>
        <v>47</v>
      </c>
      <c r="X753">
        <f>SUMIF(货件明细!J:J,E753,货件明细!H:H)</f>
        <v>0</v>
      </c>
      <c r="Y753">
        <f>N753-X753</f>
        <v>9.95</v>
      </c>
      <c r="Z753">
        <f>SUMIF(货件明细!J:J,E753,货件明细!I:I)</f>
        <v>0</v>
      </c>
      <c r="AA753">
        <f>IF(S753=Z753,0,1)</f>
        <v>1</v>
      </c>
    </row>
    <row r="754" hidden="1" spans="1:27">
      <c r="A754">
        <v>1</v>
      </c>
      <c r="B754">
        <v>5</v>
      </c>
      <c r="C754" s="3">
        <v>46053</v>
      </c>
      <c r="D754" t="s">
        <v>27</v>
      </c>
      <c r="E754" t="s">
        <v>862</v>
      </c>
      <c r="F754" t="s">
        <v>187</v>
      </c>
      <c r="G754" t="s">
        <v>72</v>
      </c>
      <c r="H754" t="s">
        <v>56</v>
      </c>
      <c r="I754" t="s">
        <v>92</v>
      </c>
      <c r="J754" t="s">
        <v>92</v>
      </c>
      <c r="K754" t="s">
        <v>64</v>
      </c>
      <c r="L754" t="s">
        <v>65</v>
      </c>
      <c r="M754" t="s">
        <v>93</v>
      </c>
      <c r="N754">
        <v>9.95</v>
      </c>
      <c r="O754">
        <v>14.7368421052632</v>
      </c>
      <c r="P754">
        <v>51.5</v>
      </c>
      <c r="Q754">
        <v>66.2368421052632</v>
      </c>
      <c r="R754">
        <v>0</v>
      </c>
      <c r="S754">
        <v>66.2368421052632</v>
      </c>
      <c r="T754">
        <v>47</v>
      </c>
      <c r="U754">
        <f>SUMIF(货件明细!J:J,E754,货件明细!AP:AP)</f>
        <v>0</v>
      </c>
      <c r="V754">
        <f>IF(U754=T754,0,1)</f>
        <v>1</v>
      </c>
      <c r="W754">
        <f>T754</f>
        <v>47</v>
      </c>
      <c r="X754">
        <f>SUMIF(货件明细!J:J,E754,货件明细!H:H)</f>
        <v>0</v>
      </c>
      <c r="Y754">
        <f>N754-X754</f>
        <v>9.95</v>
      </c>
      <c r="Z754">
        <f>SUMIF(货件明细!J:J,E754,货件明细!I:I)</f>
        <v>0</v>
      </c>
      <c r="AA754">
        <f>IF(S754=Z754,0,1)</f>
        <v>1</v>
      </c>
    </row>
    <row r="755" hidden="1" spans="1:27">
      <c r="A755">
        <v>1</v>
      </c>
      <c r="B755">
        <v>5</v>
      </c>
      <c r="C755" s="3">
        <v>46053</v>
      </c>
      <c r="D755" t="s">
        <v>27</v>
      </c>
      <c r="E755" t="s">
        <v>863</v>
      </c>
      <c r="F755" t="s">
        <v>715</v>
      </c>
      <c r="G755" t="s">
        <v>69</v>
      </c>
      <c r="H755" t="s">
        <v>56</v>
      </c>
      <c r="I755" t="s">
        <v>92</v>
      </c>
      <c r="J755" t="s">
        <v>92</v>
      </c>
      <c r="K755" t="s">
        <v>64</v>
      </c>
      <c r="L755" t="s">
        <v>65</v>
      </c>
      <c r="M755" t="s">
        <v>93</v>
      </c>
      <c r="N755">
        <v>9.95</v>
      </c>
      <c r="O755">
        <v>15.5555555555556</v>
      </c>
      <c r="P755">
        <v>78.25</v>
      </c>
      <c r="Q755">
        <v>93.8055555555556</v>
      </c>
      <c r="R755">
        <v>0</v>
      </c>
      <c r="S755">
        <v>93.8055555555556</v>
      </c>
      <c r="T755">
        <v>47</v>
      </c>
      <c r="U755">
        <f>SUMIF(货件明细!J:J,E755,货件明细!AP:AP)</f>
        <v>0</v>
      </c>
      <c r="V755">
        <f>IF(U755=T755,0,1)</f>
        <v>1</v>
      </c>
      <c r="W755">
        <f>T755</f>
        <v>47</v>
      </c>
      <c r="X755">
        <f>SUMIF(货件明细!J:J,E755,货件明细!H:H)</f>
        <v>0</v>
      </c>
      <c r="Y755">
        <f>N755-X755</f>
        <v>9.95</v>
      </c>
      <c r="Z755">
        <f>SUMIF(货件明细!J:J,E755,货件明细!I:I)</f>
        <v>0</v>
      </c>
      <c r="AA755">
        <f>IF(S755=Z755,0,1)</f>
        <v>1</v>
      </c>
    </row>
    <row r="756" hidden="1" spans="1:27">
      <c r="A756">
        <v>1</v>
      </c>
      <c r="B756">
        <v>5</v>
      </c>
      <c r="C756" s="3">
        <v>46053</v>
      </c>
      <c r="D756" t="s">
        <v>27</v>
      </c>
      <c r="E756" t="s">
        <v>864</v>
      </c>
      <c r="F756" t="s">
        <v>185</v>
      </c>
      <c r="G756" t="s">
        <v>30</v>
      </c>
      <c r="H756" t="s">
        <v>59</v>
      </c>
      <c r="I756" t="s">
        <v>92</v>
      </c>
      <c r="J756" t="s">
        <v>92</v>
      </c>
      <c r="K756" t="s">
        <v>64</v>
      </c>
      <c r="L756" t="s">
        <v>65</v>
      </c>
      <c r="M756" t="s">
        <v>188</v>
      </c>
      <c r="N756">
        <v>12.35</v>
      </c>
      <c r="O756">
        <v>14</v>
      </c>
      <c r="P756">
        <v>121.29</v>
      </c>
      <c r="Q756">
        <v>135.29</v>
      </c>
      <c r="R756">
        <v>0</v>
      </c>
      <c r="S756">
        <v>135.29</v>
      </c>
      <c r="T756">
        <v>95</v>
      </c>
      <c r="U756">
        <f>SUMIF(货件明细!J:J,E756,货件明细!AP:AP)</f>
        <v>0</v>
      </c>
      <c r="V756">
        <f>IF(U756=T756,0,1)</f>
        <v>1</v>
      </c>
      <c r="W756">
        <f>T756</f>
        <v>95</v>
      </c>
      <c r="X756">
        <f>SUMIF(货件明细!J:J,E756,货件明细!H:H)</f>
        <v>0</v>
      </c>
      <c r="Y756">
        <f>N756-X756</f>
        <v>12.35</v>
      </c>
      <c r="Z756">
        <f>SUMIF(货件明细!J:J,E756,货件明细!I:I)</f>
        <v>0</v>
      </c>
      <c r="AA756">
        <f>IF(S756=Z756,0,1)</f>
        <v>1</v>
      </c>
    </row>
    <row r="757" hidden="1" spans="1:27">
      <c r="A757">
        <v>1</v>
      </c>
      <c r="B757">
        <v>5</v>
      </c>
      <c r="C757" s="3">
        <v>46053</v>
      </c>
      <c r="D757" t="s">
        <v>27</v>
      </c>
      <c r="E757" t="s">
        <v>865</v>
      </c>
      <c r="F757" t="s">
        <v>68</v>
      </c>
      <c r="G757" t="s">
        <v>69</v>
      </c>
      <c r="H757" t="s">
        <v>59</v>
      </c>
      <c r="I757" t="s">
        <v>92</v>
      </c>
      <c r="J757" t="s">
        <v>92</v>
      </c>
      <c r="K757" t="s">
        <v>64</v>
      </c>
      <c r="L757" t="s">
        <v>65</v>
      </c>
      <c r="M757" t="s">
        <v>188</v>
      </c>
      <c r="N757">
        <v>12.35</v>
      </c>
      <c r="O757">
        <v>14</v>
      </c>
      <c r="P757">
        <v>105.04</v>
      </c>
      <c r="Q757">
        <v>119.04</v>
      </c>
      <c r="R757">
        <v>0</v>
      </c>
      <c r="S757">
        <v>119.04</v>
      </c>
      <c r="T757">
        <v>95</v>
      </c>
      <c r="U757">
        <f>SUMIF(货件明细!J:J,E757,货件明细!AP:AP)</f>
        <v>0</v>
      </c>
      <c r="V757">
        <f>IF(U757=T757,0,1)</f>
        <v>1</v>
      </c>
      <c r="W757">
        <f>T757</f>
        <v>95</v>
      </c>
      <c r="X757">
        <f>SUMIF(货件明细!J:J,E757,货件明细!H:H)</f>
        <v>0</v>
      </c>
      <c r="Y757">
        <f>N757-X757</f>
        <v>12.35</v>
      </c>
      <c r="Z757">
        <f>SUMIF(货件明细!J:J,E757,货件明细!I:I)</f>
        <v>0</v>
      </c>
      <c r="AA757">
        <f>IF(S757=Z757,0,1)</f>
        <v>1</v>
      </c>
    </row>
    <row r="758" hidden="1" spans="1:27">
      <c r="A758">
        <v>1</v>
      </c>
      <c r="B758">
        <v>5</v>
      </c>
      <c r="C758" s="3">
        <v>46053</v>
      </c>
      <c r="D758" t="s">
        <v>27</v>
      </c>
      <c r="E758" t="s">
        <v>866</v>
      </c>
      <c r="F758" t="s">
        <v>71</v>
      </c>
      <c r="G758" t="s">
        <v>72</v>
      </c>
      <c r="H758" t="s">
        <v>59</v>
      </c>
      <c r="I758" t="s">
        <v>92</v>
      </c>
      <c r="J758" t="s">
        <v>92</v>
      </c>
      <c r="K758" t="s">
        <v>64</v>
      </c>
      <c r="L758" t="s">
        <v>65</v>
      </c>
      <c r="M758" t="s">
        <v>188</v>
      </c>
      <c r="N758">
        <v>12.35</v>
      </c>
      <c r="O758">
        <v>25.4545454545455</v>
      </c>
      <c r="P758">
        <v>71.11</v>
      </c>
      <c r="Q758">
        <v>96.5645454545455</v>
      </c>
      <c r="R758">
        <v>0</v>
      </c>
      <c r="S758">
        <v>96.5645454545455</v>
      </c>
      <c r="T758">
        <v>95</v>
      </c>
      <c r="U758">
        <f>SUMIF(货件明细!J:J,E758,货件明细!AP:AP)</f>
        <v>0</v>
      </c>
      <c r="V758">
        <f>IF(U758=T758,0,1)</f>
        <v>1</v>
      </c>
      <c r="W758">
        <f>T758</f>
        <v>95</v>
      </c>
      <c r="X758">
        <f>SUMIF(货件明细!J:J,E758,货件明细!H:H)</f>
        <v>0</v>
      </c>
      <c r="Y758">
        <f>N758-X758</f>
        <v>12.35</v>
      </c>
      <c r="Z758">
        <f>SUMIF(货件明细!J:J,E758,货件明细!I:I)</f>
        <v>0</v>
      </c>
      <c r="AA758">
        <f>IF(S758=Z758,0,1)</f>
        <v>1</v>
      </c>
    </row>
    <row r="759" hidden="1" spans="1:27">
      <c r="A759">
        <v>1</v>
      </c>
      <c r="B759">
        <v>5</v>
      </c>
      <c r="C759" s="3">
        <v>46053</v>
      </c>
      <c r="D759" t="s">
        <v>27</v>
      </c>
      <c r="E759" t="s">
        <v>867</v>
      </c>
      <c r="F759" t="s">
        <v>187</v>
      </c>
      <c r="G759" t="s">
        <v>72</v>
      </c>
      <c r="H759" t="s">
        <v>59</v>
      </c>
      <c r="I759" t="s">
        <v>92</v>
      </c>
      <c r="J759" t="s">
        <v>92</v>
      </c>
      <c r="K759" t="s">
        <v>64</v>
      </c>
      <c r="L759" t="s">
        <v>65</v>
      </c>
      <c r="M759" t="s">
        <v>93</v>
      </c>
      <c r="N759">
        <v>12.35</v>
      </c>
      <c r="O759">
        <v>25.4545454545455</v>
      </c>
      <c r="P759">
        <v>66.6789473684211</v>
      </c>
      <c r="Q759">
        <v>92.1334928229665</v>
      </c>
      <c r="R759">
        <v>0</v>
      </c>
      <c r="S759">
        <v>92.1334928229665</v>
      </c>
      <c r="T759">
        <v>95</v>
      </c>
      <c r="U759">
        <f>SUMIF(货件明细!J:J,E759,货件明细!AP:AP)</f>
        <v>0</v>
      </c>
      <c r="V759">
        <f>IF(U759=T759,0,1)</f>
        <v>1</v>
      </c>
      <c r="W759">
        <f>T759</f>
        <v>95</v>
      </c>
      <c r="X759">
        <f>SUMIF(货件明细!J:J,E759,货件明细!H:H)</f>
        <v>0</v>
      </c>
      <c r="Y759">
        <f>N759-X759</f>
        <v>12.35</v>
      </c>
      <c r="Z759">
        <f>SUMIF(货件明细!J:J,E759,货件明细!I:I)</f>
        <v>0</v>
      </c>
      <c r="AA759">
        <f>IF(S759=Z759,0,1)</f>
        <v>1</v>
      </c>
    </row>
    <row r="760" hidden="1" spans="1:27">
      <c r="A760">
        <v>1</v>
      </c>
      <c r="B760">
        <v>5</v>
      </c>
      <c r="C760" s="3">
        <v>46053</v>
      </c>
      <c r="D760" t="s">
        <v>27</v>
      </c>
      <c r="E760" t="s">
        <v>868</v>
      </c>
      <c r="F760" t="s">
        <v>200</v>
      </c>
      <c r="G760" t="s">
        <v>30</v>
      </c>
      <c r="H760" t="s">
        <v>59</v>
      </c>
      <c r="I760" t="s">
        <v>92</v>
      </c>
      <c r="J760" t="s">
        <v>92</v>
      </c>
      <c r="K760" t="s">
        <v>64</v>
      </c>
      <c r="L760" t="s">
        <v>65</v>
      </c>
      <c r="M760" t="s">
        <v>188</v>
      </c>
      <c r="N760">
        <v>12.35</v>
      </c>
      <c r="O760">
        <v>14</v>
      </c>
      <c r="P760">
        <v>132.21</v>
      </c>
      <c r="Q760">
        <v>146.21</v>
      </c>
      <c r="R760">
        <v>0</v>
      </c>
      <c r="S760">
        <v>146.21</v>
      </c>
      <c r="T760">
        <v>95</v>
      </c>
      <c r="U760">
        <f>SUMIF(货件明细!J:J,E760,货件明细!AP:AP)</f>
        <v>0</v>
      </c>
      <c r="V760">
        <f>IF(U760=T760,0,1)</f>
        <v>1</v>
      </c>
      <c r="W760">
        <f>T760</f>
        <v>95</v>
      </c>
      <c r="X760">
        <f>SUMIF(货件明细!J:J,E760,货件明细!H:H)</f>
        <v>0</v>
      </c>
      <c r="Y760">
        <f>N760-X760</f>
        <v>12.35</v>
      </c>
      <c r="Z760">
        <f>SUMIF(货件明细!J:J,E760,货件明细!I:I)</f>
        <v>0</v>
      </c>
      <c r="AA760">
        <f>IF(S760=Z760,0,1)</f>
        <v>1</v>
      </c>
    </row>
    <row r="761" hidden="1" spans="1:27">
      <c r="A761">
        <v>1</v>
      </c>
      <c r="B761">
        <v>5</v>
      </c>
      <c r="C761" s="3">
        <v>46053</v>
      </c>
      <c r="D761" t="s">
        <v>27</v>
      </c>
      <c r="E761" t="s">
        <v>869</v>
      </c>
      <c r="F761" t="s">
        <v>195</v>
      </c>
      <c r="G761" t="s">
        <v>30</v>
      </c>
      <c r="H761" t="s">
        <v>37</v>
      </c>
      <c r="I761" t="s">
        <v>92</v>
      </c>
      <c r="J761" t="s">
        <v>92</v>
      </c>
      <c r="K761" t="s">
        <v>64</v>
      </c>
      <c r="L761" t="s">
        <v>65</v>
      </c>
      <c r="M761" t="s">
        <v>93</v>
      </c>
      <c r="N761">
        <v>61.2</v>
      </c>
      <c r="O761">
        <v>14</v>
      </c>
      <c r="P761">
        <v>325.864285714286</v>
      </c>
      <c r="Q761">
        <v>339.864285714286</v>
      </c>
      <c r="R761">
        <v>0</v>
      </c>
      <c r="S761">
        <v>339.864285714286</v>
      </c>
      <c r="T761">
        <v>534</v>
      </c>
      <c r="U761">
        <f>SUMIF(货件明细!J:J,E761,货件明细!AP:AP)</f>
        <v>0</v>
      </c>
      <c r="V761">
        <f>IF(U761=T761,0,1)</f>
        <v>1</v>
      </c>
      <c r="W761">
        <f>T761</f>
        <v>534</v>
      </c>
      <c r="X761">
        <f>SUMIF(货件明细!J:J,E761,货件明细!H:H)</f>
        <v>0</v>
      </c>
      <c r="Y761">
        <f>N761-X761</f>
        <v>61.2</v>
      </c>
      <c r="Z761">
        <f>SUMIF(货件明细!J:J,E761,货件明细!I:I)</f>
        <v>0</v>
      </c>
      <c r="AA761">
        <f>IF(S761=Z761,0,1)</f>
        <v>1</v>
      </c>
    </row>
    <row r="762" hidden="1" spans="1:27">
      <c r="A762">
        <v>1</v>
      </c>
      <c r="B762">
        <v>5</v>
      </c>
      <c r="C762" s="3">
        <v>46053</v>
      </c>
      <c r="D762" t="s">
        <v>27</v>
      </c>
      <c r="E762" t="s">
        <v>870</v>
      </c>
      <c r="F762" t="s">
        <v>62</v>
      </c>
      <c r="G762" t="s">
        <v>30</v>
      </c>
      <c r="H762" t="s">
        <v>37</v>
      </c>
      <c r="I762" t="s">
        <v>92</v>
      </c>
      <c r="J762" t="s">
        <v>92</v>
      </c>
      <c r="K762" t="s">
        <v>64</v>
      </c>
      <c r="L762" t="s">
        <v>65</v>
      </c>
      <c r="M762" t="s">
        <v>93</v>
      </c>
      <c r="N762">
        <v>61.2</v>
      </c>
      <c r="O762">
        <v>14</v>
      </c>
      <c r="P762">
        <v>310.857142857143</v>
      </c>
      <c r="Q762">
        <v>324.857142857143</v>
      </c>
      <c r="R762">
        <v>0</v>
      </c>
      <c r="S762">
        <v>324.857142857143</v>
      </c>
      <c r="T762">
        <v>534</v>
      </c>
      <c r="U762">
        <f>SUMIF(货件明细!J:J,E762,货件明细!AP:AP)</f>
        <v>0</v>
      </c>
      <c r="V762">
        <f>IF(U762=T762,0,1)</f>
        <v>1</v>
      </c>
      <c r="W762">
        <f>T762</f>
        <v>534</v>
      </c>
      <c r="X762">
        <f>SUMIF(货件明细!J:J,E762,货件明细!H:H)</f>
        <v>0</v>
      </c>
      <c r="Y762">
        <f>N762-X762</f>
        <v>61.2</v>
      </c>
      <c r="Z762">
        <f>SUMIF(货件明细!J:J,E762,货件明细!I:I)</f>
        <v>0</v>
      </c>
      <c r="AA762">
        <f>IF(S762=Z762,0,1)</f>
        <v>1</v>
      </c>
    </row>
    <row r="763" hidden="1" spans="1:27">
      <c r="A763">
        <v>1</v>
      </c>
      <c r="B763">
        <v>5</v>
      </c>
      <c r="C763" s="3">
        <v>46053</v>
      </c>
      <c r="D763" t="s">
        <v>27</v>
      </c>
      <c r="E763" t="s">
        <v>871</v>
      </c>
      <c r="F763" t="s">
        <v>548</v>
      </c>
      <c r="G763" t="s">
        <v>72</v>
      </c>
      <c r="H763" t="s">
        <v>37</v>
      </c>
      <c r="I763" t="s">
        <v>92</v>
      </c>
      <c r="J763" t="s">
        <v>92</v>
      </c>
      <c r="K763" t="s">
        <v>64</v>
      </c>
      <c r="L763" t="s">
        <v>65</v>
      </c>
      <c r="M763" t="s">
        <v>93</v>
      </c>
      <c r="N763">
        <v>61.2</v>
      </c>
      <c r="O763">
        <v>25.4545454545455</v>
      </c>
      <c r="P763">
        <v>202.566666666667</v>
      </c>
      <c r="Q763">
        <v>228.021212121212</v>
      </c>
      <c r="R763">
        <v>0</v>
      </c>
      <c r="S763">
        <v>228.021212121212</v>
      </c>
      <c r="T763">
        <v>534</v>
      </c>
      <c r="U763">
        <f>SUMIF(货件明细!J:J,E763,货件明细!AP:AP)</f>
        <v>0</v>
      </c>
      <c r="V763">
        <f>IF(U763=T763,0,1)</f>
        <v>1</v>
      </c>
      <c r="W763">
        <f>T763</f>
        <v>534</v>
      </c>
      <c r="X763">
        <f>SUMIF(货件明细!J:J,E763,货件明细!H:H)</f>
        <v>0</v>
      </c>
      <c r="Y763">
        <f>N763-X763</f>
        <v>61.2</v>
      </c>
      <c r="Z763">
        <f>SUMIF(货件明细!J:J,E763,货件明细!I:I)</f>
        <v>0</v>
      </c>
      <c r="AA763">
        <f>IF(S763=Z763,0,1)</f>
        <v>1</v>
      </c>
    </row>
    <row r="764" hidden="1" spans="1:27">
      <c r="A764">
        <v>1</v>
      </c>
      <c r="B764">
        <v>5</v>
      </c>
      <c r="C764" s="3">
        <v>46053</v>
      </c>
      <c r="D764" t="s">
        <v>27</v>
      </c>
      <c r="E764" t="s">
        <v>872</v>
      </c>
      <c r="F764" t="s">
        <v>187</v>
      </c>
      <c r="G764" t="s">
        <v>72</v>
      </c>
      <c r="H764" t="s">
        <v>37</v>
      </c>
      <c r="I764" t="s">
        <v>92</v>
      </c>
      <c r="J764" t="s">
        <v>92</v>
      </c>
      <c r="K764" t="s">
        <v>64</v>
      </c>
      <c r="L764" t="s">
        <v>65</v>
      </c>
      <c r="M764" t="s">
        <v>93</v>
      </c>
      <c r="N764">
        <v>61.2</v>
      </c>
      <c r="O764">
        <v>25.4545454545455</v>
      </c>
      <c r="P764">
        <v>200.036842105263</v>
      </c>
      <c r="Q764">
        <v>225.491387559809</v>
      </c>
      <c r="R764">
        <v>0</v>
      </c>
      <c r="S764">
        <v>225.491387559809</v>
      </c>
      <c r="T764">
        <v>534</v>
      </c>
      <c r="U764">
        <f>SUMIF(货件明细!J:J,E764,货件明细!AP:AP)</f>
        <v>0</v>
      </c>
      <c r="V764">
        <f>IF(U764=T764,0,1)</f>
        <v>1</v>
      </c>
      <c r="W764">
        <f>T764</f>
        <v>534</v>
      </c>
      <c r="X764">
        <f>SUMIF(货件明细!J:J,E764,货件明细!H:H)</f>
        <v>0</v>
      </c>
      <c r="Y764">
        <f>N764-X764</f>
        <v>61.2</v>
      </c>
      <c r="Z764">
        <f>SUMIF(货件明细!J:J,E764,货件明细!I:I)</f>
        <v>0</v>
      </c>
      <c r="AA764">
        <f>IF(S764=Z764,0,1)</f>
        <v>1</v>
      </c>
    </row>
    <row r="765" hidden="1" spans="1:27">
      <c r="A765">
        <v>1</v>
      </c>
      <c r="B765">
        <v>5</v>
      </c>
      <c r="C765" s="3">
        <v>46053</v>
      </c>
      <c r="D765" t="s">
        <v>27</v>
      </c>
      <c r="E765" t="s">
        <v>873</v>
      </c>
      <c r="F765" t="s">
        <v>715</v>
      </c>
      <c r="G765" t="s">
        <v>69</v>
      </c>
      <c r="H765" t="s">
        <v>37</v>
      </c>
      <c r="I765" t="s">
        <v>92</v>
      </c>
      <c r="J765" t="s">
        <v>92</v>
      </c>
      <c r="K765" t="s">
        <v>64</v>
      </c>
      <c r="L765" t="s">
        <v>65</v>
      </c>
      <c r="M765" t="s">
        <v>93</v>
      </c>
      <c r="N765">
        <v>61.2</v>
      </c>
      <c r="O765">
        <v>14</v>
      </c>
      <c r="P765">
        <v>296.507142857143</v>
      </c>
      <c r="Q765">
        <v>310.507142857143</v>
      </c>
      <c r="R765">
        <v>0</v>
      </c>
      <c r="S765">
        <v>310.507142857143</v>
      </c>
      <c r="T765">
        <v>534</v>
      </c>
      <c r="U765">
        <f>SUMIF(货件明细!J:J,E765,货件明细!AP:AP)</f>
        <v>0</v>
      </c>
      <c r="V765">
        <f>IF(U765=T765,0,1)</f>
        <v>1</v>
      </c>
      <c r="W765">
        <f>T765</f>
        <v>534</v>
      </c>
      <c r="X765">
        <f>SUMIF(货件明细!J:J,E765,货件明细!H:H)</f>
        <v>0</v>
      </c>
      <c r="Y765">
        <f>N765-X765</f>
        <v>61.2</v>
      </c>
      <c r="Z765">
        <f>SUMIF(货件明细!J:J,E765,货件明细!I:I)</f>
        <v>0</v>
      </c>
      <c r="AA765">
        <f>IF(S765=Z765,0,1)</f>
        <v>1</v>
      </c>
    </row>
    <row r="766" hidden="1" spans="1:27">
      <c r="A766">
        <v>1</v>
      </c>
      <c r="B766">
        <v>5</v>
      </c>
      <c r="C766" s="3">
        <v>46053</v>
      </c>
      <c r="D766" t="s">
        <v>27</v>
      </c>
      <c r="E766" t="s">
        <v>874</v>
      </c>
      <c r="F766" t="s">
        <v>195</v>
      </c>
      <c r="G766" t="s">
        <v>30</v>
      </c>
      <c r="H766" t="s">
        <v>78</v>
      </c>
      <c r="I766" t="s">
        <v>92</v>
      </c>
      <c r="J766" t="s">
        <v>92</v>
      </c>
      <c r="K766" t="s">
        <v>64</v>
      </c>
      <c r="L766" t="s">
        <v>65</v>
      </c>
      <c r="M766" t="s">
        <v>93</v>
      </c>
      <c r="N766">
        <v>11.25</v>
      </c>
      <c r="O766">
        <v>15.5555555555556</v>
      </c>
      <c r="P766">
        <v>102.9</v>
      </c>
      <c r="Q766">
        <v>118.455555555556</v>
      </c>
      <c r="R766">
        <v>0</v>
      </c>
      <c r="S766">
        <v>118.455555555556</v>
      </c>
      <c r="T766">
        <v>107</v>
      </c>
      <c r="U766">
        <f>SUMIF(货件明细!J:J,E766,货件明细!AP:AP)</f>
        <v>0</v>
      </c>
      <c r="V766">
        <f>IF(U766=T766,0,1)</f>
        <v>1</v>
      </c>
      <c r="W766">
        <f>T766</f>
        <v>107</v>
      </c>
      <c r="X766">
        <f>SUMIF(货件明细!J:J,E766,货件明细!H:H)</f>
        <v>0</v>
      </c>
      <c r="Y766">
        <f>N766-X766</f>
        <v>11.25</v>
      </c>
      <c r="Z766">
        <f>SUMIF(货件明细!J:J,E766,货件明细!I:I)</f>
        <v>0</v>
      </c>
      <c r="AA766">
        <f>IF(S766=Z766,0,1)</f>
        <v>1</v>
      </c>
    </row>
    <row r="767" hidden="1" spans="1:27">
      <c r="A767">
        <v>1</v>
      </c>
      <c r="B767">
        <v>5</v>
      </c>
      <c r="C767" s="3">
        <v>46053</v>
      </c>
      <c r="D767" t="s">
        <v>27</v>
      </c>
      <c r="E767" t="s">
        <v>875</v>
      </c>
      <c r="F767" t="s">
        <v>62</v>
      </c>
      <c r="G767" t="s">
        <v>30</v>
      </c>
      <c r="H767" t="s">
        <v>78</v>
      </c>
      <c r="I767" t="s">
        <v>92</v>
      </c>
      <c r="J767" t="s">
        <v>92</v>
      </c>
      <c r="K767" t="s">
        <v>64</v>
      </c>
      <c r="L767" t="s">
        <v>65</v>
      </c>
      <c r="M767" t="s">
        <v>93</v>
      </c>
      <c r="N767">
        <v>11.25</v>
      </c>
      <c r="O767">
        <v>15.5555555555556</v>
      </c>
      <c r="P767">
        <v>79.75</v>
      </c>
      <c r="Q767">
        <v>95.3055555555556</v>
      </c>
      <c r="R767">
        <v>0</v>
      </c>
      <c r="S767">
        <v>95.3055555555556</v>
      </c>
      <c r="T767">
        <v>107</v>
      </c>
      <c r="U767">
        <f>SUMIF(货件明细!J:J,E767,货件明细!AP:AP)</f>
        <v>0</v>
      </c>
      <c r="V767">
        <f>IF(U767=T767,0,1)</f>
        <v>1</v>
      </c>
      <c r="W767">
        <f>T767</f>
        <v>107</v>
      </c>
      <c r="X767">
        <f>SUMIF(货件明细!J:J,E767,货件明细!H:H)</f>
        <v>0</v>
      </c>
      <c r="Y767">
        <f>N767-X767</f>
        <v>11.25</v>
      </c>
      <c r="Z767">
        <f>SUMIF(货件明细!J:J,E767,货件明细!I:I)</f>
        <v>0</v>
      </c>
      <c r="AA767">
        <f>IF(S767=Z767,0,1)</f>
        <v>1</v>
      </c>
    </row>
    <row r="768" hidden="1" spans="1:27">
      <c r="A768">
        <v>1</v>
      </c>
      <c r="B768">
        <v>5</v>
      </c>
      <c r="C768" s="3">
        <v>46053</v>
      </c>
      <c r="D768" t="s">
        <v>27</v>
      </c>
      <c r="E768" t="s">
        <v>876</v>
      </c>
      <c r="F768" t="s">
        <v>548</v>
      </c>
      <c r="G768" t="s">
        <v>72</v>
      </c>
      <c r="H768" t="s">
        <v>78</v>
      </c>
      <c r="I768" t="s">
        <v>92</v>
      </c>
      <c r="J768" t="s">
        <v>92</v>
      </c>
      <c r="K768" t="s">
        <v>64</v>
      </c>
      <c r="L768" t="s">
        <v>65</v>
      </c>
      <c r="M768" t="s">
        <v>93</v>
      </c>
      <c r="N768">
        <v>11.25</v>
      </c>
      <c r="O768">
        <v>14.7368421052632</v>
      </c>
      <c r="P768">
        <v>58.3666666666667</v>
      </c>
      <c r="Q768">
        <v>73.1035087719298</v>
      </c>
      <c r="R768">
        <v>0</v>
      </c>
      <c r="S768">
        <v>73.1035087719298</v>
      </c>
      <c r="T768">
        <v>107</v>
      </c>
      <c r="U768">
        <f>SUMIF(货件明细!J:J,E768,货件明细!AP:AP)</f>
        <v>0</v>
      </c>
      <c r="V768">
        <f>IF(U768=T768,0,1)</f>
        <v>1</v>
      </c>
      <c r="W768">
        <f>T768</f>
        <v>107</v>
      </c>
      <c r="X768">
        <f>SUMIF(货件明细!J:J,E768,货件明细!H:H)</f>
        <v>0</v>
      </c>
      <c r="Y768">
        <f>N768-X768</f>
        <v>11.25</v>
      </c>
      <c r="Z768">
        <f>SUMIF(货件明细!J:J,E768,货件明细!I:I)</f>
        <v>0</v>
      </c>
      <c r="AA768">
        <f>IF(S768=Z768,0,1)</f>
        <v>1</v>
      </c>
    </row>
    <row r="769" hidden="1" spans="1:27">
      <c r="A769">
        <v>1</v>
      </c>
      <c r="B769">
        <v>5</v>
      </c>
      <c r="C769" s="3">
        <v>46053</v>
      </c>
      <c r="D769" t="s">
        <v>27</v>
      </c>
      <c r="E769" t="s">
        <v>877</v>
      </c>
      <c r="F769" t="s">
        <v>187</v>
      </c>
      <c r="G769" t="s">
        <v>72</v>
      </c>
      <c r="H769" t="s">
        <v>78</v>
      </c>
      <c r="I769" t="s">
        <v>92</v>
      </c>
      <c r="J769" t="s">
        <v>92</v>
      </c>
      <c r="K769" t="s">
        <v>64</v>
      </c>
      <c r="L769" t="s">
        <v>65</v>
      </c>
      <c r="M769" t="s">
        <v>93</v>
      </c>
      <c r="N769">
        <v>11.25</v>
      </c>
      <c r="O769">
        <v>14.7368421052632</v>
      </c>
      <c r="P769">
        <v>61.8</v>
      </c>
      <c r="Q769">
        <v>76.5368421052632</v>
      </c>
      <c r="R769">
        <v>0</v>
      </c>
      <c r="S769">
        <v>76.5368421052632</v>
      </c>
      <c r="T769">
        <v>107</v>
      </c>
      <c r="U769">
        <f>SUMIF(货件明细!J:J,E769,货件明细!AP:AP)</f>
        <v>0</v>
      </c>
      <c r="V769">
        <f>IF(U769=T769,0,1)</f>
        <v>1</v>
      </c>
      <c r="W769">
        <f>T769</f>
        <v>107</v>
      </c>
      <c r="X769">
        <f>SUMIF(货件明细!J:J,E769,货件明细!H:H)</f>
        <v>0</v>
      </c>
      <c r="Y769">
        <f>N769-X769</f>
        <v>11.25</v>
      </c>
      <c r="Z769">
        <f>SUMIF(货件明细!J:J,E769,货件明细!I:I)</f>
        <v>0</v>
      </c>
      <c r="AA769">
        <f>IF(S769=Z769,0,1)</f>
        <v>1</v>
      </c>
    </row>
    <row r="770" hidden="1" spans="1:27">
      <c r="A770">
        <v>1</v>
      </c>
      <c r="B770">
        <v>5</v>
      </c>
      <c r="C770" s="3">
        <v>46053</v>
      </c>
      <c r="D770" t="s">
        <v>27</v>
      </c>
      <c r="E770" t="s">
        <v>878</v>
      </c>
      <c r="F770" t="s">
        <v>715</v>
      </c>
      <c r="G770" t="s">
        <v>69</v>
      </c>
      <c r="H770" t="s">
        <v>78</v>
      </c>
      <c r="I770" t="s">
        <v>92</v>
      </c>
      <c r="J770" t="s">
        <v>92</v>
      </c>
      <c r="K770" t="s">
        <v>64</v>
      </c>
      <c r="L770" t="s">
        <v>65</v>
      </c>
      <c r="M770" t="s">
        <v>93</v>
      </c>
      <c r="N770">
        <v>11.25</v>
      </c>
      <c r="O770">
        <v>15.5555555555556</v>
      </c>
      <c r="P770">
        <v>93.9</v>
      </c>
      <c r="Q770">
        <v>109.455555555556</v>
      </c>
      <c r="R770">
        <v>0</v>
      </c>
      <c r="S770">
        <v>109.455555555556</v>
      </c>
      <c r="T770">
        <v>107</v>
      </c>
      <c r="U770">
        <f>SUMIF(货件明细!J:J,E770,货件明细!AP:AP)</f>
        <v>0</v>
      </c>
      <c r="V770">
        <f>IF(U770=T770,0,1)</f>
        <v>1</v>
      </c>
      <c r="W770">
        <f>T770</f>
        <v>107</v>
      </c>
      <c r="X770">
        <f>SUMIF(货件明细!J:J,E770,货件明细!H:H)</f>
        <v>0</v>
      </c>
      <c r="Y770">
        <f>N770-X770</f>
        <v>11.25</v>
      </c>
      <c r="Z770">
        <f>SUMIF(货件明细!J:J,E770,货件明细!I:I)</f>
        <v>0</v>
      </c>
      <c r="AA770">
        <f>IF(S770=Z770,0,1)</f>
        <v>1</v>
      </c>
    </row>
    <row r="771" hidden="1" spans="1:27">
      <c r="A771">
        <v>1</v>
      </c>
      <c r="B771">
        <v>5</v>
      </c>
      <c r="C771" s="3">
        <v>46053</v>
      </c>
      <c r="D771" t="s">
        <v>27</v>
      </c>
      <c r="E771" t="s">
        <v>879</v>
      </c>
      <c r="F771" t="s">
        <v>195</v>
      </c>
      <c r="G771" t="s">
        <v>30</v>
      </c>
      <c r="H771" t="s">
        <v>54</v>
      </c>
      <c r="I771" t="s">
        <v>92</v>
      </c>
      <c r="J771" t="s">
        <v>92</v>
      </c>
      <c r="K771" t="s">
        <v>64</v>
      </c>
      <c r="L771" t="s">
        <v>65</v>
      </c>
      <c r="M771" t="s">
        <v>93</v>
      </c>
      <c r="N771">
        <v>11.75</v>
      </c>
      <c r="O771">
        <v>15.5555555555556</v>
      </c>
      <c r="P771">
        <v>102.9</v>
      </c>
      <c r="Q771">
        <v>118.455555555556</v>
      </c>
      <c r="R771">
        <v>0</v>
      </c>
      <c r="S771">
        <v>118.455555555556</v>
      </c>
      <c r="T771">
        <v>91</v>
      </c>
      <c r="U771">
        <f>SUMIF(货件明细!J:J,E771,货件明细!AP:AP)</f>
        <v>0</v>
      </c>
      <c r="V771">
        <f>IF(U771=T771,0,1)</f>
        <v>1</v>
      </c>
      <c r="W771">
        <f>T771</f>
        <v>91</v>
      </c>
      <c r="X771">
        <f>SUMIF(货件明细!J:J,E771,货件明细!H:H)</f>
        <v>0</v>
      </c>
      <c r="Y771">
        <f>N771-X771</f>
        <v>11.75</v>
      </c>
      <c r="Z771">
        <f>SUMIF(货件明细!J:J,E771,货件明细!I:I)</f>
        <v>0</v>
      </c>
      <c r="AA771">
        <f>IF(S771=Z771,0,1)</f>
        <v>1</v>
      </c>
    </row>
    <row r="772" hidden="1" spans="1:27">
      <c r="A772">
        <v>1</v>
      </c>
      <c r="B772">
        <v>5</v>
      </c>
      <c r="C772" s="3">
        <v>46053</v>
      </c>
      <c r="D772" t="s">
        <v>27</v>
      </c>
      <c r="E772" t="s">
        <v>880</v>
      </c>
      <c r="F772" t="s">
        <v>62</v>
      </c>
      <c r="G772" t="s">
        <v>30</v>
      </c>
      <c r="H772" t="s">
        <v>54</v>
      </c>
      <c r="I772" t="s">
        <v>92</v>
      </c>
      <c r="J772" t="s">
        <v>92</v>
      </c>
      <c r="K772" t="s">
        <v>64</v>
      </c>
      <c r="L772" t="s">
        <v>65</v>
      </c>
      <c r="M772" t="s">
        <v>93</v>
      </c>
      <c r="N772">
        <v>11.75</v>
      </c>
      <c r="O772">
        <v>15.5555555555556</v>
      </c>
      <c r="P772">
        <v>79.75</v>
      </c>
      <c r="Q772">
        <v>95.3055555555556</v>
      </c>
      <c r="R772">
        <v>0</v>
      </c>
      <c r="S772">
        <v>95.3055555555556</v>
      </c>
      <c r="T772">
        <v>91</v>
      </c>
      <c r="U772">
        <f>SUMIF(货件明细!J:J,E772,货件明细!AP:AP)</f>
        <v>0</v>
      </c>
      <c r="V772">
        <f>IF(U772=T772,0,1)</f>
        <v>1</v>
      </c>
      <c r="W772">
        <f>T772</f>
        <v>91</v>
      </c>
      <c r="X772">
        <f>SUMIF(货件明细!J:J,E772,货件明细!H:H)</f>
        <v>0</v>
      </c>
      <c r="Y772">
        <f>N772-X772</f>
        <v>11.75</v>
      </c>
      <c r="Z772">
        <f>SUMIF(货件明细!J:J,E772,货件明细!I:I)</f>
        <v>0</v>
      </c>
      <c r="AA772">
        <f>IF(S772=Z772,0,1)</f>
        <v>1</v>
      </c>
    </row>
    <row r="773" hidden="1" spans="1:27">
      <c r="A773">
        <v>1</v>
      </c>
      <c r="B773">
        <v>5</v>
      </c>
      <c r="C773" s="3">
        <v>46053</v>
      </c>
      <c r="D773" t="s">
        <v>27</v>
      </c>
      <c r="E773" t="s">
        <v>881</v>
      </c>
      <c r="F773" t="s">
        <v>548</v>
      </c>
      <c r="G773" t="s">
        <v>72</v>
      </c>
      <c r="H773" t="s">
        <v>54</v>
      </c>
      <c r="I773" t="s">
        <v>92</v>
      </c>
      <c r="J773" t="s">
        <v>92</v>
      </c>
      <c r="K773" t="s">
        <v>64</v>
      </c>
      <c r="L773" t="s">
        <v>65</v>
      </c>
      <c r="M773" t="s">
        <v>93</v>
      </c>
      <c r="N773">
        <v>11.75</v>
      </c>
      <c r="O773">
        <v>14.7368421052632</v>
      </c>
      <c r="P773">
        <v>58.3666666666667</v>
      </c>
      <c r="Q773">
        <v>73.1035087719298</v>
      </c>
      <c r="R773">
        <v>0</v>
      </c>
      <c r="S773">
        <v>73.1035087719298</v>
      </c>
      <c r="T773">
        <v>91</v>
      </c>
      <c r="U773">
        <f>SUMIF(货件明细!J:J,E773,货件明细!AP:AP)</f>
        <v>0</v>
      </c>
      <c r="V773">
        <f>IF(U773=T773,0,1)</f>
        <v>1</v>
      </c>
      <c r="W773">
        <f>T773</f>
        <v>91</v>
      </c>
      <c r="X773">
        <f>SUMIF(货件明细!J:J,E773,货件明细!H:H)</f>
        <v>0</v>
      </c>
      <c r="Y773">
        <f>N773-X773</f>
        <v>11.75</v>
      </c>
      <c r="Z773">
        <f>SUMIF(货件明细!J:J,E773,货件明细!I:I)</f>
        <v>0</v>
      </c>
      <c r="AA773">
        <f>IF(S773=Z773,0,1)</f>
        <v>1</v>
      </c>
    </row>
    <row r="774" hidden="1" spans="1:27">
      <c r="A774">
        <v>1</v>
      </c>
      <c r="B774">
        <v>5</v>
      </c>
      <c r="C774" s="3">
        <v>46053</v>
      </c>
      <c r="D774" t="s">
        <v>27</v>
      </c>
      <c r="E774" t="s">
        <v>882</v>
      </c>
      <c r="F774" t="s">
        <v>187</v>
      </c>
      <c r="G774" t="s">
        <v>72</v>
      </c>
      <c r="H774" t="s">
        <v>54</v>
      </c>
      <c r="I774" t="s">
        <v>92</v>
      </c>
      <c r="J774" t="s">
        <v>92</v>
      </c>
      <c r="K774" t="s">
        <v>64</v>
      </c>
      <c r="L774" t="s">
        <v>65</v>
      </c>
      <c r="M774" t="s">
        <v>93</v>
      </c>
      <c r="N774">
        <v>11.75</v>
      </c>
      <c r="O774">
        <v>14.7368421052632</v>
      </c>
      <c r="P774">
        <v>61.8</v>
      </c>
      <c r="Q774">
        <v>76.5368421052632</v>
      </c>
      <c r="R774">
        <v>0</v>
      </c>
      <c r="S774">
        <v>76.5368421052632</v>
      </c>
      <c r="T774">
        <v>91</v>
      </c>
      <c r="U774">
        <f>SUMIF(货件明细!J:J,E774,货件明细!AP:AP)</f>
        <v>0</v>
      </c>
      <c r="V774">
        <f>IF(U774=T774,0,1)</f>
        <v>1</v>
      </c>
      <c r="W774">
        <f>T774</f>
        <v>91</v>
      </c>
      <c r="X774">
        <f>SUMIF(货件明细!J:J,E774,货件明细!H:H)</f>
        <v>0</v>
      </c>
      <c r="Y774">
        <f>N774-X774</f>
        <v>11.75</v>
      </c>
      <c r="Z774">
        <f>SUMIF(货件明细!J:J,E774,货件明细!I:I)</f>
        <v>0</v>
      </c>
      <c r="AA774">
        <f>IF(S774=Z774,0,1)</f>
        <v>1</v>
      </c>
    </row>
    <row r="775" hidden="1" spans="1:27">
      <c r="A775">
        <v>1</v>
      </c>
      <c r="B775">
        <v>5</v>
      </c>
      <c r="C775" s="3">
        <v>46053</v>
      </c>
      <c r="D775" t="s">
        <v>27</v>
      </c>
      <c r="E775" t="s">
        <v>883</v>
      </c>
      <c r="F775" t="s">
        <v>715</v>
      </c>
      <c r="G775" t="s">
        <v>69</v>
      </c>
      <c r="H775" t="s">
        <v>54</v>
      </c>
      <c r="I775" t="s">
        <v>92</v>
      </c>
      <c r="J775" t="s">
        <v>92</v>
      </c>
      <c r="K775" t="s">
        <v>64</v>
      </c>
      <c r="L775" t="s">
        <v>65</v>
      </c>
      <c r="M775" t="s">
        <v>93</v>
      </c>
      <c r="N775">
        <v>11.75</v>
      </c>
      <c r="O775">
        <v>15.5555555555556</v>
      </c>
      <c r="P775">
        <v>93.9</v>
      </c>
      <c r="Q775">
        <v>109.455555555556</v>
      </c>
      <c r="R775">
        <v>0</v>
      </c>
      <c r="S775">
        <v>109.455555555556</v>
      </c>
      <c r="T775">
        <v>91</v>
      </c>
      <c r="U775">
        <f>SUMIF(货件明细!J:J,E775,货件明细!AP:AP)</f>
        <v>0</v>
      </c>
      <c r="V775">
        <f>IF(U775=T775,0,1)</f>
        <v>1</v>
      </c>
      <c r="W775">
        <f>T775</f>
        <v>91</v>
      </c>
      <c r="X775">
        <f>SUMIF(货件明细!J:J,E775,货件明细!H:H)</f>
        <v>0</v>
      </c>
      <c r="Y775">
        <f>N775-X775</f>
        <v>11.75</v>
      </c>
      <c r="Z775">
        <f>SUMIF(货件明细!J:J,E775,货件明细!I:I)</f>
        <v>0</v>
      </c>
      <c r="AA775">
        <f>IF(S775=Z775,0,1)</f>
        <v>1</v>
      </c>
    </row>
    <row r="776" hidden="1" spans="1:27">
      <c r="A776">
        <v>1</v>
      </c>
      <c r="B776">
        <v>5</v>
      </c>
      <c r="C776" s="3">
        <v>46053</v>
      </c>
      <c r="D776" t="s">
        <v>27</v>
      </c>
      <c r="E776" t="s">
        <v>884</v>
      </c>
      <c r="F776" t="s">
        <v>195</v>
      </c>
      <c r="G776" t="s">
        <v>30</v>
      </c>
      <c r="H776" t="s">
        <v>39</v>
      </c>
      <c r="I776" t="s">
        <v>92</v>
      </c>
      <c r="J776" t="s">
        <v>92</v>
      </c>
      <c r="K776" t="s">
        <v>64</v>
      </c>
      <c r="L776" t="s">
        <v>65</v>
      </c>
      <c r="M776" t="s">
        <v>93</v>
      </c>
      <c r="N776">
        <v>11.1</v>
      </c>
      <c r="O776">
        <v>15.5555555555556</v>
      </c>
      <c r="P776">
        <v>108.621428571429</v>
      </c>
      <c r="Q776">
        <v>124.176984126984</v>
      </c>
      <c r="R776">
        <v>0</v>
      </c>
      <c r="S776">
        <v>124.176984126984</v>
      </c>
      <c r="T776">
        <v>45</v>
      </c>
      <c r="U776">
        <f>SUMIF(货件明细!J:J,E776,货件明细!AP:AP)</f>
        <v>0</v>
      </c>
      <c r="V776">
        <f>IF(U776=T776,0,1)</f>
        <v>1</v>
      </c>
      <c r="W776">
        <f>T776</f>
        <v>45</v>
      </c>
      <c r="X776">
        <f>SUMIF(货件明细!J:J,E776,货件明细!H:H)</f>
        <v>0</v>
      </c>
      <c r="Y776">
        <f>N776-X776</f>
        <v>11.1</v>
      </c>
      <c r="Z776">
        <f>SUMIF(货件明细!J:J,E776,货件明细!I:I)</f>
        <v>0</v>
      </c>
      <c r="AA776">
        <f>IF(S776=Z776,0,1)</f>
        <v>1</v>
      </c>
    </row>
    <row r="777" hidden="1" spans="1:27">
      <c r="A777">
        <v>1</v>
      </c>
      <c r="B777">
        <v>5</v>
      </c>
      <c r="C777" s="3">
        <v>46053</v>
      </c>
      <c r="D777" t="s">
        <v>27</v>
      </c>
      <c r="E777" t="s">
        <v>885</v>
      </c>
      <c r="F777" t="s">
        <v>62</v>
      </c>
      <c r="G777" t="s">
        <v>30</v>
      </c>
      <c r="H777" t="s">
        <v>39</v>
      </c>
      <c r="I777" t="s">
        <v>92</v>
      </c>
      <c r="J777" t="s">
        <v>92</v>
      </c>
      <c r="K777" t="s">
        <v>64</v>
      </c>
      <c r="L777" t="s">
        <v>65</v>
      </c>
      <c r="M777" t="s">
        <v>93</v>
      </c>
      <c r="N777">
        <v>11.1</v>
      </c>
      <c r="O777">
        <v>15.5555555555556</v>
      </c>
      <c r="P777">
        <v>103.619047619048</v>
      </c>
      <c r="Q777">
        <v>119.174603174603</v>
      </c>
      <c r="R777">
        <v>0</v>
      </c>
      <c r="S777">
        <v>119.174603174603</v>
      </c>
      <c r="T777">
        <v>44</v>
      </c>
      <c r="U777">
        <f>SUMIF(货件明细!J:J,E777,货件明细!AP:AP)</f>
        <v>0</v>
      </c>
      <c r="V777">
        <f>IF(U777=T777,0,1)</f>
        <v>1</v>
      </c>
      <c r="W777">
        <f>T777</f>
        <v>44</v>
      </c>
      <c r="X777">
        <f>SUMIF(货件明细!J:J,E777,货件明细!H:H)</f>
        <v>0</v>
      </c>
      <c r="Y777">
        <f>N777-X777</f>
        <v>11.1</v>
      </c>
      <c r="Z777">
        <f>SUMIF(货件明细!J:J,E777,货件明细!I:I)</f>
        <v>0</v>
      </c>
      <c r="AA777">
        <f>IF(S777=Z777,0,1)</f>
        <v>1</v>
      </c>
    </row>
    <row r="778" hidden="1" spans="1:27">
      <c r="A778">
        <v>1</v>
      </c>
      <c r="B778">
        <v>5</v>
      </c>
      <c r="C778" s="3">
        <v>46053</v>
      </c>
      <c r="D778" t="s">
        <v>27</v>
      </c>
      <c r="E778" t="s">
        <v>886</v>
      </c>
      <c r="F778" t="s">
        <v>548</v>
      </c>
      <c r="G778" t="s">
        <v>72</v>
      </c>
      <c r="H778" t="s">
        <v>39</v>
      </c>
      <c r="I778" t="s">
        <v>92</v>
      </c>
      <c r="J778" t="s">
        <v>92</v>
      </c>
      <c r="K778" t="s">
        <v>64</v>
      </c>
      <c r="L778" t="s">
        <v>65</v>
      </c>
      <c r="M778" t="s">
        <v>93</v>
      </c>
      <c r="N778">
        <v>11.1</v>
      </c>
      <c r="O778">
        <v>23.3333333333333</v>
      </c>
      <c r="P778">
        <v>67.5222222222222</v>
      </c>
      <c r="Q778">
        <v>90.8555555555555</v>
      </c>
      <c r="R778">
        <v>0</v>
      </c>
      <c r="S778">
        <v>90.8555555555555</v>
      </c>
      <c r="T778">
        <v>45</v>
      </c>
      <c r="U778">
        <f>SUMIF(货件明细!J:J,E778,货件明细!AP:AP)</f>
        <v>0</v>
      </c>
      <c r="V778">
        <f>IF(U778=T778,0,1)</f>
        <v>1</v>
      </c>
      <c r="W778">
        <f>T778</f>
        <v>45</v>
      </c>
      <c r="X778">
        <f>SUMIF(货件明细!J:J,E778,货件明细!H:H)</f>
        <v>0</v>
      </c>
      <c r="Y778">
        <f>N778-X778</f>
        <v>11.1</v>
      </c>
      <c r="Z778">
        <f>SUMIF(货件明细!J:J,E778,货件明细!I:I)</f>
        <v>0</v>
      </c>
      <c r="AA778">
        <f>IF(S778=Z778,0,1)</f>
        <v>1</v>
      </c>
    </row>
    <row r="779" hidden="1" spans="1:27">
      <c r="A779">
        <v>1</v>
      </c>
      <c r="B779">
        <v>5</v>
      </c>
      <c r="C779" s="3">
        <v>46053</v>
      </c>
      <c r="D779" t="s">
        <v>27</v>
      </c>
      <c r="E779" t="s">
        <v>887</v>
      </c>
      <c r="F779" t="s">
        <v>187</v>
      </c>
      <c r="G779" t="s">
        <v>72</v>
      </c>
      <c r="H779" t="s">
        <v>39</v>
      </c>
      <c r="I779" t="s">
        <v>92</v>
      </c>
      <c r="J779" t="s">
        <v>92</v>
      </c>
      <c r="K779" t="s">
        <v>64</v>
      </c>
      <c r="L779" t="s">
        <v>65</v>
      </c>
      <c r="M779" t="s">
        <v>93</v>
      </c>
      <c r="N779">
        <v>11.1</v>
      </c>
      <c r="O779">
        <v>23.3333333333333</v>
      </c>
      <c r="P779">
        <v>66.6789473684211</v>
      </c>
      <c r="Q779">
        <v>90.0122807017544</v>
      </c>
      <c r="R779">
        <v>0</v>
      </c>
      <c r="S779">
        <v>90.0122807017544</v>
      </c>
      <c r="T779">
        <v>45</v>
      </c>
      <c r="U779">
        <f>SUMIF(货件明细!J:J,E779,货件明细!AP:AP)</f>
        <v>0</v>
      </c>
      <c r="V779">
        <f>IF(U779=T779,0,1)</f>
        <v>1</v>
      </c>
      <c r="W779">
        <f>T779</f>
        <v>45</v>
      </c>
      <c r="X779">
        <f>SUMIF(货件明细!J:J,E779,货件明细!H:H)</f>
        <v>0</v>
      </c>
      <c r="Y779">
        <f>N779-X779</f>
        <v>11.1</v>
      </c>
      <c r="Z779">
        <f>SUMIF(货件明细!J:J,E779,货件明细!I:I)</f>
        <v>0</v>
      </c>
      <c r="AA779">
        <f>IF(S779=Z779,0,1)</f>
        <v>1</v>
      </c>
    </row>
    <row r="780" hidden="1" spans="1:27">
      <c r="A780">
        <v>1</v>
      </c>
      <c r="B780">
        <v>5</v>
      </c>
      <c r="C780" s="3">
        <v>46053</v>
      </c>
      <c r="D780" t="s">
        <v>27</v>
      </c>
      <c r="E780" t="s">
        <v>888</v>
      </c>
      <c r="F780" t="s">
        <v>715</v>
      </c>
      <c r="G780" t="s">
        <v>69</v>
      </c>
      <c r="H780" t="s">
        <v>39</v>
      </c>
      <c r="I780" t="s">
        <v>92</v>
      </c>
      <c r="J780" t="s">
        <v>92</v>
      </c>
      <c r="K780" t="s">
        <v>64</v>
      </c>
      <c r="L780" t="s">
        <v>65</v>
      </c>
      <c r="M780" t="s">
        <v>93</v>
      </c>
      <c r="N780">
        <v>11.1</v>
      </c>
      <c r="O780">
        <v>15.5555555555556</v>
      </c>
      <c r="P780">
        <v>98.8357142857143</v>
      </c>
      <c r="Q780">
        <v>114.39126984127</v>
      </c>
      <c r="R780">
        <v>0</v>
      </c>
      <c r="S780">
        <v>114.39126984127</v>
      </c>
      <c r="T780">
        <v>45</v>
      </c>
      <c r="U780">
        <f>SUMIF(货件明细!J:J,E780,货件明细!AP:AP)</f>
        <v>0</v>
      </c>
      <c r="V780">
        <f>IF(U780=T780,0,1)</f>
        <v>1</v>
      </c>
      <c r="W780">
        <f>T780</f>
        <v>45</v>
      </c>
      <c r="X780">
        <f>SUMIF(货件明细!J:J,E780,货件明细!H:H)</f>
        <v>0</v>
      </c>
      <c r="Y780">
        <f>N780-X780</f>
        <v>11.1</v>
      </c>
      <c r="Z780">
        <f>SUMIF(货件明细!J:J,E780,货件明细!I:I)</f>
        <v>0</v>
      </c>
      <c r="AA780">
        <f>IF(S780=Z780,0,1)</f>
        <v>1</v>
      </c>
    </row>
    <row r="781" hidden="1" spans="1:27">
      <c r="A781">
        <v>1</v>
      </c>
      <c r="B781">
        <v>5</v>
      </c>
      <c r="C781" s="3">
        <v>46053</v>
      </c>
      <c r="D781" t="s">
        <v>27</v>
      </c>
      <c r="E781" t="s">
        <v>889</v>
      </c>
      <c r="F781" t="s">
        <v>195</v>
      </c>
      <c r="G781" t="s">
        <v>30</v>
      </c>
      <c r="H781" t="s">
        <v>39</v>
      </c>
      <c r="I781" t="s">
        <v>92</v>
      </c>
      <c r="J781" t="s">
        <v>92</v>
      </c>
      <c r="K781" t="s">
        <v>64</v>
      </c>
      <c r="L781" t="s">
        <v>65</v>
      </c>
      <c r="M781" t="s">
        <v>93</v>
      </c>
      <c r="N781">
        <v>15.9</v>
      </c>
      <c r="O781">
        <v>15.5555555555556</v>
      </c>
      <c r="P781">
        <v>108.621428571429</v>
      </c>
      <c r="Q781">
        <v>124.176984126984</v>
      </c>
      <c r="R781">
        <v>0</v>
      </c>
      <c r="S781">
        <v>124.176984126984</v>
      </c>
      <c r="T781">
        <v>52</v>
      </c>
      <c r="U781">
        <f>SUMIF(货件明细!J:J,E781,货件明细!AP:AP)</f>
        <v>0</v>
      </c>
      <c r="V781">
        <f>IF(U781=T781,0,1)</f>
        <v>1</v>
      </c>
      <c r="W781">
        <f>T781</f>
        <v>52</v>
      </c>
      <c r="X781">
        <f>SUMIF(货件明细!J:J,E781,货件明细!H:H)</f>
        <v>0</v>
      </c>
      <c r="Y781">
        <f>N781-X781</f>
        <v>15.9</v>
      </c>
      <c r="Z781">
        <f>SUMIF(货件明细!J:J,E781,货件明细!I:I)</f>
        <v>0</v>
      </c>
      <c r="AA781">
        <f>IF(S781=Z781,0,1)</f>
        <v>1</v>
      </c>
    </row>
    <row r="782" hidden="1" spans="1:27">
      <c r="A782">
        <v>1</v>
      </c>
      <c r="B782">
        <v>5</v>
      </c>
      <c r="C782" s="3">
        <v>46053</v>
      </c>
      <c r="D782" t="s">
        <v>27</v>
      </c>
      <c r="E782" t="s">
        <v>890</v>
      </c>
      <c r="F782" t="s">
        <v>62</v>
      </c>
      <c r="G782" t="s">
        <v>30</v>
      </c>
      <c r="H782" t="s">
        <v>39</v>
      </c>
      <c r="I782" t="s">
        <v>92</v>
      </c>
      <c r="J782" t="s">
        <v>92</v>
      </c>
      <c r="K782" t="s">
        <v>64</v>
      </c>
      <c r="L782" t="s">
        <v>65</v>
      </c>
      <c r="M782" t="s">
        <v>93</v>
      </c>
      <c r="N782">
        <v>15.9</v>
      </c>
      <c r="O782">
        <v>15.5555555555556</v>
      </c>
      <c r="P782">
        <v>103.619047619048</v>
      </c>
      <c r="Q782">
        <v>119.174603174603</v>
      </c>
      <c r="R782">
        <v>0</v>
      </c>
      <c r="S782">
        <v>119.174603174603</v>
      </c>
      <c r="T782">
        <v>52</v>
      </c>
      <c r="U782">
        <f>SUMIF(货件明细!J:J,E782,货件明细!AP:AP)</f>
        <v>0</v>
      </c>
      <c r="V782">
        <f>IF(U782=T782,0,1)</f>
        <v>1</v>
      </c>
      <c r="W782">
        <f>T782</f>
        <v>52</v>
      </c>
      <c r="X782">
        <f>SUMIF(货件明细!J:J,E782,货件明细!H:H)</f>
        <v>0</v>
      </c>
      <c r="Y782">
        <f>N782-X782</f>
        <v>15.9</v>
      </c>
      <c r="Z782">
        <f>SUMIF(货件明细!J:J,E782,货件明细!I:I)</f>
        <v>0</v>
      </c>
      <c r="AA782">
        <f>IF(S782=Z782,0,1)</f>
        <v>1</v>
      </c>
    </row>
    <row r="783" hidden="1" spans="1:27">
      <c r="A783">
        <v>1</v>
      </c>
      <c r="B783">
        <v>5</v>
      </c>
      <c r="C783" s="3">
        <v>46053</v>
      </c>
      <c r="D783" t="s">
        <v>27</v>
      </c>
      <c r="E783" t="s">
        <v>891</v>
      </c>
      <c r="F783" t="s">
        <v>548</v>
      </c>
      <c r="G783" t="s">
        <v>72</v>
      </c>
      <c r="H783" t="s">
        <v>39</v>
      </c>
      <c r="I783" t="s">
        <v>92</v>
      </c>
      <c r="J783" t="s">
        <v>92</v>
      </c>
      <c r="K783" t="s">
        <v>64</v>
      </c>
      <c r="L783" t="s">
        <v>65</v>
      </c>
      <c r="M783" t="s">
        <v>93</v>
      </c>
      <c r="N783">
        <v>15.9</v>
      </c>
      <c r="O783">
        <v>23.3333333333333</v>
      </c>
      <c r="P783">
        <v>67.5222222222222</v>
      </c>
      <c r="Q783">
        <v>90.8555555555555</v>
      </c>
      <c r="R783">
        <v>0</v>
      </c>
      <c r="S783">
        <v>90.8555555555555</v>
      </c>
      <c r="T783">
        <v>52</v>
      </c>
      <c r="U783">
        <f>SUMIF(货件明细!J:J,E783,货件明细!AP:AP)</f>
        <v>0</v>
      </c>
      <c r="V783">
        <f>IF(U783=T783,0,1)</f>
        <v>1</v>
      </c>
      <c r="W783">
        <f>T783</f>
        <v>52</v>
      </c>
      <c r="X783">
        <f>SUMIF(货件明细!J:J,E783,货件明细!H:H)</f>
        <v>0</v>
      </c>
      <c r="Y783">
        <f>N783-X783</f>
        <v>15.9</v>
      </c>
      <c r="Z783">
        <f>SUMIF(货件明细!J:J,E783,货件明细!I:I)</f>
        <v>0</v>
      </c>
      <c r="AA783">
        <f>IF(S783=Z783,0,1)</f>
        <v>1</v>
      </c>
    </row>
    <row r="784" hidden="1" spans="1:27">
      <c r="A784">
        <v>1</v>
      </c>
      <c r="B784">
        <v>5</v>
      </c>
      <c r="C784" s="3">
        <v>46053</v>
      </c>
      <c r="D784" t="s">
        <v>27</v>
      </c>
      <c r="E784" t="s">
        <v>892</v>
      </c>
      <c r="F784" t="s">
        <v>187</v>
      </c>
      <c r="G784" t="s">
        <v>72</v>
      </c>
      <c r="H784" t="s">
        <v>39</v>
      </c>
      <c r="I784" t="s">
        <v>92</v>
      </c>
      <c r="J784" t="s">
        <v>92</v>
      </c>
      <c r="K784" t="s">
        <v>64</v>
      </c>
      <c r="L784" t="s">
        <v>65</v>
      </c>
      <c r="M784" t="s">
        <v>93</v>
      </c>
      <c r="N784">
        <v>15.9</v>
      </c>
      <c r="O784">
        <v>23.3333333333333</v>
      </c>
      <c r="P784">
        <v>66.6789473684211</v>
      </c>
      <c r="Q784">
        <v>90.0122807017544</v>
      </c>
      <c r="R784">
        <v>0</v>
      </c>
      <c r="S784">
        <v>90.0122807017544</v>
      </c>
      <c r="T784">
        <v>52</v>
      </c>
      <c r="U784">
        <f>SUMIF(货件明细!J:J,E784,货件明细!AP:AP)</f>
        <v>0</v>
      </c>
      <c r="V784">
        <f>IF(U784=T784,0,1)</f>
        <v>1</v>
      </c>
      <c r="W784">
        <f>T784</f>
        <v>52</v>
      </c>
      <c r="X784">
        <f>SUMIF(货件明细!J:J,E784,货件明细!H:H)</f>
        <v>0</v>
      </c>
      <c r="Y784">
        <f>N784-X784</f>
        <v>15.9</v>
      </c>
      <c r="Z784">
        <f>SUMIF(货件明细!J:J,E784,货件明细!I:I)</f>
        <v>0</v>
      </c>
      <c r="AA784">
        <f>IF(S784=Z784,0,1)</f>
        <v>1</v>
      </c>
    </row>
    <row r="785" hidden="1" spans="1:27">
      <c r="A785">
        <v>1</v>
      </c>
      <c r="B785">
        <v>5</v>
      </c>
      <c r="C785" s="3">
        <v>46053</v>
      </c>
      <c r="D785" t="s">
        <v>27</v>
      </c>
      <c r="E785" t="s">
        <v>893</v>
      </c>
      <c r="F785" t="s">
        <v>715</v>
      </c>
      <c r="G785" t="s">
        <v>69</v>
      </c>
      <c r="H785" t="s">
        <v>39</v>
      </c>
      <c r="I785" t="s">
        <v>92</v>
      </c>
      <c r="J785" t="s">
        <v>92</v>
      </c>
      <c r="K785" t="s">
        <v>64</v>
      </c>
      <c r="L785" t="s">
        <v>65</v>
      </c>
      <c r="M785" t="s">
        <v>93</v>
      </c>
      <c r="N785">
        <v>15.9</v>
      </c>
      <c r="O785">
        <v>15.5555555555556</v>
      </c>
      <c r="P785">
        <v>98.8357142857143</v>
      </c>
      <c r="Q785">
        <v>114.39126984127</v>
      </c>
      <c r="R785">
        <v>0</v>
      </c>
      <c r="S785">
        <v>114.39126984127</v>
      </c>
      <c r="T785">
        <v>52</v>
      </c>
      <c r="U785">
        <f>SUMIF(货件明细!J:J,E785,货件明细!AP:AP)</f>
        <v>0</v>
      </c>
      <c r="V785">
        <f>IF(U785=T785,0,1)</f>
        <v>1</v>
      </c>
      <c r="W785">
        <f>T785</f>
        <v>52</v>
      </c>
      <c r="X785">
        <f>SUMIF(货件明细!J:J,E785,货件明细!H:H)</f>
        <v>0</v>
      </c>
      <c r="Y785">
        <f>N785-X785</f>
        <v>15.9</v>
      </c>
      <c r="Z785">
        <f>SUMIF(货件明细!J:J,E785,货件明细!I:I)</f>
        <v>0</v>
      </c>
      <c r="AA785">
        <f>IF(S785=Z785,0,1)</f>
        <v>1</v>
      </c>
    </row>
    <row r="786" hidden="1" spans="1:27">
      <c r="A786">
        <v>1</v>
      </c>
      <c r="B786">
        <v>5</v>
      </c>
      <c r="C786" s="3">
        <v>46053</v>
      </c>
      <c r="D786" t="s">
        <v>27</v>
      </c>
      <c r="E786" t="s">
        <v>894</v>
      </c>
      <c r="F786" t="s">
        <v>195</v>
      </c>
      <c r="G786" t="s">
        <v>30</v>
      </c>
      <c r="H786" t="s">
        <v>224</v>
      </c>
      <c r="I786" t="s">
        <v>92</v>
      </c>
      <c r="J786" t="s">
        <v>92</v>
      </c>
      <c r="K786" t="s">
        <v>64</v>
      </c>
      <c r="L786" t="s">
        <v>65</v>
      </c>
      <c r="M786" t="s">
        <v>93</v>
      </c>
      <c r="N786">
        <v>12.65</v>
      </c>
      <c r="O786">
        <v>14</v>
      </c>
      <c r="P786">
        <v>108.621428571429</v>
      </c>
      <c r="Q786">
        <v>122.621428571429</v>
      </c>
      <c r="R786">
        <v>0</v>
      </c>
      <c r="S786">
        <v>122.621428571429</v>
      </c>
      <c r="T786">
        <v>81</v>
      </c>
      <c r="U786">
        <f>SUMIF(货件明细!J:J,E786,货件明细!AP:AP)</f>
        <v>0</v>
      </c>
      <c r="V786">
        <f>IF(U786=T786,0,1)</f>
        <v>1</v>
      </c>
      <c r="W786">
        <f>T786</f>
        <v>81</v>
      </c>
      <c r="X786">
        <f>SUMIF(货件明细!J:J,E786,货件明细!H:H)</f>
        <v>0</v>
      </c>
      <c r="Y786">
        <f>N786-X786</f>
        <v>12.65</v>
      </c>
      <c r="Z786">
        <f>SUMIF(货件明细!J:J,E786,货件明细!I:I)</f>
        <v>0</v>
      </c>
      <c r="AA786">
        <f>IF(S786=Z786,0,1)</f>
        <v>1</v>
      </c>
    </row>
    <row r="787" hidden="1" spans="1:27">
      <c r="A787">
        <v>1</v>
      </c>
      <c r="B787">
        <v>5</v>
      </c>
      <c r="C787" s="3">
        <v>46053</v>
      </c>
      <c r="D787" t="s">
        <v>27</v>
      </c>
      <c r="E787" t="s">
        <v>895</v>
      </c>
      <c r="F787" t="s">
        <v>62</v>
      </c>
      <c r="G787" t="s">
        <v>30</v>
      </c>
      <c r="H787" t="s">
        <v>224</v>
      </c>
      <c r="I787" t="s">
        <v>92</v>
      </c>
      <c r="J787" t="s">
        <v>92</v>
      </c>
      <c r="K787" t="s">
        <v>64</v>
      </c>
      <c r="L787" t="s">
        <v>65</v>
      </c>
      <c r="M787" t="s">
        <v>93</v>
      </c>
      <c r="N787">
        <v>12.65</v>
      </c>
      <c r="O787">
        <v>14</v>
      </c>
      <c r="P787">
        <v>103.619047619048</v>
      </c>
      <c r="Q787">
        <v>117.619047619048</v>
      </c>
      <c r="R787">
        <v>0</v>
      </c>
      <c r="S787">
        <v>117.619047619048</v>
      </c>
      <c r="T787">
        <v>81</v>
      </c>
      <c r="U787">
        <f>SUMIF(货件明细!J:J,E787,货件明细!AP:AP)</f>
        <v>0</v>
      </c>
      <c r="V787">
        <f>IF(U787=T787,0,1)</f>
        <v>1</v>
      </c>
      <c r="W787">
        <f>T787</f>
        <v>81</v>
      </c>
      <c r="X787">
        <f>SUMIF(货件明细!J:J,E787,货件明细!H:H)</f>
        <v>0</v>
      </c>
      <c r="Y787">
        <f>N787-X787</f>
        <v>12.65</v>
      </c>
      <c r="Z787">
        <f>SUMIF(货件明细!J:J,E787,货件明细!I:I)</f>
        <v>0</v>
      </c>
      <c r="AA787">
        <f>IF(S787=Z787,0,1)</f>
        <v>1</v>
      </c>
    </row>
    <row r="788" hidden="1" spans="1:27">
      <c r="A788">
        <v>1</v>
      </c>
      <c r="B788">
        <v>5</v>
      </c>
      <c r="C788" s="3">
        <v>46053</v>
      </c>
      <c r="D788" t="s">
        <v>27</v>
      </c>
      <c r="E788" t="s">
        <v>896</v>
      </c>
      <c r="F788" t="s">
        <v>141</v>
      </c>
      <c r="G788" t="s">
        <v>69</v>
      </c>
      <c r="H788" t="s">
        <v>224</v>
      </c>
      <c r="I788" t="s">
        <v>92</v>
      </c>
      <c r="J788" t="s">
        <v>92</v>
      </c>
      <c r="K788" t="s">
        <v>64</v>
      </c>
      <c r="L788" t="s">
        <v>65</v>
      </c>
      <c r="M788" t="s">
        <v>93</v>
      </c>
      <c r="N788">
        <v>12.65</v>
      </c>
      <c r="O788">
        <v>14</v>
      </c>
      <c r="P788">
        <v>93.4166666666667</v>
      </c>
      <c r="Q788">
        <v>107.416666666667</v>
      </c>
      <c r="R788">
        <v>0</v>
      </c>
      <c r="S788">
        <v>107.416666666667</v>
      </c>
      <c r="T788">
        <v>81</v>
      </c>
      <c r="U788">
        <f>SUMIF(货件明细!J:J,E788,货件明细!AP:AP)</f>
        <v>0</v>
      </c>
      <c r="V788">
        <f>IF(U788=T788,0,1)</f>
        <v>1</v>
      </c>
      <c r="W788">
        <f>T788</f>
        <v>81</v>
      </c>
      <c r="X788">
        <f>SUMIF(货件明细!J:J,E788,货件明细!H:H)</f>
        <v>0</v>
      </c>
      <c r="Y788">
        <f>N788-X788</f>
        <v>12.65</v>
      </c>
      <c r="Z788">
        <f>SUMIF(货件明细!J:J,E788,货件明细!I:I)</f>
        <v>0</v>
      </c>
      <c r="AA788">
        <f>IF(S788=Z788,0,1)</f>
        <v>1</v>
      </c>
    </row>
    <row r="789" hidden="1" spans="1:27">
      <c r="A789">
        <v>1</v>
      </c>
      <c r="B789">
        <v>5</v>
      </c>
      <c r="C789" s="3">
        <v>46053</v>
      </c>
      <c r="D789" t="s">
        <v>27</v>
      </c>
      <c r="E789" t="s">
        <v>897</v>
      </c>
      <c r="F789" t="s">
        <v>193</v>
      </c>
      <c r="G789" t="s">
        <v>72</v>
      </c>
      <c r="H789" t="s">
        <v>224</v>
      </c>
      <c r="I789" t="s">
        <v>92</v>
      </c>
      <c r="J789" t="s">
        <v>92</v>
      </c>
      <c r="K789" t="s">
        <v>64</v>
      </c>
      <c r="L789" t="s">
        <v>65</v>
      </c>
      <c r="M789" t="s">
        <v>188</v>
      </c>
      <c r="N789">
        <v>12.65</v>
      </c>
      <c r="O789">
        <v>25.4545454545455</v>
      </c>
      <c r="P789">
        <v>84.11</v>
      </c>
      <c r="Q789">
        <v>109.564545454545</v>
      </c>
      <c r="R789">
        <v>0</v>
      </c>
      <c r="S789">
        <v>109.564545454545</v>
      </c>
      <c r="T789">
        <v>81</v>
      </c>
      <c r="U789">
        <f>SUMIF(货件明细!J:J,E789,货件明细!AP:AP)</f>
        <v>0</v>
      </c>
      <c r="V789">
        <f>IF(U789=T789,0,1)</f>
        <v>1</v>
      </c>
      <c r="W789">
        <f>T789</f>
        <v>81</v>
      </c>
      <c r="X789">
        <f>SUMIF(货件明细!J:J,E789,货件明细!H:H)</f>
        <v>0</v>
      </c>
      <c r="Y789">
        <f>N789-X789</f>
        <v>12.65</v>
      </c>
      <c r="Z789">
        <f>SUMIF(货件明细!J:J,E789,货件明细!I:I)</f>
        <v>0</v>
      </c>
      <c r="AA789">
        <f>IF(S789=Z789,0,1)</f>
        <v>1</v>
      </c>
    </row>
    <row r="790" hidden="1" spans="1:27">
      <c r="A790">
        <v>1</v>
      </c>
      <c r="B790">
        <v>5</v>
      </c>
      <c r="C790" s="3">
        <v>46053</v>
      </c>
      <c r="D790" t="s">
        <v>27</v>
      </c>
      <c r="E790" t="s">
        <v>898</v>
      </c>
      <c r="F790" t="s">
        <v>715</v>
      </c>
      <c r="G790" t="s">
        <v>69</v>
      </c>
      <c r="H790" t="s">
        <v>224</v>
      </c>
      <c r="I790" t="s">
        <v>92</v>
      </c>
      <c r="J790" t="s">
        <v>92</v>
      </c>
      <c r="K790" t="s">
        <v>64</v>
      </c>
      <c r="L790" t="s">
        <v>65</v>
      </c>
      <c r="M790" t="s">
        <v>93</v>
      </c>
      <c r="N790">
        <v>12.65</v>
      </c>
      <c r="O790">
        <v>14</v>
      </c>
      <c r="P790">
        <v>98.8357142857143</v>
      </c>
      <c r="Q790">
        <v>112.835714285714</v>
      </c>
      <c r="R790">
        <v>0</v>
      </c>
      <c r="S790">
        <v>112.835714285714</v>
      </c>
      <c r="T790">
        <v>81</v>
      </c>
      <c r="U790">
        <f>SUMIF(货件明细!J:J,E790,货件明细!AP:AP)</f>
        <v>0</v>
      </c>
      <c r="V790">
        <f>IF(U790=T790,0,1)</f>
        <v>1</v>
      </c>
      <c r="W790">
        <f>T790</f>
        <v>81</v>
      </c>
      <c r="X790">
        <f>SUMIF(货件明细!J:J,E790,货件明细!H:H)</f>
        <v>0</v>
      </c>
      <c r="Y790">
        <f>N790-X790</f>
        <v>12.65</v>
      </c>
      <c r="Z790">
        <f>SUMIF(货件明细!J:J,E790,货件明细!I:I)</f>
        <v>0</v>
      </c>
      <c r="AA790">
        <f>IF(S790=Z790,0,1)</f>
        <v>1</v>
      </c>
    </row>
    <row r="791" spans="1:27">
      <c r="A791">
        <v>2</v>
      </c>
      <c r="B791">
        <v>6</v>
      </c>
      <c r="C791" s="3">
        <v>46056</v>
      </c>
      <c r="D791" t="s">
        <v>27</v>
      </c>
      <c r="E791" t="s">
        <v>899</v>
      </c>
      <c r="F791" t="s">
        <v>29</v>
      </c>
      <c r="G791" t="s">
        <v>30</v>
      </c>
      <c r="H791" t="s">
        <v>59</v>
      </c>
      <c r="I791" t="s">
        <v>42</v>
      </c>
      <c r="J791" t="s">
        <v>42</v>
      </c>
      <c r="K791" t="s">
        <v>33</v>
      </c>
      <c r="L791" t="s">
        <v>207</v>
      </c>
      <c r="M791" t="s">
        <v>900</v>
      </c>
      <c r="N791">
        <v>21.7</v>
      </c>
      <c r="O791">
        <v>66.6666666666667</v>
      </c>
      <c r="P791">
        <v>1122.8</v>
      </c>
      <c r="Q791">
        <v>1189.46666666667</v>
      </c>
      <c r="R791">
        <v>184.314</v>
      </c>
      <c r="S791">
        <v>1373.78066666667</v>
      </c>
      <c r="T791">
        <v>102</v>
      </c>
      <c r="U791">
        <f>SUMIF(货件明细!J:J,E791,货件明细!AP:AP)</f>
        <v>102</v>
      </c>
      <c r="V791">
        <f>IF(U791=T791,0,1)</f>
        <v>0</v>
      </c>
      <c r="W791">
        <f>T791</f>
        <v>102</v>
      </c>
      <c r="X791">
        <f>SUMIF(货件明细!J:J,E791,货件明细!H:H)</f>
        <v>20.604</v>
      </c>
      <c r="Y791">
        <f>N791-X791</f>
        <v>1.096</v>
      </c>
      <c r="Z791">
        <f>SUMIF(货件明细!J:J,E791,货件明细!I:I)</f>
        <v>1373.78066666667</v>
      </c>
      <c r="AA791">
        <f>IF(S791=Z791,0,1)</f>
        <v>0</v>
      </c>
    </row>
    <row r="792" spans="1:27">
      <c r="A792">
        <v>2</v>
      </c>
      <c r="B792">
        <v>6</v>
      </c>
      <c r="C792" s="3">
        <v>46056</v>
      </c>
      <c r="D792" t="s">
        <v>27</v>
      </c>
      <c r="E792" t="s">
        <v>901</v>
      </c>
      <c r="F792" t="s">
        <v>29</v>
      </c>
      <c r="G792" t="s">
        <v>30</v>
      </c>
      <c r="H792" t="s">
        <v>46</v>
      </c>
      <c r="I792" t="s">
        <v>42</v>
      </c>
      <c r="J792" t="s">
        <v>42</v>
      </c>
      <c r="K792" t="s">
        <v>33</v>
      </c>
      <c r="L792" t="s">
        <v>207</v>
      </c>
      <c r="M792" t="s">
        <v>900</v>
      </c>
      <c r="N792">
        <v>13.9</v>
      </c>
      <c r="O792">
        <v>66.6666666666667</v>
      </c>
      <c r="P792">
        <v>722.8</v>
      </c>
      <c r="Q792">
        <v>789.466666666667</v>
      </c>
      <c r="R792">
        <v>110.088</v>
      </c>
      <c r="S792">
        <v>899.554666666667</v>
      </c>
      <c r="T792">
        <v>99</v>
      </c>
      <c r="U792">
        <f>SUMIF(货件明细!J:J,E792,货件明细!AP:AP)</f>
        <v>99</v>
      </c>
      <c r="V792">
        <f>IF(U792=T792,0,1)</f>
        <v>0</v>
      </c>
      <c r="W792">
        <f>T792</f>
        <v>99</v>
      </c>
      <c r="X792">
        <f>SUMIF(货件明细!J:J,E792,货件明细!H:H)</f>
        <v>13.068</v>
      </c>
      <c r="Y792">
        <f>N792-X792</f>
        <v>0.832000000000001</v>
      </c>
      <c r="Z792">
        <f>SUMIF(货件明细!J:J,E792,货件明细!I:I)</f>
        <v>899.554666666667</v>
      </c>
      <c r="AA792">
        <f>IF(S792=Z792,0,1)</f>
        <v>0</v>
      </c>
    </row>
    <row r="793" spans="1:27">
      <c r="A793">
        <v>2</v>
      </c>
      <c r="B793">
        <v>6</v>
      </c>
      <c r="C793" s="3">
        <v>46056</v>
      </c>
      <c r="D793" t="s">
        <v>27</v>
      </c>
      <c r="E793" t="s">
        <v>902</v>
      </c>
      <c r="F793" t="s">
        <v>29</v>
      </c>
      <c r="G793" t="s">
        <v>30</v>
      </c>
      <c r="H793" t="s">
        <v>224</v>
      </c>
      <c r="I793" t="s">
        <v>42</v>
      </c>
      <c r="J793" t="s">
        <v>42</v>
      </c>
      <c r="K793" t="s">
        <v>33</v>
      </c>
      <c r="L793" t="s">
        <v>207</v>
      </c>
      <c r="M793" t="s">
        <v>900</v>
      </c>
      <c r="N793">
        <v>10.9</v>
      </c>
      <c r="O793">
        <v>66.6666666666667</v>
      </c>
      <c r="P793">
        <v>572.8</v>
      </c>
      <c r="Q793">
        <v>639.466666666667</v>
      </c>
      <c r="R793">
        <v>110.088</v>
      </c>
      <c r="S793">
        <v>749.554666666667</v>
      </c>
      <c r="T793">
        <v>99</v>
      </c>
      <c r="U793">
        <f>SUMIF(货件明细!J:J,E793,货件明细!AP:AP)</f>
        <v>99</v>
      </c>
      <c r="V793">
        <f>IF(U793=T793,0,1)</f>
        <v>0</v>
      </c>
      <c r="W793">
        <f>T793</f>
        <v>99</v>
      </c>
      <c r="X793">
        <f>SUMIF(货件明细!J:J,E793,货件明细!H:H)</f>
        <v>10.296</v>
      </c>
      <c r="Y793">
        <f>N793-X793</f>
        <v>0.604000000000001</v>
      </c>
      <c r="Z793">
        <f>SUMIF(货件明细!J:J,E793,货件明细!I:I)</f>
        <v>749.554666666667</v>
      </c>
      <c r="AA793">
        <f>IF(S793=Z793,0,1)</f>
        <v>0</v>
      </c>
    </row>
    <row r="794" hidden="1" spans="1:27">
      <c r="A794">
        <v>2</v>
      </c>
      <c r="B794">
        <v>6</v>
      </c>
      <c r="C794" s="3">
        <v>46057</v>
      </c>
      <c r="D794" t="s">
        <v>88</v>
      </c>
      <c r="E794" t="s">
        <v>903</v>
      </c>
      <c r="F794" t="s">
        <v>211</v>
      </c>
      <c r="G794" t="s">
        <v>72</v>
      </c>
      <c r="H794" t="s">
        <v>59</v>
      </c>
      <c r="I794" t="s">
        <v>63</v>
      </c>
      <c r="J794" t="s">
        <v>63</v>
      </c>
      <c r="K794" t="s">
        <v>64</v>
      </c>
      <c r="L794" t="s">
        <v>65</v>
      </c>
      <c r="M794" t="s">
        <v>66</v>
      </c>
      <c r="N794">
        <v>806.95</v>
      </c>
      <c r="O794">
        <v>56</v>
      </c>
      <c r="P794">
        <v>2843.31818181818</v>
      </c>
      <c r="Q794">
        <v>2899.31818181818</v>
      </c>
      <c r="R794">
        <v>0</v>
      </c>
      <c r="S794">
        <v>2899.31818181818</v>
      </c>
      <c r="T794">
        <v>5908</v>
      </c>
      <c r="U794">
        <f>SUMIF(货件明细!J:J,E794,货件明细!AP:AP)</f>
        <v>0</v>
      </c>
      <c r="V794">
        <f>IF(U794=T794,0,1)</f>
        <v>1</v>
      </c>
      <c r="W794">
        <f>T794</f>
        <v>5908</v>
      </c>
      <c r="X794">
        <f>SUMIF(货件明细!J:J,E794,货件明细!H:H)</f>
        <v>0</v>
      </c>
      <c r="Y794">
        <f>N794-X794</f>
        <v>806.95</v>
      </c>
      <c r="Z794">
        <f>SUMIF(货件明细!J:J,E794,货件明细!I:I)</f>
        <v>0</v>
      </c>
      <c r="AA794">
        <f>IF(S794=Z794,0,1)</f>
        <v>1</v>
      </c>
    </row>
    <row r="795" hidden="1" spans="1:27">
      <c r="A795">
        <v>2</v>
      </c>
      <c r="B795">
        <v>6</v>
      </c>
      <c r="C795" s="3">
        <v>46057</v>
      </c>
      <c r="D795" t="s">
        <v>88</v>
      </c>
      <c r="E795" t="s">
        <v>904</v>
      </c>
      <c r="F795" t="s">
        <v>211</v>
      </c>
      <c r="G795" t="s">
        <v>72</v>
      </c>
      <c r="H795" t="s">
        <v>56</v>
      </c>
      <c r="I795" t="s">
        <v>63</v>
      </c>
      <c r="J795" t="s">
        <v>63</v>
      </c>
      <c r="K795" t="s">
        <v>64</v>
      </c>
      <c r="L795" t="s">
        <v>65</v>
      </c>
      <c r="M795" t="s">
        <v>66</v>
      </c>
      <c r="N795">
        <v>727.95</v>
      </c>
      <c r="O795">
        <v>56</v>
      </c>
      <c r="P795">
        <v>2353.09090909091</v>
      </c>
      <c r="Q795">
        <v>2409.09090909091</v>
      </c>
      <c r="R795">
        <v>0</v>
      </c>
      <c r="S795">
        <v>2409.09090909091</v>
      </c>
      <c r="T795">
        <v>5075</v>
      </c>
      <c r="U795">
        <f>SUMIF(货件明细!J:J,E795,货件明细!AP:AP)</f>
        <v>0</v>
      </c>
      <c r="V795">
        <f>IF(U795=T795,0,1)</f>
        <v>1</v>
      </c>
      <c r="W795">
        <f>T795</f>
        <v>5075</v>
      </c>
      <c r="X795">
        <f>SUMIF(货件明细!J:J,E795,货件明细!H:H)</f>
        <v>0</v>
      </c>
      <c r="Y795">
        <f>N795-X795</f>
        <v>727.95</v>
      </c>
      <c r="Z795">
        <f>SUMIF(货件明细!J:J,E795,货件明细!I:I)</f>
        <v>0</v>
      </c>
      <c r="AA795">
        <f>IF(S795=Z795,0,1)</f>
        <v>1</v>
      </c>
    </row>
    <row r="796" hidden="1" spans="1:27">
      <c r="A796">
        <v>2</v>
      </c>
      <c r="B796">
        <v>6</v>
      </c>
      <c r="C796" s="3">
        <v>46057</v>
      </c>
      <c r="D796" t="s">
        <v>88</v>
      </c>
      <c r="E796" t="s">
        <v>905</v>
      </c>
      <c r="F796" t="s">
        <v>211</v>
      </c>
      <c r="G796" t="s">
        <v>72</v>
      </c>
      <c r="H796" t="s">
        <v>51</v>
      </c>
      <c r="I796" t="s">
        <v>63</v>
      </c>
      <c r="J796" t="s">
        <v>63</v>
      </c>
      <c r="K796" t="s">
        <v>64</v>
      </c>
      <c r="L796" t="s">
        <v>65</v>
      </c>
      <c r="M796" t="s">
        <v>66</v>
      </c>
      <c r="N796">
        <v>76.35</v>
      </c>
      <c r="O796">
        <v>56</v>
      </c>
      <c r="P796">
        <v>294.136363636364</v>
      </c>
      <c r="Q796">
        <v>350.136363636364</v>
      </c>
      <c r="R796">
        <v>0</v>
      </c>
      <c r="S796">
        <v>350.136363636364</v>
      </c>
      <c r="T796">
        <v>554</v>
      </c>
      <c r="U796">
        <f>SUMIF(货件明细!J:J,E796,货件明细!AP:AP)</f>
        <v>0</v>
      </c>
      <c r="V796">
        <f>IF(U796=T796,0,1)</f>
        <v>1</v>
      </c>
      <c r="W796">
        <f>T796</f>
        <v>554</v>
      </c>
      <c r="X796">
        <f>SUMIF(货件明细!J:J,E796,货件明细!H:H)</f>
        <v>0</v>
      </c>
      <c r="Y796">
        <f>N796-X796</f>
        <v>76.35</v>
      </c>
      <c r="Z796">
        <f>SUMIF(货件明细!J:J,E796,货件明细!I:I)</f>
        <v>0</v>
      </c>
      <c r="AA796">
        <f>IF(S796=Z796,0,1)</f>
        <v>1</v>
      </c>
    </row>
    <row r="797" hidden="1" spans="1:27">
      <c r="A797">
        <v>2</v>
      </c>
      <c r="B797">
        <v>6</v>
      </c>
      <c r="C797" s="3">
        <v>46057</v>
      </c>
      <c r="D797" t="s">
        <v>88</v>
      </c>
      <c r="E797" t="s">
        <v>906</v>
      </c>
      <c r="F797" t="s">
        <v>211</v>
      </c>
      <c r="G797" t="s">
        <v>72</v>
      </c>
      <c r="H797" t="s">
        <v>224</v>
      </c>
      <c r="I797" t="s">
        <v>63</v>
      </c>
      <c r="J797" t="s">
        <v>63</v>
      </c>
      <c r="K797" t="s">
        <v>64</v>
      </c>
      <c r="L797" t="s">
        <v>65</v>
      </c>
      <c r="M797" t="s">
        <v>66</v>
      </c>
      <c r="N797">
        <v>112.7</v>
      </c>
      <c r="O797">
        <v>56</v>
      </c>
      <c r="P797">
        <v>441.204545454545</v>
      </c>
      <c r="Q797">
        <v>497.204545454545</v>
      </c>
      <c r="R797">
        <v>0</v>
      </c>
      <c r="S797">
        <v>497.204545454545</v>
      </c>
      <c r="T797">
        <v>765</v>
      </c>
      <c r="U797">
        <f>SUMIF(货件明细!J:J,E797,货件明细!AP:AP)</f>
        <v>0</v>
      </c>
      <c r="V797">
        <f>IF(U797=T797,0,1)</f>
        <v>1</v>
      </c>
      <c r="W797">
        <f>T797</f>
        <v>765</v>
      </c>
      <c r="X797">
        <f>SUMIF(货件明细!J:J,E797,货件明细!H:H)</f>
        <v>0</v>
      </c>
      <c r="Y797">
        <f>N797-X797</f>
        <v>112.7</v>
      </c>
      <c r="Z797">
        <f>SUMIF(货件明细!J:J,E797,货件明细!I:I)</f>
        <v>0</v>
      </c>
      <c r="AA797">
        <f>IF(S797=Z797,0,1)</f>
        <v>1</v>
      </c>
    </row>
    <row r="798" hidden="1" spans="1:27">
      <c r="A798">
        <v>2</v>
      </c>
      <c r="B798">
        <v>6</v>
      </c>
      <c r="C798" s="3">
        <v>46057</v>
      </c>
      <c r="D798" t="s">
        <v>27</v>
      </c>
      <c r="E798" t="s">
        <v>907</v>
      </c>
      <c r="F798" t="s">
        <v>203</v>
      </c>
      <c r="G798" t="s">
        <v>72</v>
      </c>
      <c r="H798" t="s">
        <v>224</v>
      </c>
      <c r="I798" t="s">
        <v>63</v>
      </c>
      <c r="J798" t="s">
        <v>63</v>
      </c>
      <c r="K798" t="s">
        <v>64</v>
      </c>
      <c r="L798" t="s">
        <v>65</v>
      </c>
      <c r="M798" t="s">
        <v>664</v>
      </c>
      <c r="N798">
        <v>11.34</v>
      </c>
      <c r="O798">
        <v>56</v>
      </c>
      <c r="P798">
        <v>46.2</v>
      </c>
      <c r="Q798">
        <v>102.2</v>
      </c>
      <c r="R798">
        <v>120.096</v>
      </c>
      <c r="S798">
        <v>222.296</v>
      </c>
      <c r="T798">
        <v>48</v>
      </c>
      <c r="U798">
        <f>SUMIF(货件明细!J:J,E798,货件明细!AP:AP)</f>
        <v>0</v>
      </c>
      <c r="V798">
        <f>IF(U798=T798,0,1)</f>
        <v>1</v>
      </c>
      <c r="W798">
        <f>T798</f>
        <v>48</v>
      </c>
      <c r="X798">
        <f>SUMIF(货件明细!J:J,E798,货件明细!H:H)</f>
        <v>0</v>
      </c>
      <c r="Y798">
        <f>N798-X798</f>
        <v>11.34</v>
      </c>
      <c r="Z798">
        <f>SUMIF(货件明细!J:J,E798,货件明细!I:I)</f>
        <v>0</v>
      </c>
      <c r="AA798">
        <f>IF(S798=Z798,0,1)</f>
        <v>1</v>
      </c>
    </row>
    <row r="799" spans="1:27">
      <c r="A799">
        <v>2</v>
      </c>
      <c r="B799">
        <v>6</v>
      </c>
      <c r="C799" s="3">
        <v>46058</v>
      </c>
      <c r="D799" t="s">
        <v>27</v>
      </c>
      <c r="E799" t="s">
        <v>908</v>
      </c>
      <c r="F799" t="s">
        <v>652</v>
      </c>
      <c r="G799" t="s">
        <v>72</v>
      </c>
      <c r="H799" t="s">
        <v>78</v>
      </c>
      <c r="I799" t="s">
        <v>32</v>
      </c>
      <c r="J799" t="s">
        <v>32</v>
      </c>
      <c r="K799" t="s">
        <v>33</v>
      </c>
      <c r="L799" t="s">
        <v>43</v>
      </c>
      <c r="M799" t="s">
        <v>47</v>
      </c>
      <c r="N799">
        <v>12.75</v>
      </c>
      <c r="O799">
        <v>350</v>
      </c>
      <c r="P799">
        <v>650</v>
      </c>
      <c r="Q799">
        <v>1021</v>
      </c>
      <c r="R799">
        <v>208.5</v>
      </c>
      <c r="S799">
        <v>1229.5</v>
      </c>
      <c r="T799">
        <v>100</v>
      </c>
      <c r="U799">
        <f>SUMIF(货件明细!J:J,E799,货件明细!AP:AP)</f>
        <v>100</v>
      </c>
      <c r="V799">
        <f>IF(U799=T799,0,1)</f>
        <v>0</v>
      </c>
      <c r="W799">
        <f>T799</f>
        <v>100</v>
      </c>
      <c r="X799">
        <f>SUMIF(货件明细!J:J,E799,货件明细!H:H)</f>
        <v>12</v>
      </c>
      <c r="Y799">
        <f>N799-X799</f>
        <v>0.75</v>
      </c>
      <c r="Z799">
        <f>SUMIF(货件明细!J:J,E799,货件明细!I:I)</f>
        <v>1229.5</v>
      </c>
      <c r="AA799">
        <f>IF(S799=Z799,0,1)</f>
        <v>0</v>
      </c>
    </row>
    <row r="800" spans="1:27">
      <c r="A800">
        <v>2</v>
      </c>
      <c r="B800">
        <v>6</v>
      </c>
      <c r="C800" s="3">
        <v>46058</v>
      </c>
      <c r="D800" t="s">
        <v>27</v>
      </c>
      <c r="E800" t="s">
        <v>909</v>
      </c>
      <c r="F800" t="s">
        <v>652</v>
      </c>
      <c r="G800" t="s">
        <v>72</v>
      </c>
      <c r="H800" t="s">
        <v>51</v>
      </c>
      <c r="I800" t="s">
        <v>32</v>
      </c>
      <c r="J800" t="s">
        <v>32</v>
      </c>
      <c r="K800" t="s">
        <v>33</v>
      </c>
      <c r="L800" t="s">
        <v>43</v>
      </c>
      <c r="M800" t="s">
        <v>47</v>
      </c>
      <c r="N800">
        <v>62.4</v>
      </c>
      <c r="O800">
        <v>87.5</v>
      </c>
      <c r="P800">
        <v>2772</v>
      </c>
      <c r="Q800">
        <v>2864.75</v>
      </c>
      <c r="R800">
        <v>1109.22</v>
      </c>
      <c r="S800">
        <v>3973.97</v>
      </c>
      <c r="T800">
        <v>532</v>
      </c>
      <c r="U800">
        <f>SUMIF(货件明细!J:J,E800,货件明细!AP:AP)</f>
        <v>532</v>
      </c>
      <c r="V800">
        <f>IF(U800=T800,0,1)</f>
        <v>0</v>
      </c>
      <c r="W800">
        <f>T800</f>
        <v>532</v>
      </c>
      <c r="X800">
        <f>SUMIF(货件明细!J:J,E800,货件明细!H:H)</f>
        <v>59.51</v>
      </c>
      <c r="Y800">
        <f>N800-X800</f>
        <v>2.88999999999999</v>
      </c>
      <c r="Z800">
        <f>SUMIF(货件明细!J:J,E800,货件明细!I:I)</f>
        <v>3973.97</v>
      </c>
      <c r="AA800">
        <f>IF(S800=Z800,0,1)</f>
        <v>0</v>
      </c>
    </row>
    <row r="801" spans="1:27">
      <c r="A801">
        <v>2</v>
      </c>
      <c r="B801">
        <v>6</v>
      </c>
      <c r="C801" s="3">
        <v>46058</v>
      </c>
      <c r="D801" t="s">
        <v>27</v>
      </c>
      <c r="E801" t="s">
        <v>910</v>
      </c>
      <c r="F801" t="s">
        <v>652</v>
      </c>
      <c r="G801" t="s">
        <v>72</v>
      </c>
      <c r="H801" t="s">
        <v>46</v>
      </c>
      <c r="I801" t="s">
        <v>32</v>
      </c>
      <c r="J801" t="s">
        <v>32</v>
      </c>
      <c r="K801" t="s">
        <v>33</v>
      </c>
      <c r="L801" t="s">
        <v>43</v>
      </c>
      <c r="M801" t="s">
        <v>47</v>
      </c>
      <c r="N801">
        <v>43.55</v>
      </c>
      <c r="O801">
        <v>87.5</v>
      </c>
      <c r="P801">
        <v>1936</v>
      </c>
      <c r="Q801">
        <v>2028.75</v>
      </c>
      <c r="R801">
        <v>621.33</v>
      </c>
      <c r="S801">
        <v>2650.08</v>
      </c>
      <c r="T801">
        <v>288</v>
      </c>
      <c r="U801">
        <f>SUMIF(货件明细!J:J,E801,货件明细!AP:AP)</f>
        <v>288</v>
      </c>
      <c r="V801">
        <f>IF(U801=T801,0,1)</f>
        <v>0</v>
      </c>
      <c r="W801">
        <f>T801</f>
        <v>288</v>
      </c>
      <c r="X801">
        <f>SUMIF(货件明细!J:J,E801,货件明细!H:H)</f>
        <v>41.266</v>
      </c>
      <c r="Y801">
        <f>N801-X801</f>
        <v>2.284</v>
      </c>
      <c r="Z801">
        <f>SUMIF(货件明细!J:J,E801,货件明细!I:I)</f>
        <v>2650.08</v>
      </c>
      <c r="AA801">
        <f>IF(S801=Z801,0,1)</f>
        <v>0</v>
      </c>
    </row>
    <row r="802" spans="1:27">
      <c r="A802">
        <v>2</v>
      </c>
      <c r="B802">
        <v>6</v>
      </c>
      <c r="C802" s="3">
        <v>46058</v>
      </c>
      <c r="D802" t="s">
        <v>27</v>
      </c>
      <c r="E802" t="s">
        <v>911</v>
      </c>
      <c r="F802" t="s">
        <v>652</v>
      </c>
      <c r="G802" t="s">
        <v>72</v>
      </c>
      <c r="H802" t="s">
        <v>31</v>
      </c>
      <c r="I802" t="s">
        <v>32</v>
      </c>
      <c r="J802" t="s">
        <v>32</v>
      </c>
      <c r="K802" t="s">
        <v>33</v>
      </c>
      <c r="L802" t="s">
        <v>43</v>
      </c>
      <c r="M802" t="s">
        <v>47</v>
      </c>
      <c r="N802">
        <v>14.8</v>
      </c>
      <c r="O802">
        <v>87.5</v>
      </c>
      <c r="P802">
        <v>616</v>
      </c>
      <c r="Q802">
        <v>708.75</v>
      </c>
      <c r="R802">
        <v>200.16</v>
      </c>
      <c r="S802">
        <v>908.91</v>
      </c>
      <c r="T802">
        <v>96</v>
      </c>
      <c r="U802">
        <f>SUMIF(货件明细!J:J,E802,货件明细!AP:AP)</f>
        <v>96</v>
      </c>
      <c r="V802">
        <f>IF(U802=T802,0,1)</f>
        <v>0</v>
      </c>
      <c r="W802">
        <f>T802</f>
        <v>96</v>
      </c>
      <c r="X802">
        <f>SUMIF(货件明细!J:J,E802,货件明细!H:H)</f>
        <v>14.016</v>
      </c>
      <c r="Y802">
        <f>N802-X802</f>
        <v>0.784000000000001</v>
      </c>
      <c r="Z802">
        <f>SUMIF(货件明细!J:J,E802,货件明细!I:I)</f>
        <v>908.91</v>
      </c>
      <c r="AA802">
        <f>IF(S802=Z802,0,1)</f>
        <v>0</v>
      </c>
    </row>
    <row r="803" spans="1:27">
      <c r="A803">
        <v>2</v>
      </c>
      <c r="B803">
        <v>6</v>
      </c>
      <c r="C803" s="3">
        <v>46058</v>
      </c>
      <c r="D803" t="s">
        <v>27</v>
      </c>
      <c r="E803" t="s">
        <v>912</v>
      </c>
      <c r="F803" t="s">
        <v>652</v>
      </c>
      <c r="G803" t="s">
        <v>72</v>
      </c>
      <c r="H803" t="s">
        <v>51</v>
      </c>
      <c r="I803" t="s">
        <v>32</v>
      </c>
      <c r="J803" t="s">
        <v>32</v>
      </c>
      <c r="K803" t="s">
        <v>33</v>
      </c>
      <c r="L803" t="s">
        <v>43</v>
      </c>
      <c r="M803" t="s">
        <v>47</v>
      </c>
      <c r="N803">
        <v>71</v>
      </c>
      <c r="O803">
        <v>87.5</v>
      </c>
      <c r="P803">
        <v>3124</v>
      </c>
      <c r="Q803">
        <v>3216.75</v>
      </c>
      <c r="R803">
        <v>1234.32</v>
      </c>
      <c r="S803">
        <v>4451.07</v>
      </c>
      <c r="T803">
        <v>560</v>
      </c>
      <c r="U803">
        <f>SUMIF(货件明细!J:J,E803,货件明细!AP:AP)</f>
        <v>560</v>
      </c>
      <c r="V803">
        <f>IF(U803=T803,0,1)</f>
        <v>0</v>
      </c>
      <c r="W803">
        <f>T803</f>
        <v>560</v>
      </c>
      <c r="X803">
        <f>SUMIF(货件明细!J:J,E803,货件明细!H:H)</f>
        <v>65.8</v>
      </c>
      <c r="Y803">
        <f>N803-X803</f>
        <v>5.2</v>
      </c>
      <c r="Z803">
        <f>SUMIF(货件明细!J:J,E803,货件明细!I:I)</f>
        <v>4451.07</v>
      </c>
      <c r="AA803">
        <f>IF(S803=Z803,0,1)</f>
        <v>0</v>
      </c>
    </row>
    <row r="804" hidden="1" spans="1:27">
      <c r="A804">
        <v>2</v>
      </c>
      <c r="B804">
        <v>6</v>
      </c>
      <c r="C804" s="3">
        <v>46060</v>
      </c>
      <c r="D804" t="s">
        <v>27</v>
      </c>
      <c r="E804" t="s">
        <v>913</v>
      </c>
      <c r="F804" t="s">
        <v>68</v>
      </c>
      <c r="G804" t="s">
        <v>69</v>
      </c>
      <c r="H804" t="s">
        <v>78</v>
      </c>
      <c r="I804" t="s">
        <v>63</v>
      </c>
      <c r="J804" t="s">
        <v>63</v>
      </c>
      <c r="K804" t="s">
        <v>64</v>
      </c>
      <c r="L804" t="s">
        <v>65</v>
      </c>
      <c r="M804" t="s">
        <v>66</v>
      </c>
      <c r="N804">
        <v>15.25</v>
      </c>
      <c r="O804">
        <v>22</v>
      </c>
      <c r="P804">
        <v>63.75</v>
      </c>
      <c r="Q804">
        <v>85.75</v>
      </c>
      <c r="R804">
        <v>0</v>
      </c>
      <c r="S804">
        <v>85.75</v>
      </c>
      <c r="T804">
        <v>124</v>
      </c>
      <c r="U804">
        <f>SUMIF(货件明细!J:J,E804,货件明细!AP:AP)</f>
        <v>0</v>
      </c>
      <c r="V804">
        <f>IF(U804=T804,0,1)</f>
        <v>1</v>
      </c>
      <c r="W804">
        <f>T804</f>
        <v>124</v>
      </c>
      <c r="X804">
        <f>SUMIF(货件明细!J:J,E804,货件明细!H:H)</f>
        <v>0</v>
      </c>
      <c r="Y804">
        <f>N804-X804</f>
        <v>15.25</v>
      </c>
      <c r="Z804">
        <f>SUMIF(货件明细!J:J,E804,货件明细!I:I)</f>
        <v>0</v>
      </c>
      <c r="AA804">
        <f>IF(S804=Z804,0,1)</f>
        <v>1</v>
      </c>
    </row>
    <row r="805" hidden="1" spans="1:27">
      <c r="A805">
        <v>2</v>
      </c>
      <c r="B805">
        <v>6</v>
      </c>
      <c r="C805" s="3">
        <v>46060</v>
      </c>
      <c r="D805" t="s">
        <v>27</v>
      </c>
      <c r="E805" t="s">
        <v>914</v>
      </c>
      <c r="F805" t="s">
        <v>198</v>
      </c>
      <c r="G805" t="s">
        <v>69</v>
      </c>
      <c r="H805" t="s">
        <v>78</v>
      </c>
      <c r="I805" t="s">
        <v>63</v>
      </c>
      <c r="J805" t="s">
        <v>63</v>
      </c>
      <c r="K805" t="s">
        <v>64</v>
      </c>
      <c r="L805" t="s">
        <v>65</v>
      </c>
      <c r="M805" t="s">
        <v>66</v>
      </c>
      <c r="N805">
        <v>15.25</v>
      </c>
      <c r="O805">
        <v>22</v>
      </c>
      <c r="P805">
        <v>63.75</v>
      </c>
      <c r="Q805">
        <v>85.75</v>
      </c>
      <c r="R805">
        <v>0</v>
      </c>
      <c r="S805">
        <v>85.75</v>
      </c>
      <c r="T805">
        <v>124</v>
      </c>
      <c r="U805">
        <f>SUMIF(货件明细!J:J,E805,货件明细!AP:AP)</f>
        <v>0</v>
      </c>
      <c r="V805">
        <f>IF(U805=T805,0,1)</f>
        <v>1</v>
      </c>
      <c r="W805">
        <f>T805</f>
        <v>124</v>
      </c>
      <c r="X805">
        <f>SUMIF(货件明细!J:J,E805,货件明细!H:H)</f>
        <v>0</v>
      </c>
      <c r="Y805">
        <f>N805-X805</f>
        <v>15.25</v>
      </c>
      <c r="Z805">
        <f>SUMIF(货件明细!J:J,E805,货件明细!I:I)</f>
        <v>0</v>
      </c>
      <c r="AA805">
        <f>IF(S805=Z805,0,1)</f>
        <v>1</v>
      </c>
    </row>
    <row r="806" hidden="1" spans="1:27">
      <c r="A806">
        <v>2</v>
      </c>
      <c r="B806">
        <v>6</v>
      </c>
      <c r="C806" s="3">
        <v>46060</v>
      </c>
      <c r="D806" t="s">
        <v>27</v>
      </c>
      <c r="E806" t="s">
        <v>915</v>
      </c>
      <c r="F806" t="s">
        <v>98</v>
      </c>
      <c r="G806" t="s">
        <v>72</v>
      </c>
      <c r="H806" t="s">
        <v>78</v>
      </c>
      <c r="I806" t="s">
        <v>63</v>
      </c>
      <c r="J806" t="s">
        <v>63</v>
      </c>
      <c r="K806" t="s">
        <v>64</v>
      </c>
      <c r="L806" t="s">
        <v>65</v>
      </c>
      <c r="M806" t="s">
        <v>66</v>
      </c>
      <c r="N806">
        <v>15.25</v>
      </c>
      <c r="O806">
        <v>33</v>
      </c>
      <c r="P806">
        <v>45.75</v>
      </c>
      <c r="Q806">
        <v>78.75</v>
      </c>
      <c r="R806">
        <v>0</v>
      </c>
      <c r="S806">
        <v>78.75</v>
      </c>
      <c r="T806">
        <v>124</v>
      </c>
      <c r="U806">
        <f>SUMIF(货件明细!J:J,E806,货件明细!AP:AP)</f>
        <v>0</v>
      </c>
      <c r="V806">
        <f>IF(U806=T806,0,1)</f>
        <v>1</v>
      </c>
      <c r="W806">
        <f>T806</f>
        <v>124</v>
      </c>
      <c r="X806">
        <f>SUMIF(货件明细!J:J,E806,货件明细!H:H)</f>
        <v>0</v>
      </c>
      <c r="Y806">
        <f>N806-X806</f>
        <v>15.25</v>
      </c>
      <c r="Z806">
        <f>SUMIF(货件明细!J:J,E806,货件明细!I:I)</f>
        <v>0</v>
      </c>
      <c r="AA806">
        <f>IF(S806=Z806,0,1)</f>
        <v>1</v>
      </c>
    </row>
    <row r="807" hidden="1" spans="1:27">
      <c r="A807">
        <v>2</v>
      </c>
      <c r="B807">
        <v>6</v>
      </c>
      <c r="C807" s="3">
        <v>46060</v>
      </c>
      <c r="D807" t="s">
        <v>27</v>
      </c>
      <c r="E807" t="s">
        <v>916</v>
      </c>
      <c r="F807" t="s">
        <v>185</v>
      </c>
      <c r="G807" t="s">
        <v>30</v>
      </c>
      <c r="H807" t="s">
        <v>78</v>
      </c>
      <c r="I807" t="s">
        <v>63</v>
      </c>
      <c r="J807" t="s">
        <v>63</v>
      </c>
      <c r="K807" t="s">
        <v>64</v>
      </c>
      <c r="L807" t="s">
        <v>65</v>
      </c>
      <c r="M807" t="s">
        <v>66</v>
      </c>
      <c r="N807">
        <v>15.25</v>
      </c>
      <c r="O807">
        <v>22</v>
      </c>
      <c r="P807">
        <v>75.75</v>
      </c>
      <c r="Q807">
        <v>97.75</v>
      </c>
      <c r="R807">
        <v>0</v>
      </c>
      <c r="S807">
        <v>97.75</v>
      </c>
      <c r="T807">
        <v>124</v>
      </c>
      <c r="U807">
        <f>SUMIF(货件明细!J:J,E807,货件明细!AP:AP)</f>
        <v>0</v>
      </c>
      <c r="V807">
        <f>IF(U807=T807,0,1)</f>
        <v>1</v>
      </c>
      <c r="W807">
        <f>T807</f>
        <v>124</v>
      </c>
      <c r="X807">
        <f>SUMIF(货件明细!J:J,E807,货件明细!H:H)</f>
        <v>0</v>
      </c>
      <c r="Y807">
        <f>N807-X807</f>
        <v>15.25</v>
      </c>
      <c r="Z807">
        <f>SUMIF(货件明细!J:J,E807,货件明细!I:I)</f>
        <v>0</v>
      </c>
      <c r="AA807">
        <f>IF(S807=Z807,0,1)</f>
        <v>1</v>
      </c>
    </row>
    <row r="808" hidden="1" spans="1:27">
      <c r="A808">
        <v>2</v>
      </c>
      <c r="B808">
        <v>6</v>
      </c>
      <c r="C808" s="3">
        <v>46060</v>
      </c>
      <c r="D808" t="s">
        <v>27</v>
      </c>
      <c r="E808" t="s">
        <v>917</v>
      </c>
      <c r="F808" t="s">
        <v>143</v>
      </c>
      <c r="G808" t="s">
        <v>72</v>
      </c>
      <c r="H808" t="s">
        <v>78</v>
      </c>
      <c r="I808" t="s">
        <v>63</v>
      </c>
      <c r="J808" t="s">
        <v>63</v>
      </c>
      <c r="K808" t="s">
        <v>64</v>
      </c>
      <c r="L808" t="s">
        <v>65</v>
      </c>
      <c r="M808" t="s">
        <v>66</v>
      </c>
      <c r="N808">
        <v>15.25</v>
      </c>
      <c r="O808">
        <v>33</v>
      </c>
      <c r="P808">
        <v>43.5</v>
      </c>
      <c r="Q808">
        <v>76.5</v>
      </c>
      <c r="R808">
        <v>0</v>
      </c>
      <c r="S808">
        <v>76.5</v>
      </c>
      <c r="T808">
        <v>124</v>
      </c>
      <c r="U808">
        <f>SUMIF(货件明细!J:J,E808,货件明细!AP:AP)</f>
        <v>0</v>
      </c>
      <c r="V808">
        <f>IF(U808=T808,0,1)</f>
        <v>1</v>
      </c>
      <c r="W808">
        <f>T808</f>
        <v>124</v>
      </c>
      <c r="X808">
        <f>SUMIF(货件明细!J:J,E808,货件明细!H:H)</f>
        <v>0</v>
      </c>
      <c r="Y808">
        <f>N808-X808</f>
        <v>15.25</v>
      </c>
      <c r="Z808">
        <f>SUMIF(货件明细!J:J,E808,货件明细!I:I)</f>
        <v>0</v>
      </c>
      <c r="AA808">
        <f>IF(S808=Z808,0,1)</f>
        <v>1</v>
      </c>
    </row>
    <row r="809" hidden="1" spans="1:27">
      <c r="A809">
        <v>2</v>
      </c>
      <c r="B809">
        <v>6</v>
      </c>
      <c r="C809" s="3">
        <v>46060</v>
      </c>
      <c r="D809" t="s">
        <v>27</v>
      </c>
      <c r="E809" t="s">
        <v>918</v>
      </c>
      <c r="F809" t="s">
        <v>98</v>
      </c>
      <c r="G809" t="s">
        <v>72</v>
      </c>
      <c r="H809" t="s">
        <v>31</v>
      </c>
      <c r="I809" t="s">
        <v>63</v>
      </c>
      <c r="J809" t="s">
        <v>63</v>
      </c>
      <c r="K809" t="s">
        <v>64</v>
      </c>
      <c r="L809" t="s">
        <v>65</v>
      </c>
      <c r="M809" t="s">
        <v>66</v>
      </c>
      <c r="N809">
        <v>21.95</v>
      </c>
      <c r="O809">
        <v>33</v>
      </c>
      <c r="P809">
        <v>73.2</v>
      </c>
      <c r="Q809">
        <v>106.2</v>
      </c>
      <c r="R809">
        <v>0</v>
      </c>
      <c r="S809">
        <v>106.2</v>
      </c>
      <c r="T809">
        <v>173</v>
      </c>
      <c r="U809">
        <f>SUMIF(货件明细!J:J,E809,货件明细!AP:AP)</f>
        <v>0</v>
      </c>
      <c r="V809">
        <f>IF(U809=T809,0,1)</f>
        <v>1</v>
      </c>
      <c r="W809">
        <f>T809</f>
        <v>173</v>
      </c>
      <c r="X809">
        <f>SUMIF(货件明细!J:J,E809,货件明细!H:H)</f>
        <v>0</v>
      </c>
      <c r="Y809">
        <f>N809-X809</f>
        <v>21.95</v>
      </c>
      <c r="Z809">
        <f>SUMIF(货件明细!J:J,E809,货件明细!I:I)</f>
        <v>0</v>
      </c>
      <c r="AA809">
        <f>IF(S809=Z809,0,1)</f>
        <v>1</v>
      </c>
    </row>
    <row r="810" hidden="1" spans="1:27">
      <c r="A810">
        <v>2</v>
      </c>
      <c r="B810">
        <v>6</v>
      </c>
      <c r="C810" s="3">
        <v>46060</v>
      </c>
      <c r="D810" t="s">
        <v>27</v>
      </c>
      <c r="E810" t="s">
        <v>919</v>
      </c>
      <c r="F810" t="s">
        <v>185</v>
      </c>
      <c r="G810" t="s">
        <v>30</v>
      </c>
      <c r="H810" t="s">
        <v>31</v>
      </c>
      <c r="I810" t="s">
        <v>63</v>
      </c>
      <c r="J810" t="s">
        <v>63</v>
      </c>
      <c r="K810" t="s">
        <v>64</v>
      </c>
      <c r="L810" t="s">
        <v>65</v>
      </c>
      <c r="M810" t="s">
        <v>66</v>
      </c>
      <c r="N810">
        <v>21.95</v>
      </c>
      <c r="O810">
        <v>22</v>
      </c>
      <c r="P810">
        <v>121.2</v>
      </c>
      <c r="Q810">
        <v>143.2</v>
      </c>
      <c r="R810">
        <v>0</v>
      </c>
      <c r="S810">
        <v>143.2</v>
      </c>
      <c r="T810">
        <v>173</v>
      </c>
      <c r="U810">
        <f>SUMIF(货件明细!J:J,E810,货件明细!AP:AP)</f>
        <v>0</v>
      </c>
      <c r="V810">
        <f>IF(U810=T810,0,1)</f>
        <v>1</v>
      </c>
      <c r="W810">
        <f>T810</f>
        <v>173</v>
      </c>
      <c r="X810">
        <f>SUMIF(货件明细!J:J,E810,货件明细!H:H)</f>
        <v>0</v>
      </c>
      <c r="Y810">
        <f>N810-X810</f>
        <v>21.95</v>
      </c>
      <c r="Z810">
        <f>SUMIF(货件明细!J:J,E810,货件明细!I:I)</f>
        <v>0</v>
      </c>
      <c r="AA810">
        <f>IF(S810=Z810,0,1)</f>
        <v>1</v>
      </c>
    </row>
    <row r="811" hidden="1" spans="1:27">
      <c r="A811">
        <v>2</v>
      </c>
      <c r="B811">
        <v>6</v>
      </c>
      <c r="C811" s="3">
        <v>46060</v>
      </c>
      <c r="D811" t="s">
        <v>27</v>
      </c>
      <c r="E811" t="s">
        <v>920</v>
      </c>
      <c r="F811" t="s">
        <v>143</v>
      </c>
      <c r="G811" t="s">
        <v>72</v>
      </c>
      <c r="H811" t="s">
        <v>31</v>
      </c>
      <c r="I811" t="s">
        <v>63</v>
      </c>
      <c r="J811" t="s">
        <v>63</v>
      </c>
      <c r="K811" t="s">
        <v>64</v>
      </c>
      <c r="L811" t="s">
        <v>65</v>
      </c>
      <c r="M811" t="s">
        <v>66</v>
      </c>
      <c r="N811">
        <v>21.95</v>
      </c>
      <c r="O811">
        <v>33</v>
      </c>
      <c r="P811">
        <v>78.3</v>
      </c>
      <c r="Q811">
        <v>111.3</v>
      </c>
      <c r="R811">
        <v>0</v>
      </c>
      <c r="S811">
        <v>111.3</v>
      </c>
      <c r="T811">
        <v>173</v>
      </c>
      <c r="U811">
        <f>SUMIF(货件明细!J:J,E811,货件明细!AP:AP)</f>
        <v>0</v>
      </c>
      <c r="V811">
        <f>IF(U811=T811,0,1)</f>
        <v>1</v>
      </c>
      <c r="W811">
        <f>T811</f>
        <v>173</v>
      </c>
      <c r="X811">
        <f>SUMIF(货件明细!J:J,E811,货件明细!H:H)</f>
        <v>0</v>
      </c>
      <c r="Y811">
        <f>N811-X811</f>
        <v>21.95</v>
      </c>
      <c r="Z811">
        <f>SUMIF(货件明细!J:J,E811,货件明细!I:I)</f>
        <v>0</v>
      </c>
      <c r="AA811">
        <f>IF(S811=Z811,0,1)</f>
        <v>1</v>
      </c>
    </row>
    <row r="812" hidden="1" spans="1:27">
      <c r="A812">
        <v>2</v>
      </c>
      <c r="B812">
        <v>6</v>
      </c>
      <c r="C812" s="3">
        <v>46060</v>
      </c>
      <c r="D812" t="s">
        <v>27</v>
      </c>
      <c r="E812" t="s">
        <v>921</v>
      </c>
      <c r="F812" t="s">
        <v>198</v>
      </c>
      <c r="G812" t="s">
        <v>69</v>
      </c>
      <c r="H812" t="s">
        <v>31</v>
      </c>
      <c r="I812" t="s">
        <v>63</v>
      </c>
      <c r="J812" t="s">
        <v>63</v>
      </c>
      <c r="K812" t="s">
        <v>64</v>
      </c>
      <c r="L812" t="s">
        <v>65</v>
      </c>
      <c r="M812" t="s">
        <v>66</v>
      </c>
      <c r="N812">
        <v>21.95</v>
      </c>
      <c r="O812">
        <v>22</v>
      </c>
      <c r="P812">
        <v>102</v>
      </c>
      <c r="Q812">
        <v>124</v>
      </c>
      <c r="R812">
        <v>0</v>
      </c>
      <c r="S812">
        <v>124</v>
      </c>
      <c r="T812">
        <v>173</v>
      </c>
      <c r="U812">
        <f>SUMIF(货件明细!J:J,E812,货件明细!AP:AP)</f>
        <v>0</v>
      </c>
      <c r="V812">
        <f>IF(U812=T812,0,1)</f>
        <v>1</v>
      </c>
      <c r="W812">
        <f>T812</f>
        <v>173</v>
      </c>
      <c r="X812">
        <f>SUMIF(货件明细!J:J,E812,货件明细!H:H)</f>
        <v>0</v>
      </c>
      <c r="Y812">
        <f>N812-X812</f>
        <v>21.95</v>
      </c>
      <c r="Z812">
        <f>SUMIF(货件明细!J:J,E812,货件明细!I:I)</f>
        <v>0</v>
      </c>
      <c r="AA812">
        <f>IF(S812=Z812,0,1)</f>
        <v>1</v>
      </c>
    </row>
    <row r="813" hidden="1" spans="1:27">
      <c r="A813">
        <v>2</v>
      </c>
      <c r="B813">
        <v>6</v>
      </c>
      <c r="C813" s="3">
        <v>46060</v>
      </c>
      <c r="D813" t="s">
        <v>27</v>
      </c>
      <c r="E813" t="s">
        <v>922</v>
      </c>
      <c r="F813" t="s">
        <v>68</v>
      </c>
      <c r="G813" t="s">
        <v>69</v>
      </c>
      <c r="H813" t="s">
        <v>31</v>
      </c>
      <c r="I813" t="s">
        <v>63</v>
      </c>
      <c r="J813" t="s">
        <v>63</v>
      </c>
      <c r="K813" t="s">
        <v>64</v>
      </c>
      <c r="L813" t="s">
        <v>65</v>
      </c>
      <c r="M813" t="s">
        <v>66</v>
      </c>
      <c r="N813">
        <v>21.95</v>
      </c>
      <c r="O813">
        <v>22</v>
      </c>
      <c r="P813">
        <v>102</v>
      </c>
      <c r="Q813">
        <v>124</v>
      </c>
      <c r="R813">
        <v>0</v>
      </c>
      <c r="S813">
        <v>124</v>
      </c>
      <c r="T813">
        <v>173</v>
      </c>
      <c r="U813">
        <f>SUMIF(货件明细!J:J,E813,货件明细!AP:AP)</f>
        <v>0</v>
      </c>
      <c r="V813">
        <f>IF(U813=T813,0,1)</f>
        <v>1</v>
      </c>
      <c r="W813">
        <f>T813</f>
        <v>173</v>
      </c>
      <c r="X813">
        <f>SUMIF(货件明细!J:J,E813,货件明细!H:H)</f>
        <v>0</v>
      </c>
      <c r="Y813">
        <f>N813-X813</f>
        <v>21.95</v>
      </c>
      <c r="Z813">
        <f>SUMIF(货件明细!J:J,E813,货件明细!I:I)</f>
        <v>0</v>
      </c>
      <c r="AA813">
        <f>IF(S813=Z813,0,1)</f>
        <v>1</v>
      </c>
    </row>
    <row r="814" hidden="1" spans="1:27">
      <c r="A814">
        <v>2</v>
      </c>
      <c r="B814">
        <v>6</v>
      </c>
      <c r="C814" s="3">
        <v>46060</v>
      </c>
      <c r="D814" t="s">
        <v>27</v>
      </c>
      <c r="E814" t="s">
        <v>923</v>
      </c>
      <c r="F814" t="s">
        <v>185</v>
      </c>
      <c r="G814" t="s">
        <v>30</v>
      </c>
      <c r="H814" t="s">
        <v>56</v>
      </c>
      <c r="I814" t="s">
        <v>63</v>
      </c>
      <c r="J814" t="s">
        <v>63</v>
      </c>
      <c r="K814" t="s">
        <v>64</v>
      </c>
      <c r="L814" t="s">
        <v>65</v>
      </c>
      <c r="M814" t="s">
        <v>66</v>
      </c>
      <c r="N814">
        <v>37.2</v>
      </c>
      <c r="O814">
        <v>22</v>
      </c>
      <c r="P814">
        <v>196.95</v>
      </c>
      <c r="Q814">
        <v>218.95</v>
      </c>
      <c r="R814">
        <v>0</v>
      </c>
      <c r="S814">
        <v>218.95</v>
      </c>
      <c r="T814">
        <v>175</v>
      </c>
      <c r="U814">
        <f>SUMIF(货件明细!J:J,E814,货件明细!AP:AP)</f>
        <v>0</v>
      </c>
      <c r="V814">
        <f>IF(U814=T814,0,1)</f>
        <v>1</v>
      </c>
      <c r="W814">
        <f>T814</f>
        <v>175</v>
      </c>
      <c r="X814">
        <f>SUMIF(货件明细!J:J,E814,货件明细!H:H)</f>
        <v>0</v>
      </c>
      <c r="Y814">
        <f>N814-X814</f>
        <v>37.2</v>
      </c>
      <c r="Z814">
        <f>SUMIF(货件明细!J:J,E814,货件明细!I:I)</f>
        <v>0</v>
      </c>
      <c r="AA814">
        <f>IF(S814=Z814,0,1)</f>
        <v>1</v>
      </c>
    </row>
    <row r="815" hidden="1" spans="1:27">
      <c r="A815">
        <v>2</v>
      </c>
      <c r="B815">
        <v>6</v>
      </c>
      <c r="C815" s="3">
        <v>46060</v>
      </c>
      <c r="D815" t="s">
        <v>27</v>
      </c>
      <c r="E815" t="s">
        <v>924</v>
      </c>
      <c r="F815" t="s">
        <v>98</v>
      </c>
      <c r="G815" t="s">
        <v>72</v>
      </c>
      <c r="H815" t="s">
        <v>56</v>
      </c>
      <c r="I815" t="s">
        <v>63</v>
      </c>
      <c r="J815" t="s">
        <v>63</v>
      </c>
      <c r="K815" t="s">
        <v>64</v>
      </c>
      <c r="L815" t="s">
        <v>65</v>
      </c>
      <c r="M815" t="s">
        <v>66</v>
      </c>
      <c r="N815">
        <v>37.2</v>
      </c>
      <c r="O815">
        <v>33</v>
      </c>
      <c r="P815">
        <v>118.95</v>
      </c>
      <c r="Q815">
        <v>151.95</v>
      </c>
      <c r="R815">
        <v>0</v>
      </c>
      <c r="S815">
        <v>151.95</v>
      </c>
      <c r="T815">
        <v>175</v>
      </c>
      <c r="U815">
        <f>SUMIF(货件明细!J:J,E815,货件明细!AP:AP)</f>
        <v>0</v>
      </c>
      <c r="V815">
        <f>IF(U815=T815,0,1)</f>
        <v>1</v>
      </c>
      <c r="W815">
        <f>T815</f>
        <v>175</v>
      </c>
      <c r="X815">
        <f>SUMIF(货件明细!J:J,E815,货件明细!H:H)</f>
        <v>0</v>
      </c>
      <c r="Y815">
        <f>N815-X815</f>
        <v>37.2</v>
      </c>
      <c r="Z815">
        <f>SUMIF(货件明细!J:J,E815,货件明细!I:I)</f>
        <v>0</v>
      </c>
      <c r="AA815">
        <f>IF(S815=Z815,0,1)</f>
        <v>1</v>
      </c>
    </row>
    <row r="816" hidden="1" spans="1:27">
      <c r="A816">
        <v>2</v>
      </c>
      <c r="B816">
        <v>6</v>
      </c>
      <c r="C816" s="3">
        <v>46060</v>
      </c>
      <c r="D816" t="s">
        <v>27</v>
      </c>
      <c r="E816" t="s">
        <v>925</v>
      </c>
      <c r="F816" t="s">
        <v>198</v>
      </c>
      <c r="G816" t="s">
        <v>69</v>
      </c>
      <c r="H816" t="s">
        <v>56</v>
      </c>
      <c r="I816" t="s">
        <v>63</v>
      </c>
      <c r="J816" t="s">
        <v>63</v>
      </c>
      <c r="K816" t="s">
        <v>64</v>
      </c>
      <c r="L816" t="s">
        <v>65</v>
      </c>
      <c r="M816" t="s">
        <v>66</v>
      </c>
      <c r="N816">
        <v>37.2</v>
      </c>
      <c r="O816">
        <v>22</v>
      </c>
      <c r="P816">
        <v>153</v>
      </c>
      <c r="Q816">
        <v>175</v>
      </c>
      <c r="R816">
        <v>0</v>
      </c>
      <c r="S816">
        <v>175</v>
      </c>
      <c r="T816">
        <v>175</v>
      </c>
      <c r="U816">
        <f>SUMIF(货件明细!J:J,E816,货件明细!AP:AP)</f>
        <v>0</v>
      </c>
      <c r="V816">
        <f>IF(U816=T816,0,1)</f>
        <v>1</v>
      </c>
      <c r="W816">
        <f>T816</f>
        <v>175</v>
      </c>
      <c r="X816">
        <f>SUMIF(货件明细!J:J,E816,货件明细!H:H)</f>
        <v>0</v>
      </c>
      <c r="Y816">
        <f>N816-X816</f>
        <v>37.2</v>
      </c>
      <c r="Z816">
        <f>SUMIF(货件明细!J:J,E816,货件明细!I:I)</f>
        <v>0</v>
      </c>
      <c r="AA816">
        <f>IF(S816=Z816,0,1)</f>
        <v>1</v>
      </c>
    </row>
    <row r="817" hidden="1" spans="1:27">
      <c r="A817">
        <v>2</v>
      </c>
      <c r="B817">
        <v>6</v>
      </c>
      <c r="C817" s="3">
        <v>46060</v>
      </c>
      <c r="D817" t="s">
        <v>27</v>
      </c>
      <c r="E817" t="s">
        <v>926</v>
      </c>
      <c r="F817" t="s">
        <v>143</v>
      </c>
      <c r="G817" t="s">
        <v>72</v>
      </c>
      <c r="H817" t="s">
        <v>56</v>
      </c>
      <c r="I817" t="s">
        <v>63</v>
      </c>
      <c r="J817" t="s">
        <v>63</v>
      </c>
      <c r="K817" t="s">
        <v>64</v>
      </c>
      <c r="L817" t="s">
        <v>65</v>
      </c>
      <c r="M817" t="s">
        <v>66</v>
      </c>
      <c r="N817">
        <v>37.2</v>
      </c>
      <c r="O817">
        <v>33</v>
      </c>
      <c r="P817">
        <v>113.1</v>
      </c>
      <c r="Q817">
        <v>146.1</v>
      </c>
      <c r="R817">
        <v>0</v>
      </c>
      <c r="S817">
        <v>146.1</v>
      </c>
      <c r="T817">
        <v>175</v>
      </c>
      <c r="U817">
        <f>SUMIF(货件明细!J:J,E817,货件明细!AP:AP)</f>
        <v>0</v>
      </c>
      <c r="V817">
        <f>IF(U817=T817,0,1)</f>
        <v>1</v>
      </c>
      <c r="W817">
        <f>T817</f>
        <v>175</v>
      </c>
      <c r="X817">
        <f>SUMIF(货件明细!J:J,E817,货件明细!H:H)</f>
        <v>0</v>
      </c>
      <c r="Y817">
        <f>N817-X817</f>
        <v>37.2</v>
      </c>
      <c r="Z817">
        <f>SUMIF(货件明细!J:J,E817,货件明细!I:I)</f>
        <v>0</v>
      </c>
      <c r="AA817">
        <f>IF(S817=Z817,0,1)</f>
        <v>1</v>
      </c>
    </row>
    <row r="818" hidden="1" spans="1:27">
      <c r="A818">
        <v>2</v>
      </c>
      <c r="B818">
        <v>6</v>
      </c>
      <c r="C818" s="3">
        <v>46060</v>
      </c>
      <c r="D818" t="s">
        <v>27</v>
      </c>
      <c r="E818" t="s">
        <v>927</v>
      </c>
      <c r="F818" t="s">
        <v>68</v>
      </c>
      <c r="G818" t="s">
        <v>69</v>
      </c>
      <c r="H818" t="s">
        <v>56</v>
      </c>
      <c r="I818" t="s">
        <v>63</v>
      </c>
      <c r="J818" t="s">
        <v>63</v>
      </c>
      <c r="K818" t="s">
        <v>64</v>
      </c>
      <c r="L818" t="s">
        <v>65</v>
      </c>
      <c r="M818" t="s">
        <v>66</v>
      </c>
      <c r="N818">
        <v>37.2</v>
      </c>
      <c r="O818">
        <v>22</v>
      </c>
      <c r="P818">
        <v>165.75</v>
      </c>
      <c r="Q818">
        <v>187.75</v>
      </c>
      <c r="R818">
        <v>0</v>
      </c>
      <c r="S818">
        <v>187.75</v>
      </c>
      <c r="T818">
        <v>175</v>
      </c>
      <c r="U818">
        <f>SUMIF(货件明细!J:J,E818,货件明细!AP:AP)</f>
        <v>0</v>
      </c>
      <c r="V818">
        <f>IF(U818=T818,0,1)</f>
        <v>1</v>
      </c>
      <c r="W818">
        <f>T818</f>
        <v>175</v>
      </c>
      <c r="X818">
        <f>SUMIF(货件明细!J:J,E818,货件明细!H:H)</f>
        <v>0</v>
      </c>
      <c r="Y818">
        <f>N818-X818</f>
        <v>37.2</v>
      </c>
      <c r="Z818">
        <f>SUMIF(货件明细!J:J,E818,货件明细!I:I)</f>
        <v>0</v>
      </c>
      <c r="AA818">
        <f>IF(S818=Z818,0,1)</f>
        <v>1</v>
      </c>
    </row>
    <row r="819" hidden="1" spans="1:27">
      <c r="A819">
        <v>2</v>
      </c>
      <c r="B819">
        <v>6</v>
      </c>
      <c r="C819" s="3">
        <v>46060</v>
      </c>
      <c r="D819" t="s">
        <v>27</v>
      </c>
      <c r="E819" t="s">
        <v>928</v>
      </c>
      <c r="F819" t="s">
        <v>198</v>
      </c>
      <c r="G819" t="s">
        <v>69</v>
      </c>
      <c r="H819" t="s">
        <v>51</v>
      </c>
      <c r="I819" t="s">
        <v>63</v>
      </c>
      <c r="J819" t="s">
        <v>63</v>
      </c>
      <c r="K819" t="s">
        <v>64</v>
      </c>
      <c r="L819" t="s">
        <v>65</v>
      </c>
      <c r="M819" t="s">
        <v>66</v>
      </c>
      <c r="N819">
        <v>29.65</v>
      </c>
      <c r="O819">
        <v>22</v>
      </c>
      <c r="P819">
        <v>165.75</v>
      </c>
      <c r="Q819">
        <v>187.75</v>
      </c>
      <c r="R819">
        <v>0</v>
      </c>
      <c r="S819">
        <v>187.75</v>
      </c>
      <c r="T819">
        <v>135</v>
      </c>
      <c r="U819">
        <f>SUMIF(货件明细!J:J,E819,货件明细!AP:AP)</f>
        <v>0</v>
      </c>
      <c r="V819">
        <f>IF(U819=T819,0,1)</f>
        <v>1</v>
      </c>
      <c r="W819">
        <f>T819</f>
        <v>135</v>
      </c>
      <c r="X819">
        <f>SUMIF(货件明细!J:J,E819,货件明细!H:H)</f>
        <v>0</v>
      </c>
      <c r="Y819">
        <f>N819-X819</f>
        <v>29.65</v>
      </c>
      <c r="Z819">
        <f>SUMIF(货件明细!J:J,E819,货件明细!I:I)</f>
        <v>0</v>
      </c>
      <c r="AA819">
        <f>IF(S819=Z819,0,1)</f>
        <v>1</v>
      </c>
    </row>
    <row r="820" hidden="1" spans="1:27">
      <c r="A820">
        <v>2</v>
      </c>
      <c r="B820">
        <v>6</v>
      </c>
      <c r="C820" s="3">
        <v>46060</v>
      </c>
      <c r="D820" t="s">
        <v>27</v>
      </c>
      <c r="E820" t="s">
        <v>929</v>
      </c>
      <c r="F820" t="s">
        <v>68</v>
      </c>
      <c r="G820" t="s">
        <v>69</v>
      </c>
      <c r="H820" t="s">
        <v>51</v>
      </c>
      <c r="I820" t="s">
        <v>63</v>
      </c>
      <c r="J820" t="s">
        <v>63</v>
      </c>
      <c r="K820" t="s">
        <v>64</v>
      </c>
      <c r="L820" t="s">
        <v>65</v>
      </c>
      <c r="M820" t="s">
        <v>66</v>
      </c>
      <c r="N820">
        <v>29.65</v>
      </c>
      <c r="O820">
        <v>22</v>
      </c>
      <c r="P820">
        <v>165.75</v>
      </c>
      <c r="Q820">
        <v>187.75</v>
      </c>
      <c r="R820">
        <v>0</v>
      </c>
      <c r="S820">
        <v>187.75</v>
      </c>
      <c r="T820">
        <v>135</v>
      </c>
      <c r="U820">
        <f>SUMIF(货件明细!J:J,E820,货件明细!AP:AP)</f>
        <v>0</v>
      </c>
      <c r="V820">
        <f>IF(U820=T820,0,1)</f>
        <v>1</v>
      </c>
      <c r="W820">
        <f>T820</f>
        <v>135</v>
      </c>
      <c r="X820">
        <f>SUMIF(货件明细!J:J,E820,货件明细!H:H)</f>
        <v>0</v>
      </c>
      <c r="Y820">
        <f>N820-X820</f>
        <v>29.65</v>
      </c>
      <c r="Z820">
        <f>SUMIF(货件明细!J:J,E820,货件明细!I:I)</f>
        <v>0</v>
      </c>
      <c r="AA820">
        <f>IF(S820=Z820,0,1)</f>
        <v>1</v>
      </c>
    </row>
    <row r="821" hidden="1" spans="1:27">
      <c r="A821">
        <v>2</v>
      </c>
      <c r="B821">
        <v>6</v>
      </c>
      <c r="C821" s="3">
        <v>46060</v>
      </c>
      <c r="D821" t="s">
        <v>27</v>
      </c>
      <c r="E821" t="s">
        <v>930</v>
      </c>
      <c r="F821" t="s">
        <v>98</v>
      </c>
      <c r="G821" t="s">
        <v>72</v>
      </c>
      <c r="H821" t="s">
        <v>51</v>
      </c>
      <c r="I821" t="s">
        <v>63</v>
      </c>
      <c r="J821" t="s">
        <v>63</v>
      </c>
      <c r="K821" t="s">
        <v>64</v>
      </c>
      <c r="L821" t="s">
        <v>65</v>
      </c>
      <c r="M821" t="s">
        <v>66</v>
      </c>
      <c r="N821">
        <v>29.65</v>
      </c>
      <c r="O821">
        <v>33</v>
      </c>
      <c r="P821">
        <v>118.95</v>
      </c>
      <c r="Q821">
        <v>151.95</v>
      </c>
      <c r="R821">
        <v>0</v>
      </c>
      <c r="S821">
        <v>151.95</v>
      </c>
      <c r="T821">
        <v>135</v>
      </c>
      <c r="U821">
        <f>SUMIF(货件明细!J:J,E821,货件明细!AP:AP)</f>
        <v>0</v>
      </c>
      <c r="V821">
        <f>IF(U821=T821,0,1)</f>
        <v>1</v>
      </c>
      <c r="W821">
        <f>T821</f>
        <v>135</v>
      </c>
      <c r="X821">
        <f>SUMIF(货件明细!J:J,E821,货件明细!H:H)</f>
        <v>0</v>
      </c>
      <c r="Y821">
        <f>N821-X821</f>
        <v>29.65</v>
      </c>
      <c r="Z821">
        <f>SUMIF(货件明细!J:J,E821,货件明细!I:I)</f>
        <v>0</v>
      </c>
      <c r="AA821">
        <f>IF(S821=Z821,0,1)</f>
        <v>1</v>
      </c>
    </row>
    <row r="822" hidden="1" spans="1:27">
      <c r="A822">
        <v>2</v>
      </c>
      <c r="B822">
        <v>6</v>
      </c>
      <c r="C822" s="3">
        <v>46060</v>
      </c>
      <c r="D822" t="s">
        <v>27</v>
      </c>
      <c r="E822" t="s">
        <v>931</v>
      </c>
      <c r="F822" t="s">
        <v>185</v>
      </c>
      <c r="G822" t="s">
        <v>30</v>
      </c>
      <c r="H822" t="s">
        <v>51</v>
      </c>
      <c r="I822" t="s">
        <v>63</v>
      </c>
      <c r="J822" t="s">
        <v>63</v>
      </c>
      <c r="K822" t="s">
        <v>64</v>
      </c>
      <c r="L822" t="s">
        <v>65</v>
      </c>
      <c r="M822" t="s">
        <v>66</v>
      </c>
      <c r="N822">
        <v>29.65</v>
      </c>
      <c r="O822">
        <v>22</v>
      </c>
      <c r="P822">
        <v>196.95</v>
      </c>
      <c r="Q822">
        <v>218.95</v>
      </c>
      <c r="R822">
        <v>0</v>
      </c>
      <c r="S822">
        <v>218.95</v>
      </c>
      <c r="T822">
        <v>135</v>
      </c>
      <c r="U822">
        <f>SUMIF(货件明细!J:J,E822,货件明细!AP:AP)</f>
        <v>0</v>
      </c>
      <c r="V822">
        <f>IF(U822=T822,0,1)</f>
        <v>1</v>
      </c>
      <c r="W822">
        <f>T822</f>
        <v>135</v>
      </c>
      <c r="X822">
        <f>SUMIF(货件明细!J:J,E822,货件明细!H:H)</f>
        <v>0</v>
      </c>
      <c r="Y822">
        <f>N822-X822</f>
        <v>29.65</v>
      </c>
      <c r="Z822">
        <f>SUMIF(货件明细!J:J,E822,货件明细!I:I)</f>
        <v>0</v>
      </c>
      <c r="AA822">
        <f>IF(S822=Z822,0,1)</f>
        <v>1</v>
      </c>
    </row>
    <row r="823" hidden="1" spans="1:27">
      <c r="A823">
        <v>2</v>
      </c>
      <c r="B823">
        <v>6</v>
      </c>
      <c r="C823" s="3">
        <v>46060</v>
      </c>
      <c r="D823" t="s">
        <v>27</v>
      </c>
      <c r="E823" t="s">
        <v>932</v>
      </c>
      <c r="F823" t="s">
        <v>143</v>
      </c>
      <c r="G823" t="s">
        <v>72</v>
      </c>
      <c r="H823" t="s">
        <v>51</v>
      </c>
      <c r="I823" t="s">
        <v>63</v>
      </c>
      <c r="J823" t="s">
        <v>63</v>
      </c>
      <c r="K823" t="s">
        <v>64</v>
      </c>
      <c r="L823" t="s">
        <v>65</v>
      </c>
      <c r="M823" t="s">
        <v>66</v>
      </c>
      <c r="N823">
        <v>29.65</v>
      </c>
      <c r="O823">
        <v>33</v>
      </c>
      <c r="P823">
        <v>113.1</v>
      </c>
      <c r="Q823">
        <v>146.1</v>
      </c>
      <c r="R823">
        <v>0</v>
      </c>
      <c r="S823">
        <v>146.1</v>
      </c>
      <c r="T823">
        <v>135</v>
      </c>
      <c r="U823">
        <f>SUMIF(货件明细!J:J,E823,货件明细!AP:AP)</f>
        <v>0</v>
      </c>
      <c r="V823">
        <f>IF(U823=T823,0,1)</f>
        <v>1</v>
      </c>
      <c r="W823">
        <f>T823</f>
        <v>135</v>
      </c>
      <c r="X823">
        <f>SUMIF(货件明细!J:J,E823,货件明细!H:H)</f>
        <v>0</v>
      </c>
      <c r="Y823">
        <f>N823-X823</f>
        <v>29.65</v>
      </c>
      <c r="Z823">
        <f>SUMIF(货件明细!J:J,E823,货件明细!I:I)</f>
        <v>0</v>
      </c>
      <c r="AA823">
        <f>IF(S823=Z823,0,1)</f>
        <v>1</v>
      </c>
    </row>
    <row r="824" hidden="1" spans="1:27">
      <c r="A824">
        <v>2</v>
      </c>
      <c r="B824">
        <v>6</v>
      </c>
      <c r="C824" s="3">
        <v>46060</v>
      </c>
      <c r="D824" t="s">
        <v>27</v>
      </c>
      <c r="E824" t="s">
        <v>933</v>
      </c>
      <c r="F824" t="s">
        <v>98</v>
      </c>
      <c r="G824" t="s">
        <v>72</v>
      </c>
      <c r="H824" t="s">
        <v>37</v>
      </c>
      <c r="I824" t="s">
        <v>63</v>
      </c>
      <c r="J824" t="s">
        <v>63</v>
      </c>
      <c r="K824" t="s">
        <v>64</v>
      </c>
      <c r="L824" t="s">
        <v>65</v>
      </c>
      <c r="M824" t="s">
        <v>66</v>
      </c>
      <c r="N824">
        <v>76.3</v>
      </c>
      <c r="O824">
        <v>33</v>
      </c>
      <c r="P824">
        <v>247.05</v>
      </c>
      <c r="Q824">
        <v>280.05</v>
      </c>
      <c r="R824">
        <v>0</v>
      </c>
      <c r="S824">
        <v>280.05</v>
      </c>
      <c r="T824">
        <v>683</v>
      </c>
      <c r="U824">
        <f>SUMIF(货件明细!J:J,E824,货件明细!AP:AP)</f>
        <v>0</v>
      </c>
      <c r="V824">
        <f>IF(U824=T824,0,1)</f>
        <v>1</v>
      </c>
      <c r="W824">
        <f>T824</f>
        <v>683</v>
      </c>
      <c r="X824">
        <f>SUMIF(货件明细!J:J,E824,货件明细!H:H)</f>
        <v>0</v>
      </c>
      <c r="Y824">
        <f>N824-X824</f>
        <v>76.3</v>
      </c>
      <c r="Z824">
        <f>SUMIF(货件明细!J:J,E824,货件明细!I:I)</f>
        <v>0</v>
      </c>
      <c r="AA824">
        <f>IF(S824=Z824,0,1)</f>
        <v>1</v>
      </c>
    </row>
    <row r="825" hidden="1" spans="1:27">
      <c r="A825">
        <v>2</v>
      </c>
      <c r="B825">
        <v>6</v>
      </c>
      <c r="C825" s="3">
        <v>46060</v>
      </c>
      <c r="D825" t="s">
        <v>27</v>
      </c>
      <c r="E825" t="s">
        <v>934</v>
      </c>
      <c r="F825" t="s">
        <v>198</v>
      </c>
      <c r="G825" t="s">
        <v>69</v>
      </c>
      <c r="H825" t="s">
        <v>37</v>
      </c>
      <c r="I825" t="s">
        <v>63</v>
      </c>
      <c r="J825" t="s">
        <v>63</v>
      </c>
      <c r="K825" t="s">
        <v>64</v>
      </c>
      <c r="L825" t="s">
        <v>65</v>
      </c>
      <c r="M825" t="s">
        <v>66</v>
      </c>
      <c r="N825">
        <v>76.3</v>
      </c>
      <c r="O825">
        <v>22</v>
      </c>
      <c r="P825">
        <v>344.25</v>
      </c>
      <c r="Q825">
        <v>366.25</v>
      </c>
      <c r="R825">
        <v>0</v>
      </c>
      <c r="S825">
        <v>366.25</v>
      </c>
      <c r="T825">
        <v>683</v>
      </c>
      <c r="U825">
        <f>SUMIF(货件明细!J:J,E825,货件明细!AP:AP)</f>
        <v>0</v>
      </c>
      <c r="V825">
        <f>IF(U825=T825,0,1)</f>
        <v>1</v>
      </c>
      <c r="W825">
        <f>T825</f>
        <v>683</v>
      </c>
      <c r="X825">
        <f>SUMIF(货件明细!J:J,E825,货件明细!H:H)</f>
        <v>0</v>
      </c>
      <c r="Y825">
        <f>N825-X825</f>
        <v>76.3</v>
      </c>
      <c r="Z825">
        <f>SUMIF(货件明细!J:J,E825,货件明细!I:I)</f>
        <v>0</v>
      </c>
      <c r="AA825">
        <f>IF(S825=Z825,0,1)</f>
        <v>1</v>
      </c>
    </row>
    <row r="826" hidden="1" spans="1:27">
      <c r="A826">
        <v>2</v>
      </c>
      <c r="B826">
        <v>6</v>
      </c>
      <c r="C826" s="3">
        <v>46060</v>
      </c>
      <c r="D826" t="s">
        <v>27</v>
      </c>
      <c r="E826" t="s">
        <v>935</v>
      </c>
      <c r="F826" t="s">
        <v>68</v>
      </c>
      <c r="G826" t="s">
        <v>69</v>
      </c>
      <c r="H826" t="s">
        <v>37</v>
      </c>
      <c r="I826" t="s">
        <v>63</v>
      </c>
      <c r="J826" t="s">
        <v>63</v>
      </c>
      <c r="K826" t="s">
        <v>64</v>
      </c>
      <c r="L826" t="s">
        <v>65</v>
      </c>
      <c r="M826" t="s">
        <v>66</v>
      </c>
      <c r="N826">
        <v>76.3</v>
      </c>
      <c r="O826">
        <v>22</v>
      </c>
      <c r="P826">
        <v>344.25</v>
      </c>
      <c r="Q826">
        <v>366.25</v>
      </c>
      <c r="R826">
        <v>0</v>
      </c>
      <c r="S826">
        <v>366.25</v>
      </c>
      <c r="T826">
        <v>683</v>
      </c>
      <c r="U826">
        <f>SUMIF(货件明细!J:J,E826,货件明细!AP:AP)</f>
        <v>0</v>
      </c>
      <c r="V826">
        <f>IF(U826=T826,0,1)</f>
        <v>1</v>
      </c>
      <c r="W826">
        <f>T826</f>
        <v>683</v>
      </c>
      <c r="X826">
        <f>SUMIF(货件明细!J:J,E826,货件明细!H:H)</f>
        <v>0</v>
      </c>
      <c r="Y826">
        <f>N826-X826</f>
        <v>76.3</v>
      </c>
      <c r="Z826">
        <f>SUMIF(货件明细!J:J,E826,货件明细!I:I)</f>
        <v>0</v>
      </c>
      <c r="AA826">
        <f>IF(S826=Z826,0,1)</f>
        <v>1</v>
      </c>
    </row>
    <row r="827" hidden="1" spans="1:27">
      <c r="A827">
        <v>2</v>
      </c>
      <c r="B827">
        <v>6</v>
      </c>
      <c r="C827" s="3">
        <v>46060</v>
      </c>
      <c r="D827" t="s">
        <v>27</v>
      </c>
      <c r="E827" t="s">
        <v>936</v>
      </c>
      <c r="F827" t="s">
        <v>185</v>
      </c>
      <c r="G827" t="s">
        <v>30</v>
      </c>
      <c r="H827" t="s">
        <v>37</v>
      </c>
      <c r="I827" t="s">
        <v>63</v>
      </c>
      <c r="J827" t="s">
        <v>63</v>
      </c>
      <c r="K827" t="s">
        <v>64</v>
      </c>
      <c r="L827" t="s">
        <v>65</v>
      </c>
      <c r="M827" t="s">
        <v>66</v>
      </c>
      <c r="N827">
        <v>76.3</v>
      </c>
      <c r="O827">
        <v>22</v>
      </c>
      <c r="P827">
        <v>409.05</v>
      </c>
      <c r="Q827">
        <v>431.05</v>
      </c>
      <c r="R827">
        <v>0</v>
      </c>
      <c r="S827">
        <v>431.05</v>
      </c>
      <c r="T827">
        <v>683</v>
      </c>
      <c r="U827">
        <f>SUMIF(货件明细!J:J,E827,货件明细!AP:AP)</f>
        <v>0</v>
      </c>
      <c r="V827">
        <f>IF(U827=T827,0,1)</f>
        <v>1</v>
      </c>
      <c r="W827">
        <f>T827</f>
        <v>683</v>
      </c>
      <c r="X827">
        <f>SUMIF(货件明细!J:J,E827,货件明细!H:H)</f>
        <v>0</v>
      </c>
      <c r="Y827">
        <f>N827-X827</f>
        <v>76.3</v>
      </c>
      <c r="Z827">
        <f>SUMIF(货件明细!J:J,E827,货件明细!I:I)</f>
        <v>0</v>
      </c>
      <c r="AA827">
        <f>IF(S827=Z827,0,1)</f>
        <v>1</v>
      </c>
    </row>
    <row r="828" hidden="1" spans="1:27">
      <c r="A828">
        <v>2</v>
      </c>
      <c r="B828">
        <v>6</v>
      </c>
      <c r="C828" s="3">
        <v>46060</v>
      </c>
      <c r="D828" t="s">
        <v>27</v>
      </c>
      <c r="E828" t="s">
        <v>937</v>
      </c>
      <c r="F828" t="s">
        <v>143</v>
      </c>
      <c r="G828" t="s">
        <v>72</v>
      </c>
      <c r="H828" t="s">
        <v>37</v>
      </c>
      <c r="I828" t="s">
        <v>63</v>
      </c>
      <c r="J828" t="s">
        <v>63</v>
      </c>
      <c r="K828" t="s">
        <v>64</v>
      </c>
      <c r="L828" t="s">
        <v>65</v>
      </c>
      <c r="M828" t="s">
        <v>66</v>
      </c>
      <c r="N828">
        <v>76.3</v>
      </c>
      <c r="O828">
        <v>33</v>
      </c>
      <c r="P828">
        <v>234.9</v>
      </c>
      <c r="Q828">
        <v>267.9</v>
      </c>
      <c r="R828">
        <v>0</v>
      </c>
      <c r="S828">
        <v>267.9</v>
      </c>
      <c r="T828">
        <v>683</v>
      </c>
      <c r="U828">
        <f>SUMIF(货件明细!J:J,E828,货件明细!AP:AP)</f>
        <v>0</v>
      </c>
      <c r="V828">
        <f>IF(U828=T828,0,1)</f>
        <v>1</v>
      </c>
      <c r="W828">
        <f>T828</f>
        <v>683</v>
      </c>
      <c r="X828">
        <f>SUMIF(货件明细!J:J,E828,货件明细!H:H)</f>
        <v>0</v>
      </c>
      <c r="Y828">
        <f>N828-X828</f>
        <v>76.3</v>
      </c>
      <c r="Z828">
        <f>SUMIF(货件明细!J:J,E828,货件明细!I:I)</f>
        <v>0</v>
      </c>
      <c r="AA828">
        <f>IF(S828=Z828,0,1)</f>
        <v>1</v>
      </c>
    </row>
    <row r="829" hidden="1" spans="1:27">
      <c r="A829">
        <v>2</v>
      </c>
      <c r="B829">
        <v>6</v>
      </c>
      <c r="C829" s="3">
        <v>46060</v>
      </c>
      <c r="D829" t="s">
        <v>27</v>
      </c>
      <c r="E829" t="s">
        <v>938</v>
      </c>
      <c r="F829" t="s">
        <v>62</v>
      </c>
      <c r="G829" t="s">
        <v>30</v>
      </c>
      <c r="H829" t="s">
        <v>59</v>
      </c>
      <c r="I829" t="s">
        <v>92</v>
      </c>
      <c r="J829" t="s">
        <v>92</v>
      </c>
      <c r="K829" t="s">
        <v>64</v>
      </c>
      <c r="L829" t="s">
        <v>65</v>
      </c>
      <c r="M829" t="s">
        <v>93</v>
      </c>
      <c r="N829">
        <v>11.1</v>
      </c>
      <c r="O829">
        <v>47.1428571428571</v>
      </c>
      <c r="P829">
        <v>64.4</v>
      </c>
      <c r="Q829">
        <v>111.542857142857</v>
      </c>
      <c r="R829">
        <v>0</v>
      </c>
      <c r="S829">
        <v>111.542857142857</v>
      </c>
      <c r="T829">
        <v>90</v>
      </c>
      <c r="U829">
        <f>SUMIF(货件明细!J:J,E829,货件明细!AP:AP)</f>
        <v>0</v>
      </c>
      <c r="V829">
        <f>IF(U829=T829,0,1)</f>
        <v>1</v>
      </c>
      <c r="W829">
        <f>T829</f>
        <v>90</v>
      </c>
      <c r="X829">
        <f>SUMIF(货件明细!J:J,E829,货件明细!H:H)</f>
        <v>0</v>
      </c>
      <c r="Y829">
        <f>N829-X829</f>
        <v>11.1</v>
      </c>
      <c r="Z829">
        <f>SUMIF(货件明细!J:J,E829,货件明细!I:I)</f>
        <v>0</v>
      </c>
      <c r="AA829">
        <f>IF(S829=Z829,0,1)</f>
        <v>1</v>
      </c>
    </row>
    <row r="830" hidden="1" spans="1:27">
      <c r="A830">
        <v>2</v>
      </c>
      <c r="B830">
        <v>6</v>
      </c>
      <c r="C830" s="3">
        <v>46060</v>
      </c>
      <c r="D830" t="s">
        <v>27</v>
      </c>
      <c r="E830" t="s">
        <v>939</v>
      </c>
      <c r="F830" t="s">
        <v>68</v>
      </c>
      <c r="G830" t="s">
        <v>69</v>
      </c>
      <c r="H830" t="s">
        <v>59</v>
      </c>
      <c r="I830" t="s">
        <v>92</v>
      </c>
      <c r="J830" t="s">
        <v>92</v>
      </c>
      <c r="K830" t="s">
        <v>64</v>
      </c>
      <c r="L830" t="s">
        <v>65</v>
      </c>
      <c r="M830" t="s">
        <v>93</v>
      </c>
      <c r="N830">
        <v>11.1</v>
      </c>
      <c r="O830">
        <v>20</v>
      </c>
      <c r="P830">
        <v>57.4</v>
      </c>
      <c r="Q830">
        <v>77.4</v>
      </c>
      <c r="R830">
        <v>0</v>
      </c>
      <c r="S830">
        <v>77.4</v>
      </c>
      <c r="T830">
        <v>90</v>
      </c>
      <c r="U830">
        <f>SUMIF(货件明细!J:J,E830,货件明细!AP:AP)</f>
        <v>0</v>
      </c>
      <c r="V830">
        <f>IF(U830=T830,0,1)</f>
        <v>1</v>
      </c>
      <c r="W830">
        <f>T830</f>
        <v>90</v>
      </c>
      <c r="X830">
        <f>SUMIF(货件明细!J:J,E830,货件明细!H:H)</f>
        <v>0</v>
      </c>
      <c r="Y830">
        <f>N830-X830</f>
        <v>11.1</v>
      </c>
      <c r="Z830">
        <f>SUMIF(货件明细!J:J,E830,货件明细!I:I)</f>
        <v>0</v>
      </c>
      <c r="AA830">
        <f>IF(S830=Z830,0,1)</f>
        <v>1</v>
      </c>
    </row>
    <row r="831" hidden="1" spans="1:27">
      <c r="A831">
        <v>2</v>
      </c>
      <c r="B831">
        <v>6</v>
      </c>
      <c r="C831" s="3">
        <v>46060</v>
      </c>
      <c r="D831" t="s">
        <v>27</v>
      </c>
      <c r="E831" t="s">
        <v>940</v>
      </c>
      <c r="F831" t="s">
        <v>98</v>
      </c>
      <c r="G831" t="s">
        <v>72</v>
      </c>
      <c r="H831" t="s">
        <v>59</v>
      </c>
      <c r="I831" t="s">
        <v>92</v>
      </c>
      <c r="J831" t="s">
        <v>92</v>
      </c>
      <c r="K831" t="s">
        <v>64</v>
      </c>
      <c r="L831" t="s">
        <v>65</v>
      </c>
      <c r="M831" t="s">
        <v>93</v>
      </c>
      <c r="N831">
        <v>11.1</v>
      </c>
      <c r="O831">
        <v>20</v>
      </c>
      <c r="P831">
        <v>43</v>
      </c>
      <c r="Q831">
        <v>63</v>
      </c>
      <c r="R831">
        <v>0</v>
      </c>
      <c r="S831">
        <v>63</v>
      </c>
      <c r="T831">
        <v>90</v>
      </c>
      <c r="U831">
        <f>SUMIF(货件明细!J:J,E831,货件明细!AP:AP)</f>
        <v>0</v>
      </c>
      <c r="V831">
        <f>IF(U831=T831,0,1)</f>
        <v>1</v>
      </c>
      <c r="W831">
        <f>T831</f>
        <v>90</v>
      </c>
      <c r="X831">
        <f>SUMIF(货件明细!J:J,E831,货件明细!H:H)</f>
        <v>0</v>
      </c>
      <c r="Y831">
        <f>N831-X831</f>
        <v>11.1</v>
      </c>
      <c r="Z831">
        <f>SUMIF(货件明细!J:J,E831,货件明细!I:I)</f>
        <v>0</v>
      </c>
      <c r="AA831">
        <f>IF(S831=Z831,0,1)</f>
        <v>1</v>
      </c>
    </row>
    <row r="832" hidden="1" spans="1:27">
      <c r="A832">
        <v>2</v>
      </c>
      <c r="B832">
        <v>6</v>
      </c>
      <c r="C832" s="3">
        <v>46060</v>
      </c>
      <c r="D832" t="s">
        <v>27</v>
      </c>
      <c r="E832" t="s">
        <v>941</v>
      </c>
      <c r="F832" t="s">
        <v>942</v>
      </c>
      <c r="G832" t="s">
        <v>30</v>
      </c>
      <c r="H832" t="s">
        <v>59</v>
      </c>
      <c r="I832" t="s">
        <v>92</v>
      </c>
      <c r="J832" t="s">
        <v>92</v>
      </c>
      <c r="K832" t="s">
        <v>64</v>
      </c>
      <c r="L832" t="s">
        <v>65</v>
      </c>
      <c r="M832" t="s">
        <v>188</v>
      </c>
      <c r="N832">
        <v>11.1</v>
      </c>
      <c r="O832">
        <v>47.1428571428571</v>
      </c>
      <c r="P832">
        <v>109.56</v>
      </c>
      <c r="Q832">
        <v>156.702857142857</v>
      </c>
      <c r="R832">
        <v>0</v>
      </c>
      <c r="S832">
        <v>156.702857142857</v>
      </c>
      <c r="T832">
        <v>90</v>
      </c>
      <c r="U832">
        <f>SUMIF(货件明细!J:J,E832,货件明细!AP:AP)</f>
        <v>0</v>
      </c>
      <c r="V832">
        <f>IF(U832=T832,0,1)</f>
        <v>1</v>
      </c>
      <c r="W832">
        <f>T832</f>
        <v>90</v>
      </c>
      <c r="X832">
        <f>SUMIF(货件明细!J:J,E832,货件明细!H:H)</f>
        <v>0</v>
      </c>
      <c r="Y832">
        <f>N832-X832</f>
        <v>11.1</v>
      </c>
      <c r="Z832">
        <f>SUMIF(货件明细!J:J,E832,货件明细!I:I)</f>
        <v>0</v>
      </c>
      <c r="AA832">
        <f>IF(S832=Z832,0,1)</f>
        <v>1</v>
      </c>
    </row>
    <row r="833" hidden="1" spans="1:27">
      <c r="A833">
        <v>2</v>
      </c>
      <c r="B833">
        <v>6</v>
      </c>
      <c r="C833" s="3">
        <v>46060</v>
      </c>
      <c r="D833" t="s">
        <v>27</v>
      </c>
      <c r="E833" t="s">
        <v>943</v>
      </c>
      <c r="F833" t="s">
        <v>243</v>
      </c>
      <c r="G833" t="s">
        <v>72</v>
      </c>
      <c r="H833" t="s">
        <v>59</v>
      </c>
      <c r="I833" t="s">
        <v>92</v>
      </c>
      <c r="J833" t="s">
        <v>92</v>
      </c>
      <c r="K833" t="s">
        <v>64</v>
      </c>
      <c r="L833" t="s">
        <v>65</v>
      </c>
      <c r="M833" t="s">
        <v>188</v>
      </c>
      <c r="N833">
        <v>11.1</v>
      </c>
      <c r="O833">
        <v>57.5</v>
      </c>
      <c r="P833">
        <v>63.24</v>
      </c>
      <c r="Q833">
        <v>120.74</v>
      </c>
      <c r="R833">
        <v>0</v>
      </c>
      <c r="S833">
        <v>120.74</v>
      </c>
      <c r="T833">
        <v>90</v>
      </c>
      <c r="U833">
        <f>SUMIF(货件明细!J:J,E833,货件明细!AP:AP)</f>
        <v>0</v>
      </c>
      <c r="V833">
        <f>IF(U833=T833,0,1)</f>
        <v>1</v>
      </c>
      <c r="W833">
        <f>T833</f>
        <v>90</v>
      </c>
      <c r="X833">
        <f>SUMIF(货件明细!J:J,E833,货件明细!H:H)</f>
        <v>0</v>
      </c>
      <c r="Y833">
        <f>N833-X833</f>
        <v>11.1</v>
      </c>
      <c r="Z833">
        <f>SUMIF(货件明细!J:J,E833,货件明细!I:I)</f>
        <v>0</v>
      </c>
      <c r="AA833">
        <f>IF(S833=Z833,0,1)</f>
        <v>1</v>
      </c>
    </row>
    <row r="834" hidden="1" spans="1:27">
      <c r="A834">
        <v>2</v>
      </c>
      <c r="B834">
        <v>6</v>
      </c>
      <c r="C834" s="3">
        <v>46060</v>
      </c>
      <c r="D834" t="s">
        <v>27</v>
      </c>
      <c r="E834" t="s">
        <v>944</v>
      </c>
      <c r="F834" t="s">
        <v>143</v>
      </c>
      <c r="G834" t="s">
        <v>72</v>
      </c>
      <c r="H834" t="s">
        <v>37</v>
      </c>
      <c r="I834" t="s">
        <v>92</v>
      </c>
      <c r="J834" t="s">
        <v>92</v>
      </c>
      <c r="K834" t="s">
        <v>64</v>
      </c>
      <c r="L834" t="s">
        <v>65</v>
      </c>
      <c r="M834" t="s">
        <v>188</v>
      </c>
      <c r="N834">
        <v>37.65</v>
      </c>
      <c r="O834">
        <v>20</v>
      </c>
      <c r="P834">
        <v>190.76</v>
      </c>
      <c r="Q834">
        <v>210.76</v>
      </c>
      <c r="R834">
        <v>0</v>
      </c>
      <c r="S834">
        <v>210.76</v>
      </c>
      <c r="T834">
        <v>278</v>
      </c>
      <c r="U834">
        <f>SUMIF(货件明细!J:J,E834,货件明细!AP:AP)</f>
        <v>0</v>
      </c>
      <c r="V834">
        <f>IF(U834=T834,0,1)</f>
        <v>1</v>
      </c>
      <c r="W834">
        <f>T834</f>
        <v>278</v>
      </c>
      <c r="X834">
        <f>SUMIF(货件明细!J:J,E834,货件明细!H:H)</f>
        <v>0</v>
      </c>
      <c r="Y834">
        <f>N834-X834</f>
        <v>37.65</v>
      </c>
      <c r="Z834">
        <f>SUMIF(货件明细!J:J,E834,货件明细!I:I)</f>
        <v>0</v>
      </c>
      <c r="AA834">
        <f>IF(S834=Z834,0,1)</f>
        <v>1</v>
      </c>
    </row>
    <row r="835" hidden="1" spans="1:27">
      <c r="A835">
        <v>2</v>
      </c>
      <c r="B835">
        <v>6</v>
      </c>
      <c r="C835" s="3">
        <v>46060</v>
      </c>
      <c r="D835" t="s">
        <v>27</v>
      </c>
      <c r="E835" t="s">
        <v>945</v>
      </c>
      <c r="F835" t="s">
        <v>68</v>
      </c>
      <c r="G835" t="s">
        <v>69</v>
      </c>
      <c r="H835" t="s">
        <v>37</v>
      </c>
      <c r="I835" t="s">
        <v>92</v>
      </c>
      <c r="J835" t="s">
        <v>92</v>
      </c>
      <c r="K835" t="s">
        <v>64</v>
      </c>
      <c r="L835" t="s">
        <v>65</v>
      </c>
      <c r="M835" t="s">
        <v>93</v>
      </c>
      <c r="N835">
        <v>37.65</v>
      </c>
      <c r="O835">
        <v>20</v>
      </c>
      <c r="P835">
        <v>229.6</v>
      </c>
      <c r="Q835">
        <v>249.6</v>
      </c>
      <c r="R835">
        <v>0</v>
      </c>
      <c r="S835">
        <v>249.6</v>
      </c>
      <c r="T835">
        <v>278</v>
      </c>
      <c r="U835">
        <f>SUMIF(货件明细!J:J,E835,货件明细!AP:AP)</f>
        <v>0</v>
      </c>
      <c r="V835">
        <f>IF(U835=T835,0,1)</f>
        <v>1</v>
      </c>
      <c r="W835">
        <f>T835</f>
        <v>278</v>
      </c>
      <c r="X835">
        <f>SUMIF(货件明细!J:J,E835,货件明细!H:H)</f>
        <v>0</v>
      </c>
      <c r="Y835">
        <f>N835-X835</f>
        <v>37.65</v>
      </c>
      <c r="Z835">
        <f>SUMIF(货件明细!J:J,E835,货件明细!I:I)</f>
        <v>0</v>
      </c>
      <c r="AA835">
        <f>IF(S835=Z835,0,1)</f>
        <v>1</v>
      </c>
    </row>
    <row r="836" hidden="1" spans="1:27">
      <c r="A836">
        <v>2</v>
      </c>
      <c r="B836">
        <v>6</v>
      </c>
      <c r="C836" s="3">
        <v>46060</v>
      </c>
      <c r="D836" t="s">
        <v>27</v>
      </c>
      <c r="E836" t="s">
        <v>946</v>
      </c>
      <c r="F836" t="s">
        <v>185</v>
      </c>
      <c r="G836" t="s">
        <v>30</v>
      </c>
      <c r="H836" t="s">
        <v>37</v>
      </c>
      <c r="I836" t="s">
        <v>92</v>
      </c>
      <c r="J836" t="s">
        <v>92</v>
      </c>
      <c r="K836" t="s">
        <v>64</v>
      </c>
      <c r="L836" t="s">
        <v>65</v>
      </c>
      <c r="M836" t="s">
        <v>93</v>
      </c>
      <c r="N836">
        <v>37.65</v>
      </c>
      <c r="O836">
        <v>47.1428571428571</v>
      </c>
      <c r="P836">
        <v>268</v>
      </c>
      <c r="Q836">
        <v>315.142857142857</v>
      </c>
      <c r="R836">
        <v>0</v>
      </c>
      <c r="S836">
        <v>315.142857142857</v>
      </c>
      <c r="T836">
        <v>278</v>
      </c>
      <c r="U836">
        <f>SUMIF(货件明细!J:J,E836,货件明细!AP:AP)</f>
        <v>0</v>
      </c>
      <c r="V836">
        <f>IF(U836=T836,0,1)</f>
        <v>1</v>
      </c>
      <c r="W836">
        <f>T836</f>
        <v>278</v>
      </c>
      <c r="X836">
        <f>SUMIF(货件明细!J:J,E836,货件明细!H:H)</f>
        <v>0</v>
      </c>
      <c r="Y836">
        <f>N836-X836</f>
        <v>37.65</v>
      </c>
      <c r="Z836">
        <f>SUMIF(货件明细!J:J,E836,货件明细!I:I)</f>
        <v>0</v>
      </c>
      <c r="AA836">
        <f>IF(S836=Z836,0,1)</f>
        <v>1</v>
      </c>
    </row>
    <row r="837" hidden="1" spans="1:27">
      <c r="A837">
        <v>2</v>
      </c>
      <c r="B837">
        <v>6</v>
      </c>
      <c r="C837" s="3">
        <v>46060</v>
      </c>
      <c r="D837" t="s">
        <v>27</v>
      </c>
      <c r="E837" t="s">
        <v>947</v>
      </c>
      <c r="F837" t="s">
        <v>98</v>
      </c>
      <c r="G837" t="s">
        <v>72</v>
      </c>
      <c r="H837" t="s">
        <v>37</v>
      </c>
      <c r="I837" t="s">
        <v>92</v>
      </c>
      <c r="J837" t="s">
        <v>92</v>
      </c>
      <c r="K837" t="s">
        <v>64</v>
      </c>
      <c r="L837" t="s">
        <v>65</v>
      </c>
      <c r="M837" t="s">
        <v>93</v>
      </c>
      <c r="N837">
        <v>37.65</v>
      </c>
      <c r="O837">
        <v>20</v>
      </c>
      <c r="P837">
        <v>172</v>
      </c>
      <c r="Q837">
        <v>192</v>
      </c>
      <c r="R837">
        <v>0</v>
      </c>
      <c r="S837">
        <v>192</v>
      </c>
      <c r="T837">
        <v>278</v>
      </c>
      <c r="U837">
        <f>SUMIF(货件明细!J:J,E837,货件明细!AP:AP)</f>
        <v>0</v>
      </c>
      <c r="V837">
        <f>IF(U837=T837,0,1)</f>
        <v>1</v>
      </c>
      <c r="W837">
        <f>T837</f>
        <v>278</v>
      </c>
      <c r="X837">
        <f>SUMIF(货件明细!J:J,E837,货件明细!H:H)</f>
        <v>0</v>
      </c>
      <c r="Y837">
        <f>N837-X837</f>
        <v>37.65</v>
      </c>
      <c r="Z837">
        <f>SUMIF(货件明细!J:J,E837,货件明细!I:I)</f>
        <v>0</v>
      </c>
      <c r="AA837">
        <f>IF(S837=Z837,0,1)</f>
        <v>1</v>
      </c>
    </row>
    <row r="838" hidden="1" spans="1:27">
      <c r="A838">
        <v>2</v>
      </c>
      <c r="B838">
        <v>6</v>
      </c>
      <c r="C838" s="3">
        <v>46060</v>
      </c>
      <c r="D838" t="s">
        <v>27</v>
      </c>
      <c r="E838" t="s">
        <v>948</v>
      </c>
      <c r="F838" t="s">
        <v>198</v>
      </c>
      <c r="G838" t="s">
        <v>69</v>
      </c>
      <c r="H838" t="s">
        <v>37</v>
      </c>
      <c r="I838" t="s">
        <v>92</v>
      </c>
      <c r="J838" t="s">
        <v>92</v>
      </c>
      <c r="K838" t="s">
        <v>64</v>
      </c>
      <c r="L838" t="s">
        <v>65</v>
      </c>
      <c r="M838" t="s">
        <v>93</v>
      </c>
      <c r="N838">
        <v>37.65</v>
      </c>
      <c r="O838">
        <v>20</v>
      </c>
      <c r="P838">
        <v>229.6</v>
      </c>
      <c r="Q838">
        <v>249.6</v>
      </c>
      <c r="R838">
        <v>0</v>
      </c>
      <c r="S838">
        <v>249.6</v>
      </c>
      <c r="T838">
        <v>278</v>
      </c>
      <c r="U838">
        <f>SUMIF(货件明细!J:J,E838,货件明细!AP:AP)</f>
        <v>0</v>
      </c>
      <c r="V838">
        <f>IF(U838=T838,0,1)</f>
        <v>1</v>
      </c>
      <c r="W838">
        <f>T838</f>
        <v>278</v>
      </c>
      <c r="X838">
        <f>SUMIF(货件明细!J:J,E838,货件明细!H:H)</f>
        <v>0</v>
      </c>
      <c r="Y838">
        <f>N838-X838</f>
        <v>37.65</v>
      </c>
      <c r="Z838">
        <f>SUMIF(货件明细!J:J,E838,货件明细!I:I)</f>
        <v>0</v>
      </c>
      <c r="AA838">
        <f>IF(S838=Z838,0,1)</f>
        <v>1</v>
      </c>
    </row>
    <row r="839" hidden="1" spans="1:27">
      <c r="A839">
        <v>2</v>
      </c>
      <c r="B839">
        <v>6</v>
      </c>
      <c r="C839" s="3">
        <v>46060</v>
      </c>
      <c r="D839" t="s">
        <v>27</v>
      </c>
      <c r="E839" t="s">
        <v>949</v>
      </c>
      <c r="F839" t="s">
        <v>185</v>
      </c>
      <c r="G839" t="s">
        <v>30</v>
      </c>
      <c r="H839" t="s">
        <v>31</v>
      </c>
      <c r="I839" t="s">
        <v>92</v>
      </c>
      <c r="J839" t="s">
        <v>92</v>
      </c>
      <c r="K839" t="s">
        <v>64</v>
      </c>
      <c r="L839" t="s">
        <v>65</v>
      </c>
      <c r="M839" t="s">
        <v>93</v>
      </c>
      <c r="N839">
        <v>10.6</v>
      </c>
      <c r="O839">
        <v>47.1428571428571</v>
      </c>
      <c r="P839">
        <v>67</v>
      </c>
      <c r="Q839">
        <v>114.142857142857</v>
      </c>
      <c r="R839">
        <v>0</v>
      </c>
      <c r="S839">
        <v>114.142857142857</v>
      </c>
      <c r="T839">
        <v>63</v>
      </c>
      <c r="U839">
        <f>SUMIF(货件明细!J:J,E839,货件明细!AP:AP)</f>
        <v>0</v>
      </c>
      <c r="V839">
        <f>IF(U839=T839,0,1)</f>
        <v>1</v>
      </c>
      <c r="W839">
        <f>T839</f>
        <v>63</v>
      </c>
      <c r="X839">
        <f>SUMIF(货件明细!J:J,E839,货件明细!H:H)</f>
        <v>0</v>
      </c>
      <c r="Y839">
        <f>N839-X839</f>
        <v>10.6</v>
      </c>
      <c r="Z839">
        <f>SUMIF(货件明细!J:J,E839,货件明细!I:I)</f>
        <v>0</v>
      </c>
      <c r="AA839">
        <f>IF(S839=Z839,0,1)</f>
        <v>1</v>
      </c>
    </row>
    <row r="840" hidden="1" spans="1:27">
      <c r="A840">
        <v>2</v>
      </c>
      <c r="B840">
        <v>6</v>
      </c>
      <c r="C840" s="3">
        <v>46060</v>
      </c>
      <c r="D840" t="s">
        <v>27</v>
      </c>
      <c r="E840" t="s">
        <v>950</v>
      </c>
      <c r="F840" t="s">
        <v>98</v>
      </c>
      <c r="G840" t="s">
        <v>72</v>
      </c>
      <c r="H840" t="s">
        <v>31</v>
      </c>
      <c r="I840" t="s">
        <v>92</v>
      </c>
      <c r="J840" t="s">
        <v>92</v>
      </c>
      <c r="K840" t="s">
        <v>64</v>
      </c>
      <c r="L840" t="s">
        <v>65</v>
      </c>
      <c r="M840" t="s">
        <v>93</v>
      </c>
      <c r="N840">
        <v>10.6</v>
      </c>
      <c r="O840">
        <v>20</v>
      </c>
      <c r="P840">
        <v>43</v>
      </c>
      <c r="Q840">
        <v>63</v>
      </c>
      <c r="R840">
        <v>0</v>
      </c>
      <c r="S840">
        <v>63</v>
      </c>
      <c r="T840">
        <v>63</v>
      </c>
      <c r="U840">
        <f>SUMIF(货件明细!J:J,E840,货件明细!AP:AP)</f>
        <v>0</v>
      </c>
      <c r="V840">
        <f>IF(U840=T840,0,1)</f>
        <v>1</v>
      </c>
      <c r="W840">
        <f>T840</f>
        <v>63</v>
      </c>
      <c r="X840">
        <f>SUMIF(货件明细!J:J,E840,货件明细!H:H)</f>
        <v>0</v>
      </c>
      <c r="Y840">
        <f>N840-X840</f>
        <v>10.6</v>
      </c>
      <c r="Z840">
        <f>SUMIF(货件明细!J:J,E840,货件明细!I:I)</f>
        <v>0</v>
      </c>
      <c r="AA840">
        <f>IF(S840=Z840,0,1)</f>
        <v>1</v>
      </c>
    </row>
    <row r="841" hidden="1" spans="1:27">
      <c r="A841">
        <v>2</v>
      </c>
      <c r="B841">
        <v>6</v>
      </c>
      <c r="C841" s="3">
        <v>46060</v>
      </c>
      <c r="D841" t="s">
        <v>27</v>
      </c>
      <c r="E841" t="s">
        <v>951</v>
      </c>
      <c r="F841" t="s">
        <v>68</v>
      </c>
      <c r="G841" t="s">
        <v>69</v>
      </c>
      <c r="H841" t="s">
        <v>31</v>
      </c>
      <c r="I841" t="s">
        <v>92</v>
      </c>
      <c r="J841" t="s">
        <v>92</v>
      </c>
      <c r="K841" t="s">
        <v>64</v>
      </c>
      <c r="L841" t="s">
        <v>65</v>
      </c>
      <c r="M841" t="s">
        <v>93</v>
      </c>
      <c r="N841">
        <v>10.6</v>
      </c>
      <c r="O841">
        <v>20</v>
      </c>
      <c r="P841">
        <v>57.4</v>
      </c>
      <c r="Q841">
        <v>77.4</v>
      </c>
      <c r="R841">
        <v>0</v>
      </c>
      <c r="S841">
        <v>77.4</v>
      </c>
      <c r="T841">
        <v>63</v>
      </c>
      <c r="U841">
        <f>SUMIF(货件明细!J:J,E841,货件明细!AP:AP)</f>
        <v>0</v>
      </c>
      <c r="V841">
        <f>IF(U841=T841,0,1)</f>
        <v>1</v>
      </c>
      <c r="W841">
        <f>T841</f>
        <v>63</v>
      </c>
      <c r="X841">
        <f>SUMIF(货件明细!J:J,E841,货件明细!H:H)</f>
        <v>0</v>
      </c>
      <c r="Y841">
        <f>N841-X841</f>
        <v>10.6</v>
      </c>
      <c r="Z841">
        <f>SUMIF(货件明细!J:J,E841,货件明细!I:I)</f>
        <v>0</v>
      </c>
      <c r="AA841">
        <f>IF(S841=Z841,0,1)</f>
        <v>1</v>
      </c>
    </row>
    <row r="842" hidden="1" spans="1:27">
      <c r="A842">
        <v>2</v>
      </c>
      <c r="B842">
        <v>6</v>
      </c>
      <c r="C842" s="3">
        <v>46060</v>
      </c>
      <c r="D842" t="s">
        <v>27</v>
      </c>
      <c r="E842" t="s">
        <v>952</v>
      </c>
      <c r="F842" t="s">
        <v>143</v>
      </c>
      <c r="G842" t="s">
        <v>72</v>
      </c>
      <c r="H842" t="s">
        <v>31</v>
      </c>
      <c r="I842" t="s">
        <v>92</v>
      </c>
      <c r="J842" t="s">
        <v>92</v>
      </c>
      <c r="K842" t="s">
        <v>64</v>
      </c>
      <c r="L842" t="s">
        <v>65</v>
      </c>
      <c r="M842" t="s">
        <v>188</v>
      </c>
      <c r="N842">
        <v>10.6</v>
      </c>
      <c r="O842">
        <v>20</v>
      </c>
      <c r="P842">
        <v>55.22</v>
      </c>
      <c r="Q842">
        <v>75.22</v>
      </c>
      <c r="R842">
        <v>0</v>
      </c>
      <c r="S842">
        <v>75.22</v>
      </c>
      <c r="T842">
        <v>63</v>
      </c>
      <c r="U842">
        <f>SUMIF(货件明细!J:J,E842,货件明细!AP:AP)</f>
        <v>0</v>
      </c>
      <c r="V842">
        <f>IF(U842=T842,0,1)</f>
        <v>1</v>
      </c>
      <c r="W842">
        <f>T842</f>
        <v>63</v>
      </c>
      <c r="X842">
        <f>SUMIF(货件明细!J:J,E842,货件明细!H:H)</f>
        <v>0</v>
      </c>
      <c r="Y842">
        <f>N842-X842</f>
        <v>10.6</v>
      </c>
      <c r="Z842">
        <f>SUMIF(货件明细!J:J,E842,货件明细!I:I)</f>
        <v>0</v>
      </c>
      <c r="AA842">
        <f>IF(S842=Z842,0,1)</f>
        <v>1</v>
      </c>
    </row>
    <row r="843" hidden="1" spans="1:27">
      <c r="A843">
        <v>2</v>
      </c>
      <c r="B843">
        <v>6</v>
      </c>
      <c r="C843" s="3">
        <v>46060</v>
      </c>
      <c r="D843" t="s">
        <v>27</v>
      </c>
      <c r="E843" t="s">
        <v>953</v>
      </c>
      <c r="F843" t="s">
        <v>198</v>
      </c>
      <c r="G843" t="s">
        <v>69</v>
      </c>
      <c r="H843" t="s">
        <v>31</v>
      </c>
      <c r="I843" t="s">
        <v>92</v>
      </c>
      <c r="J843" t="s">
        <v>92</v>
      </c>
      <c r="K843" t="s">
        <v>64</v>
      </c>
      <c r="L843" t="s">
        <v>65</v>
      </c>
      <c r="M843" t="s">
        <v>93</v>
      </c>
      <c r="N843">
        <v>10.6</v>
      </c>
      <c r="O843">
        <v>20</v>
      </c>
      <c r="P843">
        <v>57.4</v>
      </c>
      <c r="Q843">
        <v>77.4</v>
      </c>
      <c r="R843">
        <v>0</v>
      </c>
      <c r="S843">
        <v>77.4</v>
      </c>
      <c r="T843">
        <v>63</v>
      </c>
      <c r="U843">
        <f>SUMIF(货件明细!J:J,E843,货件明细!AP:AP)</f>
        <v>0</v>
      </c>
      <c r="V843">
        <f>IF(U843=T843,0,1)</f>
        <v>1</v>
      </c>
      <c r="W843">
        <f>T843</f>
        <v>63</v>
      </c>
      <c r="X843">
        <f>SUMIF(货件明细!J:J,E843,货件明细!H:H)</f>
        <v>0</v>
      </c>
      <c r="Y843">
        <f>N843-X843</f>
        <v>10.6</v>
      </c>
      <c r="Z843">
        <f>SUMIF(货件明细!J:J,E843,货件明细!I:I)</f>
        <v>0</v>
      </c>
      <c r="AA843">
        <f>IF(S843=Z843,0,1)</f>
        <v>1</v>
      </c>
    </row>
    <row r="844" hidden="1" spans="1:27">
      <c r="A844">
        <v>2</v>
      </c>
      <c r="B844">
        <v>6</v>
      </c>
      <c r="C844" s="3">
        <v>46060</v>
      </c>
      <c r="D844" t="s">
        <v>27</v>
      </c>
      <c r="E844" t="s">
        <v>954</v>
      </c>
      <c r="F844" t="s">
        <v>185</v>
      </c>
      <c r="G844" t="s">
        <v>30</v>
      </c>
      <c r="H844" t="s">
        <v>39</v>
      </c>
      <c r="I844" t="s">
        <v>92</v>
      </c>
      <c r="J844" t="s">
        <v>92</v>
      </c>
      <c r="K844" t="s">
        <v>64</v>
      </c>
      <c r="L844" t="s">
        <v>65</v>
      </c>
      <c r="M844" t="s">
        <v>93</v>
      </c>
      <c r="N844">
        <v>11.05</v>
      </c>
      <c r="O844">
        <v>47.1428571428571</v>
      </c>
      <c r="P844">
        <v>67</v>
      </c>
      <c r="Q844">
        <v>114.142857142857</v>
      </c>
      <c r="R844">
        <v>0</v>
      </c>
      <c r="S844">
        <v>114.142857142857</v>
      </c>
      <c r="T844">
        <v>89</v>
      </c>
      <c r="U844">
        <f>SUMIF(货件明细!J:J,E844,货件明细!AP:AP)</f>
        <v>0</v>
      </c>
      <c r="V844">
        <f>IF(U844=T844,0,1)</f>
        <v>1</v>
      </c>
      <c r="W844">
        <f>T844</f>
        <v>89</v>
      </c>
      <c r="X844">
        <f>SUMIF(货件明细!J:J,E844,货件明细!H:H)</f>
        <v>0</v>
      </c>
      <c r="Y844">
        <f>N844-X844</f>
        <v>11.05</v>
      </c>
      <c r="Z844">
        <f>SUMIF(货件明细!J:J,E844,货件明细!I:I)</f>
        <v>0</v>
      </c>
      <c r="AA844">
        <f>IF(S844=Z844,0,1)</f>
        <v>1</v>
      </c>
    </row>
    <row r="845" hidden="1" spans="1:27">
      <c r="A845">
        <v>2</v>
      </c>
      <c r="B845">
        <v>6</v>
      </c>
      <c r="C845" s="3">
        <v>46060</v>
      </c>
      <c r="D845" t="s">
        <v>27</v>
      </c>
      <c r="E845" t="s">
        <v>955</v>
      </c>
      <c r="F845" t="s">
        <v>143</v>
      </c>
      <c r="G845" t="s">
        <v>72</v>
      </c>
      <c r="H845" t="s">
        <v>39</v>
      </c>
      <c r="I845" t="s">
        <v>92</v>
      </c>
      <c r="J845" t="s">
        <v>92</v>
      </c>
      <c r="K845" t="s">
        <v>64</v>
      </c>
      <c r="L845" t="s">
        <v>65</v>
      </c>
      <c r="M845" t="s">
        <v>188</v>
      </c>
      <c r="N845">
        <v>11.05</v>
      </c>
      <c r="O845">
        <v>20</v>
      </c>
      <c r="P845">
        <v>55.22</v>
      </c>
      <c r="Q845">
        <v>75.22</v>
      </c>
      <c r="R845">
        <v>0</v>
      </c>
      <c r="S845">
        <v>75.22</v>
      </c>
      <c r="T845">
        <v>89</v>
      </c>
      <c r="U845">
        <f>SUMIF(货件明细!J:J,E845,货件明细!AP:AP)</f>
        <v>0</v>
      </c>
      <c r="V845">
        <f>IF(U845=T845,0,1)</f>
        <v>1</v>
      </c>
      <c r="W845">
        <f>T845</f>
        <v>89</v>
      </c>
      <c r="X845">
        <f>SUMIF(货件明细!J:J,E845,货件明细!H:H)</f>
        <v>0</v>
      </c>
      <c r="Y845">
        <f>N845-X845</f>
        <v>11.05</v>
      </c>
      <c r="Z845">
        <f>SUMIF(货件明细!J:J,E845,货件明细!I:I)</f>
        <v>0</v>
      </c>
      <c r="AA845">
        <f>IF(S845=Z845,0,1)</f>
        <v>1</v>
      </c>
    </row>
    <row r="846" hidden="1" spans="1:27">
      <c r="A846">
        <v>2</v>
      </c>
      <c r="B846">
        <v>6</v>
      </c>
      <c r="C846" s="3">
        <v>46060</v>
      </c>
      <c r="D846" t="s">
        <v>27</v>
      </c>
      <c r="E846" t="s">
        <v>956</v>
      </c>
      <c r="F846" t="s">
        <v>68</v>
      </c>
      <c r="G846" t="s">
        <v>69</v>
      </c>
      <c r="H846" t="s">
        <v>39</v>
      </c>
      <c r="I846" t="s">
        <v>92</v>
      </c>
      <c r="J846" t="s">
        <v>92</v>
      </c>
      <c r="K846" t="s">
        <v>64</v>
      </c>
      <c r="L846" t="s">
        <v>65</v>
      </c>
      <c r="M846" t="s">
        <v>93</v>
      </c>
      <c r="N846">
        <v>11.05</v>
      </c>
      <c r="O846">
        <v>20</v>
      </c>
      <c r="P846">
        <v>57.4</v>
      </c>
      <c r="Q846">
        <v>77.4</v>
      </c>
      <c r="R846">
        <v>0</v>
      </c>
      <c r="S846">
        <v>77.4</v>
      </c>
      <c r="T846">
        <v>89</v>
      </c>
      <c r="U846">
        <f>SUMIF(货件明细!J:J,E846,货件明细!AP:AP)</f>
        <v>0</v>
      </c>
      <c r="V846">
        <f>IF(U846=T846,0,1)</f>
        <v>1</v>
      </c>
      <c r="W846">
        <f>T846</f>
        <v>89</v>
      </c>
      <c r="X846">
        <f>SUMIF(货件明细!J:J,E846,货件明细!H:H)</f>
        <v>0</v>
      </c>
      <c r="Y846">
        <f>N846-X846</f>
        <v>11.05</v>
      </c>
      <c r="Z846">
        <f>SUMIF(货件明细!J:J,E846,货件明细!I:I)</f>
        <v>0</v>
      </c>
      <c r="AA846">
        <f>IF(S846=Z846,0,1)</f>
        <v>1</v>
      </c>
    </row>
    <row r="847" hidden="1" spans="1:27">
      <c r="A847">
        <v>2</v>
      </c>
      <c r="B847">
        <v>6</v>
      </c>
      <c r="C847" s="3">
        <v>46060</v>
      </c>
      <c r="D847" t="s">
        <v>27</v>
      </c>
      <c r="E847" t="s">
        <v>957</v>
      </c>
      <c r="F847" t="s">
        <v>198</v>
      </c>
      <c r="G847" t="s">
        <v>69</v>
      </c>
      <c r="H847" t="s">
        <v>39</v>
      </c>
      <c r="I847" t="s">
        <v>92</v>
      </c>
      <c r="J847" t="s">
        <v>92</v>
      </c>
      <c r="K847" t="s">
        <v>64</v>
      </c>
      <c r="L847" t="s">
        <v>65</v>
      </c>
      <c r="M847" t="s">
        <v>93</v>
      </c>
      <c r="N847">
        <v>11.05</v>
      </c>
      <c r="O847">
        <v>20</v>
      </c>
      <c r="P847">
        <v>57.4</v>
      </c>
      <c r="Q847">
        <v>77.4</v>
      </c>
      <c r="R847">
        <v>0</v>
      </c>
      <c r="S847">
        <v>77.4</v>
      </c>
      <c r="T847">
        <v>89</v>
      </c>
      <c r="U847">
        <f>SUMIF(货件明细!J:J,E847,货件明细!AP:AP)</f>
        <v>0</v>
      </c>
      <c r="V847">
        <f>IF(U847=T847,0,1)</f>
        <v>1</v>
      </c>
      <c r="W847">
        <f>T847</f>
        <v>89</v>
      </c>
      <c r="X847">
        <f>SUMIF(货件明细!J:J,E847,货件明细!H:H)</f>
        <v>0</v>
      </c>
      <c r="Y847">
        <f>N847-X847</f>
        <v>11.05</v>
      </c>
      <c r="Z847">
        <f>SUMIF(货件明细!J:J,E847,货件明细!I:I)</f>
        <v>0</v>
      </c>
      <c r="AA847">
        <f>IF(S847=Z847,0,1)</f>
        <v>1</v>
      </c>
    </row>
    <row r="848" hidden="1" spans="1:27">
      <c r="A848">
        <v>2</v>
      </c>
      <c r="B848">
        <v>6</v>
      </c>
      <c r="C848" s="3">
        <v>46060</v>
      </c>
      <c r="D848" t="s">
        <v>27</v>
      </c>
      <c r="E848" t="s">
        <v>958</v>
      </c>
      <c r="F848" t="s">
        <v>98</v>
      </c>
      <c r="G848" t="s">
        <v>72</v>
      </c>
      <c r="H848" t="s">
        <v>39</v>
      </c>
      <c r="I848" t="s">
        <v>92</v>
      </c>
      <c r="J848" t="s">
        <v>92</v>
      </c>
      <c r="K848" t="s">
        <v>64</v>
      </c>
      <c r="L848" t="s">
        <v>65</v>
      </c>
      <c r="M848" t="s">
        <v>93</v>
      </c>
      <c r="N848">
        <v>11.05</v>
      </c>
      <c r="O848">
        <v>20</v>
      </c>
      <c r="P848">
        <v>43</v>
      </c>
      <c r="Q848">
        <v>63</v>
      </c>
      <c r="R848">
        <v>0</v>
      </c>
      <c r="S848">
        <v>63</v>
      </c>
      <c r="T848">
        <v>89</v>
      </c>
      <c r="U848">
        <f>SUMIF(货件明细!J:J,E848,货件明细!AP:AP)</f>
        <v>0</v>
      </c>
      <c r="V848">
        <f>IF(U848=T848,0,1)</f>
        <v>1</v>
      </c>
      <c r="W848">
        <f>T848</f>
        <v>89</v>
      </c>
      <c r="X848">
        <f>SUMIF(货件明细!J:J,E848,货件明细!H:H)</f>
        <v>0</v>
      </c>
      <c r="Y848">
        <f>N848-X848</f>
        <v>11.05</v>
      </c>
      <c r="Z848">
        <f>SUMIF(货件明细!J:J,E848,货件明细!I:I)</f>
        <v>0</v>
      </c>
      <c r="AA848">
        <f>IF(S848=Z848,0,1)</f>
        <v>1</v>
      </c>
    </row>
    <row r="849" hidden="1" spans="1:27">
      <c r="A849">
        <v>2</v>
      </c>
      <c r="B849">
        <v>6</v>
      </c>
      <c r="C849" s="3">
        <v>46060</v>
      </c>
      <c r="D849" t="s">
        <v>27</v>
      </c>
      <c r="E849" t="s">
        <v>959</v>
      </c>
      <c r="F849" t="s">
        <v>62</v>
      </c>
      <c r="G849" t="s">
        <v>30</v>
      </c>
      <c r="H849" t="s">
        <v>224</v>
      </c>
      <c r="I849" t="s">
        <v>92</v>
      </c>
      <c r="J849" t="s">
        <v>92</v>
      </c>
      <c r="K849" t="s">
        <v>64</v>
      </c>
      <c r="L849" t="s">
        <v>65</v>
      </c>
      <c r="M849" t="s">
        <v>93</v>
      </c>
      <c r="N849">
        <v>18.1</v>
      </c>
      <c r="O849">
        <v>47.1428571428571</v>
      </c>
      <c r="P849">
        <v>161</v>
      </c>
      <c r="Q849">
        <v>208.142857142857</v>
      </c>
      <c r="R849">
        <v>0</v>
      </c>
      <c r="S849">
        <v>208.142857142857</v>
      </c>
      <c r="T849">
        <v>87</v>
      </c>
      <c r="U849">
        <f>SUMIF(货件明细!J:J,E849,货件明细!AP:AP)</f>
        <v>0</v>
      </c>
      <c r="V849">
        <f>IF(U849=T849,0,1)</f>
        <v>1</v>
      </c>
      <c r="W849">
        <f>T849</f>
        <v>87</v>
      </c>
      <c r="X849">
        <f>SUMIF(货件明细!J:J,E849,货件明细!H:H)</f>
        <v>0</v>
      </c>
      <c r="Y849">
        <f>N849-X849</f>
        <v>18.1</v>
      </c>
      <c r="Z849">
        <f>SUMIF(货件明细!J:J,E849,货件明细!I:I)</f>
        <v>0</v>
      </c>
      <c r="AA849">
        <f>IF(S849=Z849,0,1)</f>
        <v>1</v>
      </c>
    </row>
    <row r="850" hidden="1" spans="1:27">
      <c r="A850">
        <v>2</v>
      </c>
      <c r="B850">
        <v>6</v>
      </c>
      <c r="C850" s="3">
        <v>46060</v>
      </c>
      <c r="D850" t="s">
        <v>27</v>
      </c>
      <c r="E850" t="s">
        <v>960</v>
      </c>
      <c r="F850" t="s">
        <v>71</v>
      </c>
      <c r="G850" t="s">
        <v>72</v>
      </c>
      <c r="H850" t="s">
        <v>224</v>
      </c>
      <c r="I850" t="s">
        <v>92</v>
      </c>
      <c r="J850" t="s">
        <v>92</v>
      </c>
      <c r="K850" t="s">
        <v>64</v>
      </c>
      <c r="L850" t="s">
        <v>65</v>
      </c>
      <c r="M850" t="s">
        <v>93</v>
      </c>
      <c r="N850">
        <v>18.1</v>
      </c>
      <c r="O850">
        <v>57.5</v>
      </c>
      <c r="P850">
        <v>107.5</v>
      </c>
      <c r="Q850">
        <v>165</v>
      </c>
      <c r="R850">
        <v>0</v>
      </c>
      <c r="S850">
        <v>165</v>
      </c>
      <c r="T850">
        <v>87</v>
      </c>
      <c r="U850">
        <f>SUMIF(货件明细!J:J,E850,货件明细!AP:AP)</f>
        <v>0</v>
      </c>
      <c r="V850">
        <f>IF(U850=T850,0,1)</f>
        <v>1</v>
      </c>
      <c r="W850">
        <f>T850</f>
        <v>87</v>
      </c>
      <c r="X850">
        <f>SUMIF(货件明细!J:J,E850,货件明细!H:H)</f>
        <v>0</v>
      </c>
      <c r="Y850">
        <f>N850-X850</f>
        <v>18.1</v>
      </c>
      <c r="Z850">
        <f>SUMIF(货件明细!J:J,E850,货件明细!I:I)</f>
        <v>0</v>
      </c>
      <c r="AA850">
        <f>IF(S850=Z850,0,1)</f>
        <v>1</v>
      </c>
    </row>
    <row r="851" hidden="1" spans="1:27">
      <c r="A851">
        <v>2</v>
      </c>
      <c r="B851">
        <v>6</v>
      </c>
      <c r="C851" s="3">
        <v>46060</v>
      </c>
      <c r="D851" t="s">
        <v>27</v>
      </c>
      <c r="E851" t="s">
        <v>961</v>
      </c>
      <c r="F851" t="s">
        <v>74</v>
      </c>
      <c r="G851" t="s">
        <v>30</v>
      </c>
      <c r="H851" t="s">
        <v>224</v>
      </c>
      <c r="I851" t="s">
        <v>92</v>
      </c>
      <c r="J851" t="s">
        <v>92</v>
      </c>
      <c r="K851" t="s">
        <v>64</v>
      </c>
      <c r="L851" t="s">
        <v>65</v>
      </c>
      <c r="M851" t="s">
        <v>188</v>
      </c>
      <c r="N851">
        <v>18.1</v>
      </c>
      <c r="O851">
        <v>47.1428571428571</v>
      </c>
      <c r="P851">
        <v>193.61</v>
      </c>
      <c r="Q851">
        <v>240.752857142857</v>
      </c>
      <c r="R851">
        <v>0</v>
      </c>
      <c r="S851">
        <v>240.752857142857</v>
      </c>
      <c r="T851">
        <v>87</v>
      </c>
      <c r="U851">
        <f>SUMIF(货件明细!J:J,E851,货件明细!AP:AP)</f>
        <v>0</v>
      </c>
      <c r="V851">
        <f>IF(U851=T851,0,1)</f>
        <v>1</v>
      </c>
      <c r="W851">
        <f>T851</f>
        <v>87</v>
      </c>
      <c r="X851">
        <f>SUMIF(货件明细!J:J,E851,货件明细!H:H)</f>
        <v>0</v>
      </c>
      <c r="Y851">
        <f>N851-X851</f>
        <v>18.1</v>
      </c>
      <c r="Z851">
        <f>SUMIF(货件明细!J:J,E851,货件明细!I:I)</f>
        <v>0</v>
      </c>
      <c r="AA851">
        <f>IF(S851=Z851,0,1)</f>
        <v>1</v>
      </c>
    </row>
    <row r="852" hidden="1" spans="1:27">
      <c r="A852">
        <v>2</v>
      </c>
      <c r="B852">
        <v>6</v>
      </c>
      <c r="C852" s="3">
        <v>46060</v>
      </c>
      <c r="D852" t="s">
        <v>27</v>
      </c>
      <c r="E852" t="s">
        <v>962</v>
      </c>
      <c r="F852" t="s">
        <v>76</v>
      </c>
      <c r="G852" t="s">
        <v>72</v>
      </c>
      <c r="H852" t="s">
        <v>224</v>
      </c>
      <c r="I852" t="s">
        <v>92</v>
      </c>
      <c r="J852" t="s">
        <v>92</v>
      </c>
      <c r="K852" t="s">
        <v>64</v>
      </c>
      <c r="L852" t="s">
        <v>65</v>
      </c>
      <c r="M852" t="s">
        <v>93</v>
      </c>
      <c r="N852">
        <v>18.1</v>
      </c>
      <c r="O852">
        <v>57.5</v>
      </c>
      <c r="P852">
        <v>99</v>
      </c>
      <c r="Q852">
        <v>156.5</v>
      </c>
      <c r="R852">
        <v>0</v>
      </c>
      <c r="S852">
        <v>156.5</v>
      </c>
      <c r="T852">
        <v>87</v>
      </c>
      <c r="U852">
        <f>SUMIF(货件明细!J:J,E852,货件明细!AP:AP)</f>
        <v>0</v>
      </c>
      <c r="V852">
        <f>IF(U852=T852,0,1)</f>
        <v>1</v>
      </c>
      <c r="W852">
        <f>T852</f>
        <v>87</v>
      </c>
      <c r="X852">
        <f>SUMIF(货件明细!J:J,E852,货件明细!H:H)</f>
        <v>0</v>
      </c>
      <c r="Y852">
        <f>N852-X852</f>
        <v>18.1</v>
      </c>
      <c r="Z852">
        <f>SUMIF(货件明细!J:J,E852,货件明细!I:I)</f>
        <v>0</v>
      </c>
      <c r="AA852">
        <f>IF(S852=Z852,0,1)</f>
        <v>1</v>
      </c>
    </row>
    <row r="853" hidden="1" spans="1:27">
      <c r="A853">
        <v>2</v>
      </c>
      <c r="B853">
        <v>6</v>
      </c>
      <c r="C853" s="3">
        <v>46060</v>
      </c>
      <c r="D853" t="s">
        <v>27</v>
      </c>
      <c r="E853" t="s">
        <v>963</v>
      </c>
      <c r="F853" t="s">
        <v>239</v>
      </c>
      <c r="G853" t="s">
        <v>72</v>
      </c>
      <c r="H853" t="s">
        <v>224</v>
      </c>
      <c r="I853" t="s">
        <v>92</v>
      </c>
      <c r="J853" t="s">
        <v>92</v>
      </c>
      <c r="K853" t="s">
        <v>64</v>
      </c>
      <c r="L853" t="s">
        <v>65</v>
      </c>
      <c r="M853" t="s">
        <v>93</v>
      </c>
      <c r="N853">
        <v>18.1</v>
      </c>
      <c r="O853">
        <v>57.5</v>
      </c>
      <c r="P853">
        <v>107.5</v>
      </c>
      <c r="Q853">
        <v>165</v>
      </c>
      <c r="R853">
        <v>0</v>
      </c>
      <c r="S853">
        <v>165</v>
      </c>
      <c r="T853">
        <v>87</v>
      </c>
      <c r="U853">
        <f>SUMIF(货件明细!J:J,E853,货件明细!AP:AP)</f>
        <v>0</v>
      </c>
      <c r="V853">
        <f>IF(U853=T853,0,1)</f>
        <v>1</v>
      </c>
      <c r="W853">
        <f>T853</f>
        <v>87</v>
      </c>
      <c r="X853">
        <f>SUMIF(货件明细!J:J,E853,货件明细!H:H)</f>
        <v>0</v>
      </c>
      <c r="Y853">
        <f>N853-X853</f>
        <v>18.1</v>
      </c>
      <c r="Z853">
        <f>SUMIF(货件明细!J:J,E853,货件明细!I:I)</f>
        <v>0</v>
      </c>
      <c r="AA853">
        <f>IF(S853=Z853,0,1)</f>
        <v>1</v>
      </c>
    </row>
    <row r="854" hidden="1" spans="1:27">
      <c r="A854">
        <v>2</v>
      </c>
      <c r="B854">
        <v>6</v>
      </c>
      <c r="C854" s="3">
        <v>46059</v>
      </c>
      <c r="D854" t="s">
        <v>88</v>
      </c>
      <c r="E854" t="s">
        <v>964</v>
      </c>
      <c r="F854" t="s">
        <v>211</v>
      </c>
      <c r="G854" t="s">
        <v>72</v>
      </c>
      <c r="H854" t="s">
        <v>37</v>
      </c>
      <c r="I854" t="s">
        <v>63</v>
      </c>
      <c r="J854" t="s">
        <v>63</v>
      </c>
      <c r="K854" t="s">
        <v>64</v>
      </c>
      <c r="L854" t="s">
        <v>147</v>
      </c>
      <c r="M854" t="s">
        <v>774</v>
      </c>
      <c r="N854">
        <v>382.45</v>
      </c>
      <c r="O854">
        <v>33.3333333333333</v>
      </c>
      <c r="P854">
        <v>1059.04615384615</v>
      </c>
      <c r="Q854">
        <v>1092.37948717949</v>
      </c>
      <c r="R854">
        <v>0</v>
      </c>
      <c r="S854">
        <v>1092.37948717949</v>
      </c>
      <c r="T854">
        <v>1344</v>
      </c>
      <c r="U854">
        <f>SUMIF(货件明细!J:J,E854,货件明细!AP:AP)</f>
        <v>0</v>
      </c>
      <c r="V854">
        <f>IF(U854=T854,0,1)</f>
        <v>1</v>
      </c>
      <c r="W854">
        <f>T854</f>
        <v>1344</v>
      </c>
      <c r="X854">
        <f>SUMIF(货件明细!J:J,E854,货件明细!H:H)</f>
        <v>0</v>
      </c>
      <c r="Y854">
        <f>N854-X854</f>
        <v>382.45</v>
      </c>
      <c r="Z854">
        <f>SUMIF(货件明细!J:J,E854,货件明细!I:I)</f>
        <v>0</v>
      </c>
      <c r="AA854">
        <f>IF(S854=Z854,0,1)</f>
        <v>1</v>
      </c>
    </row>
    <row r="855" hidden="1" spans="1:27">
      <c r="A855">
        <v>2</v>
      </c>
      <c r="B855">
        <v>6</v>
      </c>
      <c r="C855" s="3">
        <v>46059</v>
      </c>
      <c r="D855" t="s">
        <v>88</v>
      </c>
      <c r="E855" t="s">
        <v>965</v>
      </c>
      <c r="F855" t="s">
        <v>211</v>
      </c>
      <c r="G855" t="s">
        <v>72</v>
      </c>
      <c r="H855" t="s">
        <v>37</v>
      </c>
      <c r="I855" t="s">
        <v>63</v>
      </c>
      <c r="J855" t="s">
        <v>63</v>
      </c>
      <c r="K855" t="s">
        <v>64</v>
      </c>
      <c r="L855" t="s">
        <v>147</v>
      </c>
      <c r="M855" t="s">
        <v>774</v>
      </c>
      <c r="N855">
        <v>67.7</v>
      </c>
      <c r="O855">
        <v>33.3333333333333</v>
      </c>
      <c r="P855">
        <v>176.507692307692</v>
      </c>
      <c r="Q855">
        <v>209.841025641026</v>
      </c>
      <c r="R855">
        <v>0</v>
      </c>
      <c r="S855">
        <v>209.841025641026</v>
      </c>
      <c r="T855">
        <v>286</v>
      </c>
      <c r="U855">
        <f>SUMIF(货件明细!J:J,E855,货件明细!AP:AP)</f>
        <v>0</v>
      </c>
      <c r="V855">
        <f>IF(U855=T855,0,1)</f>
        <v>1</v>
      </c>
      <c r="W855">
        <f>T855</f>
        <v>286</v>
      </c>
      <c r="X855">
        <f>SUMIF(货件明细!J:J,E855,货件明细!H:H)</f>
        <v>0</v>
      </c>
      <c r="Y855">
        <f>N855-X855</f>
        <v>67.7</v>
      </c>
      <c r="Z855">
        <f>SUMIF(货件明细!J:J,E855,货件明细!I:I)</f>
        <v>0</v>
      </c>
      <c r="AA855">
        <f>IF(S855=Z855,0,1)</f>
        <v>1</v>
      </c>
    </row>
    <row r="856" hidden="1" spans="1:27">
      <c r="A856">
        <v>2</v>
      </c>
      <c r="B856">
        <v>6</v>
      </c>
      <c r="C856" s="3">
        <v>46059</v>
      </c>
      <c r="D856" t="s">
        <v>88</v>
      </c>
      <c r="E856" t="s">
        <v>966</v>
      </c>
      <c r="F856" t="s">
        <v>211</v>
      </c>
      <c r="G856" t="s">
        <v>72</v>
      </c>
      <c r="H856" t="s">
        <v>31</v>
      </c>
      <c r="I856" t="s">
        <v>63</v>
      </c>
      <c r="J856" t="s">
        <v>63</v>
      </c>
      <c r="K856" t="s">
        <v>64</v>
      </c>
      <c r="L856" t="s">
        <v>147</v>
      </c>
      <c r="M856" t="s">
        <v>774</v>
      </c>
      <c r="N856">
        <v>369.55</v>
      </c>
      <c r="O856">
        <v>50</v>
      </c>
      <c r="P856">
        <v>1336.72</v>
      </c>
      <c r="Q856">
        <v>1386.72</v>
      </c>
      <c r="R856">
        <v>0</v>
      </c>
      <c r="S856">
        <v>1386.72</v>
      </c>
      <c r="T856">
        <v>1415</v>
      </c>
      <c r="U856">
        <f>SUMIF(货件明细!J:J,E856,货件明细!AP:AP)</f>
        <v>0</v>
      </c>
      <c r="V856">
        <f>IF(U856=T856,0,1)</f>
        <v>1</v>
      </c>
      <c r="W856">
        <f>T856</f>
        <v>1415</v>
      </c>
      <c r="X856">
        <f>SUMIF(货件明细!J:J,E856,货件明细!H:H)</f>
        <v>0</v>
      </c>
      <c r="Y856">
        <f>N856-X856</f>
        <v>369.55</v>
      </c>
      <c r="Z856">
        <f>SUMIF(货件明细!J:J,E856,货件明细!I:I)</f>
        <v>0</v>
      </c>
      <c r="AA856">
        <f>IF(S856=Z856,0,1)</f>
        <v>1</v>
      </c>
    </row>
    <row r="857" hidden="1" spans="1:27">
      <c r="A857">
        <v>2</v>
      </c>
      <c r="B857">
        <v>6</v>
      </c>
      <c r="C857" s="3">
        <v>46059</v>
      </c>
      <c r="D857" t="s">
        <v>88</v>
      </c>
      <c r="E857" t="s">
        <v>967</v>
      </c>
      <c r="F857" t="s">
        <v>211</v>
      </c>
      <c r="G857" t="s">
        <v>72</v>
      </c>
      <c r="H857" t="s">
        <v>51</v>
      </c>
      <c r="I857" t="s">
        <v>63</v>
      </c>
      <c r="J857" t="s">
        <v>63</v>
      </c>
      <c r="K857" t="s">
        <v>64</v>
      </c>
      <c r="L857" t="s">
        <v>147</v>
      </c>
      <c r="M857" t="s">
        <v>774</v>
      </c>
      <c r="N857">
        <v>69.7</v>
      </c>
      <c r="O857">
        <v>50</v>
      </c>
      <c r="P857">
        <v>172.48</v>
      </c>
      <c r="Q857">
        <v>222.48</v>
      </c>
      <c r="R857">
        <v>0</v>
      </c>
      <c r="S857">
        <v>222.48</v>
      </c>
      <c r="T857">
        <v>330</v>
      </c>
      <c r="U857">
        <f>SUMIF(货件明细!J:J,E857,货件明细!AP:AP)</f>
        <v>0</v>
      </c>
      <c r="V857">
        <f>IF(U857=T857,0,1)</f>
        <v>1</v>
      </c>
      <c r="W857">
        <f>T857</f>
        <v>330</v>
      </c>
      <c r="X857">
        <f>SUMIF(货件明细!J:J,E857,货件明细!H:H)</f>
        <v>0</v>
      </c>
      <c r="Y857">
        <f>N857-X857</f>
        <v>69.7</v>
      </c>
      <c r="Z857">
        <f>SUMIF(货件明细!J:J,E857,货件明细!I:I)</f>
        <v>0</v>
      </c>
      <c r="AA857">
        <f>IF(S857=Z857,0,1)</f>
        <v>1</v>
      </c>
    </row>
    <row r="858" hidden="1" spans="1:27">
      <c r="A858">
        <v>2</v>
      </c>
      <c r="B858">
        <v>6</v>
      </c>
      <c r="C858" s="3">
        <v>46059</v>
      </c>
      <c r="D858" t="s">
        <v>88</v>
      </c>
      <c r="E858" t="s">
        <v>968</v>
      </c>
      <c r="F858" t="s">
        <v>211</v>
      </c>
      <c r="G858" t="s">
        <v>72</v>
      </c>
      <c r="H858" t="s">
        <v>78</v>
      </c>
      <c r="I858" t="s">
        <v>63</v>
      </c>
      <c r="J858" t="s">
        <v>63</v>
      </c>
      <c r="K858" t="s">
        <v>64</v>
      </c>
      <c r="L858" t="s">
        <v>147</v>
      </c>
      <c r="M858" t="s">
        <v>774</v>
      </c>
      <c r="N858">
        <v>294.45</v>
      </c>
      <c r="O858">
        <v>33.3333333333333</v>
      </c>
      <c r="P858">
        <v>926.665384615385</v>
      </c>
      <c r="Q858">
        <v>959.998717948718</v>
      </c>
      <c r="R858">
        <v>0</v>
      </c>
      <c r="S858">
        <v>959.998717948718</v>
      </c>
      <c r="T858">
        <v>2190</v>
      </c>
      <c r="U858">
        <f>SUMIF(货件明细!J:J,E858,货件明细!AP:AP)</f>
        <v>0</v>
      </c>
      <c r="V858">
        <f>IF(U858=T858,0,1)</f>
        <v>1</v>
      </c>
      <c r="W858">
        <f>T858</f>
        <v>2190</v>
      </c>
      <c r="X858">
        <f>SUMIF(货件明细!J:J,E858,货件明细!H:H)</f>
        <v>0</v>
      </c>
      <c r="Y858">
        <f>N858-X858</f>
        <v>294.45</v>
      </c>
      <c r="Z858">
        <f>SUMIF(货件明细!J:J,E858,货件明细!I:I)</f>
        <v>0</v>
      </c>
      <c r="AA858">
        <f>IF(S858=Z858,0,1)</f>
        <v>1</v>
      </c>
    </row>
    <row r="859" hidden="1" spans="1:27">
      <c r="A859">
        <v>2</v>
      </c>
      <c r="B859">
        <v>6</v>
      </c>
      <c r="C859" s="3">
        <v>46059</v>
      </c>
      <c r="D859" t="s">
        <v>88</v>
      </c>
      <c r="E859" t="s">
        <v>969</v>
      </c>
      <c r="F859" t="s">
        <v>211</v>
      </c>
      <c r="G859" t="s">
        <v>72</v>
      </c>
      <c r="H859" t="s">
        <v>59</v>
      </c>
      <c r="I859" t="s">
        <v>63</v>
      </c>
      <c r="J859" t="s">
        <v>63</v>
      </c>
      <c r="K859" t="s">
        <v>64</v>
      </c>
      <c r="L859" t="s">
        <v>147</v>
      </c>
      <c r="M859" t="s">
        <v>774</v>
      </c>
      <c r="N859">
        <v>496.7</v>
      </c>
      <c r="O859">
        <v>33.3333333333333</v>
      </c>
      <c r="P859">
        <v>1676.82307692308</v>
      </c>
      <c r="Q859">
        <v>1710.15641025641</v>
      </c>
      <c r="R859">
        <v>0</v>
      </c>
      <c r="S859">
        <v>1710.15641025641</v>
      </c>
      <c r="T859">
        <v>3651</v>
      </c>
      <c r="U859">
        <f>SUMIF(货件明细!J:J,E859,货件明细!AP:AP)</f>
        <v>0</v>
      </c>
      <c r="V859">
        <f>IF(U859=T859,0,1)</f>
        <v>1</v>
      </c>
      <c r="W859">
        <f>T859</f>
        <v>3651</v>
      </c>
      <c r="X859">
        <f>SUMIF(货件明细!J:J,E859,货件明细!H:H)</f>
        <v>0</v>
      </c>
      <c r="Y859">
        <f>N859-X859</f>
        <v>496.7</v>
      </c>
      <c r="Z859">
        <f>SUMIF(货件明细!J:J,E859,货件明细!I:I)</f>
        <v>0</v>
      </c>
      <c r="AA859">
        <f>IF(S859=Z859,0,1)</f>
        <v>1</v>
      </c>
    </row>
    <row r="860" hidden="1" spans="1:27">
      <c r="A860">
        <v>2</v>
      </c>
      <c r="B860">
        <v>6</v>
      </c>
      <c r="C860" s="3">
        <v>46059</v>
      </c>
      <c r="D860" t="s">
        <v>88</v>
      </c>
      <c r="E860" t="s">
        <v>970</v>
      </c>
      <c r="F860" t="s">
        <v>211</v>
      </c>
      <c r="G860" t="s">
        <v>72</v>
      </c>
      <c r="H860" t="s">
        <v>59</v>
      </c>
      <c r="I860" t="s">
        <v>63</v>
      </c>
      <c r="J860" t="s">
        <v>63</v>
      </c>
      <c r="K860" t="s">
        <v>64</v>
      </c>
      <c r="L860" t="s">
        <v>147</v>
      </c>
      <c r="M860" t="s">
        <v>774</v>
      </c>
      <c r="N860">
        <v>21.15</v>
      </c>
      <c r="O860">
        <v>33.3333333333333</v>
      </c>
      <c r="P860">
        <v>44.1269230769231</v>
      </c>
      <c r="Q860">
        <v>77.4602564102564</v>
      </c>
      <c r="R860">
        <v>0</v>
      </c>
      <c r="S860">
        <v>77.4602564102564</v>
      </c>
      <c r="T860">
        <v>49</v>
      </c>
      <c r="U860">
        <f>SUMIF(货件明细!J:J,E860,货件明细!AP:AP)</f>
        <v>0</v>
      </c>
      <c r="V860">
        <f>IF(U860=T860,0,1)</f>
        <v>1</v>
      </c>
      <c r="W860">
        <f>T860</f>
        <v>49</v>
      </c>
      <c r="X860">
        <f>SUMIF(货件明细!J:J,E860,货件明细!H:H)</f>
        <v>0</v>
      </c>
      <c r="Y860">
        <f>N860-X860</f>
        <v>21.15</v>
      </c>
      <c r="Z860">
        <f>SUMIF(货件明细!J:J,E860,货件明细!I:I)</f>
        <v>0</v>
      </c>
      <c r="AA860">
        <f>IF(S860=Z860,0,1)</f>
        <v>1</v>
      </c>
    </row>
    <row r="861" hidden="1" spans="1:27">
      <c r="A861">
        <v>2</v>
      </c>
      <c r="B861">
        <v>6</v>
      </c>
      <c r="C861" s="3">
        <v>46059</v>
      </c>
      <c r="D861" t="s">
        <v>88</v>
      </c>
      <c r="E861" t="s">
        <v>971</v>
      </c>
      <c r="F861" t="s">
        <v>211</v>
      </c>
      <c r="G861" t="s">
        <v>72</v>
      </c>
      <c r="H861" t="s">
        <v>39</v>
      </c>
      <c r="I861" t="s">
        <v>63</v>
      </c>
      <c r="J861" t="s">
        <v>63</v>
      </c>
      <c r="K861" t="s">
        <v>64</v>
      </c>
      <c r="L861" t="s">
        <v>147</v>
      </c>
      <c r="M861" t="s">
        <v>774</v>
      </c>
      <c r="N861">
        <v>40.8</v>
      </c>
      <c r="O861">
        <v>50</v>
      </c>
      <c r="P861">
        <v>172.48</v>
      </c>
      <c r="Q861">
        <v>222.48</v>
      </c>
      <c r="R861">
        <v>0</v>
      </c>
      <c r="S861">
        <v>222.48</v>
      </c>
      <c r="T861">
        <v>310</v>
      </c>
      <c r="U861">
        <f>SUMIF(货件明细!J:J,E861,货件明细!AP:AP)</f>
        <v>0</v>
      </c>
      <c r="V861">
        <f>IF(U861=T861,0,1)</f>
        <v>1</v>
      </c>
      <c r="W861">
        <f>T861</f>
        <v>310</v>
      </c>
      <c r="X861">
        <f>SUMIF(货件明细!J:J,E861,货件明细!H:H)</f>
        <v>0</v>
      </c>
      <c r="Y861">
        <f>N861-X861</f>
        <v>40.8</v>
      </c>
      <c r="Z861">
        <f>SUMIF(货件明细!J:J,E861,货件明细!I:I)</f>
        <v>0</v>
      </c>
      <c r="AA861">
        <f>IF(S861=Z861,0,1)</f>
        <v>1</v>
      </c>
    </row>
    <row r="862" hidden="1" spans="1:27">
      <c r="A862">
        <v>2</v>
      </c>
      <c r="B862">
        <v>6</v>
      </c>
      <c r="C862" s="3">
        <v>46059</v>
      </c>
      <c r="D862" t="s">
        <v>88</v>
      </c>
      <c r="E862" t="s">
        <v>972</v>
      </c>
      <c r="F862" t="s">
        <v>211</v>
      </c>
      <c r="G862" t="s">
        <v>72</v>
      </c>
      <c r="H862" t="s">
        <v>54</v>
      </c>
      <c r="I862" t="s">
        <v>63</v>
      </c>
      <c r="J862" t="s">
        <v>63</v>
      </c>
      <c r="K862" t="s">
        <v>64</v>
      </c>
      <c r="L862" t="s">
        <v>147</v>
      </c>
      <c r="M862" t="s">
        <v>774</v>
      </c>
      <c r="N862">
        <v>261.25</v>
      </c>
      <c r="O862">
        <v>33.3333333333333</v>
      </c>
      <c r="P862">
        <v>706.030769230769</v>
      </c>
      <c r="Q862">
        <v>739.364102564103</v>
      </c>
      <c r="R862">
        <v>0</v>
      </c>
      <c r="S862">
        <v>739.364102564103</v>
      </c>
      <c r="T862">
        <v>2330</v>
      </c>
      <c r="U862">
        <f>SUMIF(货件明细!J:J,E862,货件明细!AP:AP)</f>
        <v>0</v>
      </c>
      <c r="V862">
        <f>IF(U862=T862,0,1)</f>
        <v>1</v>
      </c>
      <c r="W862">
        <f>T862</f>
        <v>2330</v>
      </c>
      <c r="X862">
        <f>SUMIF(货件明细!J:J,E862,货件明细!H:H)</f>
        <v>0</v>
      </c>
      <c r="Y862">
        <f>N862-X862</f>
        <v>261.25</v>
      </c>
      <c r="Z862">
        <f>SUMIF(货件明细!J:J,E862,货件明细!I:I)</f>
        <v>0</v>
      </c>
      <c r="AA862">
        <f>IF(S862=Z862,0,1)</f>
        <v>1</v>
      </c>
    </row>
    <row r="863" hidden="1" spans="1:27">
      <c r="A863">
        <v>2</v>
      </c>
      <c r="B863">
        <v>6</v>
      </c>
      <c r="C863" s="3">
        <v>46059</v>
      </c>
      <c r="D863" t="s">
        <v>88</v>
      </c>
      <c r="E863" t="s">
        <v>973</v>
      </c>
      <c r="F863" t="s">
        <v>211</v>
      </c>
      <c r="G863" t="s">
        <v>72</v>
      </c>
      <c r="H863" t="s">
        <v>56</v>
      </c>
      <c r="I863" t="s">
        <v>63</v>
      </c>
      <c r="J863" t="s">
        <v>63</v>
      </c>
      <c r="K863" t="s">
        <v>64</v>
      </c>
      <c r="L863" t="s">
        <v>147</v>
      </c>
      <c r="M863" t="s">
        <v>774</v>
      </c>
      <c r="N863">
        <v>138.9</v>
      </c>
      <c r="O863">
        <v>50</v>
      </c>
      <c r="P863">
        <v>474.32</v>
      </c>
      <c r="Q863">
        <v>524.32</v>
      </c>
      <c r="R863">
        <v>0</v>
      </c>
      <c r="S863">
        <v>524.32</v>
      </c>
      <c r="T863">
        <v>545</v>
      </c>
      <c r="U863">
        <f>SUMIF(货件明细!J:J,E863,货件明细!AP:AP)</f>
        <v>0</v>
      </c>
      <c r="V863">
        <f>IF(U863=T863,0,1)</f>
        <v>1</v>
      </c>
      <c r="W863">
        <f>T863</f>
        <v>545</v>
      </c>
      <c r="X863">
        <f>SUMIF(货件明细!J:J,E863,货件明细!H:H)</f>
        <v>0</v>
      </c>
      <c r="Y863">
        <f>N863-X863</f>
        <v>138.9</v>
      </c>
      <c r="Z863">
        <f>SUMIF(货件明细!J:J,E863,货件明细!I:I)</f>
        <v>0</v>
      </c>
      <c r="AA863">
        <f>IF(S863=Z863,0,1)</f>
        <v>1</v>
      </c>
    </row>
    <row r="864" hidden="1" spans="1:27">
      <c r="A864">
        <v>2</v>
      </c>
      <c r="B864">
        <v>6</v>
      </c>
      <c r="C864" s="3">
        <v>46060</v>
      </c>
      <c r="D864" t="s">
        <v>88</v>
      </c>
      <c r="E864" t="s">
        <v>974</v>
      </c>
      <c r="F864" t="s">
        <v>211</v>
      </c>
      <c r="G864" t="s">
        <v>72</v>
      </c>
      <c r="H864" t="s">
        <v>78</v>
      </c>
      <c r="I864" t="s">
        <v>63</v>
      </c>
      <c r="J864" t="s">
        <v>63</v>
      </c>
      <c r="K864" t="s">
        <v>64</v>
      </c>
      <c r="L864" t="s">
        <v>147</v>
      </c>
      <c r="M864" t="s">
        <v>774</v>
      </c>
      <c r="N864">
        <v>482.6</v>
      </c>
      <c r="O864">
        <v>33.3333333333333</v>
      </c>
      <c r="P864">
        <v>1373.11428571429</v>
      </c>
      <c r="Q864">
        <v>1406.44761904762</v>
      </c>
      <c r="R864">
        <v>0</v>
      </c>
      <c r="S864">
        <v>1406.44761904762</v>
      </c>
      <c r="T864">
        <v>3320</v>
      </c>
      <c r="U864">
        <f>SUMIF(货件明细!J:J,E864,货件明细!AP:AP)</f>
        <v>0</v>
      </c>
      <c r="V864">
        <f>IF(U864=T864,0,1)</f>
        <v>1</v>
      </c>
      <c r="W864">
        <f>T864</f>
        <v>3320</v>
      </c>
      <c r="X864">
        <f>SUMIF(货件明细!J:J,E864,货件明细!H:H)</f>
        <v>0</v>
      </c>
      <c r="Y864">
        <f>N864-X864</f>
        <v>482.6</v>
      </c>
      <c r="Z864">
        <f>SUMIF(货件明细!J:J,E864,货件明细!I:I)</f>
        <v>0</v>
      </c>
      <c r="AA864">
        <f>IF(S864=Z864,0,1)</f>
        <v>1</v>
      </c>
    </row>
    <row r="865" hidden="1" spans="1:27">
      <c r="A865">
        <v>2</v>
      </c>
      <c r="B865">
        <v>6</v>
      </c>
      <c r="C865" s="3">
        <v>46060</v>
      </c>
      <c r="D865" t="s">
        <v>88</v>
      </c>
      <c r="E865" t="s">
        <v>975</v>
      </c>
      <c r="F865" t="s">
        <v>211</v>
      </c>
      <c r="G865" t="s">
        <v>72</v>
      </c>
      <c r="H865" t="s">
        <v>78</v>
      </c>
      <c r="I865" t="s">
        <v>63</v>
      </c>
      <c r="J865" t="s">
        <v>63</v>
      </c>
      <c r="K865" t="s">
        <v>64</v>
      </c>
      <c r="L865" t="s">
        <v>147</v>
      </c>
      <c r="M865" t="s">
        <v>774</v>
      </c>
      <c r="N865">
        <v>18.45</v>
      </c>
      <c r="O865">
        <v>33.3333333333333</v>
      </c>
      <c r="P865">
        <v>80.7714285714286</v>
      </c>
      <c r="Q865">
        <v>114.104761904762</v>
      </c>
      <c r="R865">
        <v>0</v>
      </c>
      <c r="S865">
        <v>114.104761904762</v>
      </c>
      <c r="T865">
        <v>39</v>
      </c>
      <c r="U865">
        <f>SUMIF(货件明细!J:J,E865,货件明细!AP:AP)</f>
        <v>0</v>
      </c>
      <c r="V865">
        <f>IF(U865=T865,0,1)</f>
        <v>1</v>
      </c>
      <c r="W865">
        <f>T865</f>
        <v>39</v>
      </c>
      <c r="X865">
        <f>SUMIF(货件明细!J:J,E865,货件明细!H:H)</f>
        <v>0</v>
      </c>
      <c r="Y865">
        <f>N865-X865</f>
        <v>18.45</v>
      </c>
      <c r="Z865">
        <f>SUMIF(货件明细!J:J,E865,货件明细!I:I)</f>
        <v>0</v>
      </c>
      <c r="AA865">
        <f>IF(S865=Z865,0,1)</f>
        <v>1</v>
      </c>
    </row>
    <row r="866" hidden="1" spans="1:27">
      <c r="A866">
        <v>2</v>
      </c>
      <c r="B866">
        <v>6</v>
      </c>
      <c r="C866" s="3">
        <v>46060</v>
      </c>
      <c r="D866" t="s">
        <v>88</v>
      </c>
      <c r="E866" t="s">
        <v>976</v>
      </c>
      <c r="F866" t="s">
        <v>211</v>
      </c>
      <c r="G866" t="s">
        <v>72</v>
      </c>
      <c r="H866" t="s">
        <v>51</v>
      </c>
      <c r="I866" t="s">
        <v>63</v>
      </c>
      <c r="J866" t="s">
        <v>63</v>
      </c>
      <c r="K866" t="s">
        <v>64</v>
      </c>
      <c r="L866" t="s">
        <v>147</v>
      </c>
      <c r="M866" t="s">
        <v>774</v>
      </c>
      <c r="N866">
        <v>497.75</v>
      </c>
      <c r="O866">
        <v>33.3333333333333</v>
      </c>
      <c r="P866">
        <v>1764.84</v>
      </c>
      <c r="Q866">
        <v>1798.17333333333</v>
      </c>
      <c r="R866">
        <v>0</v>
      </c>
      <c r="S866">
        <v>1798.17333333333</v>
      </c>
      <c r="T866">
        <v>1380</v>
      </c>
      <c r="U866">
        <f>SUMIF(货件明细!J:J,E866,货件明细!AP:AP)</f>
        <v>0</v>
      </c>
      <c r="V866">
        <f>IF(U866=T866,0,1)</f>
        <v>1</v>
      </c>
      <c r="W866">
        <f>T866</f>
        <v>1380</v>
      </c>
      <c r="X866">
        <f>SUMIF(货件明细!J:J,E866,货件明细!H:H)</f>
        <v>0</v>
      </c>
      <c r="Y866">
        <f>N866-X866</f>
        <v>497.75</v>
      </c>
      <c r="Z866">
        <f>SUMIF(货件明细!J:J,E866,货件明细!I:I)</f>
        <v>0</v>
      </c>
      <c r="AA866">
        <f>IF(S866=Z866,0,1)</f>
        <v>1</v>
      </c>
    </row>
    <row r="867" hidden="1" spans="1:27">
      <c r="A867">
        <v>2</v>
      </c>
      <c r="B867">
        <v>6</v>
      </c>
      <c r="C867" s="3">
        <v>46060</v>
      </c>
      <c r="D867" t="s">
        <v>88</v>
      </c>
      <c r="E867" t="s">
        <v>977</v>
      </c>
      <c r="F867" t="s">
        <v>211</v>
      </c>
      <c r="G867" t="s">
        <v>72</v>
      </c>
      <c r="H867" t="s">
        <v>31</v>
      </c>
      <c r="I867" t="s">
        <v>63</v>
      </c>
      <c r="J867" t="s">
        <v>63</v>
      </c>
      <c r="K867" t="s">
        <v>64</v>
      </c>
      <c r="L867" t="s">
        <v>147</v>
      </c>
      <c r="M867" t="s">
        <v>774</v>
      </c>
      <c r="N867">
        <v>970.4</v>
      </c>
      <c r="O867">
        <v>33.3333333333333</v>
      </c>
      <c r="P867">
        <v>3039.44666666667</v>
      </c>
      <c r="Q867">
        <v>3072.78</v>
      </c>
      <c r="R867">
        <v>0</v>
      </c>
      <c r="S867">
        <v>3072.78</v>
      </c>
      <c r="T867">
        <v>4192</v>
      </c>
      <c r="U867">
        <f>SUMIF(货件明细!J:J,E867,货件明细!AP:AP)</f>
        <v>0</v>
      </c>
      <c r="V867">
        <f>IF(U867=T867,0,1)</f>
        <v>1</v>
      </c>
      <c r="W867">
        <f>T867</f>
        <v>4192</v>
      </c>
      <c r="X867">
        <f>SUMIF(货件明细!J:J,E867,货件明细!H:H)</f>
        <v>0</v>
      </c>
      <c r="Y867">
        <f>N867-X867</f>
        <v>970.4</v>
      </c>
      <c r="Z867">
        <f>SUMIF(货件明细!J:J,E867,货件明细!I:I)</f>
        <v>0</v>
      </c>
      <c r="AA867">
        <f>IF(S867=Z867,0,1)</f>
        <v>1</v>
      </c>
    </row>
    <row r="868" hidden="1" spans="1:27">
      <c r="A868">
        <v>2</v>
      </c>
      <c r="B868">
        <v>6</v>
      </c>
      <c r="C868" s="3">
        <v>46060</v>
      </c>
      <c r="D868" t="s">
        <v>88</v>
      </c>
      <c r="E868" t="s">
        <v>978</v>
      </c>
      <c r="F868" t="s">
        <v>211</v>
      </c>
      <c r="G868" t="s">
        <v>72</v>
      </c>
      <c r="H868" t="s">
        <v>31</v>
      </c>
      <c r="I868" t="s">
        <v>63</v>
      </c>
      <c r="J868" t="s">
        <v>63</v>
      </c>
      <c r="K868" t="s">
        <v>64</v>
      </c>
      <c r="L868" t="s">
        <v>147</v>
      </c>
      <c r="M868" t="s">
        <v>774</v>
      </c>
      <c r="N868">
        <v>22.4</v>
      </c>
      <c r="O868">
        <v>33.3333333333333</v>
      </c>
      <c r="P868">
        <v>98.0466666666667</v>
      </c>
      <c r="Q868">
        <v>131.38</v>
      </c>
      <c r="R868">
        <v>0</v>
      </c>
      <c r="S868">
        <v>131.38</v>
      </c>
      <c r="T868">
        <v>48</v>
      </c>
      <c r="U868">
        <f>SUMIF(货件明细!J:J,E868,货件明细!AP:AP)</f>
        <v>0</v>
      </c>
      <c r="V868">
        <f>IF(U868=T868,0,1)</f>
        <v>1</v>
      </c>
      <c r="W868">
        <f>T868</f>
        <v>48</v>
      </c>
      <c r="X868">
        <f>SUMIF(货件明细!J:J,E868,货件明细!H:H)</f>
        <v>0</v>
      </c>
      <c r="Y868">
        <f>N868-X868</f>
        <v>22.4</v>
      </c>
      <c r="Z868">
        <f>SUMIF(货件明细!J:J,E868,货件明细!I:I)</f>
        <v>0</v>
      </c>
      <c r="AA868">
        <f>IF(S868=Z868,0,1)</f>
        <v>1</v>
      </c>
    </row>
    <row r="869" hidden="1" spans="1:27">
      <c r="A869">
        <v>2</v>
      </c>
      <c r="B869">
        <v>6</v>
      </c>
      <c r="C869" s="3">
        <v>46060</v>
      </c>
      <c r="D869" t="s">
        <v>88</v>
      </c>
      <c r="E869" t="s">
        <v>979</v>
      </c>
      <c r="F869" t="s">
        <v>211</v>
      </c>
      <c r="G869" t="s">
        <v>72</v>
      </c>
      <c r="H869" t="s">
        <v>37</v>
      </c>
      <c r="I869" t="s">
        <v>63</v>
      </c>
      <c r="J869" t="s">
        <v>63</v>
      </c>
      <c r="K869" t="s">
        <v>64</v>
      </c>
      <c r="L869" t="s">
        <v>147</v>
      </c>
      <c r="M869" t="s">
        <v>774</v>
      </c>
      <c r="N869">
        <v>768.2</v>
      </c>
      <c r="O869">
        <v>33.3333333333333</v>
      </c>
      <c r="P869">
        <v>2221.21428571429</v>
      </c>
      <c r="Q869">
        <v>2254.54761904762</v>
      </c>
      <c r="R869">
        <v>0</v>
      </c>
      <c r="S869">
        <v>2254.54761904762</v>
      </c>
      <c r="T869">
        <v>6415</v>
      </c>
      <c r="U869">
        <f>SUMIF(货件明细!J:J,E869,货件明细!AP:AP)</f>
        <v>0</v>
      </c>
      <c r="V869">
        <f>IF(U869=T869,0,1)</f>
        <v>1</v>
      </c>
      <c r="W869">
        <f>T869</f>
        <v>6415</v>
      </c>
      <c r="X869">
        <f>SUMIF(货件明细!J:J,E869,货件明细!H:H)</f>
        <v>0</v>
      </c>
      <c r="Y869">
        <f>N869-X869</f>
        <v>768.2</v>
      </c>
      <c r="Z869">
        <f>SUMIF(货件明细!J:J,E869,货件明细!I:I)</f>
        <v>0</v>
      </c>
      <c r="AA869">
        <f>IF(S869=Z869,0,1)</f>
        <v>1</v>
      </c>
    </row>
    <row r="870" hidden="1" spans="1:27">
      <c r="A870">
        <v>2</v>
      </c>
      <c r="B870">
        <v>6</v>
      </c>
      <c r="C870" s="3">
        <v>46060</v>
      </c>
      <c r="D870" t="s">
        <v>88</v>
      </c>
      <c r="E870" t="s">
        <v>980</v>
      </c>
      <c r="F870" t="s">
        <v>211</v>
      </c>
      <c r="G870" t="s">
        <v>72</v>
      </c>
      <c r="H870" t="s">
        <v>37</v>
      </c>
      <c r="I870" t="s">
        <v>63</v>
      </c>
      <c r="J870" t="s">
        <v>63</v>
      </c>
      <c r="K870" t="s">
        <v>64</v>
      </c>
      <c r="L870" t="s">
        <v>147</v>
      </c>
      <c r="M870" t="s">
        <v>774</v>
      </c>
      <c r="N870">
        <v>8.2</v>
      </c>
      <c r="O870">
        <v>33.3333333333333</v>
      </c>
      <c r="P870">
        <v>40.3857142857143</v>
      </c>
      <c r="Q870">
        <v>73.7190476190476</v>
      </c>
      <c r="R870">
        <v>0</v>
      </c>
      <c r="S870">
        <v>73.7190476190476</v>
      </c>
      <c r="T870">
        <v>25</v>
      </c>
      <c r="U870">
        <f>SUMIF(货件明细!J:J,E870,货件明细!AP:AP)</f>
        <v>0</v>
      </c>
      <c r="V870">
        <f>IF(U870=T870,0,1)</f>
        <v>1</v>
      </c>
      <c r="W870">
        <f>T870</f>
        <v>25</v>
      </c>
      <c r="X870">
        <f>SUMIF(货件明细!J:J,E870,货件明细!H:H)</f>
        <v>0</v>
      </c>
      <c r="Y870">
        <f>N870-X870</f>
        <v>8.2</v>
      </c>
      <c r="Z870">
        <f>SUMIF(货件明细!J:J,E870,货件明细!I:I)</f>
        <v>0</v>
      </c>
      <c r="AA870">
        <f>IF(S870=Z870,0,1)</f>
        <v>1</v>
      </c>
    </row>
    <row r="871" hidden="1" spans="1:27">
      <c r="A871">
        <v>2</v>
      </c>
      <c r="B871">
        <v>6</v>
      </c>
      <c r="C871" s="3">
        <v>46060</v>
      </c>
      <c r="D871" t="s">
        <v>88</v>
      </c>
      <c r="E871" t="s">
        <v>981</v>
      </c>
      <c r="F871" t="s">
        <v>211</v>
      </c>
      <c r="G871" t="s">
        <v>72</v>
      </c>
      <c r="H871" t="s">
        <v>54</v>
      </c>
      <c r="I871" t="s">
        <v>63</v>
      </c>
      <c r="J871" t="s">
        <v>63</v>
      </c>
      <c r="K871" t="s">
        <v>64</v>
      </c>
      <c r="L871" t="s">
        <v>147</v>
      </c>
      <c r="M871" t="s">
        <v>774</v>
      </c>
      <c r="N871">
        <v>185.38</v>
      </c>
      <c r="O871">
        <v>33.3333333333333</v>
      </c>
      <c r="P871">
        <v>444.242857142857</v>
      </c>
      <c r="Q871">
        <v>477.57619047619</v>
      </c>
      <c r="R871">
        <v>0</v>
      </c>
      <c r="S871">
        <v>477.57619047619</v>
      </c>
      <c r="T871">
        <v>668</v>
      </c>
      <c r="U871">
        <f>SUMIF(货件明细!J:J,E871,货件明细!AP:AP)</f>
        <v>0</v>
      </c>
      <c r="V871">
        <f>IF(U871=T871,0,1)</f>
        <v>1</v>
      </c>
      <c r="W871">
        <f>T871</f>
        <v>668</v>
      </c>
      <c r="X871">
        <f>SUMIF(货件明细!J:J,E871,货件明细!H:H)</f>
        <v>0</v>
      </c>
      <c r="Y871">
        <f>N871-X871</f>
        <v>185.38</v>
      </c>
      <c r="Z871">
        <f>SUMIF(货件明细!J:J,E871,货件明细!I:I)</f>
        <v>0</v>
      </c>
      <c r="AA871">
        <f>IF(S871=Z871,0,1)</f>
        <v>1</v>
      </c>
    </row>
    <row r="872" hidden="1" spans="1:27">
      <c r="A872">
        <v>2</v>
      </c>
      <c r="B872">
        <v>6</v>
      </c>
      <c r="C872" s="3">
        <v>46060</v>
      </c>
      <c r="D872" t="s">
        <v>88</v>
      </c>
      <c r="E872" t="s">
        <v>982</v>
      </c>
      <c r="F872" t="s">
        <v>211</v>
      </c>
      <c r="G872" t="s">
        <v>72</v>
      </c>
      <c r="H872" t="s">
        <v>56</v>
      </c>
      <c r="I872" t="s">
        <v>63</v>
      </c>
      <c r="J872" t="s">
        <v>63</v>
      </c>
      <c r="K872" t="s">
        <v>64</v>
      </c>
      <c r="L872" t="s">
        <v>147</v>
      </c>
      <c r="M872" t="s">
        <v>774</v>
      </c>
      <c r="N872">
        <v>1128.55</v>
      </c>
      <c r="O872">
        <v>33.3333333333333</v>
      </c>
      <c r="P872">
        <v>3627.72666666667</v>
      </c>
      <c r="Q872">
        <v>3661.06</v>
      </c>
      <c r="R872">
        <v>0</v>
      </c>
      <c r="S872">
        <v>3661.06</v>
      </c>
      <c r="T872">
        <v>6572</v>
      </c>
      <c r="U872">
        <f>SUMIF(货件明细!J:J,E872,货件明细!AP:AP)</f>
        <v>0</v>
      </c>
      <c r="V872">
        <f>IF(U872=T872,0,1)</f>
        <v>1</v>
      </c>
      <c r="W872">
        <f>T872</f>
        <v>6572</v>
      </c>
      <c r="X872">
        <f>SUMIF(货件明细!J:J,E872,货件明细!H:H)</f>
        <v>0</v>
      </c>
      <c r="Y872">
        <f>N872-X872</f>
        <v>1128.55</v>
      </c>
      <c r="Z872">
        <f>SUMIF(货件明细!J:J,E872,货件明细!I:I)</f>
        <v>0</v>
      </c>
      <c r="AA872">
        <f>IF(S872=Z872,0,1)</f>
        <v>1</v>
      </c>
    </row>
    <row r="873" hidden="1" spans="1:27">
      <c r="A873">
        <v>2</v>
      </c>
      <c r="B873">
        <v>6</v>
      </c>
      <c r="C873" s="3">
        <v>46060</v>
      </c>
      <c r="D873" t="s">
        <v>88</v>
      </c>
      <c r="E873" t="s">
        <v>983</v>
      </c>
      <c r="F873" t="s">
        <v>211</v>
      </c>
      <c r="G873" t="s">
        <v>72</v>
      </c>
      <c r="H873" t="s">
        <v>59</v>
      </c>
      <c r="I873" t="s">
        <v>63</v>
      </c>
      <c r="J873" t="s">
        <v>63</v>
      </c>
      <c r="K873" t="s">
        <v>64</v>
      </c>
      <c r="L873" t="s">
        <v>147</v>
      </c>
      <c r="M873" t="s">
        <v>774</v>
      </c>
      <c r="N873">
        <v>604.85</v>
      </c>
      <c r="O873">
        <v>33.3333333333333</v>
      </c>
      <c r="P873">
        <v>1776.97142857143</v>
      </c>
      <c r="Q873">
        <v>1810.30476190476</v>
      </c>
      <c r="R873">
        <v>0</v>
      </c>
      <c r="S873">
        <v>1810.30476190476</v>
      </c>
      <c r="T873">
        <v>3741</v>
      </c>
      <c r="U873">
        <f>SUMIF(货件明细!J:J,E873,货件明细!AP:AP)</f>
        <v>0</v>
      </c>
      <c r="V873">
        <f>IF(U873=T873,0,1)</f>
        <v>1</v>
      </c>
      <c r="W873">
        <f>T873</f>
        <v>3741</v>
      </c>
      <c r="X873">
        <f>SUMIF(货件明细!J:J,E873,货件明细!H:H)</f>
        <v>0</v>
      </c>
      <c r="Y873">
        <f>N873-X873</f>
        <v>604.85</v>
      </c>
      <c r="Z873">
        <f>SUMIF(货件明细!J:J,E873,货件明细!I:I)</f>
        <v>0</v>
      </c>
      <c r="AA873">
        <f>IF(S873=Z873,0,1)</f>
        <v>1</v>
      </c>
    </row>
    <row r="874" hidden="1" spans="1:27">
      <c r="A874">
        <v>2</v>
      </c>
      <c r="B874">
        <v>6</v>
      </c>
      <c r="C874" s="3">
        <v>46060</v>
      </c>
      <c r="D874" t="s">
        <v>88</v>
      </c>
      <c r="E874" t="s">
        <v>984</v>
      </c>
      <c r="F874" t="s">
        <v>211</v>
      </c>
      <c r="G874" t="s">
        <v>72</v>
      </c>
      <c r="H874" t="s">
        <v>39</v>
      </c>
      <c r="I874" t="s">
        <v>63</v>
      </c>
      <c r="J874" t="s">
        <v>63</v>
      </c>
      <c r="K874" t="s">
        <v>64</v>
      </c>
      <c r="L874" t="s">
        <v>147</v>
      </c>
      <c r="M874" t="s">
        <v>774</v>
      </c>
      <c r="N874">
        <v>649.15</v>
      </c>
      <c r="O874">
        <v>33.3333333333333</v>
      </c>
      <c r="P874">
        <v>1715.81666666667</v>
      </c>
      <c r="Q874">
        <v>1749.15</v>
      </c>
      <c r="R874">
        <v>0</v>
      </c>
      <c r="S874">
        <v>1749.15</v>
      </c>
      <c r="T874">
        <v>1760</v>
      </c>
      <c r="U874">
        <f>SUMIF(货件明细!J:J,E874,货件明细!AP:AP)</f>
        <v>0</v>
      </c>
      <c r="V874">
        <f>IF(U874=T874,0,1)</f>
        <v>1</v>
      </c>
      <c r="W874">
        <f>T874</f>
        <v>1760</v>
      </c>
      <c r="X874">
        <f>SUMIF(货件明细!J:J,E874,货件明细!H:H)</f>
        <v>0</v>
      </c>
      <c r="Y874">
        <f>N874-X874</f>
        <v>649.15</v>
      </c>
      <c r="Z874">
        <f>SUMIF(货件明细!J:J,E874,货件明细!I:I)</f>
        <v>0</v>
      </c>
      <c r="AA874">
        <f>IF(S874=Z874,0,1)</f>
        <v>1</v>
      </c>
    </row>
    <row r="875" hidden="1" spans="1:27">
      <c r="A875">
        <v>2</v>
      </c>
      <c r="B875">
        <v>6</v>
      </c>
      <c r="C875" s="3">
        <v>46060</v>
      </c>
      <c r="D875" t="s">
        <v>88</v>
      </c>
      <c r="E875" t="s">
        <v>985</v>
      </c>
      <c r="F875" t="s">
        <v>211</v>
      </c>
      <c r="G875" t="s">
        <v>72</v>
      </c>
      <c r="H875" t="s">
        <v>39</v>
      </c>
      <c r="I875" t="s">
        <v>63</v>
      </c>
      <c r="J875" t="s">
        <v>63</v>
      </c>
      <c r="K875" t="s">
        <v>64</v>
      </c>
      <c r="L875" t="s">
        <v>147</v>
      </c>
      <c r="M875" t="s">
        <v>774</v>
      </c>
      <c r="N875">
        <v>9.9</v>
      </c>
      <c r="O875">
        <v>33.3333333333333</v>
      </c>
      <c r="P875">
        <v>49.0233333333333</v>
      </c>
      <c r="Q875">
        <v>82.3566666666667</v>
      </c>
      <c r="R875">
        <v>0</v>
      </c>
      <c r="S875">
        <v>82.3566666666667</v>
      </c>
      <c r="T875">
        <v>20</v>
      </c>
      <c r="U875">
        <f>SUMIF(货件明细!J:J,E875,货件明细!AP:AP)</f>
        <v>0</v>
      </c>
      <c r="V875">
        <f>IF(U875=T875,0,1)</f>
        <v>1</v>
      </c>
      <c r="W875">
        <f>T875</f>
        <v>20</v>
      </c>
      <c r="X875">
        <f>SUMIF(货件明细!J:J,E875,货件明细!H:H)</f>
        <v>0</v>
      </c>
      <c r="Y875">
        <f>N875-X875</f>
        <v>9.9</v>
      </c>
      <c r="Z875">
        <f>SUMIF(货件明细!J:J,E875,货件明细!I:I)</f>
        <v>0</v>
      </c>
      <c r="AA875">
        <f>IF(S875=Z875,0,1)</f>
        <v>1</v>
      </c>
    </row>
    <row r="876" hidden="1" spans="1:27">
      <c r="A876">
        <v>2</v>
      </c>
      <c r="B876">
        <v>6</v>
      </c>
      <c r="C876" s="3">
        <v>46060</v>
      </c>
      <c r="D876" t="s">
        <v>88</v>
      </c>
      <c r="E876" t="s">
        <v>986</v>
      </c>
      <c r="F876" t="s">
        <v>211</v>
      </c>
      <c r="G876" t="s">
        <v>72</v>
      </c>
      <c r="H876" t="s">
        <v>54</v>
      </c>
      <c r="I876" t="s">
        <v>63</v>
      </c>
      <c r="J876" t="s">
        <v>63</v>
      </c>
      <c r="K876" t="s">
        <v>64</v>
      </c>
      <c r="L876" t="s">
        <v>65</v>
      </c>
      <c r="M876" t="s">
        <v>987</v>
      </c>
      <c r="N876">
        <v>11.4</v>
      </c>
      <c r="P876">
        <v>44.28</v>
      </c>
      <c r="Q876">
        <v>44.28</v>
      </c>
      <c r="R876">
        <v>0</v>
      </c>
      <c r="S876">
        <v>44.28</v>
      </c>
      <c r="T876">
        <v>82</v>
      </c>
      <c r="U876">
        <f>SUMIF(货件明细!J:J,E876,货件明细!AP:AP)</f>
        <v>0</v>
      </c>
      <c r="V876">
        <f>IF(U876=T876,0,1)</f>
        <v>1</v>
      </c>
      <c r="W876">
        <f>T876</f>
        <v>82</v>
      </c>
      <c r="X876">
        <f>SUMIF(货件明细!J:J,E876,货件明细!H:H)</f>
        <v>0</v>
      </c>
      <c r="Y876">
        <f>N876-X876</f>
        <v>11.4</v>
      </c>
      <c r="Z876">
        <f>SUMIF(货件明细!J:J,E876,货件明细!I:I)</f>
        <v>0</v>
      </c>
      <c r="AA876">
        <f>IF(S876=Z876,0,1)</f>
        <v>1</v>
      </c>
    </row>
    <row r="877" hidden="1" spans="1:27">
      <c r="A877">
        <v>2</v>
      </c>
      <c r="B877">
        <v>6</v>
      </c>
      <c r="C877" s="3">
        <v>46060</v>
      </c>
      <c r="D877" t="s">
        <v>27</v>
      </c>
      <c r="E877" t="s">
        <v>988</v>
      </c>
      <c r="F877" t="s">
        <v>821</v>
      </c>
      <c r="G877" t="s">
        <v>72</v>
      </c>
      <c r="H877" t="s">
        <v>31</v>
      </c>
      <c r="I877" t="s">
        <v>92</v>
      </c>
      <c r="J877" t="s">
        <v>92</v>
      </c>
      <c r="K877" t="s">
        <v>64</v>
      </c>
      <c r="L877" t="s">
        <v>65</v>
      </c>
      <c r="M877" t="s">
        <v>188</v>
      </c>
      <c r="N877">
        <v>12.05</v>
      </c>
      <c r="O877">
        <v>15.5555555555556</v>
      </c>
      <c r="P877">
        <v>57.6</v>
      </c>
      <c r="Q877">
        <v>73.1555555555556</v>
      </c>
      <c r="R877">
        <v>160.545</v>
      </c>
      <c r="S877">
        <v>233.700555555556</v>
      </c>
      <c r="T877">
        <v>75</v>
      </c>
      <c r="U877">
        <f>SUMIF(货件明细!J:J,E877,货件明细!AP:AP)</f>
        <v>0</v>
      </c>
      <c r="V877">
        <f>IF(U877=T877,0,1)</f>
        <v>1</v>
      </c>
      <c r="W877">
        <f>T877</f>
        <v>75</v>
      </c>
      <c r="X877">
        <f>SUMIF(货件明细!J:J,E877,货件明细!H:H)</f>
        <v>0</v>
      </c>
      <c r="Y877">
        <f>N877-X877</f>
        <v>12.05</v>
      </c>
      <c r="Z877">
        <f>SUMIF(货件明细!J:J,E877,货件明细!I:I)</f>
        <v>0</v>
      </c>
      <c r="AA877">
        <f>IF(S877=Z877,0,1)</f>
        <v>1</v>
      </c>
    </row>
    <row r="878" hidden="1" spans="1:27">
      <c r="A878">
        <v>2</v>
      </c>
      <c r="B878">
        <v>6</v>
      </c>
      <c r="C878" s="3">
        <v>46060</v>
      </c>
      <c r="D878" t="s">
        <v>27</v>
      </c>
      <c r="E878" t="s">
        <v>989</v>
      </c>
      <c r="F878" t="s">
        <v>821</v>
      </c>
      <c r="G878" t="s">
        <v>72</v>
      </c>
      <c r="H878" t="s">
        <v>78</v>
      </c>
      <c r="I878" t="s">
        <v>92</v>
      </c>
      <c r="J878" t="s">
        <v>92</v>
      </c>
      <c r="K878" t="s">
        <v>64</v>
      </c>
      <c r="L878" t="s">
        <v>65</v>
      </c>
      <c r="M878" t="s">
        <v>188</v>
      </c>
      <c r="N878">
        <v>14.8</v>
      </c>
      <c r="O878">
        <v>15.5555555555556</v>
      </c>
      <c r="P878">
        <v>72</v>
      </c>
      <c r="Q878">
        <v>87.5555555555556</v>
      </c>
      <c r="R878">
        <v>325.26</v>
      </c>
      <c r="S878">
        <v>412.815555555556</v>
      </c>
      <c r="T878">
        <v>135</v>
      </c>
      <c r="U878">
        <f>SUMIF(货件明细!J:J,E878,货件明细!AP:AP)</f>
        <v>0</v>
      </c>
      <c r="V878">
        <f>IF(U878=T878,0,1)</f>
        <v>1</v>
      </c>
      <c r="W878">
        <f>T878</f>
        <v>135</v>
      </c>
      <c r="X878">
        <f>SUMIF(货件明细!J:J,E878,货件明细!H:H)</f>
        <v>0</v>
      </c>
      <c r="Y878">
        <f>N878-X878</f>
        <v>14.8</v>
      </c>
      <c r="Z878">
        <f>SUMIF(货件明细!J:J,E878,货件明细!I:I)</f>
        <v>0</v>
      </c>
      <c r="AA878">
        <f>IF(S878=Z878,0,1)</f>
        <v>1</v>
      </c>
    </row>
    <row r="879" hidden="1" spans="1:27">
      <c r="A879">
        <v>2</v>
      </c>
      <c r="B879">
        <v>6</v>
      </c>
      <c r="C879" s="3">
        <v>46060</v>
      </c>
      <c r="D879" t="s">
        <v>27</v>
      </c>
      <c r="E879" t="s">
        <v>990</v>
      </c>
      <c r="F879" t="s">
        <v>821</v>
      </c>
      <c r="G879" t="s">
        <v>72</v>
      </c>
      <c r="H879" t="s">
        <v>59</v>
      </c>
      <c r="I879" t="s">
        <v>92</v>
      </c>
      <c r="J879" t="s">
        <v>92</v>
      </c>
      <c r="K879" t="s">
        <v>64</v>
      </c>
      <c r="L879" t="s">
        <v>65</v>
      </c>
      <c r="M879" t="s">
        <v>188</v>
      </c>
      <c r="N879">
        <v>25.8</v>
      </c>
      <c r="O879">
        <v>15.5555555555556</v>
      </c>
      <c r="P879">
        <v>124.8</v>
      </c>
      <c r="Q879">
        <v>140.355555555556</v>
      </c>
      <c r="R879">
        <v>502.485</v>
      </c>
      <c r="S879">
        <v>642.840555555556</v>
      </c>
      <c r="T879">
        <v>229</v>
      </c>
      <c r="U879">
        <f>SUMIF(货件明细!J:J,E879,货件明细!AP:AP)</f>
        <v>0</v>
      </c>
      <c r="V879">
        <f>IF(U879=T879,0,1)</f>
        <v>1</v>
      </c>
      <c r="W879">
        <f>T879</f>
        <v>229</v>
      </c>
      <c r="X879">
        <f>SUMIF(货件明细!J:J,E879,货件明细!H:H)</f>
        <v>0</v>
      </c>
      <c r="Y879">
        <f>N879-X879</f>
        <v>25.8</v>
      </c>
      <c r="Z879">
        <f>SUMIF(货件明细!J:J,E879,货件明细!I:I)</f>
        <v>0</v>
      </c>
      <c r="AA879">
        <f>IF(S879=Z879,0,1)</f>
        <v>1</v>
      </c>
    </row>
    <row r="880" hidden="1" spans="1:27">
      <c r="A880">
        <v>2</v>
      </c>
      <c r="B880">
        <v>6</v>
      </c>
      <c r="C880" s="3">
        <v>46060</v>
      </c>
      <c r="D880" t="s">
        <v>27</v>
      </c>
      <c r="E880" t="s">
        <v>991</v>
      </c>
      <c r="F880" t="s">
        <v>195</v>
      </c>
      <c r="G880" t="s">
        <v>30</v>
      </c>
      <c r="H880" t="s">
        <v>54</v>
      </c>
      <c r="I880" t="s">
        <v>92</v>
      </c>
      <c r="J880" t="s">
        <v>92</v>
      </c>
      <c r="K880" t="s">
        <v>64</v>
      </c>
      <c r="L880" t="s">
        <v>65</v>
      </c>
      <c r="M880" t="s">
        <v>93</v>
      </c>
      <c r="N880">
        <v>15.7</v>
      </c>
      <c r="O880">
        <v>23</v>
      </c>
      <c r="P880">
        <v>100.5</v>
      </c>
      <c r="Q880">
        <v>123.5</v>
      </c>
      <c r="R880">
        <v>0</v>
      </c>
      <c r="S880">
        <v>123.5</v>
      </c>
      <c r="T880">
        <v>137</v>
      </c>
      <c r="U880">
        <f>SUMIF(货件明细!J:J,E880,货件明细!AP:AP)</f>
        <v>0</v>
      </c>
      <c r="V880">
        <f>IF(U880=T880,0,1)</f>
        <v>1</v>
      </c>
      <c r="W880">
        <f>T880</f>
        <v>137</v>
      </c>
      <c r="X880">
        <f>SUMIF(货件明细!J:J,E880,货件明细!H:H)</f>
        <v>0</v>
      </c>
      <c r="Y880">
        <f>N880-X880</f>
        <v>15.7</v>
      </c>
      <c r="Z880">
        <f>SUMIF(货件明细!J:J,E880,货件明细!I:I)</f>
        <v>0</v>
      </c>
      <c r="AA880">
        <f>IF(S880=Z880,0,1)</f>
        <v>1</v>
      </c>
    </row>
    <row r="881" hidden="1" spans="1:27">
      <c r="A881">
        <v>2</v>
      </c>
      <c r="B881">
        <v>6</v>
      </c>
      <c r="C881" s="3">
        <v>46060</v>
      </c>
      <c r="D881" t="s">
        <v>27</v>
      </c>
      <c r="E881" t="s">
        <v>992</v>
      </c>
      <c r="F881" t="s">
        <v>62</v>
      </c>
      <c r="G881" t="s">
        <v>30</v>
      </c>
      <c r="H881" t="s">
        <v>54</v>
      </c>
      <c r="I881" t="s">
        <v>92</v>
      </c>
      <c r="J881" t="s">
        <v>92</v>
      </c>
      <c r="K881" t="s">
        <v>64</v>
      </c>
      <c r="L881" t="s">
        <v>65</v>
      </c>
      <c r="M881" t="s">
        <v>93</v>
      </c>
      <c r="N881">
        <v>15.7</v>
      </c>
      <c r="O881">
        <v>23</v>
      </c>
      <c r="P881">
        <v>96.6</v>
      </c>
      <c r="Q881">
        <v>119.6</v>
      </c>
      <c r="R881">
        <v>0</v>
      </c>
      <c r="S881">
        <v>119.6</v>
      </c>
      <c r="T881">
        <v>137</v>
      </c>
      <c r="U881">
        <f>SUMIF(货件明细!J:J,E881,货件明细!AP:AP)</f>
        <v>0</v>
      </c>
      <c r="V881">
        <f>IF(U881=T881,0,1)</f>
        <v>1</v>
      </c>
      <c r="W881">
        <f>T881</f>
        <v>137</v>
      </c>
      <c r="X881">
        <f>SUMIF(货件明细!J:J,E881,货件明细!H:H)</f>
        <v>0</v>
      </c>
      <c r="Y881">
        <f>N881-X881</f>
        <v>15.7</v>
      </c>
      <c r="Z881">
        <f>SUMIF(货件明细!J:J,E881,货件明细!I:I)</f>
        <v>0</v>
      </c>
      <c r="AA881">
        <f>IF(S881=Z881,0,1)</f>
        <v>1</v>
      </c>
    </row>
    <row r="882" hidden="1" spans="1:27">
      <c r="A882">
        <v>2</v>
      </c>
      <c r="B882">
        <v>6</v>
      </c>
      <c r="C882" s="3">
        <v>46060</v>
      </c>
      <c r="D882" t="s">
        <v>27</v>
      </c>
      <c r="E882" t="s">
        <v>993</v>
      </c>
      <c r="F882" t="s">
        <v>68</v>
      </c>
      <c r="G882" t="s">
        <v>69</v>
      </c>
      <c r="H882" t="s">
        <v>54</v>
      </c>
      <c r="I882" t="s">
        <v>92</v>
      </c>
      <c r="J882" t="s">
        <v>92</v>
      </c>
      <c r="K882" t="s">
        <v>64</v>
      </c>
      <c r="L882" t="s">
        <v>65</v>
      </c>
      <c r="M882" t="s">
        <v>93</v>
      </c>
      <c r="N882">
        <v>15.7</v>
      </c>
      <c r="O882">
        <v>15.5555555555556</v>
      </c>
      <c r="P882">
        <v>83.23</v>
      </c>
      <c r="Q882">
        <v>98.7855555555555</v>
      </c>
      <c r="R882">
        <v>0</v>
      </c>
      <c r="S882">
        <v>98.7855555555555</v>
      </c>
      <c r="T882">
        <v>137</v>
      </c>
      <c r="U882">
        <f>SUMIF(货件明细!J:J,E882,货件明细!AP:AP)</f>
        <v>0</v>
      </c>
      <c r="V882">
        <f>IF(U882=T882,0,1)</f>
        <v>1</v>
      </c>
      <c r="W882">
        <f>T882</f>
        <v>137</v>
      </c>
      <c r="X882">
        <f>SUMIF(货件明细!J:J,E882,货件明细!H:H)</f>
        <v>0</v>
      </c>
      <c r="Y882">
        <f>N882-X882</f>
        <v>15.7</v>
      </c>
      <c r="Z882">
        <f>SUMIF(货件明细!J:J,E882,货件明细!I:I)</f>
        <v>0</v>
      </c>
      <c r="AA882">
        <f>IF(S882=Z882,0,1)</f>
        <v>1</v>
      </c>
    </row>
    <row r="883" hidden="1" spans="1:27">
      <c r="A883">
        <v>2</v>
      </c>
      <c r="B883">
        <v>6</v>
      </c>
      <c r="C883" s="3">
        <v>46060</v>
      </c>
      <c r="D883" t="s">
        <v>27</v>
      </c>
      <c r="E883" t="s">
        <v>994</v>
      </c>
      <c r="F883" t="s">
        <v>187</v>
      </c>
      <c r="G883" t="s">
        <v>72</v>
      </c>
      <c r="H883" t="s">
        <v>54</v>
      </c>
      <c r="I883" t="s">
        <v>92</v>
      </c>
      <c r="J883" t="s">
        <v>92</v>
      </c>
      <c r="K883" t="s">
        <v>64</v>
      </c>
      <c r="L883" t="s">
        <v>65</v>
      </c>
      <c r="M883" t="s">
        <v>93</v>
      </c>
      <c r="N883">
        <v>15.7</v>
      </c>
      <c r="O883">
        <v>15.5555555555556</v>
      </c>
      <c r="P883">
        <v>69.3</v>
      </c>
      <c r="Q883">
        <v>84.8555555555556</v>
      </c>
      <c r="R883">
        <v>0</v>
      </c>
      <c r="S883">
        <v>84.8555555555556</v>
      </c>
      <c r="T883">
        <v>137</v>
      </c>
      <c r="U883">
        <f>SUMIF(货件明细!J:J,E883,货件明细!AP:AP)</f>
        <v>0</v>
      </c>
      <c r="V883">
        <f>IF(U883=T883,0,1)</f>
        <v>1</v>
      </c>
      <c r="W883">
        <f>T883</f>
        <v>137</v>
      </c>
      <c r="X883">
        <f>SUMIF(货件明细!J:J,E883,货件明细!H:H)</f>
        <v>0</v>
      </c>
      <c r="Y883">
        <f>N883-X883</f>
        <v>15.7</v>
      </c>
      <c r="Z883">
        <f>SUMIF(货件明细!J:J,E883,货件明细!I:I)</f>
        <v>0</v>
      </c>
      <c r="AA883">
        <f>IF(S883=Z883,0,1)</f>
        <v>1</v>
      </c>
    </row>
    <row r="884" hidden="1" spans="1:27">
      <c r="A884">
        <v>2</v>
      </c>
      <c r="B884">
        <v>6</v>
      </c>
      <c r="C884" s="3">
        <v>46060</v>
      </c>
      <c r="D884" t="s">
        <v>27</v>
      </c>
      <c r="E884" t="s">
        <v>995</v>
      </c>
      <c r="F884" t="s">
        <v>143</v>
      </c>
      <c r="G884" t="s">
        <v>72</v>
      </c>
      <c r="H884" t="s">
        <v>54</v>
      </c>
      <c r="I884" t="s">
        <v>92</v>
      </c>
      <c r="J884" t="s">
        <v>92</v>
      </c>
      <c r="K884" t="s">
        <v>64</v>
      </c>
      <c r="L884" t="s">
        <v>65</v>
      </c>
      <c r="M884" t="s">
        <v>188</v>
      </c>
      <c r="N884">
        <v>15.7</v>
      </c>
      <c r="O884">
        <v>15.5555555555556</v>
      </c>
      <c r="P884">
        <v>80.32</v>
      </c>
      <c r="Q884">
        <v>95.8755555555556</v>
      </c>
      <c r="R884">
        <v>0</v>
      </c>
      <c r="S884">
        <v>95.8755555555556</v>
      </c>
      <c r="T884">
        <v>137</v>
      </c>
      <c r="U884">
        <f>SUMIF(货件明细!J:J,E884,货件明细!AP:AP)</f>
        <v>0</v>
      </c>
      <c r="V884">
        <f>IF(U884=T884,0,1)</f>
        <v>1</v>
      </c>
      <c r="W884">
        <f>T884</f>
        <v>137</v>
      </c>
      <c r="X884">
        <f>SUMIF(货件明细!J:J,E884,货件明细!H:H)</f>
        <v>0</v>
      </c>
      <c r="Y884">
        <f>N884-X884</f>
        <v>15.7</v>
      </c>
      <c r="Z884">
        <f>SUMIF(货件明细!J:J,E884,货件明细!I:I)</f>
        <v>0</v>
      </c>
      <c r="AA884">
        <f>IF(S884=Z884,0,1)</f>
        <v>1</v>
      </c>
    </row>
    <row r="885" hidden="1" spans="1:27">
      <c r="A885">
        <v>2</v>
      </c>
      <c r="B885">
        <v>6</v>
      </c>
      <c r="C885" s="3">
        <v>46060</v>
      </c>
      <c r="D885" t="s">
        <v>27</v>
      </c>
      <c r="E885" t="s">
        <v>996</v>
      </c>
      <c r="F885" t="s">
        <v>68</v>
      </c>
      <c r="G885" t="s">
        <v>69</v>
      </c>
      <c r="H885" t="s">
        <v>54</v>
      </c>
      <c r="I885" t="s">
        <v>92</v>
      </c>
      <c r="J885" t="s">
        <v>92</v>
      </c>
      <c r="K885" t="s">
        <v>64</v>
      </c>
      <c r="L885" t="s">
        <v>65</v>
      </c>
      <c r="M885" t="s">
        <v>93</v>
      </c>
      <c r="N885">
        <v>13.7</v>
      </c>
      <c r="O885">
        <v>15.5555555555556</v>
      </c>
      <c r="P885">
        <v>83.23</v>
      </c>
      <c r="Q885">
        <v>98.7855555555555</v>
      </c>
      <c r="R885">
        <v>0</v>
      </c>
      <c r="S885">
        <v>98.7855555555555</v>
      </c>
      <c r="T885">
        <v>116</v>
      </c>
      <c r="U885">
        <f>SUMIF(货件明细!J:J,E885,货件明细!AP:AP)</f>
        <v>0</v>
      </c>
      <c r="V885">
        <f>IF(U885=T885,0,1)</f>
        <v>1</v>
      </c>
      <c r="W885">
        <f>T885</f>
        <v>116</v>
      </c>
      <c r="X885">
        <f>SUMIF(货件明细!J:J,E885,货件明细!H:H)</f>
        <v>0</v>
      </c>
      <c r="Y885">
        <f>N885-X885</f>
        <v>13.7</v>
      </c>
      <c r="Z885">
        <f>SUMIF(货件明细!J:J,E885,货件明细!I:I)</f>
        <v>0</v>
      </c>
      <c r="AA885">
        <f>IF(S885=Z885,0,1)</f>
        <v>1</v>
      </c>
    </row>
    <row r="886" hidden="1" spans="1:27">
      <c r="A886">
        <v>2</v>
      </c>
      <c r="B886">
        <v>6</v>
      </c>
      <c r="C886" s="3">
        <v>46060</v>
      </c>
      <c r="D886" t="s">
        <v>27</v>
      </c>
      <c r="E886" t="s">
        <v>997</v>
      </c>
      <c r="F886" t="s">
        <v>198</v>
      </c>
      <c r="G886" t="s">
        <v>69</v>
      </c>
      <c r="H886" t="s">
        <v>54</v>
      </c>
      <c r="I886" t="s">
        <v>92</v>
      </c>
      <c r="J886" t="s">
        <v>92</v>
      </c>
      <c r="K886" t="s">
        <v>64</v>
      </c>
      <c r="L886" t="s">
        <v>65</v>
      </c>
      <c r="M886" t="s">
        <v>93</v>
      </c>
      <c r="N886">
        <v>13.7</v>
      </c>
      <c r="O886">
        <v>23</v>
      </c>
      <c r="P886">
        <v>100.45</v>
      </c>
      <c r="Q886">
        <v>123.45</v>
      </c>
      <c r="R886">
        <v>0</v>
      </c>
      <c r="S886">
        <v>123.45</v>
      </c>
      <c r="T886">
        <v>116</v>
      </c>
      <c r="U886">
        <f>SUMIF(货件明细!J:J,E886,货件明细!AP:AP)</f>
        <v>0</v>
      </c>
      <c r="V886">
        <f>IF(U886=T886,0,1)</f>
        <v>1</v>
      </c>
      <c r="W886">
        <f>T886</f>
        <v>116</v>
      </c>
      <c r="X886">
        <f>SUMIF(货件明细!J:J,E886,货件明细!H:H)</f>
        <v>0</v>
      </c>
      <c r="Y886">
        <f>N886-X886</f>
        <v>13.7</v>
      </c>
      <c r="Z886">
        <f>SUMIF(货件明细!J:J,E886,货件明细!I:I)</f>
        <v>0</v>
      </c>
      <c r="AA886">
        <f>IF(S886=Z886,0,1)</f>
        <v>1</v>
      </c>
    </row>
    <row r="887" hidden="1" spans="1:27">
      <c r="A887">
        <v>2</v>
      </c>
      <c r="B887">
        <v>6</v>
      </c>
      <c r="C887" s="3">
        <v>46060</v>
      </c>
      <c r="D887" t="s">
        <v>27</v>
      </c>
      <c r="E887" t="s">
        <v>998</v>
      </c>
      <c r="F887" t="s">
        <v>187</v>
      </c>
      <c r="G887" t="s">
        <v>72</v>
      </c>
      <c r="H887" t="s">
        <v>54</v>
      </c>
      <c r="I887" t="s">
        <v>92</v>
      </c>
      <c r="J887" t="s">
        <v>92</v>
      </c>
      <c r="K887" t="s">
        <v>64</v>
      </c>
      <c r="L887" t="s">
        <v>65</v>
      </c>
      <c r="M887" t="s">
        <v>93</v>
      </c>
      <c r="N887">
        <v>13.7</v>
      </c>
      <c r="O887">
        <v>15.5555555555556</v>
      </c>
      <c r="P887">
        <v>69.3</v>
      </c>
      <c r="Q887">
        <v>84.8555555555556</v>
      </c>
      <c r="R887">
        <v>0</v>
      </c>
      <c r="S887">
        <v>84.8555555555556</v>
      </c>
      <c r="T887">
        <v>116</v>
      </c>
      <c r="U887">
        <f>SUMIF(货件明细!J:J,E887,货件明细!AP:AP)</f>
        <v>0</v>
      </c>
      <c r="V887">
        <f>IF(U887=T887,0,1)</f>
        <v>1</v>
      </c>
      <c r="W887">
        <f>T887</f>
        <v>116</v>
      </c>
      <c r="X887">
        <f>SUMIF(货件明细!J:J,E887,货件明细!H:H)</f>
        <v>0</v>
      </c>
      <c r="Y887">
        <f>N887-X887</f>
        <v>13.7</v>
      </c>
      <c r="Z887">
        <f>SUMIF(货件明细!J:J,E887,货件明细!I:I)</f>
        <v>0</v>
      </c>
      <c r="AA887">
        <f>IF(S887=Z887,0,1)</f>
        <v>1</v>
      </c>
    </row>
    <row r="888" hidden="1" spans="1:27">
      <c r="A888">
        <v>2</v>
      </c>
      <c r="B888">
        <v>6</v>
      </c>
      <c r="C888" s="3">
        <v>46060</v>
      </c>
      <c r="D888" t="s">
        <v>27</v>
      </c>
      <c r="E888" t="s">
        <v>999</v>
      </c>
      <c r="F888" t="s">
        <v>143</v>
      </c>
      <c r="G888" t="s">
        <v>72</v>
      </c>
      <c r="H888" t="s">
        <v>54</v>
      </c>
      <c r="I888" t="s">
        <v>92</v>
      </c>
      <c r="J888" t="s">
        <v>92</v>
      </c>
      <c r="K888" t="s">
        <v>64</v>
      </c>
      <c r="L888" t="s">
        <v>65</v>
      </c>
      <c r="M888" t="s">
        <v>188</v>
      </c>
      <c r="N888">
        <v>13.7</v>
      </c>
      <c r="O888">
        <v>15.5555555555556</v>
      </c>
      <c r="P888">
        <v>70.28</v>
      </c>
      <c r="Q888">
        <v>85.8355555555556</v>
      </c>
      <c r="R888">
        <v>0</v>
      </c>
      <c r="S888">
        <v>85.8355555555556</v>
      </c>
      <c r="T888">
        <v>116</v>
      </c>
      <c r="U888">
        <f>SUMIF(货件明细!J:J,E888,货件明细!AP:AP)</f>
        <v>0</v>
      </c>
      <c r="V888">
        <f>IF(U888=T888,0,1)</f>
        <v>1</v>
      </c>
      <c r="W888">
        <f>T888</f>
        <v>116</v>
      </c>
      <c r="X888">
        <f>SUMIF(货件明细!J:J,E888,货件明细!H:H)</f>
        <v>0</v>
      </c>
      <c r="Y888">
        <f>N888-X888</f>
        <v>13.7</v>
      </c>
      <c r="Z888">
        <f>SUMIF(货件明细!J:J,E888,货件明细!I:I)</f>
        <v>0</v>
      </c>
      <c r="AA888">
        <f>IF(S888=Z888,0,1)</f>
        <v>1</v>
      </c>
    </row>
    <row r="889" hidden="1" spans="1:27">
      <c r="A889">
        <v>2</v>
      </c>
      <c r="B889">
        <v>6</v>
      </c>
      <c r="C889" s="3">
        <v>46060</v>
      </c>
      <c r="D889" t="s">
        <v>27</v>
      </c>
      <c r="E889" t="s">
        <v>1000</v>
      </c>
      <c r="F889" t="s">
        <v>942</v>
      </c>
      <c r="G889" t="s">
        <v>30</v>
      </c>
      <c r="H889" t="s">
        <v>54</v>
      </c>
      <c r="I889" t="s">
        <v>92</v>
      </c>
      <c r="J889" t="s">
        <v>92</v>
      </c>
      <c r="K889" t="s">
        <v>64</v>
      </c>
      <c r="L889" t="s">
        <v>65</v>
      </c>
      <c r="M889" t="s">
        <v>93</v>
      </c>
      <c r="N889">
        <v>13.7</v>
      </c>
      <c r="O889">
        <v>23</v>
      </c>
      <c r="P889">
        <v>100.5</v>
      </c>
      <c r="Q889">
        <v>123.5</v>
      </c>
      <c r="R889">
        <v>0</v>
      </c>
      <c r="S889">
        <v>123.5</v>
      </c>
      <c r="T889">
        <v>116</v>
      </c>
      <c r="U889">
        <f>SUMIF(货件明细!J:J,E889,货件明细!AP:AP)</f>
        <v>0</v>
      </c>
      <c r="V889">
        <f>IF(U889=T889,0,1)</f>
        <v>1</v>
      </c>
      <c r="W889">
        <f>T889</f>
        <v>116</v>
      </c>
      <c r="X889">
        <f>SUMIF(货件明细!J:J,E889,货件明细!H:H)</f>
        <v>0</v>
      </c>
      <c r="Y889">
        <f>N889-X889</f>
        <v>13.7</v>
      </c>
      <c r="Z889">
        <f>SUMIF(货件明细!J:J,E889,货件明细!I:I)</f>
        <v>0</v>
      </c>
      <c r="AA889">
        <f>IF(S889=Z889,0,1)</f>
        <v>1</v>
      </c>
    </row>
    <row r="890" hidden="1" spans="1:27">
      <c r="A890">
        <v>2</v>
      </c>
      <c r="B890">
        <v>6</v>
      </c>
      <c r="C890" s="3">
        <v>46060</v>
      </c>
      <c r="D890" t="s">
        <v>27</v>
      </c>
      <c r="E890" t="s">
        <v>1001</v>
      </c>
      <c r="F890" t="s">
        <v>195</v>
      </c>
      <c r="G890" t="s">
        <v>30</v>
      </c>
      <c r="H890" t="s">
        <v>56</v>
      </c>
      <c r="I890" t="s">
        <v>92</v>
      </c>
      <c r="J890" t="s">
        <v>92</v>
      </c>
      <c r="K890" t="s">
        <v>64</v>
      </c>
      <c r="L890" t="s">
        <v>65</v>
      </c>
      <c r="M890" t="s">
        <v>93</v>
      </c>
      <c r="N890">
        <v>8.35</v>
      </c>
      <c r="O890">
        <v>23</v>
      </c>
      <c r="P890">
        <v>100.5</v>
      </c>
      <c r="Q890">
        <v>123.5</v>
      </c>
      <c r="R890">
        <v>0</v>
      </c>
      <c r="S890">
        <v>123.5</v>
      </c>
      <c r="T890">
        <v>26</v>
      </c>
      <c r="U890">
        <f>SUMIF(货件明细!J:J,E890,货件明细!AP:AP)</f>
        <v>0</v>
      </c>
      <c r="V890">
        <f>IF(U890=T890,0,1)</f>
        <v>1</v>
      </c>
      <c r="W890">
        <f>T890</f>
        <v>26</v>
      </c>
      <c r="X890">
        <f>SUMIF(货件明细!J:J,E890,货件明细!H:H)</f>
        <v>0</v>
      </c>
      <c r="Y890">
        <f>N890-X890</f>
        <v>8.35</v>
      </c>
      <c r="Z890">
        <f>SUMIF(货件明细!J:J,E890,货件明细!I:I)</f>
        <v>0</v>
      </c>
      <c r="AA890">
        <f>IF(S890=Z890,0,1)</f>
        <v>1</v>
      </c>
    </row>
    <row r="891" hidden="1" spans="1:27">
      <c r="A891">
        <v>2</v>
      </c>
      <c r="B891">
        <v>6</v>
      </c>
      <c r="C891" s="3">
        <v>46060</v>
      </c>
      <c r="D891" t="s">
        <v>27</v>
      </c>
      <c r="E891" t="s">
        <v>1002</v>
      </c>
      <c r="F891" t="s">
        <v>62</v>
      </c>
      <c r="G891" t="s">
        <v>30</v>
      </c>
      <c r="H891" t="s">
        <v>56</v>
      </c>
      <c r="I891" t="s">
        <v>92</v>
      </c>
      <c r="J891" t="s">
        <v>92</v>
      </c>
      <c r="K891" t="s">
        <v>64</v>
      </c>
      <c r="L891" t="s">
        <v>65</v>
      </c>
      <c r="M891" t="s">
        <v>93</v>
      </c>
      <c r="N891">
        <v>8.35</v>
      </c>
      <c r="O891">
        <v>23</v>
      </c>
      <c r="P891">
        <v>96.6</v>
      </c>
      <c r="Q891">
        <v>119.6</v>
      </c>
      <c r="R891">
        <v>0</v>
      </c>
      <c r="S891">
        <v>119.6</v>
      </c>
      <c r="T891">
        <v>26</v>
      </c>
      <c r="U891">
        <f>SUMIF(货件明细!J:J,E891,货件明细!AP:AP)</f>
        <v>0</v>
      </c>
      <c r="V891">
        <f>IF(U891=T891,0,1)</f>
        <v>1</v>
      </c>
      <c r="W891">
        <f>T891</f>
        <v>26</v>
      </c>
      <c r="X891">
        <f>SUMIF(货件明细!J:J,E891,货件明细!H:H)</f>
        <v>0</v>
      </c>
      <c r="Y891">
        <f>N891-X891</f>
        <v>8.35</v>
      </c>
      <c r="Z891">
        <f>SUMIF(货件明细!J:J,E891,货件明细!I:I)</f>
        <v>0</v>
      </c>
      <c r="AA891">
        <f>IF(S891=Z891,0,1)</f>
        <v>1</v>
      </c>
    </row>
    <row r="892" hidden="1" spans="1:27">
      <c r="A892">
        <v>2</v>
      </c>
      <c r="B892">
        <v>6</v>
      </c>
      <c r="C892" s="3">
        <v>46060</v>
      </c>
      <c r="D892" t="s">
        <v>27</v>
      </c>
      <c r="E892" t="s">
        <v>1003</v>
      </c>
      <c r="F892" t="s">
        <v>68</v>
      </c>
      <c r="G892" t="s">
        <v>69</v>
      </c>
      <c r="H892" t="s">
        <v>56</v>
      </c>
      <c r="I892" t="s">
        <v>92</v>
      </c>
      <c r="J892" t="s">
        <v>92</v>
      </c>
      <c r="K892" t="s">
        <v>64</v>
      </c>
      <c r="L892" t="s">
        <v>65</v>
      </c>
      <c r="M892" t="s">
        <v>93</v>
      </c>
      <c r="N892">
        <v>8.35</v>
      </c>
      <c r="O892">
        <v>15.5555555555556</v>
      </c>
      <c r="P892">
        <v>83.23</v>
      </c>
      <c r="Q892">
        <v>98.7855555555555</v>
      </c>
      <c r="R892">
        <v>0</v>
      </c>
      <c r="S892">
        <v>98.7855555555555</v>
      </c>
      <c r="T892">
        <v>26</v>
      </c>
      <c r="U892">
        <f>SUMIF(货件明细!J:J,E892,货件明细!AP:AP)</f>
        <v>0</v>
      </c>
      <c r="V892">
        <f>IF(U892=T892,0,1)</f>
        <v>1</v>
      </c>
      <c r="W892">
        <f>T892</f>
        <v>26</v>
      </c>
      <c r="X892">
        <f>SUMIF(货件明细!J:J,E892,货件明细!H:H)</f>
        <v>0</v>
      </c>
      <c r="Y892">
        <f>N892-X892</f>
        <v>8.35</v>
      </c>
      <c r="Z892">
        <f>SUMIF(货件明细!J:J,E892,货件明细!I:I)</f>
        <v>0</v>
      </c>
      <c r="AA892">
        <f>IF(S892=Z892,0,1)</f>
        <v>1</v>
      </c>
    </row>
    <row r="893" hidden="1" spans="1:27">
      <c r="A893">
        <v>2</v>
      </c>
      <c r="B893">
        <v>6</v>
      </c>
      <c r="C893" s="3">
        <v>46060</v>
      </c>
      <c r="D893" t="s">
        <v>27</v>
      </c>
      <c r="E893" t="s">
        <v>1004</v>
      </c>
      <c r="F893" t="s">
        <v>187</v>
      </c>
      <c r="G893" t="s">
        <v>72</v>
      </c>
      <c r="H893" t="s">
        <v>56</v>
      </c>
      <c r="I893" t="s">
        <v>92</v>
      </c>
      <c r="J893" t="s">
        <v>92</v>
      </c>
      <c r="K893" t="s">
        <v>64</v>
      </c>
      <c r="L893" t="s">
        <v>65</v>
      </c>
      <c r="M893" t="s">
        <v>93</v>
      </c>
      <c r="N893">
        <v>8.35</v>
      </c>
      <c r="O893">
        <v>15.5555555555556</v>
      </c>
      <c r="P893">
        <v>39.6</v>
      </c>
      <c r="Q893">
        <v>55.1555555555556</v>
      </c>
      <c r="R893">
        <v>0</v>
      </c>
      <c r="S893">
        <v>55.1555555555556</v>
      </c>
      <c r="T893">
        <v>26</v>
      </c>
      <c r="U893">
        <f>SUMIF(货件明细!J:J,E893,货件明细!AP:AP)</f>
        <v>0</v>
      </c>
      <c r="V893">
        <f>IF(U893=T893,0,1)</f>
        <v>1</v>
      </c>
      <c r="W893">
        <f>T893</f>
        <v>26</v>
      </c>
      <c r="X893">
        <f>SUMIF(货件明细!J:J,E893,货件明细!H:H)</f>
        <v>0</v>
      </c>
      <c r="Y893">
        <f>N893-X893</f>
        <v>8.35</v>
      </c>
      <c r="Z893">
        <f>SUMIF(货件明细!J:J,E893,货件明细!I:I)</f>
        <v>0</v>
      </c>
      <c r="AA893">
        <f>IF(S893=Z893,0,1)</f>
        <v>1</v>
      </c>
    </row>
    <row r="894" hidden="1" spans="1:27">
      <c r="A894">
        <v>2</v>
      </c>
      <c r="B894">
        <v>6</v>
      </c>
      <c r="C894" s="3">
        <v>46060</v>
      </c>
      <c r="D894" t="s">
        <v>27</v>
      </c>
      <c r="E894" t="s">
        <v>1005</v>
      </c>
      <c r="F894" t="s">
        <v>143</v>
      </c>
      <c r="G894" t="s">
        <v>72</v>
      </c>
      <c r="H894" t="s">
        <v>56</v>
      </c>
      <c r="I894" t="s">
        <v>92</v>
      </c>
      <c r="J894" t="s">
        <v>92</v>
      </c>
      <c r="K894" t="s">
        <v>64</v>
      </c>
      <c r="L894" t="s">
        <v>65</v>
      </c>
      <c r="M894" t="s">
        <v>188</v>
      </c>
      <c r="N894">
        <v>8.35</v>
      </c>
      <c r="O894">
        <v>15.5555555555556</v>
      </c>
      <c r="P894">
        <v>45.18</v>
      </c>
      <c r="Q894">
        <v>60.7355555555555</v>
      </c>
      <c r="R894">
        <v>0</v>
      </c>
      <c r="S894">
        <v>60.7355555555555</v>
      </c>
      <c r="T894">
        <v>26</v>
      </c>
      <c r="U894">
        <f>SUMIF(货件明细!J:J,E894,货件明细!AP:AP)</f>
        <v>0</v>
      </c>
      <c r="V894">
        <f>IF(U894=T894,0,1)</f>
        <v>1</v>
      </c>
      <c r="W894">
        <f>T894</f>
        <v>26</v>
      </c>
      <c r="X894">
        <f>SUMIF(货件明细!J:J,E894,货件明细!H:H)</f>
        <v>0</v>
      </c>
      <c r="Y894">
        <f>N894-X894</f>
        <v>8.35</v>
      </c>
      <c r="Z894">
        <f>SUMIF(货件明细!J:J,E894,货件明细!I:I)</f>
        <v>0</v>
      </c>
      <c r="AA894">
        <f>IF(S894=Z894,0,1)</f>
        <v>1</v>
      </c>
    </row>
    <row r="895" hidden="1" spans="1:27">
      <c r="A895">
        <v>2</v>
      </c>
      <c r="B895">
        <v>6</v>
      </c>
      <c r="C895" s="3">
        <v>46060</v>
      </c>
      <c r="D895" t="s">
        <v>27</v>
      </c>
      <c r="E895" t="s">
        <v>1006</v>
      </c>
      <c r="F895" t="s">
        <v>68</v>
      </c>
      <c r="G895" t="s">
        <v>69</v>
      </c>
      <c r="H895" t="s">
        <v>224</v>
      </c>
      <c r="I895" t="s">
        <v>92</v>
      </c>
      <c r="J895" t="s">
        <v>92</v>
      </c>
      <c r="K895" t="s">
        <v>64</v>
      </c>
      <c r="L895" t="s">
        <v>65</v>
      </c>
      <c r="M895" t="s">
        <v>93</v>
      </c>
      <c r="N895">
        <v>9.3</v>
      </c>
      <c r="O895">
        <v>15.5555555555556</v>
      </c>
      <c r="P895">
        <v>83.23</v>
      </c>
      <c r="Q895">
        <v>98.7855555555555</v>
      </c>
      <c r="R895">
        <v>0</v>
      </c>
      <c r="S895">
        <v>98.7855555555555</v>
      </c>
      <c r="T895">
        <v>43</v>
      </c>
      <c r="U895">
        <f>SUMIF(货件明细!J:J,E895,货件明细!AP:AP)</f>
        <v>0</v>
      </c>
      <c r="V895">
        <f>IF(U895=T895,0,1)</f>
        <v>1</v>
      </c>
      <c r="W895">
        <f>T895</f>
        <v>43</v>
      </c>
      <c r="X895">
        <f>SUMIF(货件明细!J:J,E895,货件明细!H:H)</f>
        <v>0</v>
      </c>
      <c r="Y895">
        <f>N895-X895</f>
        <v>9.3</v>
      </c>
      <c r="Z895">
        <f>SUMIF(货件明细!J:J,E895,货件明细!I:I)</f>
        <v>0</v>
      </c>
      <c r="AA895">
        <f>IF(S895=Z895,0,1)</f>
        <v>1</v>
      </c>
    </row>
    <row r="896" hidden="1" spans="1:27">
      <c r="A896">
        <v>2</v>
      </c>
      <c r="B896">
        <v>6</v>
      </c>
      <c r="C896" s="3">
        <v>46060</v>
      </c>
      <c r="D896" t="s">
        <v>27</v>
      </c>
      <c r="E896" t="s">
        <v>1007</v>
      </c>
      <c r="F896" t="s">
        <v>198</v>
      </c>
      <c r="G896" t="s">
        <v>69</v>
      </c>
      <c r="H896" t="s">
        <v>224</v>
      </c>
      <c r="I896" t="s">
        <v>92</v>
      </c>
      <c r="J896" t="s">
        <v>92</v>
      </c>
      <c r="K896" t="s">
        <v>64</v>
      </c>
      <c r="L896" t="s">
        <v>65</v>
      </c>
      <c r="M896" t="s">
        <v>93</v>
      </c>
      <c r="N896">
        <v>9.3</v>
      </c>
      <c r="O896">
        <v>23</v>
      </c>
      <c r="P896">
        <v>86.1</v>
      </c>
      <c r="Q896">
        <v>109.1</v>
      </c>
      <c r="R896">
        <v>0</v>
      </c>
      <c r="S896">
        <v>109.1</v>
      </c>
      <c r="T896">
        <v>44</v>
      </c>
      <c r="U896">
        <f>SUMIF(货件明细!J:J,E896,货件明细!AP:AP)</f>
        <v>0</v>
      </c>
      <c r="V896">
        <f>IF(U896=T896,0,1)</f>
        <v>1</v>
      </c>
      <c r="W896">
        <f>T896</f>
        <v>44</v>
      </c>
      <c r="X896">
        <f>SUMIF(货件明细!J:J,E896,货件明细!H:H)</f>
        <v>0</v>
      </c>
      <c r="Y896">
        <f>N896-X896</f>
        <v>9.3</v>
      </c>
      <c r="Z896">
        <f>SUMIF(货件明细!J:J,E896,货件明细!I:I)</f>
        <v>0</v>
      </c>
      <c r="AA896">
        <f>IF(S896=Z896,0,1)</f>
        <v>1</v>
      </c>
    </row>
    <row r="897" hidden="1" spans="1:27">
      <c r="A897">
        <v>2</v>
      </c>
      <c r="B897">
        <v>6</v>
      </c>
      <c r="C897" s="3">
        <v>46060</v>
      </c>
      <c r="D897" t="s">
        <v>27</v>
      </c>
      <c r="E897" t="s">
        <v>1008</v>
      </c>
      <c r="F897" t="s">
        <v>187</v>
      </c>
      <c r="G897" t="s">
        <v>72</v>
      </c>
      <c r="H897" t="s">
        <v>224</v>
      </c>
      <c r="I897" t="s">
        <v>92</v>
      </c>
      <c r="J897" t="s">
        <v>92</v>
      </c>
      <c r="K897" t="s">
        <v>64</v>
      </c>
      <c r="L897" t="s">
        <v>65</v>
      </c>
      <c r="M897" t="s">
        <v>93</v>
      </c>
      <c r="N897">
        <v>9.3</v>
      </c>
      <c r="O897">
        <v>15.5555555555556</v>
      </c>
      <c r="P897">
        <v>59.4</v>
      </c>
      <c r="Q897">
        <v>74.9555555555555</v>
      </c>
      <c r="R897">
        <v>0</v>
      </c>
      <c r="S897">
        <v>74.9555555555555</v>
      </c>
      <c r="T897">
        <v>44</v>
      </c>
      <c r="U897">
        <f>SUMIF(货件明细!J:J,E897,货件明细!AP:AP)</f>
        <v>0</v>
      </c>
      <c r="V897">
        <f>IF(U897=T897,0,1)</f>
        <v>1</v>
      </c>
      <c r="W897">
        <f>T897</f>
        <v>44</v>
      </c>
      <c r="X897">
        <f>SUMIF(货件明细!J:J,E897,货件明细!H:H)</f>
        <v>0</v>
      </c>
      <c r="Y897">
        <f>N897-X897</f>
        <v>9.3</v>
      </c>
      <c r="Z897">
        <f>SUMIF(货件明细!J:J,E897,货件明细!I:I)</f>
        <v>0</v>
      </c>
      <c r="AA897">
        <f>IF(S897=Z897,0,1)</f>
        <v>1</v>
      </c>
    </row>
    <row r="898" hidden="1" spans="1:27">
      <c r="A898">
        <v>2</v>
      </c>
      <c r="B898">
        <v>6</v>
      </c>
      <c r="C898" s="3">
        <v>46060</v>
      </c>
      <c r="D898" t="s">
        <v>27</v>
      </c>
      <c r="E898" t="s">
        <v>1009</v>
      </c>
      <c r="F898" t="s">
        <v>143</v>
      </c>
      <c r="G898" t="s">
        <v>72</v>
      </c>
      <c r="H898" t="s">
        <v>224</v>
      </c>
      <c r="I898" t="s">
        <v>92</v>
      </c>
      <c r="J898" t="s">
        <v>92</v>
      </c>
      <c r="K898" t="s">
        <v>64</v>
      </c>
      <c r="L898" t="s">
        <v>65</v>
      </c>
      <c r="M898" t="s">
        <v>188</v>
      </c>
      <c r="N898">
        <v>9.3</v>
      </c>
      <c r="O898">
        <v>15.5555555555556</v>
      </c>
      <c r="P898">
        <v>45.18</v>
      </c>
      <c r="Q898">
        <v>60.7355555555555</v>
      </c>
      <c r="R898">
        <v>0</v>
      </c>
      <c r="S898">
        <v>60.7355555555555</v>
      </c>
      <c r="T898">
        <v>44</v>
      </c>
      <c r="U898">
        <f>SUMIF(货件明细!J:J,E898,货件明细!AP:AP)</f>
        <v>0</v>
      </c>
      <c r="V898">
        <f>IF(U898=T898,0,1)</f>
        <v>1</v>
      </c>
      <c r="W898">
        <f>T898</f>
        <v>44</v>
      </c>
      <c r="X898">
        <f>SUMIF(货件明细!J:J,E898,货件明细!H:H)</f>
        <v>0</v>
      </c>
      <c r="Y898">
        <f>N898-X898</f>
        <v>9.3</v>
      </c>
      <c r="Z898">
        <f>SUMIF(货件明细!J:J,E898,货件明细!I:I)</f>
        <v>0</v>
      </c>
      <c r="AA898">
        <f>IF(S898=Z898,0,1)</f>
        <v>1</v>
      </c>
    </row>
    <row r="899" hidden="1" spans="1:27">
      <c r="A899">
        <v>2</v>
      </c>
      <c r="B899">
        <v>6</v>
      </c>
      <c r="C899" s="3">
        <v>46060</v>
      </c>
      <c r="D899" t="s">
        <v>27</v>
      </c>
      <c r="E899" t="s">
        <v>1010</v>
      </c>
      <c r="F899" t="s">
        <v>942</v>
      </c>
      <c r="G899" t="s">
        <v>30</v>
      </c>
      <c r="H899" t="s">
        <v>224</v>
      </c>
      <c r="I899" t="s">
        <v>92</v>
      </c>
      <c r="J899" t="s">
        <v>92</v>
      </c>
      <c r="K899" t="s">
        <v>64</v>
      </c>
      <c r="L899" t="s">
        <v>65</v>
      </c>
      <c r="M899" t="s">
        <v>93</v>
      </c>
      <c r="N899">
        <v>9.3</v>
      </c>
      <c r="O899">
        <v>23</v>
      </c>
      <c r="P899">
        <v>100.5</v>
      </c>
      <c r="Q899">
        <v>123.5</v>
      </c>
      <c r="R899">
        <v>0</v>
      </c>
      <c r="S899">
        <v>123.5</v>
      </c>
      <c r="T899">
        <v>44</v>
      </c>
      <c r="U899">
        <f>SUMIF(货件明细!J:J,E899,货件明细!AP:AP)</f>
        <v>0</v>
      </c>
      <c r="V899">
        <f>IF(U899=T899,0,1)</f>
        <v>1</v>
      </c>
      <c r="W899">
        <f>T899</f>
        <v>44</v>
      </c>
      <c r="X899">
        <f>SUMIF(货件明细!J:J,E899,货件明细!H:H)</f>
        <v>0</v>
      </c>
      <c r="Y899">
        <f>N899-X899</f>
        <v>9.3</v>
      </c>
      <c r="Z899">
        <f>SUMIF(货件明细!J:J,E899,货件明细!I:I)</f>
        <v>0</v>
      </c>
      <c r="AA899">
        <f>IF(S899=Z899,0,1)</f>
        <v>1</v>
      </c>
    </row>
    <row r="900" hidden="1" spans="1:27">
      <c r="A900">
        <v>2</v>
      </c>
      <c r="B900">
        <v>6</v>
      </c>
      <c r="C900" s="3">
        <v>46060</v>
      </c>
      <c r="D900" t="s">
        <v>27</v>
      </c>
      <c r="E900" t="s">
        <v>1011</v>
      </c>
      <c r="F900" t="s">
        <v>195</v>
      </c>
      <c r="G900" t="s">
        <v>30</v>
      </c>
      <c r="H900" t="s">
        <v>37</v>
      </c>
      <c r="I900" t="s">
        <v>92</v>
      </c>
      <c r="J900" t="s">
        <v>92</v>
      </c>
      <c r="K900" t="s">
        <v>64</v>
      </c>
      <c r="L900" t="s">
        <v>65</v>
      </c>
      <c r="M900" t="s">
        <v>93</v>
      </c>
      <c r="N900">
        <v>15.25</v>
      </c>
      <c r="O900">
        <v>23</v>
      </c>
      <c r="P900">
        <v>100.5</v>
      </c>
      <c r="Q900">
        <v>123.5</v>
      </c>
      <c r="R900">
        <v>0</v>
      </c>
      <c r="S900">
        <v>123.5</v>
      </c>
      <c r="T900">
        <v>98</v>
      </c>
      <c r="U900">
        <f>SUMIF(货件明细!J:J,E900,货件明细!AP:AP)</f>
        <v>0</v>
      </c>
      <c r="V900">
        <f>IF(U900=T900,0,1)</f>
        <v>1</v>
      </c>
      <c r="W900">
        <f>T900</f>
        <v>98</v>
      </c>
      <c r="X900">
        <f>SUMIF(货件明细!J:J,E900,货件明细!H:H)</f>
        <v>0</v>
      </c>
      <c r="Y900">
        <f>N900-X900</f>
        <v>15.25</v>
      </c>
      <c r="Z900">
        <f>SUMIF(货件明细!J:J,E900,货件明细!I:I)</f>
        <v>0</v>
      </c>
      <c r="AA900">
        <f>IF(S900=Z900,0,1)</f>
        <v>1</v>
      </c>
    </row>
    <row r="901" hidden="1" spans="1:27">
      <c r="A901">
        <v>2</v>
      </c>
      <c r="B901">
        <v>6</v>
      </c>
      <c r="C901" s="3">
        <v>46060</v>
      </c>
      <c r="D901" t="s">
        <v>27</v>
      </c>
      <c r="E901" t="s">
        <v>1012</v>
      </c>
      <c r="F901" t="s">
        <v>62</v>
      </c>
      <c r="G901" t="s">
        <v>30</v>
      </c>
      <c r="H901" t="s">
        <v>37</v>
      </c>
      <c r="I901" t="s">
        <v>92</v>
      </c>
      <c r="J901" t="s">
        <v>92</v>
      </c>
      <c r="K901" t="s">
        <v>64</v>
      </c>
      <c r="L901" t="s">
        <v>65</v>
      </c>
      <c r="M901" t="s">
        <v>93</v>
      </c>
      <c r="N901">
        <v>15.25</v>
      </c>
      <c r="O901">
        <v>23</v>
      </c>
      <c r="P901">
        <v>96.6</v>
      </c>
      <c r="Q901">
        <v>119.6</v>
      </c>
      <c r="R901">
        <v>0</v>
      </c>
      <c r="S901">
        <v>119.6</v>
      </c>
      <c r="T901">
        <v>98</v>
      </c>
      <c r="U901">
        <f>SUMIF(货件明细!J:J,E901,货件明细!AP:AP)</f>
        <v>0</v>
      </c>
      <c r="V901">
        <f>IF(U901=T901,0,1)</f>
        <v>1</v>
      </c>
      <c r="W901">
        <f>T901</f>
        <v>98</v>
      </c>
      <c r="X901">
        <f>SUMIF(货件明细!J:J,E901,货件明细!H:H)</f>
        <v>0</v>
      </c>
      <c r="Y901">
        <f>N901-X901</f>
        <v>15.25</v>
      </c>
      <c r="Z901">
        <f>SUMIF(货件明细!J:J,E901,货件明细!I:I)</f>
        <v>0</v>
      </c>
      <c r="AA901">
        <f>IF(S901=Z901,0,1)</f>
        <v>1</v>
      </c>
    </row>
    <row r="902" hidden="1" spans="1:27">
      <c r="A902">
        <v>2</v>
      </c>
      <c r="B902">
        <v>6</v>
      </c>
      <c r="C902" s="3">
        <v>46060</v>
      </c>
      <c r="D902" t="s">
        <v>27</v>
      </c>
      <c r="E902" t="s">
        <v>1013</v>
      </c>
      <c r="F902" t="s">
        <v>68</v>
      </c>
      <c r="G902" t="s">
        <v>69</v>
      </c>
      <c r="H902" t="s">
        <v>37</v>
      </c>
      <c r="I902" t="s">
        <v>92</v>
      </c>
      <c r="J902" t="s">
        <v>92</v>
      </c>
      <c r="K902" t="s">
        <v>64</v>
      </c>
      <c r="L902" t="s">
        <v>65</v>
      </c>
      <c r="M902" t="s">
        <v>93</v>
      </c>
      <c r="N902">
        <v>15.25</v>
      </c>
      <c r="O902">
        <v>15.5555555555556</v>
      </c>
      <c r="P902">
        <v>83.23</v>
      </c>
      <c r="Q902">
        <v>98.7855555555555</v>
      </c>
      <c r="R902">
        <v>0</v>
      </c>
      <c r="S902">
        <v>98.7855555555555</v>
      </c>
      <c r="T902">
        <v>98</v>
      </c>
      <c r="U902">
        <f>SUMIF(货件明细!J:J,E902,货件明细!AP:AP)</f>
        <v>0</v>
      </c>
      <c r="V902">
        <f>IF(U902=T902,0,1)</f>
        <v>1</v>
      </c>
      <c r="W902">
        <f>T902</f>
        <v>98</v>
      </c>
      <c r="X902">
        <f>SUMIF(货件明细!J:J,E902,货件明细!H:H)</f>
        <v>0</v>
      </c>
      <c r="Y902">
        <f>N902-X902</f>
        <v>15.25</v>
      </c>
      <c r="Z902">
        <f>SUMIF(货件明细!J:J,E902,货件明细!I:I)</f>
        <v>0</v>
      </c>
      <c r="AA902">
        <f>IF(S902=Z902,0,1)</f>
        <v>1</v>
      </c>
    </row>
    <row r="903" hidden="1" spans="1:27">
      <c r="A903">
        <v>2</v>
      </c>
      <c r="B903">
        <v>6</v>
      </c>
      <c r="C903" s="3">
        <v>46060</v>
      </c>
      <c r="D903" t="s">
        <v>27</v>
      </c>
      <c r="E903" t="s">
        <v>1014</v>
      </c>
      <c r="F903" t="s">
        <v>187</v>
      </c>
      <c r="G903" t="s">
        <v>72</v>
      </c>
      <c r="H903" t="s">
        <v>37</v>
      </c>
      <c r="I903" t="s">
        <v>92</v>
      </c>
      <c r="J903" t="s">
        <v>92</v>
      </c>
      <c r="K903" t="s">
        <v>64</v>
      </c>
      <c r="L903" t="s">
        <v>65</v>
      </c>
      <c r="M903" t="s">
        <v>93</v>
      </c>
      <c r="N903">
        <v>15.25</v>
      </c>
      <c r="O903">
        <v>15.5555555555556</v>
      </c>
      <c r="P903">
        <v>59.4</v>
      </c>
      <c r="Q903">
        <v>74.9555555555555</v>
      </c>
      <c r="R903">
        <v>0</v>
      </c>
      <c r="S903">
        <v>74.9555555555555</v>
      </c>
      <c r="T903">
        <v>98</v>
      </c>
      <c r="U903">
        <f>SUMIF(货件明细!J:J,E903,货件明细!AP:AP)</f>
        <v>0</v>
      </c>
      <c r="V903">
        <f>IF(U903=T903,0,1)</f>
        <v>1</v>
      </c>
      <c r="W903">
        <f>T903</f>
        <v>98</v>
      </c>
      <c r="X903">
        <f>SUMIF(货件明细!J:J,E903,货件明细!H:H)</f>
        <v>0</v>
      </c>
      <c r="Y903">
        <f>N903-X903</f>
        <v>15.25</v>
      </c>
      <c r="Z903">
        <f>SUMIF(货件明细!J:J,E903,货件明细!I:I)</f>
        <v>0</v>
      </c>
      <c r="AA903">
        <f>IF(S903=Z903,0,1)</f>
        <v>1</v>
      </c>
    </row>
    <row r="904" hidden="1" spans="1:27">
      <c r="A904">
        <v>2</v>
      </c>
      <c r="B904">
        <v>6</v>
      </c>
      <c r="C904" s="3">
        <v>46060</v>
      </c>
      <c r="D904" t="s">
        <v>27</v>
      </c>
      <c r="E904" t="s">
        <v>1015</v>
      </c>
      <c r="F904" t="s">
        <v>143</v>
      </c>
      <c r="G904" t="s">
        <v>72</v>
      </c>
      <c r="H904" t="s">
        <v>37</v>
      </c>
      <c r="I904" t="s">
        <v>92</v>
      </c>
      <c r="J904" t="s">
        <v>92</v>
      </c>
      <c r="K904" t="s">
        <v>64</v>
      </c>
      <c r="L904" t="s">
        <v>65</v>
      </c>
      <c r="M904" t="s">
        <v>188</v>
      </c>
      <c r="N904">
        <v>15.25</v>
      </c>
      <c r="O904">
        <v>15.5555555555556</v>
      </c>
      <c r="P904">
        <v>75.3</v>
      </c>
      <c r="Q904">
        <v>90.8555555555556</v>
      </c>
      <c r="R904">
        <v>0</v>
      </c>
      <c r="S904">
        <v>90.8555555555556</v>
      </c>
      <c r="T904">
        <v>98</v>
      </c>
      <c r="U904">
        <f>SUMIF(货件明细!J:J,E904,货件明细!AP:AP)</f>
        <v>0</v>
      </c>
      <c r="V904">
        <f>IF(U904=T904,0,1)</f>
        <v>1</v>
      </c>
      <c r="W904">
        <f>T904</f>
        <v>98</v>
      </c>
      <c r="X904">
        <f>SUMIF(货件明细!J:J,E904,货件明细!H:H)</f>
        <v>0</v>
      </c>
      <c r="Y904">
        <f>N904-X904</f>
        <v>15.25</v>
      </c>
      <c r="Z904">
        <f>SUMIF(货件明细!J:J,E904,货件明细!I:I)</f>
        <v>0</v>
      </c>
      <c r="AA904">
        <f>IF(S904=Z904,0,1)</f>
        <v>1</v>
      </c>
    </row>
    <row r="905" hidden="1" spans="1:27">
      <c r="A905">
        <v>2</v>
      </c>
      <c r="B905">
        <v>6</v>
      </c>
      <c r="C905" s="3">
        <v>46060</v>
      </c>
      <c r="D905" t="s">
        <v>27</v>
      </c>
      <c r="E905" t="s">
        <v>1016</v>
      </c>
      <c r="F905" t="s">
        <v>821</v>
      </c>
      <c r="G905" t="s">
        <v>72</v>
      </c>
      <c r="H905" t="s">
        <v>59</v>
      </c>
      <c r="I905" t="s">
        <v>92</v>
      </c>
      <c r="J905" t="s">
        <v>92</v>
      </c>
      <c r="K905" t="s">
        <v>64</v>
      </c>
      <c r="L905" t="s">
        <v>65</v>
      </c>
      <c r="M905" t="s">
        <v>188</v>
      </c>
      <c r="N905">
        <v>20.3</v>
      </c>
      <c r="P905">
        <v>100.8</v>
      </c>
      <c r="Q905">
        <v>100.8</v>
      </c>
      <c r="R905">
        <v>341.94</v>
      </c>
      <c r="S905">
        <v>442.74</v>
      </c>
      <c r="T905">
        <v>155</v>
      </c>
      <c r="U905">
        <f>SUMIF(货件明细!J:J,E905,货件明细!AP:AP)</f>
        <v>0</v>
      </c>
      <c r="V905">
        <f>IF(U905=T905,0,1)</f>
        <v>1</v>
      </c>
      <c r="W905">
        <f>T905</f>
        <v>155</v>
      </c>
      <c r="X905">
        <f>SUMIF(货件明细!J:J,E905,货件明细!H:H)</f>
        <v>0</v>
      </c>
      <c r="Y905">
        <f>N905-X905</f>
        <v>20.3</v>
      </c>
      <c r="Z905">
        <f>SUMIF(货件明细!J:J,E905,货件明细!I:I)</f>
        <v>0</v>
      </c>
      <c r="AA905">
        <f>IF(S905=Z905,0,1)</f>
        <v>1</v>
      </c>
    </row>
    <row r="906" hidden="1" spans="1:27">
      <c r="A906">
        <v>2</v>
      </c>
      <c r="B906">
        <v>6</v>
      </c>
      <c r="C906" s="3">
        <v>46060</v>
      </c>
      <c r="D906" t="s">
        <v>27</v>
      </c>
      <c r="E906" t="s">
        <v>1017</v>
      </c>
      <c r="F906" t="s">
        <v>821</v>
      </c>
      <c r="G906" t="s">
        <v>72</v>
      </c>
      <c r="H906" t="s">
        <v>37</v>
      </c>
      <c r="I906" t="s">
        <v>92</v>
      </c>
      <c r="J906" t="s">
        <v>92</v>
      </c>
      <c r="K906" t="s">
        <v>64</v>
      </c>
      <c r="L906" t="s">
        <v>65</v>
      </c>
      <c r="M906" t="s">
        <v>188</v>
      </c>
      <c r="N906">
        <v>28.95</v>
      </c>
      <c r="P906">
        <v>139.2</v>
      </c>
      <c r="Q906">
        <v>139.2</v>
      </c>
      <c r="R906">
        <v>362.79</v>
      </c>
      <c r="S906">
        <v>501.99</v>
      </c>
      <c r="T906">
        <v>160</v>
      </c>
      <c r="U906">
        <f>SUMIF(货件明细!J:J,E906,货件明细!AP:AP)</f>
        <v>0</v>
      </c>
      <c r="V906">
        <f>IF(U906=T906,0,1)</f>
        <v>1</v>
      </c>
      <c r="W906">
        <f>T906</f>
        <v>160</v>
      </c>
      <c r="X906">
        <f>SUMIF(货件明细!J:J,E906,货件明细!H:H)</f>
        <v>0</v>
      </c>
      <c r="Y906">
        <f>N906-X906</f>
        <v>28.95</v>
      </c>
      <c r="Z906">
        <f>SUMIF(货件明细!J:J,E906,货件明细!I:I)</f>
        <v>0</v>
      </c>
      <c r="AA906">
        <f>IF(S906=Z906,0,1)</f>
        <v>1</v>
      </c>
    </row>
    <row r="907" hidden="1" spans="1:27">
      <c r="A907">
        <v>2</v>
      </c>
      <c r="B907">
        <v>6</v>
      </c>
      <c r="C907" s="3">
        <v>46060</v>
      </c>
      <c r="D907" t="s">
        <v>27</v>
      </c>
      <c r="E907" t="s">
        <v>1018</v>
      </c>
      <c r="F907" t="s">
        <v>821</v>
      </c>
      <c r="G907" t="s">
        <v>72</v>
      </c>
      <c r="H907" t="s">
        <v>56</v>
      </c>
      <c r="I907" t="s">
        <v>92</v>
      </c>
      <c r="J907" t="s">
        <v>92</v>
      </c>
      <c r="K907" t="s">
        <v>64</v>
      </c>
      <c r="L907" t="s">
        <v>65</v>
      </c>
      <c r="M907" t="s">
        <v>188</v>
      </c>
      <c r="N907">
        <v>14.85</v>
      </c>
      <c r="P907">
        <v>72</v>
      </c>
      <c r="Q907">
        <v>72</v>
      </c>
      <c r="R907">
        <v>268.965</v>
      </c>
      <c r="S907">
        <v>340.965</v>
      </c>
      <c r="T907">
        <v>129</v>
      </c>
      <c r="U907">
        <f>SUMIF(货件明细!J:J,E907,货件明细!AP:AP)</f>
        <v>0</v>
      </c>
      <c r="V907">
        <f>IF(U907=T907,0,1)</f>
        <v>1</v>
      </c>
      <c r="W907">
        <f>T907</f>
        <v>129</v>
      </c>
      <c r="X907">
        <f>SUMIF(货件明细!J:J,E907,货件明细!H:H)</f>
        <v>0</v>
      </c>
      <c r="Y907">
        <f>N907-X907</f>
        <v>14.85</v>
      </c>
      <c r="Z907">
        <f>SUMIF(货件明细!J:J,E907,货件明细!I:I)</f>
        <v>0</v>
      </c>
      <c r="AA907">
        <f>IF(S907=Z907,0,1)</f>
        <v>1</v>
      </c>
    </row>
    <row r="908" hidden="1" spans="1:27">
      <c r="A908">
        <v>2</v>
      </c>
      <c r="B908">
        <v>6</v>
      </c>
      <c r="C908" s="3">
        <v>46060</v>
      </c>
      <c r="D908" t="s">
        <v>27</v>
      </c>
      <c r="E908" t="s">
        <v>1019</v>
      </c>
      <c r="F908" t="s">
        <v>68</v>
      </c>
      <c r="G908" t="s">
        <v>69</v>
      </c>
      <c r="H908" t="s">
        <v>224</v>
      </c>
      <c r="I908" t="s">
        <v>92</v>
      </c>
      <c r="J908" t="s">
        <v>92</v>
      </c>
      <c r="K908" t="s">
        <v>64</v>
      </c>
      <c r="L908" t="s">
        <v>65</v>
      </c>
      <c r="M908" t="s">
        <v>93</v>
      </c>
      <c r="N908">
        <v>48.65</v>
      </c>
      <c r="P908">
        <v>247.5375</v>
      </c>
      <c r="Q908">
        <v>247.5375</v>
      </c>
      <c r="R908">
        <v>0</v>
      </c>
      <c r="S908">
        <v>247.5375</v>
      </c>
      <c r="T908">
        <v>239</v>
      </c>
      <c r="U908">
        <f>SUMIF(货件明细!J:J,E908,货件明细!AP:AP)</f>
        <v>0</v>
      </c>
      <c r="V908">
        <f>IF(U908=T908,0,1)</f>
        <v>1</v>
      </c>
      <c r="W908">
        <f>T908</f>
        <v>239</v>
      </c>
      <c r="X908">
        <f>SUMIF(货件明细!J:J,E908,货件明细!H:H)</f>
        <v>0</v>
      </c>
      <c r="Y908">
        <f>N908-X908</f>
        <v>48.65</v>
      </c>
      <c r="Z908">
        <f>SUMIF(货件明细!J:J,E908,货件明细!I:I)</f>
        <v>0</v>
      </c>
      <c r="AA908">
        <f>IF(S908=Z908,0,1)</f>
        <v>1</v>
      </c>
    </row>
    <row r="909" hidden="1" spans="1:27">
      <c r="A909">
        <v>2</v>
      </c>
      <c r="B909">
        <v>6</v>
      </c>
      <c r="C909" s="3">
        <v>46060</v>
      </c>
      <c r="D909" t="s">
        <v>27</v>
      </c>
      <c r="E909" t="s">
        <v>1020</v>
      </c>
      <c r="F909" t="s">
        <v>198</v>
      </c>
      <c r="G909" t="s">
        <v>69</v>
      </c>
      <c r="H909" t="s">
        <v>224</v>
      </c>
      <c r="I909" t="s">
        <v>92</v>
      </c>
      <c r="J909" t="s">
        <v>92</v>
      </c>
      <c r="K909" t="s">
        <v>64</v>
      </c>
      <c r="L909" t="s">
        <v>65</v>
      </c>
      <c r="M909" t="s">
        <v>93</v>
      </c>
      <c r="N909">
        <v>48.65</v>
      </c>
      <c r="P909">
        <v>247.5375</v>
      </c>
      <c r="Q909">
        <v>247.5375</v>
      </c>
      <c r="R909">
        <v>0</v>
      </c>
      <c r="S909">
        <v>247.5375</v>
      </c>
      <c r="T909">
        <v>239</v>
      </c>
      <c r="U909">
        <f>SUMIF(货件明细!J:J,E909,货件明细!AP:AP)</f>
        <v>0</v>
      </c>
      <c r="V909">
        <f>IF(U909=T909,0,1)</f>
        <v>1</v>
      </c>
      <c r="W909">
        <f>T909</f>
        <v>239</v>
      </c>
      <c r="X909">
        <f>SUMIF(货件明细!J:J,E909,货件明细!H:H)</f>
        <v>0</v>
      </c>
      <c r="Y909">
        <f>N909-X909</f>
        <v>48.65</v>
      </c>
      <c r="Z909">
        <f>SUMIF(货件明细!J:J,E909,货件明细!I:I)</f>
        <v>0</v>
      </c>
      <c r="AA909">
        <f>IF(S909=Z909,0,1)</f>
        <v>1</v>
      </c>
    </row>
    <row r="910" hidden="1" spans="1:27">
      <c r="A910">
        <v>2</v>
      </c>
      <c r="B910">
        <v>6</v>
      </c>
      <c r="C910" s="3">
        <v>46060</v>
      </c>
      <c r="D910" t="s">
        <v>27</v>
      </c>
      <c r="E910" t="s">
        <v>1021</v>
      </c>
      <c r="F910" t="s">
        <v>187</v>
      </c>
      <c r="G910" t="s">
        <v>72</v>
      </c>
      <c r="H910" t="s">
        <v>224</v>
      </c>
      <c r="I910" t="s">
        <v>92</v>
      </c>
      <c r="J910" t="s">
        <v>92</v>
      </c>
      <c r="K910" t="s">
        <v>64</v>
      </c>
      <c r="L910" t="s">
        <v>65</v>
      </c>
      <c r="M910" t="s">
        <v>93</v>
      </c>
      <c r="N910">
        <v>48.65</v>
      </c>
      <c r="P910">
        <v>170.775</v>
      </c>
      <c r="Q910">
        <v>170.775</v>
      </c>
      <c r="R910">
        <v>0</v>
      </c>
      <c r="S910">
        <v>170.775</v>
      </c>
      <c r="T910">
        <v>239</v>
      </c>
      <c r="U910">
        <f>SUMIF(货件明细!J:J,E910,货件明细!AP:AP)</f>
        <v>0</v>
      </c>
      <c r="V910">
        <f>IF(U910=T910,0,1)</f>
        <v>1</v>
      </c>
      <c r="W910">
        <f>T910</f>
        <v>239</v>
      </c>
      <c r="X910">
        <f>SUMIF(货件明细!J:J,E910,货件明细!H:H)</f>
        <v>0</v>
      </c>
      <c r="Y910">
        <f>N910-X910</f>
        <v>48.65</v>
      </c>
      <c r="Z910">
        <f>SUMIF(货件明细!J:J,E910,货件明细!I:I)</f>
        <v>0</v>
      </c>
      <c r="AA910">
        <f>IF(S910=Z910,0,1)</f>
        <v>1</v>
      </c>
    </row>
    <row r="911" hidden="1" spans="1:27">
      <c r="A911">
        <v>2</v>
      </c>
      <c r="B911">
        <v>6</v>
      </c>
      <c r="C911" s="3">
        <v>46060</v>
      </c>
      <c r="D911" t="s">
        <v>27</v>
      </c>
      <c r="E911" t="s">
        <v>1022</v>
      </c>
      <c r="F911" t="s">
        <v>143</v>
      </c>
      <c r="G911" t="s">
        <v>72</v>
      </c>
      <c r="H911" t="s">
        <v>224</v>
      </c>
      <c r="I911" t="s">
        <v>92</v>
      </c>
      <c r="J911" t="s">
        <v>92</v>
      </c>
      <c r="K911" t="s">
        <v>64</v>
      </c>
      <c r="L911" t="s">
        <v>65</v>
      </c>
      <c r="M911" t="s">
        <v>188</v>
      </c>
      <c r="N911">
        <v>48.65</v>
      </c>
      <c r="P911">
        <v>245.98</v>
      </c>
      <c r="Q911">
        <v>245.98</v>
      </c>
      <c r="R911">
        <v>0</v>
      </c>
      <c r="S911">
        <v>245.98</v>
      </c>
      <c r="T911">
        <v>239</v>
      </c>
      <c r="U911">
        <f>SUMIF(货件明细!J:J,E911,货件明细!AP:AP)</f>
        <v>0</v>
      </c>
      <c r="V911">
        <f>IF(U911=T911,0,1)</f>
        <v>1</v>
      </c>
      <c r="W911">
        <f>T911</f>
        <v>239</v>
      </c>
      <c r="X911">
        <f>SUMIF(货件明细!J:J,E911,货件明细!H:H)</f>
        <v>0</v>
      </c>
      <c r="Y911">
        <f>N911-X911</f>
        <v>48.65</v>
      </c>
      <c r="Z911">
        <f>SUMIF(货件明细!J:J,E911,货件明细!I:I)</f>
        <v>0</v>
      </c>
      <c r="AA911">
        <f>IF(S911=Z911,0,1)</f>
        <v>1</v>
      </c>
    </row>
    <row r="912" hidden="1" spans="1:27">
      <c r="A912">
        <v>2</v>
      </c>
      <c r="B912">
        <v>6</v>
      </c>
      <c r="C912" s="3">
        <v>46060</v>
      </c>
      <c r="D912" t="s">
        <v>27</v>
      </c>
      <c r="E912" t="s">
        <v>1023</v>
      </c>
      <c r="F912" t="s">
        <v>942</v>
      </c>
      <c r="G912" t="s">
        <v>30</v>
      </c>
      <c r="H912" t="s">
        <v>224</v>
      </c>
      <c r="I912" t="s">
        <v>92</v>
      </c>
      <c r="J912" t="s">
        <v>92</v>
      </c>
      <c r="K912" t="s">
        <v>64</v>
      </c>
      <c r="L912" t="s">
        <v>147</v>
      </c>
      <c r="M912" t="s">
        <v>148</v>
      </c>
      <c r="N912">
        <v>48.65</v>
      </c>
      <c r="P912">
        <v>263.5</v>
      </c>
      <c r="Q912">
        <v>263.5</v>
      </c>
      <c r="R912">
        <v>0</v>
      </c>
      <c r="S912">
        <v>263.5</v>
      </c>
      <c r="T912">
        <v>239</v>
      </c>
      <c r="U912">
        <f>SUMIF(货件明细!J:J,E912,货件明细!AP:AP)</f>
        <v>0</v>
      </c>
      <c r="V912">
        <f>IF(U912=T912,0,1)</f>
        <v>1</v>
      </c>
      <c r="W912">
        <f>T912</f>
        <v>239</v>
      </c>
      <c r="X912">
        <f>SUMIF(货件明细!J:J,E912,货件明细!H:H)</f>
        <v>0</v>
      </c>
      <c r="Y912">
        <f>N912-X912</f>
        <v>48.65</v>
      </c>
      <c r="Z912">
        <f>SUMIF(货件明细!J:J,E912,货件明细!I:I)</f>
        <v>0</v>
      </c>
      <c r="AA912">
        <f>IF(S912=Z912,0,1)</f>
        <v>1</v>
      </c>
    </row>
    <row r="913" hidden="1" spans="1:27">
      <c r="A913">
        <v>2</v>
      </c>
      <c r="B913">
        <v>6</v>
      </c>
      <c r="C913" s="3">
        <v>46060</v>
      </c>
      <c r="D913" t="s">
        <v>27</v>
      </c>
      <c r="E913" t="s">
        <v>1024</v>
      </c>
      <c r="F913" t="s">
        <v>68</v>
      </c>
      <c r="G913" t="s">
        <v>69</v>
      </c>
      <c r="H913" t="s">
        <v>31</v>
      </c>
      <c r="I913" t="s">
        <v>92</v>
      </c>
      <c r="J913" t="s">
        <v>92</v>
      </c>
      <c r="K913" t="s">
        <v>64</v>
      </c>
      <c r="L913" t="s">
        <v>65</v>
      </c>
      <c r="M913" t="s">
        <v>93</v>
      </c>
      <c r="N913">
        <v>9.4</v>
      </c>
      <c r="P913">
        <v>82.5125</v>
      </c>
      <c r="Q913">
        <v>82.5125</v>
      </c>
      <c r="R913">
        <v>0</v>
      </c>
      <c r="S913">
        <v>82.5125</v>
      </c>
      <c r="T913">
        <v>67</v>
      </c>
      <c r="U913">
        <f>SUMIF(货件明细!J:J,E913,货件明细!AP:AP)</f>
        <v>0</v>
      </c>
      <c r="V913">
        <f>IF(U913=T913,0,1)</f>
        <v>1</v>
      </c>
      <c r="W913">
        <f>T913</f>
        <v>67</v>
      </c>
      <c r="X913">
        <f>SUMIF(货件明细!J:J,E913,货件明细!H:H)</f>
        <v>0</v>
      </c>
      <c r="Y913">
        <f>N913-X913</f>
        <v>9.4</v>
      </c>
      <c r="Z913">
        <f>SUMIF(货件明细!J:J,E913,货件明细!I:I)</f>
        <v>0</v>
      </c>
      <c r="AA913">
        <f>IF(S913=Z913,0,1)</f>
        <v>1</v>
      </c>
    </row>
    <row r="914" hidden="1" spans="1:27">
      <c r="A914">
        <v>2</v>
      </c>
      <c r="B914">
        <v>6</v>
      </c>
      <c r="C914" s="3">
        <v>46060</v>
      </c>
      <c r="D914" t="s">
        <v>27</v>
      </c>
      <c r="E914" t="s">
        <v>1025</v>
      </c>
      <c r="F914" t="s">
        <v>198</v>
      </c>
      <c r="G914" t="s">
        <v>69</v>
      </c>
      <c r="H914" t="s">
        <v>31</v>
      </c>
      <c r="I914" t="s">
        <v>92</v>
      </c>
      <c r="J914" t="s">
        <v>92</v>
      </c>
      <c r="K914" t="s">
        <v>64</v>
      </c>
      <c r="L914" t="s">
        <v>65</v>
      </c>
      <c r="M914" t="s">
        <v>93</v>
      </c>
      <c r="N914">
        <v>9.4</v>
      </c>
      <c r="P914">
        <v>82.5125</v>
      </c>
      <c r="Q914">
        <v>82.5125</v>
      </c>
      <c r="R914">
        <v>0</v>
      </c>
      <c r="S914">
        <v>82.5125</v>
      </c>
      <c r="T914">
        <v>67</v>
      </c>
      <c r="U914">
        <f>SUMIF(货件明细!J:J,E914,货件明细!AP:AP)</f>
        <v>0</v>
      </c>
      <c r="V914">
        <f>IF(U914=T914,0,1)</f>
        <v>1</v>
      </c>
      <c r="W914">
        <f>T914</f>
        <v>67</v>
      </c>
      <c r="X914">
        <f>SUMIF(货件明细!J:J,E914,货件明细!H:H)</f>
        <v>0</v>
      </c>
      <c r="Y914">
        <f>N914-X914</f>
        <v>9.4</v>
      </c>
      <c r="Z914">
        <f>SUMIF(货件明细!J:J,E914,货件明细!I:I)</f>
        <v>0</v>
      </c>
      <c r="AA914">
        <f>IF(S914=Z914,0,1)</f>
        <v>1</v>
      </c>
    </row>
    <row r="915" hidden="1" spans="1:27">
      <c r="A915">
        <v>2</v>
      </c>
      <c r="B915">
        <v>6</v>
      </c>
      <c r="C915" s="3">
        <v>46060</v>
      </c>
      <c r="D915" t="s">
        <v>27</v>
      </c>
      <c r="E915" t="s">
        <v>1026</v>
      </c>
      <c r="F915" t="s">
        <v>187</v>
      </c>
      <c r="G915" t="s">
        <v>72</v>
      </c>
      <c r="H915" t="s">
        <v>31</v>
      </c>
      <c r="I915" t="s">
        <v>92</v>
      </c>
      <c r="J915" t="s">
        <v>92</v>
      </c>
      <c r="K915" t="s">
        <v>64</v>
      </c>
      <c r="L915" t="s">
        <v>65</v>
      </c>
      <c r="M915" t="s">
        <v>93</v>
      </c>
      <c r="N915">
        <v>9.4</v>
      </c>
      <c r="P915">
        <v>56.925</v>
      </c>
      <c r="Q915">
        <v>56.925</v>
      </c>
      <c r="R915">
        <v>0</v>
      </c>
      <c r="S915">
        <v>56.925</v>
      </c>
      <c r="T915">
        <v>67</v>
      </c>
      <c r="U915">
        <f>SUMIF(货件明细!J:J,E915,货件明细!AP:AP)</f>
        <v>0</v>
      </c>
      <c r="V915">
        <f>IF(U915=T915,0,1)</f>
        <v>1</v>
      </c>
      <c r="W915">
        <f>T915</f>
        <v>67</v>
      </c>
      <c r="X915">
        <f>SUMIF(货件明细!J:J,E915,货件明细!H:H)</f>
        <v>0</v>
      </c>
      <c r="Y915">
        <f>N915-X915</f>
        <v>9.4</v>
      </c>
      <c r="Z915">
        <f>SUMIF(货件明细!J:J,E915,货件明细!I:I)</f>
        <v>0</v>
      </c>
      <c r="AA915">
        <f>IF(S915=Z915,0,1)</f>
        <v>1</v>
      </c>
    </row>
    <row r="916" hidden="1" spans="1:27">
      <c r="A916">
        <v>2</v>
      </c>
      <c r="B916">
        <v>6</v>
      </c>
      <c r="C916" s="3">
        <v>46060</v>
      </c>
      <c r="D916" t="s">
        <v>27</v>
      </c>
      <c r="E916" t="s">
        <v>1027</v>
      </c>
      <c r="F916" t="s">
        <v>143</v>
      </c>
      <c r="G916" t="s">
        <v>72</v>
      </c>
      <c r="H916" t="s">
        <v>31</v>
      </c>
      <c r="I916" t="s">
        <v>92</v>
      </c>
      <c r="J916" t="s">
        <v>92</v>
      </c>
      <c r="K916" t="s">
        <v>64</v>
      </c>
      <c r="L916" t="s">
        <v>65</v>
      </c>
      <c r="M916" t="s">
        <v>188</v>
      </c>
      <c r="N916">
        <v>9.4</v>
      </c>
      <c r="P916">
        <v>40.16</v>
      </c>
      <c r="Q916">
        <v>40.16</v>
      </c>
      <c r="R916">
        <v>0</v>
      </c>
      <c r="S916">
        <v>40.16</v>
      </c>
      <c r="T916">
        <v>67</v>
      </c>
      <c r="U916">
        <f>SUMIF(货件明细!J:J,E916,货件明细!AP:AP)</f>
        <v>0</v>
      </c>
      <c r="V916">
        <f>IF(U916=T916,0,1)</f>
        <v>1</v>
      </c>
      <c r="W916">
        <f>T916</f>
        <v>67</v>
      </c>
      <c r="X916">
        <f>SUMIF(货件明细!J:J,E916,货件明细!H:H)</f>
        <v>0</v>
      </c>
      <c r="Y916">
        <f>N916-X916</f>
        <v>9.4</v>
      </c>
      <c r="Z916">
        <f>SUMIF(货件明细!J:J,E916,货件明细!I:I)</f>
        <v>0</v>
      </c>
      <c r="AA916">
        <f>IF(S916=Z916,0,1)</f>
        <v>1</v>
      </c>
    </row>
    <row r="917" hidden="1" spans="1:27">
      <c r="A917">
        <v>2</v>
      </c>
      <c r="B917">
        <v>6</v>
      </c>
      <c r="C917" s="3">
        <v>46060</v>
      </c>
      <c r="D917" t="s">
        <v>27</v>
      </c>
      <c r="E917" t="s">
        <v>1028</v>
      </c>
      <c r="F917" t="s">
        <v>942</v>
      </c>
      <c r="G917" t="s">
        <v>30</v>
      </c>
      <c r="H917" t="s">
        <v>31</v>
      </c>
      <c r="I917" t="s">
        <v>92</v>
      </c>
      <c r="J917" t="s">
        <v>92</v>
      </c>
      <c r="K917" t="s">
        <v>64</v>
      </c>
      <c r="L917" t="s">
        <v>147</v>
      </c>
      <c r="M917" t="s">
        <v>148</v>
      </c>
      <c r="N917">
        <v>9.4</v>
      </c>
      <c r="P917">
        <v>93</v>
      </c>
      <c r="Q917">
        <v>93</v>
      </c>
      <c r="R917">
        <v>0</v>
      </c>
      <c r="S917">
        <v>93</v>
      </c>
      <c r="T917">
        <v>67</v>
      </c>
      <c r="U917">
        <f>SUMIF(货件明细!J:J,E917,货件明细!AP:AP)</f>
        <v>0</v>
      </c>
      <c r="V917">
        <f>IF(U917=T917,0,1)</f>
        <v>1</v>
      </c>
      <c r="W917">
        <f>T917</f>
        <v>67</v>
      </c>
      <c r="X917">
        <f>SUMIF(货件明细!J:J,E917,货件明细!H:H)</f>
        <v>0</v>
      </c>
      <c r="Y917">
        <f>N917-X917</f>
        <v>9.4</v>
      </c>
      <c r="Z917">
        <f>SUMIF(货件明细!J:J,E917,货件明细!I:I)</f>
        <v>0</v>
      </c>
      <c r="AA917">
        <f>IF(S917=Z917,0,1)</f>
        <v>1</v>
      </c>
    </row>
    <row r="918" hidden="1" spans="1:27">
      <c r="A918">
        <v>2</v>
      </c>
      <c r="B918">
        <v>6</v>
      </c>
      <c r="C918" s="3">
        <v>46060</v>
      </c>
      <c r="D918" t="s">
        <v>88</v>
      </c>
      <c r="E918" t="s">
        <v>1029</v>
      </c>
      <c r="F918" t="s">
        <v>211</v>
      </c>
      <c r="G918" t="s">
        <v>72</v>
      </c>
      <c r="H918" t="s">
        <v>78</v>
      </c>
      <c r="I918" t="s">
        <v>63</v>
      </c>
      <c r="J918" t="s">
        <v>63</v>
      </c>
      <c r="K918" t="s">
        <v>64</v>
      </c>
      <c r="L918" t="s">
        <v>65</v>
      </c>
      <c r="M918" t="s">
        <v>455</v>
      </c>
      <c r="N918">
        <v>100.75</v>
      </c>
      <c r="O918">
        <v>57.5</v>
      </c>
      <c r="P918">
        <v>357.75</v>
      </c>
      <c r="Q918">
        <v>415.25</v>
      </c>
      <c r="R918">
        <v>0</v>
      </c>
      <c r="S918">
        <v>415.25</v>
      </c>
      <c r="T918">
        <v>595</v>
      </c>
      <c r="U918">
        <f>SUMIF(货件明细!J:J,E918,货件明细!AP:AP)</f>
        <v>0</v>
      </c>
      <c r="V918">
        <f>IF(U918=T918,0,1)</f>
        <v>1</v>
      </c>
      <c r="W918">
        <f>T918</f>
        <v>595</v>
      </c>
      <c r="X918">
        <f>SUMIF(货件明细!J:J,E918,货件明细!H:H)</f>
        <v>0</v>
      </c>
      <c r="Y918">
        <f>N918-X918</f>
        <v>100.75</v>
      </c>
      <c r="Z918">
        <f>SUMIF(货件明细!J:J,E918,货件明细!I:I)</f>
        <v>0</v>
      </c>
      <c r="AA918">
        <f>IF(S918=Z918,0,1)</f>
        <v>1</v>
      </c>
    </row>
    <row r="919" hidden="1" spans="1:27">
      <c r="A919">
        <v>2</v>
      </c>
      <c r="B919">
        <v>6</v>
      </c>
      <c r="C919" s="3">
        <v>46060</v>
      </c>
      <c r="D919" t="s">
        <v>88</v>
      </c>
      <c r="E919" t="s">
        <v>1030</v>
      </c>
      <c r="F919" t="s">
        <v>211</v>
      </c>
      <c r="G919" t="s">
        <v>72</v>
      </c>
      <c r="H919" t="s">
        <v>59</v>
      </c>
      <c r="I919" t="s">
        <v>63</v>
      </c>
      <c r="J919" t="s">
        <v>63</v>
      </c>
      <c r="K919" t="s">
        <v>64</v>
      </c>
      <c r="L919" t="s">
        <v>65</v>
      </c>
      <c r="M919" t="s">
        <v>455</v>
      </c>
      <c r="N919">
        <v>57.85</v>
      </c>
      <c r="O919">
        <v>57.5</v>
      </c>
      <c r="P919">
        <v>198.75</v>
      </c>
      <c r="Q919">
        <v>256.25</v>
      </c>
      <c r="R919">
        <v>0</v>
      </c>
      <c r="S919">
        <v>256.25</v>
      </c>
      <c r="T919">
        <v>330</v>
      </c>
      <c r="U919">
        <f>SUMIF(货件明细!J:J,E919,货件明细!AP:AP)</f>
        <v>0</v>
      </c>
      <c r="V919">
        <f>IF(U919=T919,0,1)</f>
        <v>1</v>
      </c>
      <c r="W919">
        <f>T919</f>
        <v>330</v>
      </c>
      <c r="X919">
        <f>SUMIF(货件明细!J:J,E919,货件明细!H:H)</f>
        <v>0</v>
      </c>
      <c r="Y919">
        <f>N919-X919</f>
        <v>57.85</v>
      </c>
      <c r="Z919">
        <f>SUMIF(货件明细!J:J,E919,货件明细!I:I)</f>
        <v>0</v>
      </c>
      <c r="AA919">
        <f>IF(S919=Z919,0,1)</f>
        <v>1</v>
      </c>
    </row>
    <row r="920" hidden="1" spans="1:27">
      <c r="A920">
        <v>2</v>
      </c>
      <c r="B920">
        <v>6</v>
      </c>
      <c r="C920" s="3">
        <v>46060</v>
      </c>
      <c r="D920" t="s">
        <v>88</v>
      </c>
      <c r="E920" t="s">
        <v>1031</v>
      </c>
      <c r="F920" t="s">
        <v>211</v>
      </c>
      <c r="G920" t="s">
        <v>72</v>
      </c>
      <c r="H920" t="s">
        <v>37</v>
      </c>
      <c r="I920" t="s">
        <v>63</v>
      </c>
      <c r="J920" t="s">
        <v>63</v>
      </c>
      <c r="K920" t="s">
        <v>64</v>
      </c>
      <c r="L920" t="s">
        <v>65</v>
      </c>
      <c r="M920" t="s">
        <v>455</v>
      </c>
      <c r="N920">
        <v>145.45</v>
      </c>
      <c r="O920">
        <v>57.5</v>
      </c>
      <c r="P920">
        <v>397.5</v>
      </c>
      <c r="Q920">
        <v>455</v>
      </c>
      <c r="R920">
        <v>0</v>
      </c>
      <c r="S920">
        <v>455</v>
      </c>
      <c r="T920">
        <v>805</v>
      </c>
      <c r="U920">
        <f>SUMIF(货件明细!J:J,E920,货件明细!AP:AP)</f>
        <v>0</v>
      </c>
      <c r="V920">
        <f>IF(U920=T920,0,1)</f>
        <v>1</v>
      </c>
      <c r="W920">
        <f>T920</f>
        <v>805</v>
      </c>
      <c r="X920">
        <f>SUMIF(货件明细!J:J,E920,货件明细!H:H)</f>
        <v>0</v>
      </c>
      <c r="Y920">
        <f>N920-X920</f>
        <v>145.45</v>
      </c>
      <c r="Z920">
        <f>SUMIF(货件明细!J:J,E920,货件明细!I:I)</f>
        <v>0</v>
      </c>
      <c r="AA920">
        <f>IF(S920=Z920,0,1)</f>
        <v>1</v>
      </c>
    </row>
    <row r="921" hidden="1" spans="1:27">
      <c r="A921">
        <v>2</v>
      </c>
      <c r="B921">
        <v>6</v>
      </c>
      <c r="C921" s="3">
        <v>46060</v>
      </c>
      <c r="D921" t="s">
        <v>88</v>
      </c>
      <c r="E921" t="s">
        <v>1032</v>
      </c>
      <c r="F921" t="s">
        <v>211</v>
      </c>
      <c r="G921" t="s">
        <v>72</v>
      </c>
      <c r="H921" t="s">
        <v>37</v>
      </c>
      <c r="I921" t="s">
        <v>63</v>
      </c>
      <c r="J921" t="s">
        <v>63</v>
      </c>
      <c r="K921" t="s">
        <v>64</v>
      </c>
      <c r="L921" t="s">
        <v>65</v>
      </c>
      <c r="M921" t="s">
        <v>455</v>
      </c>
      <c r="N921">
        <v>9.4</v>
      </c>
      <c r="O921">
        <v>57.5</v>
      </c>
      <c r="P921">
        <v>39.75</v>
      </c>
      <c r="Q921">
        <v>97.25</v>
      </c>
      <c r="R921">
        <v>0</v>
      </c>
      <c r="S921">
        <v>97.25</v>
      </c>
      <c r="T921">
        <v>55</v>
      </c>
      <c r="U921">
        <f>SUMIF(货件明细!J:J,E921,货件明细!AP:AP)</f>
        <v>0</v>
      </c>
      <c r="V921">
        <f>IF(U921=T921,0,1)</f>
        <v>1</v>
      </c>
      <c r="W921">
        <f>T921</f>
        <v>55</v>
      </c>
      <c r="X921">
        <f>SUMIF(货件明细!J:J,E921,货件明细!H:H)</f>
        <v>0</v>
      </c>
      <c r="Y921">
        <f>N921-X921</f>
        <v>9.4</v>
      </c>
      <c r="Z921">
        <f>SUMIF(货件明细!J:J,E921,货件明细!I:I)</f>
        <v>0</v>
      </c>
      <c r="AA921">
        <f>IF(S921=Z921,0,1)</f>
        <v>1</v>
      </c>
    </row>
    <row r="922" hidden="1" spans="1:27">
      <c r="A922">
        <v>2</v>
      </c>
      <c r="B922">
        <v>6</v>
      </c>
      <c r="C922" s="3">
        <v>46060</v>
      </c>
      <c r="D922" t="s">
        <v>27</v>
      </c>
      <c r="E922" t="s">
        <v>1033</v>
      </c>
      <c r="F922" t="s">
        <v>195</v>
      </c>
      <c r="G922" t="s">
        <v>30</v>
      </c>
      <c r="H922" t="s">
        <v>54</v>
      </c>
      <c r="I922" t="s">
        <v>92</v>
      </c>
      <c r="J922" t="s">
        <v>92</v>
      </c>
      <c r="K922" t="s">
        <v>64</v>
      </c>
      <c r="L922" t="s">
        <v>65</v>
      </c>
      <c r="M922" t="s">
        <v>93</v>
      </c>
      <c r="N922">
        <v>25.75</v>
      </c>
      <c r="O922">
        <v>21.5384615384615</v>
      </c>
      <c r="P922">
        <v>195.416666666667</v>
      </c>
      <c r="Q922">
        <v>216.955128205128</v>
      </c>
      <c r="R922">
        <v>0</v>
      </c>
      <c r="S922">
        <v>216.955128205128</v>
      </c>
      <c r="T922">
        <v>174</v>
      </c>
      <c r="U922">
        <f>SUMIF(货件明细!J:J,E922,货件明细!AP:AP)</f>
        <v>0</v>
      </c>
      <c r="V922">
        <f>IF(U922=T922,0,1)</f>
        <v>1</v>
      </c>
      <c r="W922">
        <f>T922</f>
        <v>174</v>
      </c>
      <c r="X922">
        <f>SUMIF(货件明细!J:J,E922,货件明细!H:H)</f>
        <v>0</v>
      </c>
      <c r="Y922">
        <f>N922-X922</f>
        <v>25.75</v>
      </c>
      <c r="Z922">
        <f>SUMIF(货件明细!J:J,E922,货件明细!I:I)</f>
        <v>0</v>
      </c>
      <c r="AA922">
        <f>IF(S922=Z922,0,1)</f>
        <v>1</v>
      </c>
    </row>
    <row r="923" hidden="1" spans="1:27">
      <c r="A923">
        <v>2</v>
      </c>
      <c r="B923">
        <v>6</v>
      </c>
      <c r="C923" s="3">
        <v>46060</v>
      </c>
      <c r="D923" t="s">
        <v>27</v>
      </c>
      <c r="E923" t="s">
        <v>1034</v>
      </c>
      <c r="F923" t="s">
        <v>243</v>
      </c>
      <c r="G923" t="s">
        <v>72</v>
      </c>
      <c r="H923" t="s">
        <v>54</v>
      </c>
      <c r="I923" t="s">
        <v>92</v>
      </c>
      <c r="J923" t="s">
        <v>92</v>
      </c>
      <c r="K923" t="s">
        <v>64</v>
      </c>
      <c r="L923" t="s">
        <v>65</v>
      </c>
      <c r="M923" t="s">
        <v>93</v>
      </c>
      <c r="N923">
        <v>25.75</v>
      </c>
      <c r="O923">
        <v>12.1052631578947</v>
      </c>
      <c r="P923">
        <v>125.928571428571</v>
      </c>
      <c r="Q923">
        <v>138.033834586466</v>
      </c>
      <c r="R923">
        <v>0</v>
      </c>
      <c r="S923">
        <v>138.033834586466</v>
      </c>
      <c r="T923">
        <v>174</v>
      </c>
      <c r="U923">
        <f>SUMIF(货件明细!J:J,E923,货件明细!AP:AP)</f>
        <v>0</v>
      </c>
      <c r="V923">
        <f>IF(U923=T923,0,1)</f>
        <v>1</v>
      </c>
      <c r="W923">
        <f>T923</f>
        <v>174</v>
      </c>
      <c r="X923">
        <f>SUMIF(货件明细!J:J,E923,货件明细!H:H)</f>
        <v>0</v>
      </c>
      <c r="Y923">
        <f>N923-X923</f>
        <v>25.75</v>
      </c>
      <c r="Z923">
        <f>SUMIF(货件明细!J:J,E923,货件明细!I:I)</f>
        <v>0</v>
      </c>
      <c r="AA923">
        <f>IF(S923=Z923,0,1)</f>
        <v>1</v>
      </c>
    </row>
    <row r="924" hidden="1" spans="1:27">
      <c r="A924">
        <v>2</v>
      </c>
      <c r="B924">
        <v>6</v>
      </c>
      <c r="C924" s="3">
        <v>46060</v>
      </c>
      <c r="D924" t="s">
        <v>27</v>
      </c>
      <c r="E924" t="s">
        <v>1035</v>
      </c>
      <c r="F924" t="s">
        <v>339</v>
      </c>
      <c r="G924" t="s">
        <v>72</v>
      </c>
      <c r="H924" t="s">
        <v>54</v>
      </c>
      <c r="I924" t="s">
        <v>92</v>
      </c>
      <c r="J924" t="s">
        <v>92</v>
      </c>
      <c r="K924" t="s">
        <v>64</v>
      </c>
      <c r="L924" t="s">
        <v>65</v>
      </c>
      <c r="M924" t="s">
        <v>93</v>
      </c>
      <c r="N924">
        <v>25.75</v>
      </c>
      <c r="O924">
        <v>12.1052631578947</v>
      </c>
      <c r="P924">
        <v>118.8</v>
      </c>
      <c r="Q924">
        <v>130.905263157895</v>
      </c>
      <c r="R924">
        <v>0</v>
      </c>
      <c r="S924">
        <v>130.905263157895</v>
      </c>
      <c r="T924">
        <v>174</v>
      </c>
      <c r="U924">
        <f>SUMIF(货件明细!J:J,E924,货件明细!AP:AP)</f>
        <v>0</v>
      </c>
      <c r="V924">
        <f>IF(U924=T924,0,1)</f>
        <v>1</v>
      </c>
      <c r="W924">
        <f>T924</f>
        <v>174</v>
      </c>
      <c r="X924">
        <f>SUMIF(货件明细!J:J,E924,货件明细!H:H)</f>
        <v>0</v>
      </c>
      <c r="Y924">
        <f>N924-X924</f>
        <v>25.75</v>
      </c>
      <c r="Z924">
        <f>SUMIF(货件明细!J:J,E924,货件明细!I:I)</f>
        <v>0</v>
      </c>
      <c r="AA924">
        <f>IF(S924=Z924,0,1)</f>
        <v>1</v>
      </c>
    </row>
    <row r="925" hidden="1" spans="1:27">
      <c r="A925">
        <v>2</v>
      </c>
      <c r="B925">
        <v>6</v>
      </c>
      <c r="C925" s="3">
        <v>46060</v>
      </c>
      <c r="D925" t="s">
        <v>27</v>
      </c>
      <c r="E925" t="s">
        <v>1036</v>
      </c>
      <c r="F925" t="s">
        <v>200</v>
      </c>
      <c r="G925" t="s">
        <v>30</v>
      </c>
      <c r="H925" t="s">
        <v>54</v>
      </c>
      <c r="I925" t="s">
        <v>92</v>
      </c>
      <c r="J925" t="s">
        <v>92</v>
      </c>
      <c r="K925" t="s">
        <v>64</v>
      </c>
      <c r="L925" t="s">
        <v>65</v>
      </c>
      <c r="M925" t="s">
        <v>93</v>
      </c>
      <c r="N925">
        <v>25.75</v>
      </c>
      <c r="O925">
        <v>21.5384615384615</v>
      </c>
      <c r="P925">
        <v>197.75</v>
      </c>
      <c r="Q925">
        <v>219.288461538462</v>
      </c>
      <c r="R925">
        <v>0</v>
      </c>
      <c r="S925">
        <v>219.288461538462</v>
      </c>
      <c r="T925">
        <v>174</v>
      </c>
      <c r="U925">
        <f>SUMIF(货件明细!J:J,E925,货件明细!AP:AP)</f>
        <v>0</v>
      </c>
      <c r="V925">
        <f>IF(U925=T925,0,1)</f>
        <v>1</v>
      </c>
      <c r="W925">
        <f>T925</f>
        <v>174</v>
      </c>
      <c r="X925">
        <f>SUMIF(货件明细!J:J,E925,货件明细!H:H)</f>
        <v>0</v>
      </c>
      <c r="Y925">
        <f>N925-X925</f>
        <v>25.75</v>
      </c>
      <c r="Z925">
        <f>SUMIF(货件明细!J:J,E925,货件明细!I:I)</f>
        <v>0</v>
      </c>
      <c r="AA925">
        <f>IF(S925=Z925,0,1)</f>
        <v>1</v>
      </c>
    </row>
    <row r="926" hidden="1" spans="1:27">
      <c r="A926">
        <v>2</v>
      </c>
      <c r="B926">
        <v>6</v>
      </c>
      <c r="C926" s="3">
        <v>46060</v>
      </c>
      <c r="D926" t="s">
        <v>27</v>
      </c>
      <c r="E926" t="s">
        <v>1037</v>
      </c>
      <c r="F926" t="s">
        <v>239</v>
      </c>
      <c r="G926" t="s">
        <v>72</v>
      </c>
      <c r="H926" t="s">
        <v>54</v>
      </c>
      <c r="I926" t="s">
        <v>92</v>
      </c>
      <c r="J926" t="s">
        <v>92</v>
      </c>
      <c r="K926" t="s">
        <v>64</v>
      </c>
      <c r="L926" t="s">
        <v>65</v>
      </c>
      <c r="M926" t="s">
        <v>93</v>
      </c>
      <c r="N926">
        <v>25.75</v>
      </c>
      <c r="O926">
        <v>12.1052631578947</v>
      </c>
      <c r="P926">
        <v>129</v>
      </c>
      <c r="Q926">
        <v>141.105263157895</v>
      </c>
      <c r="R926">
        <v>0</v>
      </c>
      <c r="S926">
        <v>141.105263157895</v>
      </c>
      <c r="T926">
        <v>174</v>
      </c>
      <c r="U926">
        <f>SUMIF(货件明细!J:J,E926,货件明细!AP:AP)</f>
        <v>0</v>
      </c>
      <c r="V926">
        <f>IF(U926=T926,0,1)</f>
        <v>1</v>
      </c>
      <c r="W926">
        <f>T926</f>
        <v>174</v>
      </c>
      <c r="X926">
        <f>SUMIF(货件明细!J:J,E926,货件明细!H:H)</f>
        <v>0</v>
      </c>
      <c r="Y926">
        <f>N926-X926</f>
        <v>25.75</v>
      </c>
      <c r="Z926">
        <f>SUMIF(货件明细!J:J,E926,货件明细!I:I)</f>
        <v>0</v>
      </c>
      <c r="AA926">
        <f>IF(S926=Z926,0,1)</f>
        <v>1</v>
      </c>
    </row>
    <row r="927" hidden="1" spans="1:27">
      <c r="A927">
        <v>2</v>
      </c>
      <c r="B927">
        <v>6</v>
      </c>
      <c r="C927" s="3">
        <v>46060</v>
      </c>
      <c r="D927" t="s">
        <v>27</v>
      </c>
      <c r="E927" t="s">
        <v>1038</v>
      </c>
      <c r="F927" t="s">
        <v>195</v>
      </c>
      <c r="G927" t="s">
        <v>30</v>
      </c>
      <c r="H927" t="s">
        <v>59</v>
      </c>
      <c r="I927" t="s">
        <v>92</v>
      </c>
      <c r="J927" t="s">
        <v>92</v>
      </c>
      <c r="K927" t="s">
        <v>64</v>
      </c>
      <c r="L927" t="s">
        <v>65</v>
      </c>
      <c r="M927" t="s">
        <v>93</v>
      </c>
      <c r="N927">
        <v>14</v>
      </c>
      <c r="O927">
        <v>21.5384615384615</v>
      </c>
      <c r="P927">
        <v>97.7083333333333</v>
      </c>
      <c r="Q927">
        <v>119.246794871795</v>
      </c>
      <c r="R927">
        <v>0</v>
      </c>
      <c r="S927">
        <v>119.246794871795</v>
      </c>
      <c r="T927">
        <v>52</v>
      </c>
      <c r="U927">
        <f>SUMIF(货件明细!J:J,E927,货件明细!AP:AP)</f>
        <v>0</v>
      </c>
      <c r="V927">
        <f>IF(U927=T927,0,1)</f>
        <v>1</v>
      </c>
      <c r="W927">
        <f>T927</f>
        <v>52</v>
      </c>
      <c r="X927">
        <f>SUMIF(货件明细!J:J,E927,货件明细!H:H)</f>
        <v>0</v>
      </c>
      <c r="Y927">
        <f>N927-X927</f>
        <v>14</v>
      </c>
      <c r="Z927">
        <f>SUMIF(货件明细!J:J,E927,货件明细!I:I)</f>
        <v>0</v>
      </c>
      <c r="AA927">
        <f>IF(S927=Z927,0,1)</f>
        <v>1</v>
      </c>
    </row>
    <row r="928" hidden="1" spans="1:27">
      <c r="A928">
        <v>2</v>
      </c>
      <c r="B928">
        <v>6</v>
      </c>
      <c r="C928" s="3">
        <v>46060</v>
      </c>
      <c r="D928" t="s">
        <v>27</v>
      </c>
      <c r="E928" t="s">
        <v>1039</v>
      </c>
      <c r="F928" t="s">
        <v>243</v>
      </c>
      <c r="G928" t="s">
        <v>72</v>
      </c>
      <c r="H928" t="s">
        <v>59</v>
      </c>
      <c r="I928" t="s">
        <v>92</v>
      </c>
      <c r="J928" t="s">
        <v>92</v>
      </c>
      <c r="K928" t="s">
        <v>64</v>
      </c>
      <c r="L928" t="s">
        <v>65</v>
      </c>
      <c r="M928" t="s">
        <v>93</v>
      </c>
      <c r="N928">
        <v>14</v>
      </c>
      <c r="O928">
        <v>12.1052631578947</v>
      </c>
      <c r="P928">
        <v>62.9642857142857</v>
      </c>
      <c r="Q928">
        <v>75.0695488721804</v>
      </c>
      <c r="R928">
        <v>0</v>
      </c>
      <c r="S928">
        <v>75.0695488721804</v>
      </c>
      <c r="T928">
        <v>52</v>
      </c>
      <c r="U928">
        <f>SUMIF(货件明细!J:J,E928,货件明细!AP:AP)</f>
        <v>0</v>
      </c>
      <c r="V928">
        <f>IF(U928=T928,0,1)</f>
        <v>1</v>
      </c>
      <c r="W928">
        <f>T928</f>
        <v>52</v>
      </c>
      <c r="X928">
        <f>SUMIF(货件明细!J:J,E928,货件明细!H:H)</f>
        <v>0</v>
      </c>
      <c r="Y928">
        <f>N928-X928</f>
        <v>14</v>
      </c>
      <c r="Z928">
        <f>SUMIF(货件明细!J:J,E928,货件明细!I:I)</f>
        <v>0</v>
      </c>
      <c r="AA928">
        <f>IF(S928=Z928,0,1)</f>
        <v>1</v>
      </c>
    </row>
    <row r="929" hidden="1" spans="1:27">
      <c r="A929">
        <v>2</v>
      </c>
      <c r="B929">
        <v>6</v>
      </c>
      <c r="C929" s="3">
        <v>46060</v>
      </c>
      <c r="D929" t="s">
        <v>27</v>
      </c>
      <c r="E929" t="s">
        <v>1040</v>
      </c>
      <c r="F929" t="s">
        <v>200</v>
      </c>
      <c r="G929" t="s">
        <v>30</v>
      </c>
      <c r="H929" t="s">
        <v>59</v>
      </c>
      <c r="I929" t="s">
        <v>92</v>
      </c>
      <c r="J929" t="s">
        <v>92</v>
      </c>
      <c r="K929" t="s">
        <v>64</v>
      </c>
      <c r="L929" t="s">
        <v>65</v>
      </c>
      <c r="M929" t="s">
        <v>93</v>
      </c>
      <c r="N929">
        <v>14</v>
      </c>
      <c r="O929">
        <v>21.5384615384615</v>
      </c>
      <c r="P929">
        <v>98.875</v>
      </c>
      <c r="Q929">
        <v>120.413461538462</v>
      </c>
      <c r="R929">
        <v>0</v>
      </c>
      <c r="S929">
        <v>120.413461538462</v>
      </c>
      <c r="T929">
        <v>52</v>
      </c>
      <c r="U929">
        <f>SUMIF(货件明细!J:J,E929,货件明细!AP:AP)</f>
        <v>0</v>
      </c>
      <c r="V929">
        <f>IF(U929=T929,0,1)</f>
        <v>1</v>
      </c>
      <c r="W929">
        <f>T929</f>
        <v>52</v>
      </c>
      <c r="X929">
        <f>SUMIF(货件明细!J:J,E929,货件明细!H:H)</f>
        <v>0</v>
      </c>
      <c r="Y929">
        <f>N929-X929</f>
        <v>14</v>
      </c>
      <c r="Z929">
        <f>SUMIF(货件明细!J:J,E929,货件明细!I:I)</f>
        <v>0</v>
      </c>
      <c r="AA929">
        <f>IF(S929=Z929,0,1)</f>
        <v>1</v>
      </c>
    </row>
    <row r="930" hidden="1" spans="1:27">
      <c r="A930">
        <v>2</v>
      </c>
      <c r="B930">
        <v>6</v>
      </c>
      <c r="C930" s="3">
        <v>46060</v>
      </c>
      <c r="D930" t="s">
        <v>27</v>
      </c>
      <c r="E930" t="s">
        <v>1041</v>
      </c>
      <c r="F930" t="s">
        <v>76</v>
      </c>
      <c r="G930" t="s">
        <v>72</v>
      </c>
      <c r="H930" t="s">
        <v>59</v>
      </c>
      <c r="I930" t="s">
        <v>92</v>
      </c>
      <c r="J930" t="s">
        <v>92</v>
      </c>
      <c r="K930" t="s">
        <v>64</v>
      </c>
      <c r="L930" t="s">
        <v>65</v>
      </c>
      <c r="M930" t="s">
        <v>93</v>
      </c>
      <c r="N930">
        <v>14</v>
      </c>
      <c r="O930">
        <v>12.1052631578947</v>
      </c>
      <c r="P930">
        <v>49.5</v>
      </c>
      <c r="Q930">
        <v>61.6052631578947</v>
      </c>
      <c r="R930">
        <v>0</v>
      </c>
      <c r="S930">
        <v>61.6052631578947</v>
      </c>
      <c r="T930">
        <v>52</v>
      </c>
      <c r="U930">
        <f>SUMIF(货件明细!J:J,E930,货件明细!AP:AP)</f>
        <v>0</v>
      </c>
      <c r="V930">
        <f>IF(U930=T930,0,1)</f>
        <v>1</v>
      </c>
      <c r="W930">
        <f>T930</f>
        <v>52</v>
      </c>
      <c r="X930">
        <f>SUMIF(货件明细!J:J,E930,货件明细!H:H)</f>
        <v>0</v>
      </c>
      <c r="Y930">
        <f>N930-X930</f>
        <v>14</v>
      </c>
      <c r="Z930">
        <f>SUMIF(货件明细!J:J,E930,货件明细!I:I)</f>
        <v>0</v>
      </c>
      <c r="AA930">
        <f>IF(S930=Z930,0,1)</f>
        <v>1</v>
      </c>
    </row>
    <row r="931" hidden="1" spans="1:27">
      <c r="A931">
        <v>2</v>
      </c>
      <c r="B931">
        <v>6</v>
      </c>
      <c r="C931" s="3">
        <v>46060</v>
      </c>
      <c r="D931" t="s">
        <v>27</v>
      </c>
      <c r="E931" t="s">
        <v>1042</v>
      </c>
      <c r="F931" t="s">
        <v>1043</v>
      </c>
      <c r="G931" t="s">
        <v>30</v>
      </c>
      <c r="H931" t="s">
        <v>59</v>
      </c>
      <c r="I931" t="s">
        <v>92</v>
      </c>
      <c r="J931" t="s">
        <v>92</v>
      </c>
      <c r="K931" t="s">
        <v>64</v>
      </c>
      <c r="L931" t="s">
        <v>65</v>
      </c>
      <c r="M931" t="s">
        <v>188</v>
      </c>
      <c r="N931">
        <v>14</v>
      </c>
      <c r="O931">
        <v>21.5384615384615</v>
      </c>
      <c r="P931">
        <v>142.66</v>
      </c>
      <c r="Q931">
        <v>164.198461538462</v>
      </c>
      <c r="R931">
        <v>0</v>
      </c>
      <c r="S931">
        <v>164.198461538462</v>
      </c>
      <c r="T931">
        <v>52</v>
      </c>
      <c r="U931">
        <f>SUMIF(货件明细!J:J,E931,货件明细!AP:AP)</f>
        <v>0</v>
      </c>
      <c r="V931">
        <f>IF(U931=T931,0,1)</f>
        <v>1</v>
      </c>
      <c r="W931">
        <f>T931</f>
        <v>52</v>
      </c>
      <c r="X931">
        <f>SUMIF(货件明细!J:J,E931,货件明细!H:H)</f>
        <v>0</v>
      </c>
      <c r="Y931">
        <f>N931-X931</f>
        <v>14</v>
      </c>
      <c r="Z931">
        <f>SUMIF(货件明细!J:J,E931,货件明细!I:I)</f>
        <v>0</v>
      </c>
      <c r="AA931">
        <f>IF(S931=Z931,0,1)</f>
        <v>1</v>
      </c>
    </row>
    <row r="932" hidden="1" spans="1:27">
      <c r="A932">
        <v>2</v>
      </c>
      <c r="B932">
        <v>6</v>
      </c>
      <c r="C932" s="3">
        <v>46060</v>
      </c>
      <c r="D932" t="s">
        <v>27</v>
      </c>
      <c r="E932" t="s">
        <v>1044</v>
      </c>
      <c r="F932" t="s">
        <v>68</v>
      </c>
      <c r="G932" t="s">
        <v>69</v>
      </c>
      <c r="H932" t="s">
        <v>46</v>
      </c>
      <c r="I932" t="s">
        <v>92</v>
      </c>
      <c r="J932" t="s">
        <v>92</v>
      </c>
      <c r="K932" t="s">
        <v>64</v>
      </c>
      <c r="L932" t="s">
        <v>65</v>
      </c>
      <c r="M932" t="s">
        <v>188</v>
      </c>
      <c r="N932">
        <v>10.2</v>
      </c>
      <c r="O932">
        <v>45</v>
      </c>
      <c r="P932">
        <v>86.68</v>
      </c>
      <c r="Q932">
        <v>131.68</v>
      </c>
      <c r="R932">
        <v>0</v>
      </c>
      <c r="S932">
        <v>131.68</v>
      </c>
      <c r="T932">
        <v>52</v>
      </c>
      <c r="U932">
        <f>SUMIF(货件明细!J:J,E932,货件明细!AP:AP)</f>
        <v>0</v>
      </c>
      <c r="V932">
        <f>IF(U932=T932,0,1)</f>
        <v>1</v>
      </c>
      <c r="W932">
        <f>T932</f>
        <v>52</v>
      </c>
      <c r="X932">
        <f>SUMIF(货件明细!J:J,E932,货件明细!H:H)</f>
        <v>0</v>
      </c>
      <c r="Y932">
        <f>N932-X932</f>
        <v>10.2</v>
      </c>
      <c r="Z932">
        <f>SUMIF(货件明细!J:J,E932,货件明细!I:I)</f>
        <v>0</v>
      </c>
      <c r="AA932">
        <f>IF(S932=Z932,0,1)</f>
        <v>1</v>
      </c>
    </row>
    <row r="933" hidden="1" spans="1:27">
      <c r="A933">
        <v>2</v>
      </c>
      <c r="B933">
        <v>6</v>
      </c>
      <c r="C933" s="3">
        <v>46060</v>
      </c>
      <c r="D933" t="s">
        <v>27</v>
      </c>
      <c r="E933" t="s">
        <v>1045</v>
      </c>
      <c r="F933" t="s">
        <v>243</v>
      </c>
      <c r="G933" t="s">
        <v>72</v>
      </c>
      <c r="H933" t="s">
        <v>46</v>
      </c>
      <c r="I933" t="s">
        <v>92</v>
      </c>
      <c r="J933" t="s">
        <v>92</v>
      </c>
      <c r="K933" t="s">
        <v>64</v>
      </c>
      <c r="L933" t="s">
        <v>65</v>
      </c>
      <c r="M933" t="s">
        <v>93</v>
      </c>
      <c r="N933">
        <v>10.2</v>
      </c>
      <c r="O933">
        <v>12.1052631578947</v>
      </c>
      <c r="P933">
        <v>62.9642857142857</v>
      </c>
      <c r="Q933">
        <v>75.0695488721804</v>
      </c>
      <c r="R933">
        <v>0</v>
      </c>
      <c r="S933">
        <v>75.0695488721804</v>
      </c>
      <c r="T933">
        <v>52</v>
      </c>
      <c r="U933">
        <f>SUMIF(货件明细!J:J,E933,货件明细!AP:AP)</f>
        <v>0</v>
      </c>
      <c r="V933">
        <f>IF(U933=T933,0,1)</f>
        <v>1</v>
      </c>
      <c r="W933">
        <f>T933</f>
        <v>52</v>
      </c>
      <c r="X933">
        <f>SUMIF(货件明细!J:J,E933,货件明细!H:H)</f>
        <v>0</v>
      </c>
      <c r="Y933">
        <f>N933-X933</f>
        <v>10.2</v>
      </c>
      <c r="Z933">
        <f>SUMIF(货件明细!J:J,E933,货件明细!I:I)</f>
        <v>0</v>
      </c>
      <c r="AA933">
        <f>IF(S933=Z933,0,1)</f>
        <v>1</v>
      </c>
    </row>
    <row r="934" hidden="1" spans="1:27">
      <c r="A934">
        <v>2</v>
      </c>
      <c r="B934">
        <v>6</v>
      </c>
      <c r="C934" s="3">
        <v>46060</v>
      </c>
      <c r="D934" t="s">
        <v>27</v>
      </c>
      <c r="E934" t="s">
        <v>1046</v>
      </c>
      <c r="F934" t="s">
        <v>198</v>
      </c>
      <c r="G934" t="s">
        <v>69</v>
      </c>
      <c r="H934" t="s">
        <v>46</v>
      </c>
      <c r="I934" t="s">
        <v>92</v>
      </c>
      <c r="J934" t="s">
        <v>92</v>
      </c>
      <c r="K934" t="s">
        <v>64</v>
      </c>
      <c r="L934" t="s">
        <v>65</v>
      </c>
      <c r="M934" t="s">
        <v>93</v>
      </c>
      <c r="N934">
        <v>10.2</v>
      </c>
      <c r="O934">
        <v>45</v>
      </c>
      <c r="P934">
        <v>71.75</v>
      </c>
      <c r="Q934">
        <v>116.75</v>
      </c>
      <c r="R934">
        <v>0</v>
      </c>
      <c r="S934">
        <v>116.75</v>
      </c>
      <c r="T934">
        <v>52</v>
      </c>
      <c r="U934">
        <f>SUMIF(货件明细!J:J,E934,货件明细!AP:AP)</f>
        <v>0</v>
      </c>
      <c r="V934">
        <f>IF(U934=T934,0,1)</f>
        <v>1</v>
      </c>
      <c r="W934">
        <f>T934</f>
        <v>52</v>
      </c>
      <c r="X934">
        <f>SUMIF(货件明细!J:J,E934,货件明细!H:H)</f>
        <v>0</v>
      </c>
      <c r="Y934">
        <f>N934-X934</f>
        <v>10.2</v>
      </c>
      <c r="Z934">
        <f>SUMIF(货件明细!J:J,E934,货件明细!I:I)</f>
        <v>0</v>
      </c>
      <c r="AA934">
        <f>IF(S934=Z934,0,1)</f>
        <v>1</v>
      </c>
    </row>
    <row r="935" hidden="1" spans="1:27">
      <c r="A935">
        <v>2</v>
      </c>
      <c r="B935">
        <v>6</v>
      </c>
      <c r="C935" s="3">
        <v>46060</v>
      </c>
      <c r="D935" t="s">
        <v>27</v>
      </c>
      <c r="E935" t="s">
        <v>1047</v>
      </c>
      <c r="F935" t="s">
        <v>74</v>
      </c>
      <c r="G935" t="s">
        <v>30</v>
      </c>
      <c r="H935" t="s">
        <v>46</v>
      </c>
      <c r="I935" t="s">
        <v>92</v>
      </c>
      <c r="J935" t="s">
        <v>92</v>
      </c>
      <c r="K935" t="s">
        <v>64</v>
      </c>
      <c r="L935" t="s">
        <v>65</v>
      </c>
      <c r="M935" t="s">
        <v>188</v>
      </c>
      <c r="N935">
        <v>10.2</v>
      </c>
      <c r="O935">
        <v>21.5384615384615</v>
      </c>
      <c r="P935">
        <v>112.09</v>
      </c>
      <c r="Q935">
        <v>133.628461538462</v>
      </c>
      <c r="R935">
        <v>0</v>
      </c>
      <c r="S935">
        <v>133.628461538462</v>
      </c>
      <c r="T935">
        <v>52</v>
      </c>
      <c r="U935">
        <f>SUMIF(货件明细!J:J,E935,货件明细!AP:AP)</f>
        <v>0</v>
      </c>
      <c r="V935">
        <f>IF(U935=T935,0,1)</f>
        <v>1</v>
      </c>
      <c r="W935">
        <f>T935</f>
        <v>52</v>
      </c>
      <c r="X935">
        <f>SUMIF(货件明细!J:J,E935,货件明细!H:H)</f>
        <v>0</v>
      </c>
      <c r="Y935">
        <f>N935-X935</f>
        <v>10.2</v>
      </c>
      <c r="Z935">
        <f>SUMIF(货件明细!J:J,E935,货件明细!I:I)</f>
        <v>0</v>
      </c>
      <c r="AA935">
        <f>IF(S935=Z935,0,1)</f>
        <v>1</v>
      </c>
    </row>
    <row r="936" hidden="1" spans="1:27">
      <c r="A936">
        <v>2</v>
      </c>
      <c r="B936">
        <v>6</v>
      </c>
      <c r="C936" s="3">
        <v>46060</v>
      </c>
      <c r="D936" t="s">
        <v>27</v>
      </c>
      <c r="E936" t="s">
        <v>1048</v>
      </c>
      <c r="F936" t="s">
        <v>76</v>
      </c>
      <c r="G936" t="s">
        <v>72</v>
      </c>
      <c r="H936" t="s">
        <v>46</v>
      </c>
      <c r="I936" t="s">
        <v>92</v>
      </c>
      <c r="J936" t="s">
        <v>92</v>
      </c>
      <c r="K936" t="s">
        <v>64</v>
      </c>
      <c r="L936" t="s">
        <v>65</v>
      </c>
      <c r="M936" t="s">
        <v>93</v>
      </c>
      <c r="N936">
        <v>10.2</v>
      </c>
      <c r="O936">
        <v>12.1052631578947</v>
      </c>
      <c r="P936">
        <v>49.5</v>
      </c>
      <c r="Q936">
        <v>61.6052631578947</v>
      </c>
      <c r="R936">
        <v>0</v>
      </c>
      <c r="S936">
        <v>61.6052631578947</v>
      </c>
      <c r="T936">
        <v>52</v>
      </c>
      <c r="U936">
        <f>SUMIF(货件明细!J:J,E936,货件明细!AP:AP)</f>
        <v>0</v>
      </c>
      <c r="V936">
        <f>IF(U936=T936,0,1)</f>
        <v>1</v>
      </c>
      <c r="W936">
        <f>T936</f>
        <v>52</v>
      </c>
      <c r="X936">
        <f>SUMIF(货件明细!J:J,E936,货件明细!H:H)</f>
        <v>0</v>
      </c>
      <c r="Y936">
        <f>N936-X936</f>
        <v>10.2</v>
      </c>
      <c r="Z936">
        <f>SUMIF(货件明细!J:J,E936,货件明细!I:I)</f>
        <v>0</v>
      </c>
      <c r="AA936">
        <f>IF(S936=Z936,0,1)</f>
        <v>1</v>
      </c>
    </row>
    <row r="937" hidden="1" spans="1:27">
      <c r="A937">
        <v>2</v>
      </c>
      <c r="B937">
        <v>6</v>
      </c>
      <c r="C937" s="3">
        <v>46060</v>
      </c>
      <c r="D937" t="s">
        <v>27</v>
      </c>
      <c r="E937" t="s">
        <v>1049</v>
      </c>
      <c r="F937" t="s">
        <v>195</v>
      </c>
      <c r="G937" t="s">
        <v>30</v>
      </c>
      <c r="H937" t="s">
        <v>51</v>
      </c>
      <c r="I937" t="s">
        <v>92</v>
      </c>
      <c r="J937" t="s">
        <v>92</v>
      </c>
      <c r="K937" t="s">
        <v>64</v>
      </c>
      <c r="L937" t="s">
        <v>65</v>
      </c>
      <c r="M937" t="s">
        <v>93</v>
      </c>
      <c r="N937">
        <v>40.5</v>
      </c>
      <c r="O937">
        <v>21.5384615384615</v>
      </c>
      <c r="P937">
        <v>293.125</v>
      </c>
      <c r="Q937">
        <v>314.663461538462</v>
      </c>
      <c r="R937">
        <v>0</v>
      </c>
      <c r="S937">
        <v>314.663461538462</v>
      </c>
      <c r="T937">
        <v>322</v>
      </c>
      <c r="U937">
        <f>SUMIF(货件明细!J:J,E937,货件明细!AP:AP)</f>
        <v>0</v>
      </c>
      <c r="V937">
        <f>IF(U937=T937,0,1)</f>
        <v>1</v>
      </c>
      <c r="W937">
        <f>T937</f>
        <v>322</v>
      </c>
      <c r="X937">
        <f>SUMIF(货件明细!J:J,E937,货件明细!H:H)</f>
        <v>0</v>
      </c>
      <c r="Y937">
        <f>N937-X937</f>
        <v>40.5</v>
      </c>
      <c r="Z937">
        <f>SUMIF(货件明细!J:J,E937,货件明细!I:I)</f>
        <v>0</v>
      </c>
      <c r="AA937">
        <f>IF(S937=Z937,0,1)</f>
        <v>1</v>
      </c>
    </row>
    <row r="938" hidden="1" spans="1:27">
      <c r="A938">
        <v>2</v>
      </c>
      <c r="B938">
        <v>6</v>
      </c>
      <c r="C938" s="3">
        <v>46060</v>
      </c>
      <c r="D938" t="s">
        <v>27</v>
      </c>
      <c r="E938" t="s">
        <v>1050</v>
      </c>
      <c r="F938" t="s">
        <v>243</v>
      </c>
      <c r="G938" t="s">
        <v>72</v>
      </c>
      <c r="H938" t="s">
        <v>51</v>
      </c>
      <c r="I938" t="s">
        <v>92</v>
      </c>
      <c r="J938" t="s">
        <v>92</v>
      </c>
      <c r="K938" t="s">
        <v>64</v>
      </c>
      <c r="L938" t="s">
        <v>65</v>
      </c>
      <c r="M938" t="s">
        <v>93</v>
      </c>
      <c r="N938">
        <v>40.5</v>
      </c>
      <c r="O938">
        <v>12.1052631578947</v>
      </c>
      <c r="P938">
        <v>188.892857142857</v>
      </c>
      <c r="Q938">
        <v>200.998120300752</v>
      </c>
      <c r="R938">
        <v>0</v>
      </c>
      <c r="S938">
        <v>200.998120300752</v>
      </c>
      <c r="T938">
        <v>322</v>
      </c>
      <c r="U938">
        <f>SUMIF(货件明细!J:J,E938,货件明细!AP:AP)</f>
        <v>0</v>
      </c>
      <c r="V938">
        <f>IF(U938=T938,0,1)</f>
        <v>1</v>
      </c>
      <c r="W938">
        <f>T938</f>
        <v>322</v>
      </c>
      <c r="X938">
        <f>SUMIF(货件明细!J:J,E938,货件明细!H:H)</f>
        <v>0</v>
      </c>
      <c r="Y938">
        <f>N938-X938</f>
        <v>40.5</v>
      </c>
      <c r="Z938">
        <f>SUMIF(货件明细!J:J,E938,货件明细!I:I)</f>
        <v>0</v>
      </c>
      <c r="AA938">
        <f>IF(S938=Z938,0,1)</f>
        <v>1</v>
      </c>
    </row>
    <row r="939" hidden="1" spans="1:27">
      <c r="A939">
        <v>2</v>
      </c>
      <c r="B939">
        <v>6</v>
      </c>
      <c r="C939" s="3">
        <v>46060</v>
      </c>
      <c r="D939" t="s">
        <v>27</v>
      </c>
      <c r="E939" t="s">
        <v>1051</v>
      </c>
      <c r="F939" t="s">
        <v>339</v>
      </c>
      <c r="G939" t="s">
        <v>72</v>
      </c>
      <c r="H939" t="s">
        <v>51</v>
      </c>
      <c r="I939" t="s">
        <v>92</v>
      </c>
      <c r="J939" t="s">
        <v>92</v>
      </c>
      <c r="K939" t="s">
        <v>64</v>
      </c>
      <c r="L939" t="s">
        <v>65</v>
      </c>
      <c r="M939" t="s">
        <v>93</v>
      </c>
      <c r="N939">
        <v>40.5</v>
      </c>
      <c r="O939">
        <v>12.1052631578947</v>
      </c>
      <c r="P939">
        <v>178.2</v>
      </c>
      <c r="Q939">
        <v>190.305263157895</v>
      </c>
      <c r="R939">
        <v>0</v>
      </c>
      <c r="S939">
        <v>190.305263157895</v>
      </c>
      <c r="T939">
        <v>322</v>
      </c>
      <c r="U939">
        <f>SUMIF(货件明细!J:J,E939,货件明细!AP:AP)</f>
        <v>0</v>
      </c>
      <c r="V939">
        <f>IF(U939=T939,0,1)</f>
        <v>1</v>
      </c>
      <c r="W939">
        <f>T939</f>
        <v>322</v>
      </c>
      <c r="X939">
        <f>SUMIF(货件明细!J:J,E939,货件明细!H:H)</f>
        <v>0</v>
      </c>
      <c r="Y939">
        <f>N939-X939</f>
        <v>40.5</v>
      </c>
      <c r="Z939">
        <f>SUMIF(货件明细!J:J,E939,货件明细!I:I)</f>
        <v>0</v>
      </c>
      <c r="AA939">
        <f>IF(S939=Z939,0,1)</f>
        <v>1</v>
      </c>
    </row>
    <row r="940" hidden="1" spans="1:27">
      <c r="A940">
        <v>2</v>
      </c>
      <c r="B940">
        <v>6</v>
      </c>
      <c r="C940" s="3">
        <v>46060</v>
      </c>
      <c r="D940" t="s">
        <v>27</v>
      </c>
      <c r="E940" t="s">
        <v>1052</v>
      </c>
      <c r="F940" t="s">
        <v>200</v>
      </c>
      <c r="G940" t="s">
        <v>30</v>
      </c>
      <c r="H940" t="s">
        <v>51</v>
      </c>
      <c r="I940" t="s">
        <v>92</v>
      </c>
      <c r="J940" t="s">
        <v>92</v>
      </c>
      <c r="K940" t="s">
        <v>64</v>
      </c>
      <c r="L940" t="s">
        <v>65</v>
      </c>
      <c r="M940" t="s">
        <v>93</v>
      </c>
      <c r="N940">
        <v>40.5</v>
      </c>
      <c r="O940">
        <v>21.5384615384615</v>
      </c>
      <c r="P940">
        <v>296.625</v>
      </c>
      <c r="Q940">
        <v>318.163461538462</v>
      </c>
      <c r="R940">
        <v>0</v>
      </c>
      <c r="S940">
        <v>318.163461538462</v>
      </c>
      <c r="T940">
        <v>322</v>
      </c>
      <c r="U940">
        <f>SUMIF(货件明细!J:J,E940,货件明细!AP:AP)</f>
        <v>0</v>
      </c>
      <c r="V940">
        <f>IF(U940=T940,0,1)</f>
        <v>1</v>
      </c>
      <c r="W940">
        <f>T940</f>
        <v>322</v>
      </c>
      <c r="X940">
        <f>SUMIF(货件明细!J:J,E940,货件明细!H:H)</f>
        <v>0</v>
      </c>
      <c r="Y940">
        <f>N940-X940</f>
        <v>40.5</v>
      </c>
      <c r="Z940">
        <f>SUMIF(货件明细!J:J,E940,货件明细!I:I)</f>
        <v>0</v>
      </c>
      <c r="AA940">
        <f>IF(S940=Z940,0,1)</f>
        <v>1</v>
      </c>
    </row>
    <row r="941" hidden="1" spans="1:27">
      <c r="A941">
        <v>2</v>
      </c>
      <c r="B941">
        <v>6</v>
      </c>
      <c r="C941" s="3">
        <v>46060</v>
      </c>
      <c r="D941" t="s">
        <v>27</v>
      </c>
      <c r="E941" t="s">
        <v>1053</v>
      </c>
      <c r="F941" t="s">
        <v>239</v>
      </c>
      <c r="G941" t="s">
        <v>72</v>
      </c>
      <c r="H941" t="s">
        <v>51</v>
      </c>
      <c r="I941" t="s">
        <v>92</v>
      </c>
      <c r="J941" t="s">
        <v>92</v>
      </c>
      <c r="K941" t="s">
        <v>64</v>
      </c>
      <c r="L941" t="s">
        <v>65</v>
      </c>
      <c r="M941" t="s">
        <v>93</v>
      </c>
      <c r="N941">
        <v>40.5</v>
      </c>
      <c r="O941">
        <v>12.1052631578947</v>
      </c>
      <c r="P941">
        <v>193.5</v>
      </c>
      <c r="Q941">
        <v>205.605263157895</v>
      </c>
      <c r="R941">
        <v>0</v>
      </c>
      <c r="S941">
        <v>205.605263157895</v>
      </c>
      <c r="T941">
        <v>322</v>
      </c>
      <c r="U941">
        <f>SUMIF(货件明细!J:J,E941,货件明细!AP:AP)</f>
        <v>0</v>
      </c>
      <c r="V941">
        <f>IF(U941=T941,0,1)</f>
        <v>1</v>
      </c>
      <c r="W941">
        <f>T941</f>
        <v>322</v>
      </c>
      <c r="X941">
        <f>SUMIF(货件明细!J:J,E941,货件明细!H:H)</f>
        <v>0</v>
      </c>
      <c r="Y941">
        <f>N941-X941</f>
        <v>40.5</v>
      </c>
      <c r="Z941">
        <f>SUMIF(货件明细!J:J,E941,货件明细!I:I)</f>
        <v>0</v>
      </c>
      <c r="AA941">
        <f>IF(S941=Z941,0,1)</f>
        <v>1</v>
      </c>
    </row>
    <row r="942" hidden="1" spans="1:27">
      <c r="A942">
        <v>2</v>
      </c>
      <c r="B942">
        <v>6</v>
      </c>
      <c r="C942" s="3">
        <v>46060</v>
      </c>
      <c r="D942" t="s">
        <v>27</v>
      </c>
      <c r="E942" t="s">
        <v>1054</v>
      </c>
      <c r="F942" t="s">
        <v>243</v>
      </c>
      <c r="G942" t="s">
        <v>72</v>
      </c>
      <c r="H942" t="s">
        <v>224</v>
      </c>
      <c r="I942" t="s">
        <v>92</v>
      </c>
      <c r="J942" t="s">
        <v>92</v>
      </c>
      <c r="K942" t="s">
        <v>64</v>
      </c>
      <c r="L942" t="s">
        <v>65</v>
      </c>
      <c r="M942" t="s">
        <v>93</v>
      </c>
      <c r="N942">
        <v>12.25</v>
      </c>
      <c r="O942">
        <v>12.1052631578947</v>
      </c>
      <c r="P942">
        <v>62.9642857142857</v>
      </c>
      <c r="Q942">
        <v>75.0695488721804</v>
      </c>
      <c r="R942">
        <v>0</v>
      </c>
      <c r="S942">
        <v>75.0695488721804</v>
      </c>
      <c r="T942">
        <v>133</v>
      </c>
      <c r="U942">
        <f>SUMIF(货件明细!J:J,E942,货件明细!AP:AP)</f>
        <v>0</v>
      </c>
      <c r="V942">
        <f>IF(U942=T942,0,1)</f>
        <v>1</v>
      </c>
      <c r="W942">
        <f>T942</f>
        <v>133</v>
      </c>
      <c r="X942">
        <f>SUMIF(货件明细!J:J,E942,货件明细!H:H)</f>
        <v>0</v>
      </c>
      <c r="Y942">
        <f>N942-X942</f>
        <v>12.25</v>
      </c>
      <c r="Z942">
        <f>SUMIF(货件明细!J:J,E942,货件明细!I:I)</f>
        <v>0</v>
      </c>
      <c r="AA942">
        <f>IF(S942=Z942,0,1)</f>
        <v>1</v>
      </c>
    </row>
    <row r="943" hidden="1" spans="1:27">
      <c r="A943">
        <v>2</v>
      </c>
      <c r="B943">
        <v>6</v>
      </c>
      <c r="C943" s="3">
        <v>46060</v>
      </c>
      <c r="D943" t="s">
        <v>27</v>
      </c>
      <c r="E943" t="s">
        <v>1055</v>
      </c>
      <c r="F943" t="s">
        <v>198</v>
      </c>
      <c r="G943" t="s">
        <v>69</v>
      </c>
      <c r="H943" t="s">
        <v>224</v>
      </c>
      <c r="I943" t="s">
        <v>92</v>
      </c>
      <c r="J943" t="s">
        <v>92</v>
      </c>
      <c r="K943" t="s">
        <v>64</v>
      </c>
      <c r="L943" t="s">
        <v>65</v>
      </c>
      <c r="M943" t="s">
        <v>93</v>
      </c>
      <c r="N943">
        <v>12.25</v>
      </c>
      <c r="O943">
        <v>45</v>
      </c>
      <c r="P943">
        <v>86.1</v>
      </c>
      <c r="Q943">
        <v>131.1</v>
      </c>
      <c r="R943">
        <v>0</v>
      </c>
      <c r="S943">
        <v>131.1</v>
      </c>
      <c r="T943">
        <v>133</v>
      </c>
      <c r="U943">
        <f>SUMIF(货件明细!J:J,E943,货件明细!AP:AP)</f>
        <v>0</v>
      </c>
      <c r="V943">
        <f>IF(U943=T943,0,1)</f>
        <v>1</v>
      </c>
      <c r="W943">
        <f>T943</f>
        <v>133</v>
      </c>
      <c r="X943">
        <f>SUMIF(货件明细!J:J,E943,货件明细!H:H)</f>
        <v>0</v>
      </c>
      <c r="Y943">
        <f>N943-X943</f>
        <v>12.25</v>
      </c>
      <c r="Z943">
        <f>SUMIF(货件明细!J:J,E943,货件明细!I:I)</f>
        <v>0</v>
      </c>
      <c r="AA943">
        <f>IF(S943=Z943,0,1)</f>
        <v>1</v>
      </c>
    </row>
    <row r="944" hidden="1" spans="1:27">
      <c r="A944">
        <v>2</v>
      </c>
      <c r="B944">
        <v>6</v>
      </c>
      <c r="C944" s="3">
        <v>46060</v>
      </c>
      <c r="D944" t="s">
        <v>27</v>
      </c>
      <c r="E944" t="s">
        <v>1056</v>
      </c>
      <c r="F944" t="s">
        <v>250</v>
      </c>
      <c r="G944" t="s">
        <v>72</v>
      </c>
      <c r="H944" t="s">
        <v>224</v>
      </c>
      <c r="I944" t="s">
        <v>92</v>
      </c>
      <c r="J944" t="s">
        <v>92</v>
      </c>
      <c r="K944" t="s">
        <v>64</v>
      </c>
      <c r="L944" t="s">
        <v>65</v>
      </c>
      <c r="M944" t="s">
        <v>188</v>
      </c>
      <c r="N944">
        <v>12.25</v>
      </c>
      <c r="O944">
        <v>12.1052631578947</v>
      </c>
      <c r="P944">
        <v>68.51</v>
      </c>
      <c r="Q944">
        <v>80.6152631578947</v>
      </c>
      <c r="R944">
        <v>0</v>
      </c>
      <c r="S944">
        <v>80.6152631578947</v>
      </c>
      <c r="T944">
        <v>133</v>
      </c>
      <c r="U944">
        <f>SUMIF(货件明细!J:J,E944,货件明细!AP:AP)</f>
        <v>0</v>
      </c>
      <c r="V944">
        <f>IF(U944=T944,0,1)</f>
        <v>1</v>
      </c>
      <c r="W944">
        <f>T944</f>
        <v>133</v>
      </c>
      <c r="X944">
        <f>SUMIF(货件明细!J:J,E944,货件明细!H:H)</f>
        <v>0</v>
      </c>
      <c r="Y944">
        <f>N944-X944</f>
        <v>12.25</v>
      </c>
      <c r="Z944">
        <f>SUMIF(货件明细!J:J,E944,货件明细!I:I)</f>
        <v>0</v>
      </c>
      <c r="AA944">
        <f>IF(S944=Z944,0,1)</f>
        <v>1</v>
      </c>
    </row>
    <row r="945" hidden="1" spans="1:27">
      <c r="A945">
        <v>2</v>
      </c>
      <c r="B945">
        <v>6</v>
      </c>
      <c r="C945" s="3">
        <v>46060</v>
      </c>
      <c r="D945" t="s">
        <v>27</v>
      </c>
      <c r="E945" t="s">
        <v>1057</v>
      </c>
      <c r="F945" t="s">
        <v>187</v>
      </c>
      <c r="G945" t="s">
        <v>72</v>
      </c>
      <c r="H945" t="s">
        <v>224</v>
      </c>
      <c r="I945" t="s">
        <v>92</v>
      </c>
      <c r="J945" t="s">
        <v>92</v>
      </c>
      <c r="K945" t="s">
        <v>64</v>
      </c>
      <c r="L945" t="s">
        <v>65</v>
      </c>
      <c r="M945" t="s">
        <v>188</v>
      </c>
      <c r="N945">
        <v>12.25</v>
      </c>
      <c r="O945">
        <v>12.1052631578947</v>
      </c>
      <c r="P945">
        <v>62.4</v>
      </c>
      <c r="Q945">
        <v>74.5052631578947</v>
      </c>
      <c r="R945">
        <v>0</v>
      </c>
      <c r="S945">
        <v>74.5052631578947</v>
      </c>
      <c r="T945">
        <v>133</v>
      </c>
      <c r="U945">
        <f>SUMIF(货件明细!J:J,E945,货件明细!AP:AP)</f>
        <v>0</v>
      </c>
      <c r="V945">
        <f>IF(U945=T945,0,1)</f>
        <v>1</v>
      </c>
      <c r="W945">
        <f>T945</f>
        <v>133</v>
      </c>
      <c r="X945">
        <f>SUMIF(货件明细!J:J,E945,货件明细!H:H)</f>
        <v>0</v>
      </c>
      <c r="Y945">
        <f>N945-X945</f>
        <v>12.25</v>
      </c>
      <c r="Z945">
        <f>SUMIF(货件明细!J:J,E945,货件明细!I:I)</f>
        <v>0</v>
      </c>
      <c r="AA945">
        <f>IF(S945=Z945,0,1)</f>
        <v>1</v>
      </c>
    </row>
    <row r="946" hidden="1" spans="1:27">
      <c r="A946">
        <v>2</v>
      </c>
      <c r="B946">
        <v>6</v>
      </c>
      <c r="C946" s="3">
        <v>46060</v>
      </c>
      <c r="D946" t="s">
        <v>27</v>
      </c>
      <c r="E946" t="s">
        <v>1058</v>
      </c>
      <c r="F946" t="s">
        <v>74</v>
      </c>
      <c r="G946" t="s">
        <v>30</v>
      </c>
      <c r="H946" t="s">
        <v>224</v>
      </c>
      <c r="I946" t="s">
        <v>92</v>
      </c>
      <c r="J946" t="s">
        <v>92</v>
      </c>
      <c r="K946" t="s">
        <v>64</v>
      </c>
      <c r="L946" t="s">
        <v>65</v>
      </c>
      <c r="M946" t="s">
        <v>188</v>
      </c>
      <c r="N946">
        <v>12.25</v>
      </c>
      <c r="O946">
        <v>21.5384615384615</v>
      </c>
      <c r="P946">
        <v>122.28</v>
      </c>
      <c r="Q946">
        <v>143.818461538462</v>
      </c>
      <c r="R946">
        <v>0</v>
      </c>
      <c r="S946">
        <v>143.818461538462</v>
      </c>
      <c r="T946">
        <v>133</v>
      </c>
      <c r="U946">
        <f>SUMIF(货件明细!J:J,E946,货件明细!AP:AP)</f>
        <v>0</v>
      </c>
      <c r="V946">
        <f>IF(U946=T946,0,1)</f>
        <v>1</v>
      </c>
      <c r="W946">
        <f>T946</f>
        <v>133</v>
      </c>
      <c r="X946">
        <f>SUMIF(货件明细!J:J,E946,货件明细!H:H)</f>
        <v>0</v>
      </c>
      <c r="Y946">
        <f>N946-X946</f>
        <v>12.25</v>
      </c>
      <c r="Z946">
        <f>SUMIF(货件明细!J:J,E946,货件明细!I:I)</f>
        <v>0</v>
      </c>
      <c r="AA946">
        <f>IF(S946=Z946,0,1)</f>
        <v>1</v>
      </c>
    </row>
    <row r="947" hidden="1" spans="1:27">
      <c r="A947">
        <v>2</v>
      </c>
      <c r="B947">
        <v>6</v>
      </c>
      <c r="C947" s="3">
        <v>46060</v>
      </c>
      <c r="D947" t="s">
        <v>27</v>
      </c>
      <c r="E947" t="s">
        <v>1059</v>
      </c>
      <c r="F947" t="s">
        <v>195</v>
      </c>
      <c r="G947" t="s">
        <v>30</v>
      </c>
      <c r="H947" t="s">
        <v>31</v>
      </c>
      <c r="I947" t="s">
        <v>92</v>
      </c>
      <c r="J947" t="s">
        <v>92</v>
      </c>
      <c r="K947" t="s">
        <v>64</v>
      </c>
      <c r="L947" t="s">
        <v>65</v>
      </c>
      <c r="M947" t="s">
        <v>93</v>
      </c>
      <c r="N947">
        <v>13.25</v>
      </c>
      <c r="O947">
        <v>21.5384615384615</v>
      </c>
      <c r="P947">
        <v>97.7083333333333</v>
      </c>
      <c r="Q947">
        <v>119.246794871795</v>
      </c>
      <c r="R947">
        <v>0</v>
      </c>
      <c r="S947">
        <v>119.246794871795</v>
      </c>
      <c r="T947">
        <v>100</v>
      </c>
      <c r="U947">
        <f>SUMIF(货件明细!J:J,E947,货件明细!AP:AP)</f>
        <v>0</v>
      </c>
      <c r="V947">
        <f>IF(U947=T947,0,1)</f>
        <v>1</v>
      </c>
      <c r="W947">
        <f>T947</f>
        <v>100</v>
      </c>
      <c r="X947">
        <f>SUMIF(货件明细!J:J,E947,货件明细!H:H)</f>
        <v>0</v>
      </c>
      <c r="Y947">
        <f>N947-X947</f>
        <v>13.25</v>
      </c>
      <c r="Z947">
        <f>SUMIF(货件明细!J:J,E947,货件明细!I:I)</f>
        <v>0</v>
      </c>
      <c r="AA947">
        <f>IF(S947=Z947,0,1)</f>
        <v>1</v>
      </c>
    </row>
    <row r="948" hidden="1" spans="1:27">
      <c r="A948">
        <v>2</v>
      </c>
      <c r="B948">
        <v>6</v>
      </c>
      <c r="C948" s="3">
        <v>46060</v>
      </c>
      <c r="D948" t="s">
        <v>27</v>
      </c>
      <c r="E948" t="s">
        <v>1060</v>
      </c>
      <c r="F948" t="s">
        <v>243</v>
      </c>
      <c r="G948" t="s">
        <v>72</v>
      </c>
      <c r="H948" t="s">
        <v>31</v>
      </c>
      <c r="I948" t="s">
        <v>92</v>
      </c>
      <c r="J948" t="s">
        <v>92</v>
      </c>
      <c r="K948" t="s">
        <v>64</v>
      </c>
      <c r="L948" t="s">
        <v>65</v>
      </c>
      <c r="M948" t="s">
        <v>93</v>
      </c>
      <c r="N948">
        <v>13.25</v>
      </c>
      <c r="O948">
        <v>12.1052631578947</v>
      </c>
      <c r="P948">
        <v>62.9642857142857</v>
      </c>
      <c r="Q948">
        <v>75.0695488721804</v>
      </c>
      <c r="R948">
        <v>0</v>
      </c>
      <c r="S948">
        <v>75.0695488721804</v>
      </c>
      <c r="T948">
        <v>100</v>
      </c>
      <c r="U948">
        <f>SUMIF(货件明细!J:J,E948,货件明细!AP:AP)</f>
        <v>0</v>
      </c>
      <c r="V948">
        <f>IF(U948=T948,0,1)</f>
        <v>1</v>
      </c>
      <c r="W948">
        <f>T948</f>
        <v>100</v>
      </c>
      <c r="X948">
        <f>SUMIF(货件明细!J:J,E948,货件明细!H:H)</f>
        <v>0</v>
      </c>
      <c r="Y948">
        <f>N948-X948</f>
        <v>13.25</v>
      </c>
      <c r="Z948">
        <f>SUMIF(货件明细!J:J,E948,货件明细!I:I)</f>
        <v>0</v>
      </c>
      <c r="AA948">
        <f>IF(S948=Z948,0,1)</f>
        <v>1</v>
      </c>
    </row>
    <row r="949" hidden="1" spans="1:27">
      <c r="A949">
        <v>2</v>
      </c>
      <c r="B949">
        <v>6</v>
      </c>
      <c r="C949" s="3">
        <v>46060</v>
      </c>
      <c r="D949" t="s">
        <v>27</v>
      </c>
      <c r="E949" t="s">
        <v>1061</v>
      </c>
      <c r="F949" t="s">
        <v>339</v>
      </c>
      <c r="G949" t="s">
        <v>72</v>
      </c>
      <c r="H949" t="s">
        <v>31</v>
      </c>
      <c r="I949" t="s">
        <v>92</v>
      </c>
      <c r="J949" t="s">
        <v>92</v>
      </c>
      <c r="K949" t="s">
        <v>64</v>
      </c>
      <c r="L949" t="s">
        <v>65</v>
      </c>
      <c r="M949" t="s">
        <v>93</v>
      </c>
      <c r="N949">
        <v>13.25</v>
      </c>
      <c r="O949">
        <v>12.1052631578947</v>
      </c>
      <c r="P949">
        <v>59.4</v>
      </c>
      <c r="Q949">
        <v>71.5052631578947</v>
      </c>
      <c r="R949">
        <v>0</v>
      </c>
      <c r="S949">
        <v>71.5052631578947</v>
      </c>
      <c r="T949">
        <v>100</v>
      </c>
      <c r="U949">
        <f>SUMIF(货件明细!J:J,E949,货件明细!AP:AP)</f>
        <v>0</v>
      </c>
      <c r="V949">
        <f>IF(U949=T949,0,1)</f>
        <v>1</v>
      </c>
      <c r="W949">
        <f>T949</f>
        <v>100</v>
      </c>
      <c r="X949">
        <f>SUMIF(货件明细!J:J,E949,货件明细!H:H)</f>
        <v>0</v>
      </c>
      <c r="Y949">
        <f>N949-X949</f>
        <v>13.25</v>
      </c>
      <c r="Z949">
        <f>SUMIF(货件明细!J:J,E949,货件明细!I:I)</f>
        <v>0</v>
      </c>
      <c r="AA949">
        <f>IF(S949=Z949,0,1)</f>
        <v>1</v>
      </c>
    </row>
    <row r="950" hidden="1" spans="1:27">
      <c r="A950">
        <v>2</v>
      </c>
      <c r="B950">
        <v>6</v>
      </c>
      <c r="C950" s="3">
        <v>46060</v>
      </c>
      <c r="D950" t="s">
        <v>27</v>
      </c>
      <c r="E950" t="s">
        <v>1062</v>
      </c>
      <c r="F950" t="s">
        <v>200</v>
      </c>
      <c r="G950" t="s">
        <v>30</v>
      </c>
      <c r="H950" t="s">
        <v>31</v>
      </c>
      <c r="I950" t="s">
        <v>92</v>
      </c>
      <c r="J950" t="s">
        <v>92</v>
      </c>
      <c r="K950" t="s">
        <v>64</v>
      </c>
      <c r="L950" t="s">
        <v>65</v>
      </c>
      <c r="M950" t="s">
        <v>93</v>
      </c>
      <c r="N950">
        <v>13.25</v>
      </c>
      <c r="O950">
        <v>21.5384615384615</v>
      </c>
      <c r="P950">
        <v>98.875</v>
      </c>
      <c r="Q950">
        <v>120.413461538462</v>
      </c>
      <c r="R950">
        <v>0</v>
      </c>
      <c r="S950">
        <v>120.413461538462</v>
      </c>
      <c r="T950">
        <v>100</v>
      </c>
      <c r="U950">
        <f>SUMIF(货件明细!J:J,E950,货件明细!AP:AP)</f>
        <v>0</v>
      </c>
      <c r="V950">
        <f>IF(U950=T950,0,1)</f>
        <v>1</v>
      </c>
      <c r="W950">
        <f>T950</f>
        <v>100</v>
      </c>
      <c r="X950">
        <f>SUMIF(货件明细!J:J,E950,货件明细!H:H)</f>
        <v>0</v>
      </c>
      <c r="Y950">
        <f>N950-X950</f>
        <v>13.25</v>
      </c>
      <c r="Z950">
        <f>SUMIF(货件明细!J:J,E950,货件明细!I:I)</f>
        <v>0</v>
      </c>
      <c r="AA950">
        <f>IF(S950=Z950,0,1)</f>
        <v>1</v>
      </c>
    </row>
    <row r="951" hidden="1" spans="1:27">
      <c r="A951">
        <v>2</v>
      </c>
      <c r="B951">
        <v>6</v>
      </c>
      <c r="C951" s="3">
        <v>46060</v>
      </c>
      <c r="D951" t="s">
        <v>27</v>
      </c>
      <c r="E951" t="s">
        <v>1063</v>
      </c>
      <c r="F951" t="s">
        <v>239</v>
      </c>
      <c r="G951" t="s">
        <v>72</v>
      </c>
      <c r="H951" t="s">
        <v>31</v>
      </c>
      <c r="I951" t="s">
        <v>92</v>
      </c>
      <c r="J951" t="s">
        <v>92</v>
      </c>
      <c r="K951" t="s">
        <v>64</v>
      </c>
      <c r="L951" t="s">
        <v>65</v>
      </c>
      <c r="M951" t="s">
        <v>93</v>
      </c>
      <c r="N951">
        <v>13.25</v>
      </c>
      <c r="O951">
        <v>12.1052631578947</v>
      </c>
      <c r="P951">
        <v>64.5</v>
      </c>
      <c r="Q951">
        <v>76.6052631578947</v>
      </c>
      <c r="R951">
        <v>0</v>
      </c>
      <c r="S951">
        <v>76.6052631578947</v>
      </c>
      <c r="T951">
        <v>100</v>
      </c>
      <c r="U951">
        <f>SUMIF(货件明细!J:J,E951,货件明细!AP:AP)</f>
        <v>0</v>
      </c>
      <c r="V951">
        <f>IF(U951=T951,0,1)</f>
        <v>1</v>
      </c>
      <c r="W951">
        <f>T951</f>
        <v>100</v>
      </c>
      <c r="X951">
        <f>SUMIF(货件明细!J:J,E951,货件明细!H:H)</f>
        <v>0</v>
      </c>
      <c r="Y951">
        <f>N951-X951</f>
        <v>13.25</v>
      </c>
      <c r="Z951">
        <f>SUMIF(货件明细!J:J,E951,货件明细!I:I)</f>
        <v>0</v>
      </c>
      <c r="AA951">
        <f>IF(S951=Z951,0,1)</f>
        <v>1</v>
      </c>
    </row>
    <row r="952" hidden="1" spans="1:27">
      <c r="A952">
        <v>2</v>
      </c>
      <c r="B952">
        <v>6</v>
      </c>
      <c r="C952" s="3">
        <v>46060</v>
      </c>
      <c r="D952" t="s">
        <v>27</v>
      </c>
      <c r="E952" t="s">
        <v>1064</v>
      </c>
      <c r="F952" t="s">
        <v>1065</v>
      </c>
      <c r="G952" t="s">
        <v>72</v>
      </c>
      <c r="H952" t="s">
        <v>78</v>
      </c>
      <c r="I952" t="s">
        <v>92</v>
      </c>
      <c r="J952" t="s">
        <v>92</v>
      </c>
      <c r="K952" t="s">
        <v>64</v>
      </c>
      <c r="L952" t="s">
        <v>65</v>
      </c>
      <c r="M952" t="s">
        <v>188</v>
      </c>
      <c r="N952">
        <v>32</v>
      </c>
      <c r="O952">
        <v>45</v>
      </c>
      <c r="P952">
        <v>153.6</v>
      </c>
      <c r="Q952">
        <v>198.6</v>
      </c>
      <c r="R952">
        <v>312.75</v>
      </c>
      <c r="S952">
        <v>511.35</v>
      </c>
      <c r="T952">
        <v>150</v>
      </c>
      <c r="U952">
        <f>SUMIF(货件明细!J:J,E952,货件明细!AP:AP)</f>
        <v>0</v>
      </c>
      <c r="V952">
        <f>IF(U952=T952,0,1)</f>
        <v>1</v>
      </c>
      <c r="W952">
        <f>T952</f>
        <v>150</v>
      </c>
      <c r="X952">
        <f>SUMIF(货件明细!J:J,E952,货件明细!H:H)</f>
        <v>0</v>
      </c>
      <c r="Y952">
        <f>N952-X952</f>
        <v>32</v>
      </c>
      <c r="Z952">
        <f>SUMIF(货件明细!J:J,E952,货件明细!I:I)</f>
        <v>0</v>
      </c>
      <c r="AA952">
        <f>IF(S952=Z952,0,1)</f>
        <v>1</v>
      </c>
    </row>
    <row r="953" hidden="1" spans="1:27">
      <c r="A953">
        <v>2</v>
      </c>
      <c r="B953">
        <v>6</v>
      </c>
      <c r="C953" s="3">
        <v>46060</v>
      </c>
      <c r="D953" t="s">
        <v>27</v>
      </c>
      <c r="E953" t="s">
        <v>1066</v>
      </c>
      <c r="F953" t="s">
        <v>195</v>
      </c>
      <c r="G953" t="s">
        <v>30</v>
      </c>
      <c r="H953" t="s">
        <v>51</v>
      </c>
      <c r="I953" t="s">
        <v>92</v>
      </c>
      <c r="J953" t="s">
        <v>92</v>
      </c>
      <c r="K953" t="s">
        <v>64</v>
      </c>
      <c r="L953" t="s">
        <v>65</v>
      </c>
      <c r="M953" t="s">
        <v>93</v>
      </c>
      <c r="N953">
        <v>38.25</v>
      </c>
      <c r="O953">
        <v>21.5384615384615</v>
      </c>
      <c r="P953">
        <v>488.541666666667</v>
      </c>
      <c r="Q953">
        <v>510.080128205128</v>
      </c>
      <c r="R953">
        <v>0</v>
      </c>
      <c r="S953">
        <v>510.080128205128</v>
      </c>
      <c r="T953">
        <v>216</v>
      </c>
      <c r="U953">
        <f>SUMIF(货件明细!J:J,E953,货件明细!AP:AP)</f>
        <v>0</v>
      </c>
      <c r="V953">
        <f>IF(U953=T953,0,1)</f>
        <v>1</v>
      </c>
      <c r="W953">
        <f>T953</f>
        <v>216</v>
      </c>
      <c r="X953">
        <f>SUMIF(货件明细!J:J,E953,货件明细!H:H)</f>
        <v>0</v>
      </c>
      <c r="Y953">
        <f>N953-X953</f>
        <v>38.25</v>
      </c>
      <c r="Z953">
        <f>SUMIF(货件明细!J:J,E953,货件明细!I:I)</f>
        <v>0</v>
      </c>
      <c r="AA953">
        <f>IF(S953=Z953,0,1)</f>
        <v>1</v>
      </c>
    </row>
    <row r="954" hidden="1" spans="1:27">
      <c r="A954">
        <v>2</v>
      </c>
      <c r="B954">
        <v>6</v>
      </c>
      <c r="C954" s="3">
        <v>46060</v>
      </c>
      <c r="D954" t="s">
        <v>27</v>
      </c>
      <c r="E954" t="s">
        <v>1067</v>
      </c>
      <c r="F954" t="s">
        <v>243</v>
      </c>
      <c r="G954" t="s">
        <v>72</v>
      </c>
      <c r="H954" t="s">
        <v>51</v>
      </c>
      <c r="I954" t="s">
        <v>92</v>
      </c>
      <c r="J954" t="s">
        <v>92</v>
      </c>
      <c r="K954" t="s">
        <v>64</v>
      </c>
      <c r="L954" t="s">
        <v>65</v>
      </c>
      <c r="M954" t="s">
        <v>93</v>
      </c>
      <c r="N954">
        <v>38.25</v>
      </c>
      <c r="O954">
        <v>12.1052631578947</v>
      </c>
      <c r="P954">
        <v>314.821428571429</v>
      </c>
      <c r="Q954">
        <v>326.926691729323</v>
      </c>
      <c r="R954">
        <v>0</v>
      </c>
      <c r="S954">
        <v>326.926691729323</v>
      </c>
      <c r="T954">
        <v>216</v>
      </c>
      <c r="U954">
        <f>SUMIF(货件明细!J:J,E954,货件明细!AP:AP)</f>
        <v>0</v>
      </c>
      <c r="V954">
        <f>IF(U954=T954,0,1)</f>
        <v>1</v>
      </c>
      <c r="W954">
        <f>T954</f>
        <v>216</v>
      </c>
      <c r="X954">
        <f>SUMIF(货件明细!J:J,E954,货件明细!H:H)</f>
        <v>0</v>
      </c>
      <c r="Y954">
        <f>N954-X954</f>
        <v>38.25</v>
      </c>
      <c r="Z954">
        <f>SUMIF(货件明细!J:J,E954,货件明细!I:I)</f>
        <v>0</v>
      </c>
      <c r="AA954">
        <f>IF(S954=Z954,0,1)</f>
        <v>1</v>
      </c>
    </row>
    <row r="955" hidden="1" spans="1:27">
      <c r="A955">
        <v>2</v>
      </c>
      <c r="B955">
        <v>6</v>
      </c>
      <c r="C955" s="3">
        <v>46060</v>
      </c>
      <c r="D955" t="s">
        <v>27</v>
      </c>
      <c r="E955" t="s">
        <v>1068</v>
      </c>
      <c r="F955" t="s">
        <v>339</v>
      </c>
      <c r="G955" t="s">
        <v>72</v>
      </c>
      <c r="H955" t="s">
        <v>51</v>
      </c>
      <c r="I955" t="s">
        <v>92</v>
      </c>
      <c r="J955" t="s">
        <v>92</v>
      </c>
      <c r="K955" t="s">
        <v>64</v>
      </c>
      <c r="L955" t="s">
        <v>65</v>
      </c>
      <c r="M955" t="s">
        <v>93</v>
      </c>
      <c r="N955">
        <v>38.25</v>
      </c>
      <c r="O955">
        <v>12.1052631578947</v>
      </c>
      <c r="P955">
        <v>297</v>
      </c>
      <c r="Q955">
        <v>309.105263157895</v>
      </c>
      <c r="R955">
        <v>0</v>
      </c>
      <c r="S955">
        <v>309.105263157895</v>
      </c>
      <c r="T955">
        <v>216</v>
      </c>
      <c r="U955">
        <f>SUMIF(货件明细!J:J,E955,货件明细!AP:AP)</f>
        <v>0</v>
      </c>
      <c r="V955">
        <f>IF(U955=T955,0,1)</f>
        <v>1</v>
      </c>
      <c r="W955">
        <f>T955</f>
        <v>216</v>
      </c>
      <c r="X955">
        <f>SUMIF(货件明细!J:J,E955,货件明细!H:H)</f>
        <v>0</v>
      </c>
      <c r="Y955">
        <f>N955-X955</f>
        <v>38.25</v>
      </c>
      <c r="Z955">
        <f>SUMIF(货件明细!J:J,E955,货件明细!I:I)</f>
        <v>0</v>
      </c>
      <c r="AA955">
        <f>IF(S955=Z955,0,1)</f>
        <v>1</v>
      </c>
    </row>
    <row r="956" hidden="1" spans="1:27">
      <c r="A956">
        <v>2</v>
      </c>
      <c r="B956">
        <v>6</v>
      </c>
      <c r="C956" s="3">
        <v>46060</v>
      </c>
      <c r="D956" t="s">
        <v>27</v>
      </c>
      <c r="E956" t="s">
        <v>1069</v>
      </c>
      <c r="F956" t="s">
        <v>200</v>
      </c>
      <c r="G956" t="s">
        <v>30</v>
      </c>
      <c r="H956" t="s">
        <v>51</v>
      </c>
      <c r="I956" t="s">
        <v>92</v>
      </c>
      <c r="J956" t="s">
        <v>92</v>
      </c>
      <c r="K956" t="s">
        <v>64</v>
      </c>
      <c r="L956" t="s">
        <v>65</v>
      </c>
      <c r="M956" t="s">
        <v>93</v>
      </c>
      <c r="N956">
        <v>38.25</v>
      </c>
      <c r="O956">
        <v>21.5384615384615</v>
      </c>
      <c r="P956">
        <v>494.375</v>
      </c>
      <c r="Q956">
        <v>515.913461538461</v>
      </c>
      <c r="R956">
        <v>0</v>
      </c>
      <c r="S956">
        <v>515.913461538461</v>
      </c>
      <c r="T956">
        <v>216</v>
      </c>
      <c r="U956">
        <f>SUMIF(货件明细!J:J,E956,货件明细!AP:AP)</f>
        <v>0</v>
      </c>
      <c r="V956">
        <f>IF(U956=T956,0,1)</f>
        <v>1</v>
      </c>
      <c r="W956">
        <f>T956</f>
        <v>216</v>
      </c>
      <c r="X956">
        <f>SUMIF(货件明细!J:J,E956,货件明细!H:H)</f>
        <v>0</v>
      </c>
      <c r="Y956">
        <f>N956-X956</f>
        <v>38.25</v>
      </c>
      <c r="Z956">
        <f>SUMIF(货件明细!J:J,E956,货件明细!I:I)</f>
        <v>0</v>
      </c>
      <c r="AA956">
        <f>IF(S956=Z956,0,1)</f>
        <v>1</v>
      </c>
    </row>
    <row r="957" hidden="1" spans="1:27">
      <c r="A957">
        <v>2</v>
      </c>
      <c r="B957">
        <v>6</v>
      </c>
      <c r="C957" s="3">
        <v>46060</v>
      </c>
      <c r="D957" t="s">
        <v>27</v>
      </c>
      <c r="E957" t="s">
        <v>1070</v>
      </c>
      <c r="F957" t="s">
        <v>239</v>
      </c>
      <c r="G957" t="s">
        <v>72</v>
      </c>
      <c r="H957" t="s">
        <v>51</v>
      </c>
      <c r="I957" t="s">
        <v>92</v>
      </c>
      <c r="J957" t="s">
        <v>92</v>
      </c>
      <c r="K957" t="s">
        <v>64</v>
      </c>
      <c r="L957" t="s">
        <v>65</v>
      </c>
      <c r="M957" t="s">
        <v>93</v>
      </c>
      <c r="N957">
        <v>38.25</v>
      </c>
      <c r="O957">
        <v>12.1052631578947</v>
      </c>
      <c r="P957">
        <v>322.5</v>
      </c>
      <c r="Q957">
        <v>334.605263157895</v>
      </c>
      <c r="R957">
        <v>0</v>
      </c>
      <c r="S957">
        <v>334.605263157895</v>
      </c>
      <c r="T957">
        <v>216</v>
      </c>
      <c r="U957">
        <f>SUMIF(货件明细!J:J,E957,货件明细!AP:AP)</f>
        <v>0</v>
      </c>
      <c r="V957">
        <f>IF(U957=T957,0,1)</f>
        <v>1</v>
      </c>
      <c r="W957">
        <f>T957</f>
        <v>216</v>
      </c>
      <c r="X957">
        <f>SUMIF(货件明细!J:J,E957,货件明细!H:H)</f>
        <v>0</v>
      </c>
      <c r="Y957">
        <f>N957-X957</f>
        <v>38.25</v>
      </c>
      <c r="Z957">
        <f>SUMIF(货件明细!J:J,E957,货件明细!I:I)</f>
        <v>0</v>
      </c>
      <c r="AA957">
        <f>IF(S957=Z957,0,1)</f>
        <v>1</v>
      </c>
    </row>
    <row r="958" spans="1:27">
      <c r="A958">
        <v>2</v>
      </c>
      <c r="B958">
        <v>6</v>
      </c>
      <c r="C958" s="3">
        <v>46060</v>
      </c>
      <c r="D958" t="s">
        <v>27</v>
      </c>
      <c r="E958" t="s">
        <v>1071</v>
      </c>
      <c r="F958" t="s">
        <v>29</v>
      </c>
      <c r="G958" t="s">
        <v>30</v>
      </c>
      <c r="H958" t="s">
        <v>59</v>
      </c>
      <c r="I958" t="s">
        <v>32</v>
      </c>
      <c r="J958" t="s">
        <v>32</v>
      </c>
      <c r="K958" t="s">
        <v>33</v>
      </c>
      <c r="L958" t="s">
        <v>43</v>
      </c>
      <c r="M958" t="s">
        <v>47</v>
      </c>
      <c r="N958">
        <v>36.3</v>
      </c>
      <c r="O958">
        <v>35</v>
      </c>
      <c r="P958">
        <v>1620</v>
      </c>
      <c r="Q958">
        <v>1655.35</v>
      </c>
      <c r="R958">
        <v>311.36</v>
      </c>
      <c r="S958">
        <v>1966.71</v>
      </c>
      <c r="T958">
        <v>280</v>
      </c>
      <c r="U958">
        <f>SUMIF(货件明细!J:J,E958,货件明细!AP:AP)</f>
        <v>280</v>
      </c>
      <c r="V958">
        <f>IF(U958=T958,0,1)</f>
        <v>0</v>
      </c>
      <c r="W958">
        <f>T958</f>
        <v>280</v>
      </c>
      <c r="X958">
        <f>SUMIF(货件明细!J:J,E958,货件明细!H:H)</f>
        <v>33.76</v>
      </c>
      <c r="Y958">
        <f>N958-X958</f>
        <v>2.54</v>
      </c>
      <c r="Z958">
        <f>SUMIF(货件明细!J:J,E958,货件明细!I:I)</f>
        <v>1966.71</v>
      </c>
      <c r="AA958">
        <f>IF(S958=Z958,0,1)</f>
        <v>0</v>
      </c>
    </row>
    <row r="959" spans="1:27">
      <c r="A959">
        <v>2</v>
      </c>
      <c r="B959">
        <v>6</v>
      </c>
      <c r="C959" s="3">
        <v>46060</v>
      </c>
      <c r="D959" t="s">
        <v>27</v>
      </c>
      <c r="E959" t="s">
        <v>1072</v>
      </c>
      <c r="F959" t="s">
        <v>29</v>
      </c>
      <c r="G959" t="s">
        <v>30</v>
      </c>
      <c r="H959" t="s">
        <v>39</v>
      </c>
      <c r="I959" t="s">
        <v>32</v>
      </c>
      <c r="J959" t="s">
        <v>32</v>
      </c>
      <c r="K959" t="s">
        <v>33</v>
      </c>
      <c r="L959" t="s">
        <v>43</v>
      </c>
      <c r="M959" t="s">
        <v>47</v>
      </c>
      <c r="N959">
        <v>17.25</v>
      </c>
      <c r="O959">
        <v>35</v>
      </c>
      <c r="P959">
        <v>810</v>
      </c>
      <c r="Q959">
        <v>845.35</v>
      </c>
      <c r="R959">
        <v>140.39</v>
      </c>
      <c r="S959">
        <v>985.74</v>
      </c>
      <c r="T959">
        <v>120</v>
      </c>
      <c r="U959">
        <f>SUMIF(货件明细!J:J,E959,货件明细!AP:AP)</f>
        <v>120</v>
      </c>
      <c r="V959">
        <f>IF(U959=T959,0,1)</f>
        <v>0</v>
      </c>
      <c r="W959">
        <f>T959</f>
        <v>120</v>
      </c>
      <c r="X959">
        <f>SUMIF(货件明细!J:J,E959,货件明细!H:H)</f>
        <v>18.34</v>
      </c>
      <c r="Y959">
        <f>N959-X959</f>
        <v>-1.09</v>
      </c>
      <c r="Z959">
        <f>SUMIF(货件明细!J:J,E959,货件明细!I:I)</f>
        <v>985.74</v>
      </c>
      <c r="AA959">
        <f>IF(S959=Z959,0,1)</f>
        <v>0</v>
      </c>
    </row>
    <row r="960" spans="1:27">
      <c r="A960">
        <v>2</v>
      </c>
      <c r="B960">
        <v>6</v>
      </c>
      <c r="C960" s="3">
        <v>46060</v>
      </c>
      <c r="D960" t="s">
        <v>27</v>
      </c>
      <c r="E960" t="s">
        <v>1073</v>
      </c>
      <c r="F960" t="s">
        <v>29</v>
      </c>
      <c r="G960" t="s">
        <v>30</v>
      </c>
      <c r="H960" t="s">
        <v>54</v>
      </c>
      <c r="I960" t="s">
        <v>32</v>
      </c>
      <c r="J960" t="s">
        <v>32</v>
      </c>
      <c r="K960" t="s">
        <v>33</v>
      </c>
      <c r="L960" t="s">
        <v>43</v>
      </c>
      <c r="M960" t="s">
        <v>47</v>
      </c>
      <c r="N960">
        <v>35.1</v>
      </c>
      <c r="O960">
        <v>35</v>
      </c>
      <c r="P960">
        <v>1575</v>
      </c>
      <c r="Q960">
        <v>1610.35</v>
      </c>
      <c r="R960">
        <v>328.04</v>
      </c>
      <c r="S960">
        <v>1938.39</v>
      </c>
      <c r="T960">
        <v>295</v>
      </c>
      <c r="U960">
        <f>SUMIF(货件明细!J:J,E960,货件明细!AP:AP)</f>
        <v>295</v>
      </c>
      <c r="V960">
        <f>IF(U960=T960,0,1)</f>
        <v>0</v>
      </c>
      <c r="W960">
        <f>T960</f>
        <v>295</v>
      </c>
      <c r="X960">
        <f>SUMIF(货件明细!J:J,E960,货件明细!H:H)</f>
        <v>33.867</v>
      </c>
      <c r="Y960">
        <f>N960-X960</f>
        <v>1.233</v>
      </c>
      <c r="Z960">
        <f>SUMIF(货件明细!J:J,E960,货件明细!I:I)</f>
        <v>1938.39</v>
      </c>
      <c r="AA960">
        <f>IF(S960=Z960,0,1)</f>
        <v>0</v>
      </c>
    </row>
    <row r="961" spans="1:27">
      <c r="A961">
        <v>2</v>
      </c>
      <c r="B961">
        <v>6</v>
      </c>
      <c r="C961" s="3">
        <v>46060</v>
      </c>
      <c r="D961" t="s">
        <v>27</v>
      </c>
      <c r="E961" t="s">
        <v>1074</v>
      </c>
      <c r="F961" t="s">
        <v>29</v>
      </c>
      <c r="G961" t="s">
        <v>30</v>
      </c>
      <c r="H961" t="s">
        <v>78</v>
      </c>
      <c r="I961" t="s">
        <v>32</v>
      </c>
      <c r="J961" t="s">
        <v>32</v>
      </c>
      <c r="K961" t="s">
        <v>33</v>
      </c>
      <c r="L961" t="s">
        <v>43</v>
      </c>
      <c r="M961" t="s">
        <v>47</v>
      </c>
      <c r="N961">
        <v>25.6</v>
      </c>
      <c r="O961">
        <v>35</v>
      </c>
      <c r="P961">
        <v>1170</v>
      </c>
      <c r="Q961">
        <v>1205.35</v>
      </c>
      <c r="R961">
        <v>222.4</v>
      </c>
      <c r="S961">
        <v>1427.75</v>
      </c>
      <c r="T961">
        <v>200</v>
      </c>
      <c r="U961">
        <f>SUMIF(货件明细!J:J,E961,货件明细!AP:AP)</f>
        <v>200</v>
      </c>
      <c r="V961">
        <f>IF(U961=T961,0,1)</f>
        <v>0</v>
      </c>
      <c r="W961">
        <f>T961</f>
        <v>200</v>
      </c>
      <c r="X961">
        <f>SUMIF(货件明细!J:J,E961,货件明细!H:H)</f>
        <v>24</v>
      </c>
      <c r="Y961">
        <f>N961-X961</f>
        <v>1.6</v>
      </c>
      <c r="Z961">
        <f>SUMIF(货件明细!J:J,E961,货件明细!I:I)</f>
        <v>1427.75</v>
      </c>
      <c r="AA961">
        <f>IF(S961=Z961,0,1)</f>
        <v>0</v>
      </c>
    </row>
    <row r="962" spans="1:27">
      <c r="A962">
        <v>2</v>
      </c>
      <c r="B962">
        <v>6</v>
      </c>
      <c r="C962" s="3">
        <v>46060</v>
      </c>
      <c r="D962" t="s">
        <v>27</v>
      </c>
      <c r="E962" t="s">
        <v>1075</v>
      </c>
      <c r="F962" t="s">
        <v>29</v>
      </c>
      <c r="G962" t="s">
        <v>30</v>
      </c>
      <c r="H962" t="s">
        <v>78</v>
      </c>
      <c r="I962" t="s">
        <v>32</v>
      </c>
      <c r="J962" t="s">
        <v>32</v>
      </c>
      <c r="K962" t="s">
        <v>33</v>
      </c>
      <c r="L962" t="s">
        <v>43</v>
      </c>
      <c r="M962" t="s">
        <v>47</v>
      </c>
      <c r="N962">
        <v>20.85</v>
      </c>
      <c r="O962">
        <v>35</v>
      </c>
      <c r="P962">
        <v>945</v>
      </c>
      <c r="Q962">
        <v>980.35</v>
      </c>
      <c r="R962">
        <v>110.088</v>
      </c>
      <c r="S962">
        <v>1090.438</v>
      </c>
      <c r="T962">
        <v>99</v>
      </c>
      <c r="U962">
        <f>SUMIF(货件明细!J:J,E962,货件明细!AP:AP)</f>
        <v>99</v>
      </c>
      <c r="V962">
        <f>IF(U962=T962,0,1)</f>
        <v>0</v>
      </c>
      <c r="W962">
        <f>T962</f>
        <v>99</v>
      </c>
      <c r="X962">
        <f>SUMIF(货件明细!J:J,E962,货件明细!H:H)</f>
        <v>19.701</v>
      </c>
      <c r="Y962">
        <f>N962-X962</f>
        <v>1.149</v>
      </c>
      <c r="Z962">
        <f>SUMIF(货件明细!J:J,E962,货件明细!I:I)</f>
        <v>1090.438</v>
      </c>
      <c r="AA962">
        <f>IF(S962=Z962,0,1)</f>
        <v>0</v>
      </c>
    </row>
    <row r="963" spans="1:27">
      <c r="A963">
        <v>2</v>
      </c>
      <c r="B963">
        <v>6</v>
      </c>
      <c r="C963" s="3">
        <v>46060</v>
      </c>
      <c r="D963" t="s">
        <v>27</v>
      </c>
      <c r="E963" t="s">
        <v>1076</v>
      </c>
      <c r="F963" t="s">
        <v>29</v>
      </c>
      <c r="G963" t="s">
        <v>30</v>
      </c>
      <c r="H963" t="s">
        <v>56</v>
      </c>
      <c r="I963" t="s">
        <v>32</v>
      </c>
      <c r="J963" t="s">
        <v>32</v>
      </c>
      <c r="K963" t="s">
        <v>33</v>
      </c>
      <c r="L963" t="s">
        <v>43</v>
      </c>
      <c r="M963" t="s">
        <v>47</v>
      </c>
      <c r="N963">
        <v>26.55</v>
      </c>
      <c r="O963">
        <v>35</v>
      </c>
      <c r="P963">
        <v>1215</v>
      </c>
      <c r="Q963">
        <v>1250.35</v>
      </c>
      <c r="R963">
        <v>117.872</v>
      </c>
      <c r="S963">
        <v>1368.222</v>
      </c>
      <c r="T963">
        <v>102</v>
      </c>
      <c r="U963">
        <f>SUMIF(货件明细!J:J,E963,货件明细!AP:AP)</f>
        <v>102</v>
      </c>
      <c r="V963">
        <f>IF(U963=T963,0,1)</f>
        <v>0</v>
      </c>
      <c r="W963">
        <f>T963</f>
        <v>102</v>
      </c>
      <c r="X963">
        <f>SUMIF(货件明细!J:J,E963,货件明细!H:H)</f>
        <v>24.3956</v>
      </c>
      <c r="Y963">
        <f>N963-X963</f>
        <v>2.1544</v>
      </c>
      <c r="Z963">
        <f>SUMIF(货件明细!J:J,E963,货件明细!I:I)</f>
        <v>1368.222</v>
      </c>
      <c r="AA963">
        <f>IF(S963=Z963,0,1)</f>
        <v>0</v>
      </c>
    </row>
    <row r="964" spans="1:27">
      <c r="A964">
        <v>2</v>
      </c>
      <c r="B964">
        <v>6</v>
      </c>
      <c r="C964" s="3">
        <v>46060</v>
      </c>
      <c r="D964" t="s">
        <v>27</v>
      </c>
      <c r="E964" t="s">
        <v>1077</v>
      </c>
      <c r="F964" t="s">
        <v>29</v>
      </c>
      <c r="G964" t="s">
        <v>30</v>
      </c>
      <c r="H964" t="s">
        <v>51</v>
      </c>
      <c r="I964" t="s">
        <v>32</v>
      </c>
      <c r="J964" t="s">
        <v>32</v>
      </c>
      <c r="K964" t="s">
        <v>33</v>
      </c>
      <c r="L964" t="s">
        <v>43</v>
      </c>
      <c r="M964" t="s">
        <v>47</v>
      </c>
      <c r="N964">
        <v>64.4</v>
      </c>
      <c r="O964">
        <v>35</v>
      </c>
      <c r="P964">
        <v>2880</v>
      </c>
      <c r="Q964">
        <v>2915.35</v>
      </c>
      <c r="R964">
        <v>606.04</v>
      </c>
      <c r="S964">
        <v>3521.39</v>
      </c>
      <c r="T964">
        <v>530</v>
      </c>
      <c r="U964">
        <f>SUMIF(货件明细!J:J,E964,货件明细!AP:AP)</f>
        <v>530</v>
      </c>
      <c r="V964">
        <f>IF(U964=T964,0,1)</f>
        <v>0</v>
      </c>
      <c r="W964">
        <f>T964</f>
        <v>530</v>
      </c>
      <c r="X964">
        <f>SUMIF(货件明细!J:J,E964,货件明细!H:H)</f>
        <v>61.7</v>
      </c>
      <c r="Y964">
        <f>N964-X964</f>
        <v>2.70000000000001</v>
      </c>
      <c r="Z964">
        <f>SUMIF(货件明细!J:J,E964,货件明细!I:I)</f>
        <v>3521.39</v>
      </c>
      <c r="AA964">
        <f>IF(S964=Z964,0,1)</f>
        <v>0</v>
      </c>
    </row>
    <row r="965" spans="1:27">
      <c r="A965">
        <v>2</v>
      </c>
      <c r="B965">
        <v>6</v>
      </c>
      <c r="C965" s="3">
        <v>46060</v>
      </c>
      <c r="D965" t="s">
        <v>27</v>
      </c>
      <c r="E965" t="s">
        <v>1078</v>
      </c>
      <c r="F965" t="s">
        <v>29</v>
      </c>
      <c r="G965" t="s">
        <v>30</v>
      </c>
      <c r="H965" t="s">
        <v>224</v>
      </c>
      <c r="I965" t="s">
        <v>32</v>
      </c>
      <c r="J965" t="s">
        <v>32</v>
      </c>
      <c r="K965" t="s">
        <v>33</v>
      </c>
      <c r="L965" t="s">
        <v>43</v>
      </c>
      <c r="M965" t="s">
        <v>47</v>
      </c>
      <c r="N965">
        <v>13.7</v>
      </c>
      <c r="O965">
        <v>35</v>
      </c>
      <c r="P965">
        <v>585</v>
      </c>
      <c r="Q965">
        <v>620.35</v>
      </c>
      <c r="R965">
        <v>134.552</v>
      </c>
      <c r="S965">
        <v>754.902</v>
      </c>
      <c r="T965">
        <v>126</v>
      </c>
      <c r="U965">
        <f>SUMIF(货件明细!J:J,E965,货件明细!AP:AP)</f>
        <v>126</v>
      </c>
      <c r="V965">
        <f>IF(U965=T965,0,1)</f>
        <v>0</v>
      </c>
      <c r="W965">
        <f>T965</f>
        <v>126</v>
      </c>
      <c r="X965">
        <f>SUMIF(货件明细!J:J,E965,货件明细!H:H)</f>
        <v>12.729</v>
      </c>
      <c r="Y965">
        <f>N965-X965</f>
        <v>0.971</v>
      </c>
      <c r="Z965">
        <f>SUMIF(货件明细!J:J,E965,货件明细!I:I)</f>
        <v>754.902</v>
      </c>
      <c r="AA965">
        <f>IF(S965=Z965,0,1)</f>
        <v>0</v>
      </c>
    </row>
    <row r="966" spans="1:27">
      <c r="A966">
        <v>2</v>
      </c>
      <c r="B966">
        <v>6</v>
      </c>
      <c r="C966" s="3">
        <v>46060</v>
      </c>
      <c r="D966" t="s">
        <v>27</v>
      </c>
      <c r="E966" t="s">
        <v>1079</v>
      </c>
      <c r="F966" t="s">
        <v>29</v>
      </c>
      <c r="G966" t="s">
        <v>30</v>
      </c>
      <c r="H966" t="s">
        <v>37</v>
      </c>
      <c r="I966" t="s">
        <v>32</v>
      </c>
      <c r="J966" t="s">
        <v>32</v>
      </c>
      <c r="K966" t="s">
        <v>33</v>
      </c>
      <c r="L966" t="s">
        <v>43</v>
      </c>
      <c r="M966" t="s">
        <v>47</v>
      </c>
      <c r="N966">
        <v>93.75</v>
      </c>
      <c r="O966">
        <v>35</v>
      </c>
      <c r="P966">
        <v>4185</v>
      </c>
      <c r="Q966">
        <v>4220.35</v>
      </c>
      <c r="R966">
        <v>900.72</v>
      </c>
      <c r="S966">
        <v>5121.07</v>
      </c>
      <c r="T966">
        <v>810</v>
      </c>
      <c r="U966">
        <f>SUMIF(货件明细!J:J,E966,货件明细!AP:AP)</f>
        <v>810</v>
      </c>
      <c r="V966">
        <f>IF(U966=T966,0,1)</f>
        <v>0</v>
      </c>
      <c r="W966">
        <f>T966</f>
        <v>810</v>
      </c>
      <c r="X966">
        <f>SUMIF(货件明细!J:J,E966,货件明细!H:H)</f>
        <v>90.58</v>
      </c>
      <c r="Y966">
        <f>N966-X966</f>
        <v>3.17</v>
      </c>
      <c r="Z966">
        <f>SUMIF(货件明细!J:J,E966,货件明细!I:I)</f>
        <v>5121.07</v>
      </c>
      <c r="AA966">
        <f>IF(S966=Z966,0,1)</f>
        <v>0</v>
      </c>
    </row>
    <row r="967" spans="1:27">
      <c r="A967">
        <v>2</v>
      </c>
      <c r="B967">
        <v>6</v>
      </c>
      <c r="C967" s="3">
        <v>46060</v>
      </c>
      <c r="D967" t="s">
        <v>27</v>
      </c>
      <c r="E967" t="s">
        <v>1080</v>
      </c>
      <c r="F967" t="s">
        <v>29</v>
      </c>
      <c r="G967" t="s">
        <v>30</v>
      </c>
      <c r="H967" t="s">
        <v>31</v>
      </c>
      <c r="I967" t="s">
        <v>32</v>
      </c>
      <c r="J967" t="s">
        <v>32</v>
      </c>
      <c r="K967" t="s">
        <v>33</v>
      </c>
      <c r="L967" t="s">
        <v>43</v>
      </c>
      <c r="M967" t="s">
        <v>47</v>
      </c>
      <c r="N967">
        <v>53.7</v>
      </c>
      <c r="O967">
        <v>35</v>
      </c>
      <c r="P967">
        <v>2430</v>
      </c>
      <c r="Q967">
        <v>2465.35</v>
      </c>
      <c r="R967">
        <v>400.32</v>
      </c>
      <c r="S967">
        <v>2865.67</v>
      </c>
      <c r="T967">
        <v>360</v>
      </c>
      <c r="U967">
        <f>SUMIF(货件明细!J:J,E967,货件明细!AP:AP)</f>
        <v>360</v>
      </c>
      <c r="V967">
        <f>IF(U967=T967,0,1)</f>
        <v>0</v>
      </c>
      <c r="W967">
        <f>T967</f>
        <v>360</v>
      </c>
      <c r="X967">
        <f>SUMIF(货件明细!J:J,E967,货件明细!H:H)</f>
        <v>51.68</v>
      </c>
      <c r="Y967">
        <f>N967-X967</f>
        <v>2.02</v>
      </c>
      <c r="Z967">
        <f>SUMIF(货件明细!J:J,E967,货件明细!I:I)</f>
        <v>2865.67</v>
      </c>
      <c r="AA967">
        <f>IF(S967=Z967,0,1)</f>
        <v>0</v>
      </c>
    </row>
    <row r="968" spans="1:27">
      <c r="A968">
        <v>2</v>
      </c>
      <c r="B968">
        <v>6</v>
      </c>
      <c r="C968" s="3">
        <v>46060</v>
      </c>
      <c r="D968" t="s">
        <v>27</v>
      </c>
      <c r="E968" t="s">
        <v>1081</v>
      </c>
      <c r="F968" t="s">
        <v>29</v>
      </c>
      <c r="G968" t="s">
        <v>30</v>
      </c>
      <c r="H968" t="s">
        <v>37</v>
      </c>
      <c r="I968" t="s">
        <v>42</v>
      </c>
      <c r="J968" t="s">
        <v>42</v>
      </c>
      <c r="K968" t="s">
        <v>33</v>
      </c>
      <c r="L968" t="s">
        <v>323</v>
      </c>
      <c r="M968" t="s">
        <v>218</v>
      </c>
      <c r="N968">
        <v>21.4</v>
      </c>
      <c r="O968">
        <v>66.6666666666667</v>
      </c>
      <c r="P968">
        <v>1348</v>
      </c>
      <c r="Q968">
        <v>1414.66666666667</v>
      </c>
      <c r="R968">
        <v>255.76</v>
      </c>
      <c r="S968">
        <v>1670.42666666667</v>
      </c>
      <c r="T968">
        <v>230</v>
      </c>
      <c r="U968">
        <f>SUMIF(货件明细!J:J,E968,货件明细!AP:AP)</f>
        <v>230</v>
      </c>
      <c r="V968">
        <f>IF(U968=T968,0,1)</f>
        <v>0</v>
      </c>
      <c r="W968">
        <f>T968</f>
        <v>230</v>
      </c>
      <c r="X968">
        <f>SUMIF(货件明细!J:J,E968,货件明细!H:H)</f>
        <v>20.08</v>
      </c>
      <c r="Y968">
        <f>N968-X968</f>
        <v>1.32</v>
      </c>
      <c r="Z968">
        <f>SUMIF(货件明细!J:J,E968,货件明细!I:I)</f>
        <v>1670.42666666667</v>
      </c>
      <c r="AA968">
        <f>IF(S968=Z968,0,1)</f>
        <v>0</v>
      </c>
    </row>
    <row r="969" spans="1:27">
      <c r="A969">
        <v>2</v>
      </c>
      <c r="B969">
        <v>6</v>
      </c>
      <c r="C969" s="3">
        <v>46060</v>
      </c>
      <c r="D969" t="s">
        <v>27</v>
      </c>
      <c r="E969" t="s">
        <v>1082</v>
      </c>
      <c r="F969" t="s">
        <v>29</v>
      </c>
      <c r="G969" t="s">
        <v>30</v>
      </c>
      <c r="H969" t="s">
        <v>51</v>
      </c>
      <c r="I969" t="s">
        <v>42</v>
      </c>
      <c r="J969" t="s">
        <v>42</v>
      </c>
      <c r="K969" t="s">
        <v>33</v>
      </c>
      <c r="L969" t="s">
        <v>323</v>
      </c>
      <c r="M969" t="s">
        <v>218</v>
      </c>
      <c r="N969">
        <v>17.35</v>
      </c>
      <c r="O969">
        <v>66.6666666666667</v>
      </c>
      <c r="P969">
        <v>1112</v>
      </c>
      <c r="Q969">
        <v>1178.66666666667</v>
      </c>
      <c r="R969">
        <v>177.92</v>
      </c>
      <c r="S969">
        <v>1356.58666666667</v>
      </c>
      <c r="T969">
        <v>160</v>
      </c>
      <c r="U969">
        <f>SUMIF(货件明细!J:J,E969,货件明细!AP:AP)</f>
        <v>160</v>
      </c>
      <c r="V969">
        <f>IF(U969=T969,0,1)</f>
        <v>0</v>
      </c>
      <c r="W969">
        <f>T969</f>
        <v>160</v>
      </c>
      <c r="X969">
        <f>SUMIF(货件明细!J:J,E969,货件明细!H:H)</f>
        <v>16.4</v>
      </c>
      <c r="Y969">
        <f>N969-X969</f>
        <v>0.950000000000003</v>
      </c>
      <c r="Z969">
        <f>SUMIF(货件明细!J:J,E969,货件明细!I:I)</f>
        <v>1356.58666666667</v>
      </c>
      <c r="AA969">
        <f>IF(S969=Z969,0,1)</f>
        <v>0</v>
      </c>
    </row>
    <row r="970" spans="1:27">
      <c r="A970">
        <v>2</v>
      </c>
      <c r="B970">
        <v>6</v>
      </c>
      <c r="C970" s="3">
        <v>46060</v>
      </c>
      <c r="D970" t="s">
        <v>27</v>
      </c>
      <c r="E970" t="s">
        <v>1083</v>
      </c>
      <c r="F970" t="s">
        <v>29</v>
      </c>
      <c r="G970" t="s">
        <v>30</v>
      </c>
      <c r="H970" t="s">
        <v>56</v>
      </c>
      <c r="I970" t="s">
        <v>42</v>
      </c>
      <c r="J970" t="s">
        <v>42</v>
      </c>
      <c r="K970" t="s">
        <v>33</v>
      </c>
      <c r="L970" t="s">
        <v>323</v>
      </c>
      <c r="M970" t="s">
        <v>218</v>
      </c>
      <c r="N970">
        <v>7.75</v>
      </c>
      <c r="O970">
        <v>66.6666666666667</v>
      </c>
      <c r="P970">
        <v>522</v>
      </c>
      <c r="Q970">
        <v>588.666666666667</v>
      </c>
      <c r="R970">
        <v>37.53</v>
      </c>
      <c r="S970">
        <v>626.196666666667</v>
      </c>
      <c r="T970">
        <v>30</v>
      </c>
      <c r="U970">
        <f>SUMIF(货件明细!J:J,E970,货件明细!AP:AP)</f>
        <v>30</v>
      </c>
      <c r="V970">
        <f>IF(U970=T970,0,1)</f>
        <v>0</v>
      </c>
      <c r="W970">
        <f>T970</f>
        <v>30</v>
      </c>
      <c r="X970">
        <f>SUMIF(货件明细!J:J,E970,货件明细!H:H)</f>
        <v>7.11</v>
      </c>
      <c r="Y970">
        <f>N970-X970</f>
        <v>0.64</v>
      </c>
      <c r="Z970">
        <f>SUMIF(货件明细!J:J,E970,货件明细!I:I)</f>
        <v>626.196666666667</v>
      </c>
      <c r="AA970">
        <f>IF(S970=Z970,0,1)</f>
        <v>0</v>
      </c>
    </row>
    <row r="971" spans="1:27">
      <c r="A971">
        <v>2</v>
      </c>
      <c r="B971">
        <v>7</v>
      </c>
      <c r="C971" s="3">
        <v>46063</v>
      </c>
      <c r="D971" t="s">
        <v>27</v>
      </c>
      <c r="E971" t="s">
        <v>1084</v>
      </c>
      <c r="F971" t="s">
        <v>29</v>
      </c>
      <c r="G971" t="s">
        <v>30</v>
      </c>
      <c r="H971" t="s">
        <v>31</v>
      </c>
      <c r="I971" t="s">
        <v>42</v>
      </c>
      <c r="J971" t="s">
        <v>42</v>
      </c>
      <c r="K971" t="s">
        <v>33</v>
      </c>
      <c r="L971" t="s">
        <v>323</v>
      </c>
      <c r="M971" t="s">
        <v>218</v>
      </c>
      <c r="N971">
        <v>61.7</v>
      </c>
      <c r="O971">
        <v>100</v>
      </c>
      <c r="P971">
        <v>3792</v>
      </c>
      <c r="Q971">
        <v>3892</v>
      </c>
      <c r="R971">
        <v>333.6</v>
      </c>
      <c r="S971">
        <v>4225.6</v>
      </c>
      <c r="T971">
        <v>360</v>
      </c>
      <c r="U971">
        <f>SUMIF(货件明细!J:J,E971,货件明细!AP:AP)</f>
        <v>360</v>
      </c>
      <c r="V971">
        <f>IF(U971=T971,0,1)</f>
        <v>0</v>
      </c>
      <c r="W971">
        <f>T971</f>
        <v>360</v>
      </c>
      <c r="X971">
        <f>SUMIF(货件明细!J:J,E971,货件明细!H:H)</f>
        <v>54.063</v>
      </c>
      <c r="Y971">
        <f>N971-X971</f>
        <v>7.63700000000001</v>
      </c>
      <c r="Z971">
        <f>SUMIF(货件明细!J:J,E971,货件明细!I:I)</f>
        <v>4225.6</v>
      </c>
      <c r="AA971">
        <f>IF(S971=Z971,0,1)</f>
        <v>0</v>
      </c>
    </row>
    <row r="972" spans="1:27">
      <c r="A972">
        <v>2</v>
      </c>
      <c r="B972">
        <v>7</v>
      </c>
      <c r="C972" s="3">
        <v>46063</v>
      </c>
      <c r="D972" t="s">
        <v>27</v>
      </c>
      <c r="E972" t="s">
        <v>1085</v>
      </c>
      <c r="F972" t="s">
        <v>29</v>
      </c>
      <c r="G972" t="s">
        <v>30</v>
      </c>
      <c r="H972" t="s">
        <v>37</v>
      </c>
      <c r="I972" t="s">
        <v>42</v>
      </c>
      <c r="J972" t="s">
        <v>42</v>
      </c>
      <c r="K972" t="s">
        <v>33</v>
      </c>
      <c r="L972" t="s">
        <v>323</v>
      </c>
      <c r="M972" t="s">
        <v>218</v>
      </c>
      <c r="N972">
        <v>15.7</v>
      </c>
      <c r="O972">
        <v>100</v>
      </c>
      <c r="P972">
        <v>1019</v>
      </c>
      <c r="Q972">
        <v>1119</v>
      </c>
      <c r="R972">
        <v>144.56</v>
      </c>
      <c r="S972">
        <v>1263.56</v>
      </c>
      <c r="T972">
        <v>130</v>
      </c>
      <c r="U972">
        <f>SUMIF(货件明细!J:J,E972,货件明细!AP:AP)</f>
        <v>130</v>
      </c>
      <c r="V972">
        <f>IF(U972=T972,0,1)</f>
        <v>0</v>
      </c>
      <c r="W972">
        <f>T972</f>
        <v>130</v>
      </c>
      <c r="X972">
        <f>SUMIF(货件明细!J:J,E972,货件明细!H:H)</f>
        <v>14.95</v>
      </c>
      <c r="Y972">
        <f>N972-X972</f>
        <v>0.75</v>
      </c>
      <c r="Z972">
        <f>SUMIF(货件明细!J:J,E972,货件明细!I:I)</f>
        <v>1263.56</v>
      </c>
      <c r="AA972">
        <f>IF(S972=Z972,0,1)</f>
        <v>0</v>
      </c>
    </row>
    <row r="973" spans="1:27">
      <c r="A973">
        <v>2</v>
      </c>
      <c r="B973">
        <v>7</v>
      </c>
      <c r="C973" s="3">
        <v>46063</v>
      </c>
      <c r="D973" t="s">
        <v>27</v>
      </c>
      <c r="E973" t="s">
        <v>1086</v>
      </c>
      <c r="F973" t="s">
        <v>29</v>
      </c>
      <c r="G973" t="s">
        <v>30</v>
      </c>
      <c r="H973" t="s">
        <v>51</v>
      </c>
      <c r="I973" t="s">
        <v>32</v>
      </c>
      <c r="J973" t="s">
        <v>32</v>
      </c>
      <c r="K973" t="s">
        <v>33</v>
      </c>
      <c r="L973" t="s">
        <v>323</v>
      </c>
      <c r="M973" t="s">
        <v>47</v>
      </c>
      <c r="N973">
        <v>24.85</v>
      </c>
      <c r="O973">
        <v>30</v>
      </c>
      <c r="P973">
        <v>1100</v>
      </c>
      <c r="Q973">
        <v>1130</v>
      </c>
      <c r="R973">
        <v>229.35</v>
      </c>
      <c r="S973">
        <v>1359.35</v>
      </c>
      <c r="T973">
        <v>200</v>
      </c>
      <c r="U973">
        <f>SUMIF(货件明细!J:J,E973,货件明细!AP:AP)</f>
        <v>200</v>
      </c>
      <c r="V973">
        <f>IF(U973=T973,0,1)</f>
        <v>0</v>
      </c>
      <c r="W973">
        <f>T973</f>
        <v>200</v>
      </c>
      <c r="X973">
        <f>SUMIF(货件明细!J:J,E973,货件明细!H:H)</f>
        <v>23.29</v>
      </c>
      <c r="Y973">
        <f>N973-X973</f>
        <v>1.56</v>
      </c>
      <c r="Z973">
        <f>SUMIF(货件明细!J:J,E973,货件明细!I:I)</f>
        <v>1359.35</v>
      </c>
      <c r="AA973">
        <f>IF(S973=Z973,0,1)</f>
        <v>0</v>
      </c>
    </row>
    <row r="974" spans="1:27">
      <c r="A974">
        <v>2</v>
      </c>
      <c r="B974">
        <v>7</v>
      </c>
      <c r="C974" s="3">
        <v>46063</v>
      </c>
      <c r="D974" t="s">
        <v>27</v>
      </c>
      <c r="E974" t="s">
        <v>1087</v>
      </c>
      <c r="F974" t="s">
        <v>29</v>
      </c>
      <c r="G974" t="s">
        <v>30</v>
      </c>
      <c r="H974" t="s">
        <v>46</v>
      </c>
      <c r="I974" t="s">
        <v>32</v>
      </c>
      <c r="J974" t="s">
        <v>32</v>
      </c>
      <c r="K974" t="s">
        <v>33</v>
      </c>
      <c r="L974" t="s">
        <v>323</v>
      </c>
      <c r="M974" t="s">
        <v>47</v>
      </c>
      <c r="N974">
        <v>97</v>
      </c>
      <c r="O974">
        <v>30</v>
      </c>
      <c r="P974">
        <v>4268</v>
      </c>
      <c r="Q974">
        <v>4298</v>
      </c>
      <c r="R974">
        <v>378.775</v>
      </c>
      <c r="S974">
        <v>4676.775</v>
      </c>
      <c r="T974">
        <v>225</v>
      </c>
      <c r="U974">
        <f>SUMIF(货件明细!J:J,E974,货件明细!AP:AP)</f>
        <v>225</v>
      </c>
      <c r="V974">
        <f>IF(U974=T974,0,1)</f>
        <v>0</v>
      </c>
      <c r="W974">
        <f>T974</f>
        <v>225</v>
      </c>
      <c r="X974">
        <f>SUMIF(货件明细!J:J,E974,货件明细!H:H)</f>
        <v>89.38</v>
      </c>
      <c r="Y974">
        <f>N974-X974</f>
        <v>7.62</v>
      </c>
      <c r="Z974">
        <f>SUMIF(货件明细!J:J,E974,货件明细!I:I)</f>
        <v>4676.775</v>
      </c>
      <c r="AA974">
        <f>IF(S974=Z974,0,1)</f>
        <v>0</v>
      </c>
    </row>
    <row r="975" spans="1:27">
      <c r="A975">
        <v>2</v>
      </c>
      <c r="B975">
        <v>7</v>
      </c>
      <c r="C975" s="3">
        <v>46063</v>
      </c>
      <c r="D975" t="s">
        <v>27</v>
      </c>
      <c r="E975" t="s">
        <v>1088</v>
      </c>
      <c r="F975" t="s">
        <v>29</v>
      </c>
      <c r="G975" t="s">
        <v>30</v>
      </c>
      <c r="H975" t="s">
        <v>224</v>
      </c>
      <c r="I975" t="s">
        <v>32</v>
      </c>
      <c r="J975" t="s">
        <v>32</v>
      </c>
      <c r="K975" t="s">
        <v>33</v>
      </c>
      <c r="L975" t="s">
        <v>323</v>
      </c>
      <c r="M975" t="s">
        <v>47</v>
      </c>
      <c r="N975">
        <v>12</v>
      </c>
      <c r="O975">
        <v>30</v>
      </c>
      <c r="P975">
        <v>528</v>
      </c>
      <c r="Q975">
        <v>558</v>
      </c>
      <c r="R975">
        <v>68.388</v>
      </c>
      <c r="S975">
        <v>626.388</v>
      </c>
      <c r="T975">
        <v>41</v>
      </c>
      <c r="U975">
        <f>SUMIF(货件明细!J:J,E975,货件明细!AP:AP)</f>
        <v>41</v>
      </c>
      <c r="V975">
        <f>IF(U975=T975,0,1)</f>
        <v>0</v>
      </c>
      <c r="W975">
        <f>T975</f>
        <v>41</v>
      </c>
      <c r="X975">
        <f>SUMIF(货件明细!J:J,E975,货件明细!H:H)</f>
        <v>11.07</v>
      </c>
      <c r="Y975">
        <f>N975-X975</f>
        <v>0.93</v>
      </c>
      <c r="Z975">
        <f>SUMIF(货件明细!J:J,E975,货件明细!I:I)</f>
        <v>626.388</v>
      </c>
      <c r="AA975">
        <f>IF(S975=Z975,0,1)</f>
        <v>0</v>
      </c>
    </row>
    <row r="976" spans="1:27">
      <c r="A976">
        <v>2</v>
      </c>
      <c r="B976">
        <v>7</v>
      </c>
      <c r="C976" s="3">
        <v>46063</v>
      </c>
      <c r="D976" t="s">
        <v>27</v>
      </c>
      <c r="E976" t="s">
        <v>1089</v>
      </c>
      <c r="F976" t="s">
        <v>29</v>
      </c>
      <c r="G976" t="s">
        <v>30</v>
      </c>
      <c r="H976" t="s">
        <v>31</v>
      </c>
      <c r="I976" t="s">
        <v>32</v>
      </c>
      <c r="J976" t="s">
        <v>32</v>
      </c>
      <c r="K976" t="s">
        <v>33</v>
      </c>
      <c r="L976" t="s">
        <v>323</v>
      </c>
      <c r="M976" t="s">
        <v>47</v>
      </c>
      <c r="N976">
        <v>63.85</v>
      </c>
      <c r="O976">
        <v>30</v>
      </c>
      <c r="P976">
        <v>2816</v>
      </c>
      <c r="Q976">
        <v>2846</v>
      </c>
      <c r="R976">
        <v>316.92</v>
      </c>
      <c r="S976">
        <v>3162.92</v>
      </c>
      <c r="T976">
        <v>260</v>
      </c>
      <c r="U976">
        <f>SUMIF(货件明细!J:J,E976,货件明细!AP:AP)</f>
        <v>260</v>
      </c>
      <c r="V976">
        <f>IF(U976=T976,0,1)</f>
        <v>0</v>
      </c>
      <c r="W976">
        <f>T976</f>
        <v>260</v>
      </c>
      <c r="X976">
        <f>SUMIF(货件明细!J:J,E976,货件明细!H:H)</f>
        <v>59.78</v>
      </c>
      <c r="Y976">
        <f>N976-X976</f>
        <v>4.07000000000001</v>
      </c>
      <c r="Z976">
        <f>SUMIF(货件明细!J:J,E976,货件明细!I:I)</f>
        <v>3162.92</v>
      </c>
      <c r="AA976">
        <f>IF(S976=Z976,0,1)</f>
        <v>0</v>
      </c>
    </row>
    <row r="977" spans="1:27">
      <c r="A977">
        <v>2</v>
      </c>
      <c r="B977">
        <v>7</v>
      </c>
      <c r="C977" s="3">
        <v>46063</v>
      </c>
      <c r="D977" t="s">
        <v>27</v>
      </c>
      <c r="E977" t="s">
        <v>1090</v>
      </c>
      <c r="F977" t="s">
        <v>29</v>
      </c>
      <c r="G977" t="s">
        <v>30</v>
      </c>
      <c r="H977" t="s">
        <v>224</v>
      </c>
      <c r="I977" t="s">
        <v>32</v>
      </c>
      <c r="J977" t="s">
        <v>32</v>
      </c>
      <c r="K977" t="s">
        <v>33</v>
      </c>
      <c r="L977" t="s">
        <v>323</v>
      </c>
      <c r="M977" t="s">
        <v>47</v>
      </c>
      <c r="N977">
        <v>13.44</v>
      </c>
      <c r="O977">
        <v>30</v>
      </c>
      <c r="P977">
        <v>572</v>
      </c>
      <c r="Q977">
        <v>602</v>
      </c>
      <c r="R977">
        <v>122.32</v>
      </c>
      <c r="S977">
        <v>724.32</v>
      </c>
      <c r="T977">
        <v>110</v>
      </c>
      <c r="U977">
        <f>SUMIF(货件明细!J:J,E977,货件明细!AP:AP)</f>
        <v>110</v>
      </c>
      <c r="V977">
        <f>IF(U977=T977,0,1)</f>
        <v>0</v>
      </c>
      <c r="W977">
        <f>T977</f>
        <v>110</v>
      </c>
      <c r="X977">
        <f>SUMIF(货件明细!J:J,E977,货件明细!H:H)</f>
        <v>12.26</v>
      </c>
      <c r="Y977">
        <f>N977-X977</f>
        <v>1.18</v>
      </c>
      <c r="Z977">
        <f>SUMIF(货件明细!J:J,E977,货件明细!I:I)</f>
        <v>724.32</v>
      </c>
      <c r="AA977">
        <f>IF(S977=Z977,0,1)</f>
        <v>0</v>
      </c>
    </row>
    <row r="978" spans="1:27">
      <c r="A978">
        <v>2</v>
      </c>
      <c r="B978">
        <v>7</v>
      </c>
      <c r="C978" s="3">
        <v>46063</v>
      </c>
      <c r="D978" t="s">
        <v>27</v>
      </c>
      <c r="E978" t="s">
        <v>1091</v>
      </c>
      <c r="F978" t="s">
        <v>29</v>
      </c>
      <c r="G978" t="s">
        <v>30</v>
      </c>
      <c r="H978" t="s">
        <v>31</v>
      </c>
      <c r="I978" t="s">
        <v>32</v>
      </c>
      <c r="J978" t="s">
        <v>32</v>
      </c>
      <c r="K978" t="s">
        <v>33</v>
      </c>
      <c r="L978" t="s">
        <v>323</v>
      </c>
      <c r="M978" t="s">
        <v>47</v>
      </c>
      <c r="N978">
        <v>45</v>
      </c>
      <c r="O978">
        <v>30</v>
      </c>
      <c r="P978">
        <v>1980</v>
      </c>
      <c r="Q978">
        <v>2010</v>
      </c>
      <c r="R978">
        <v>400.32</v>
      </c>
      <c r="S978">
        <v>2410.32</v>
      </c>
      <c r="T978">
        <v>300</v>
      </c>
      <c r="U978">
        <f>SUMIF(货件明细!J:J,E978,货件明细!AP:AP)</f>
        <v>300</v>
      </c>
      <c r="V978">
        <f>IF(U978=T978,0,1)</f>
        <v>0</v>
      </c>
      <c r="W978">
        <f>T978</f>
        <v>300</v>
      </c>
      <c r="X978">
        <f>SUMIF(货件明细!J:J,E978,货件明细!H:H)</f>
        <v>42.73</v>
      </c>
      <c r="Y978">
        <f>N978-X978</f>
        <v>2.27</v>
      </c>
      <c r="Z978">
        <f>SUMIF(货件明细!J:J,E978,货件明细!I:I)</f>
        <v>2410.32</v>
      </c>
      <c r="AA978">
        <f>IF(S978=Z978,0,1)</f>
        <v>0</v>
      </c>
    </row>
    <row r="979" spans="1:27">
      <c r="A979">
        <v>2</v>
      </c>
      <c r="B979">
        <v>7</v>
      </c>
      <c r="C979" s="3">
        <v>46063</v>
      </c>
      <c r="D979" t="s">
        <v>27</v>
      </c>
      <c r="E979" t="s">
        <v>1092</v>
      </c>
      <c r="F979" t="s">
        <v>29</v>
      </c>
      <c r="G979" t="s">
        <v>30</v>
      </c>
      <c r="H979" t="s">
        <v>56</v>
      </c>
      <c r="I979" t="s">
        <v>32</v>
      </c>
      <c r="J979" t="s">
        <v>32</v>
      </c>
      <c r="K979" t="s">
        <v>33</v>
      </c>
      <c r="L979" t="s">
        <v>323</v>
      </c>
      <c r="M979" t="s">
        <v>47</v>
      </c>
      <c r="N979">
        <v>74.1</v>
      </c>
      <c r="O979">
        <v>30</v>
      </c>
      <c r="P979">
        <v>3256</v>
      </c>
      <c r="Q979">
        <v>3286</v>
      </c>
      <c r="R979">
        <v>490.67</v>
      </c>
      <c r="S979">
        <v>3776.67</v>
      </c>
      <c r="T979">
        <v>410</v>
      </c>
      <c r="U979">
        <f>SUMIF(货件明细!J:J,E979,货件明细!AP:AP)</f>
        <v>410</v>
      </c>
      <c r="V979">
        <f>IF(U979=T979,0,1)</f>
        <v>0</v>
      </c>
      <c r="W979">
        <f>T979</f>
        <v>410</v>
      </c>
      <c r="X979">
        <f>SUMIF(货件明细!J:J,E979,货件明细!H:H)</f>
        <v>68.99</v>
      </c>
      <c r="Y979">
        <f>N979-X979</f>
        <v>5.10999999999999</v>
      </c>
      <c r="Z979">
        <f>SUMIF(货件明细!J:J,E979,货件明细!I:I)</f>
        <v>3776.67</v>
      </c>
      <c r="AA979">
        <f>IF(S979=Z979,0,1)</f>
        <v>0</v>
      </c>
    </row>
    <row r="980" spans="1:27">
      <c r="A980">
        <v>2</v>
      </c>
      <c r="B980">
        <v>7</v>
      </c>
      <c r="C980" s="3">
        <v>46063</v>
      </c>
      <c r="D980" t="s">
        <v>27</v>
      </c>
      <c r="E980" t="s">
        <v>1093</v>
      </c>
      <c r="F980" t="s">
        <v>29</v>
      </c>
      <c r="G980" t="s">
        <v>30</v>
      </c>
      <c r="H980" t="s">
        <v>59</v>
      </c>
      <c r="I980" t="s">
        <v>32</v>
      </c>
      <c r="J980" t="s">
        <v>32</v>
      </c>
      <c r="K980" t="s">
        <v>33</v>
      </c>
      <c r="L980" t="s">
        <v>323</v>
      </c>
      <c r="M980" t="s">
        <v>47</v>
      </c>
      <c r="N980">
        <v>60.75</v>
      </c>
      <c r="O980">
        <v>30</v>
      </c>
      <c r="P980">
        <v>2684</v>
      </c>
      <c r="Q980">
        <v>2714</v>
      </c>
      <c r="R980">
        <v>439.24</v>
      </c>
      <c r="S980">
        <v>3153.24</v>
      </c>
      <c r="T980">
        <v>280</v>
      </c>
      <c r="U980">
        <f>SUMIF(货件明细!J:J,E980,货件明细!AP:AP)</f>
        <v>280</v>
      </c>
      <c r="V980">
        <f>IF(U980=T980,0,1)</f>
        <v>0</v>
      </c>
      <c r="W980">
        <f>T980</f>
        <v>280</v>
      </c>
      <c r="X980">
        <f>SUMIF(货件明细!J:J,E980,货件明细!H:H)</f>
        <v>58.22</v>
      </c>
      <c r="Y980">
        <f>N980-X980</f>
        <v>2.53</v>
      </c>
      <c r="Z980">
        <f>SUMIF(货件明细!J:J,E980,货件明细!I:I)</f>
        <v>3153.24</v>
      </c>
      <c r="AA980">
        <f>IF(S980=Z980,0,1)</f>
        <v>0</v>
      </c>
    </row>
    <row r="981" spans="1:27">
      <c r="A981">
        <v>2</v>
      </c>
      <c r="B981">
        <v>7</v>
      </c>
      <c r="C981" s="3">
        <v>46063</v>
      </c>
      <c r="D981" t="s">
        <v>27</v>
      </c>
      <c r="E981" t="s">
        <v>1094</v>
      </c>
      <c r="F981" t="s">
        <v>29</v>
      </c>
      <c r="G981" t="s">
        <v>30</v>
      </c>
      <c r="H981" t="s">
        <v>37</v>
      </c>
      <c r="I981" t="s">
        <v>32</v>
      </c>
      <c r="J981" t="s">
        <v>32</v>
      </c>
      <c r="K981" t="s">
        <v>33</v>
      </c>
      <c r="L981" t="s">
        <v>323</v>
      </c>
      <c r="M981" t="s">
        <v>47</v>
      </c>
      <c r="N981">
        <v>14.95</v>
      </c>
      <c r="O981">
        <v>30</v>
      </c>
      <c r="P981">
        <v>660</v>
      </c>
      <c r="Q981">
        <v>690</v>
      </c>
      <c r="R981">
        <v>133.44</v>
      </c>
      <c r="S981">
        <v>823.44</v>
      </c>
      <c r="T981">
        <v>120</v>
      </c>
      <c r="U981">
        <f>SUMIF(货件明细!J:J,E981,货件明细!AP:AP)</f>
        <v>120</v>
      </c>
      <c r="V981">
        <f>IF(U981=T981,0,1)</f>
        <v>0</v>
      </c>
      <c r="W981">
        <f>T981</f>
        <v>120</v>
      </c>
      <c r="X981">
        <f>SUMIF(货件明细!J:J,E981,货件明细!H:H)</f>
        <v>14.2</v>
      </c>
      <c r="Y981">
        <f>N981-X981</f>
        <v>0.75</v>
      </c>
      <c r="Z981">
        <f>SUMIF(货件明细!J:J,E981,货件明细!I:I)</f>
        <v>823.44</v>
      </c>
      <c r="AA981">
        <f>IF(S981=Z981,0,1)</f>
        <v>0</v>
      </c>
    </row>
    <row r="982" spans="1:27">
      <c r="A982">
        <v>2</v>
      </c>
      <c r="B982">
        <v>7</v>
      </c>
      <c r="C982" s="3">
        <v>46063</v>
      </c>
      <c r="D982" t="s">
        <v>27</v>
      </c>
      <c r="E982" t="s">
        <v>1095</v>
      </c>
      <c r="F982" t="s">
        <v>29</v>
      </c>
      <c r="G982" t="s">
        <v>30</v>
      </c>
      <c r="H982" t="s">
        <v>78</v>
      </c>
      <c r="I982" t="s">
        <v>32</v>
      </c>
      <c r="J982" t="s">
        <v>32</v>
      </c>
      <c r="K982" t="s">
        <v>33</v>
      </c>
      <c r="L982" t="s">
        <v>323</v>
      </c>
      <c r="M982" t="s">
        <v>47</v>
      </c>
      <c r="N982">
        <v>55.75</v>
      </c>
      <c r="O982">
        <v>30</v>
      </c>
      <c r="P982">
        <v>2420</v>
      </c>
      <c r="Q982">
        <v>2450</v>
      </c>
      <c r="R982">
        <v>556</v>
      </c>
      <c r="S982">
        <v>3006</v>
      </c>
      <c r="T982">
        <v>500</v>
      </c>
      <c r="U982">
        <f>SUMIF(货件明细!J:J,E982,货件明细!AP:AP)</f>
        <v>500</v>
      </c>
      <c r="V982">
        <f>IF(U982=T982,0,1)</f>
        <v>0</v>
      </c>
      <c r="W982">
        <f>T982</f>
        <v>500</v>
      </c>
      <c r="X982">
        <f>SUMIF(货件明细!J:J,E982,货件明细!H:H)</f>
        <v>54.44</v>
      </c>
      <c r="Y982">
        <f>N982-X982</f>
        <v>1.31</v>
      </c>
      <c r="Z982">
        <f>SUMIF(货件明细!J:J,E982,货件明细!I:I)</f>
        <v>3006</v>
      </c>
      <c r="AA982">
        <f>IF(S982=Z982,0,1)</f>
        <v>0</v>
      </c>
    </row>
    <row r="983" spans="1:27">
      <c r="A983">
        <v>2</v>
      </c>
      <c r="B983">
        <v>7</v>
      </c>
      <c r="C983" s="3">
        <v>46063</v>
      </c>
      <c r="D983" t="s">
        <v>27</v>
      </c>
      <c r="E983" t="s">
        <v>1096</v>
      </c>
      <c r="F983" t="s">
        <v>68</v>
      </c>
      <c r="G983" t="s">
        <v>69</v>
      </c>
      <c r="H983" t="s">
        <v>37</v>
      </c>
      <c r="I983" t="s">
        <v>32</v>
      </c>
      <c r="J983" t="s">
        <v>32</v>
      </c>
      <c r="K983" t="s">
        <v>33</v>
      </c>
      <c r="L983" t="s">
        <v>323</v>
      </c>
      <c r="M983" t="s">
        <v>47</v>
      </c>
      <c r="N983">
        <v>28.4</v>
      </c>
      <c r="O983">
        <v>100</v>
      </c>
      <c r="P983">
        <v>1421</v>
      </c>
      <c r="Q983">
        <v>1521</v>
      </c>
      <c r="R983">
        <v>0</v>
      </c>
      <c r="S983">
        <v>1521</v>
      </c>
      <c r="T983">
        <v>194</v>
      </c>
      <c r="U983">
        <f>SUMIF(货件明细!J:J,E983,货件明细!AP:AP)</f>
        <v>194</v>
      </c>
      <c r="V983">
        <f>IF(U983=T983,0,1)</f>
        <v>0</v>
      </c>
      <c r="W983">
        <f>T983</f>
        <v>194</v>
      </c>
      <c r="X983">
        <f>SUMIF(货件明细!J:J,E983,货件明细!H:H)</f>
        <v>25.882</v>
      </c>
      <c r="Y983">
        <f>N983-X983</f>
        <v>2.518</v>
      </c>
      <c r="Z983">
        <f>SUMIF(货件明细!J:J,E983,货件明细!I:I)</f>
        <v>1521</v>
      </c>
      <c r="AA983">
        <f>IF(S983=Z983,0,1)</f>
        <v>0</v>
      </c>
    </row>
    <row r="984" spans="1:27">
      <c r="A984">
        <v>2</v>
      </c>
      <c r="B984">
        <v>7</v>
      </c>
      <c r="C984" s="3">
        <v>46063</v>
      </c>
      <c r="D984" t="s">
        <v>27</v>
      </c>
      <c r="E984" t="s">
        <v>1097</v>
      </c>
      <c r="F984" t="s">
        <v>195</v>
      </c>
      <c r="G984" t="s">
        <v>30</v>
      </c>
      <c r="H984" t="s">
        <v>37</v>
      </c>
      <c r="I984" t="s">
        <v>32</v>
      </c>
      <c r="J984" t="s">
        <v>32</v>
      </c>
      <c r="K984" t="s">
        <v>33</v>
      </c>
      <c r="L984" t="s">
        <v>323</v>
      </c>
      <c r="M984" t="s">
        <v>47</v>
      </c>
      <c r="N984">
        <v>28.1</v>
      </c>
      <c r="O984">
        <v>100</v>
      </c>
      <c r="P984">
        <v>1372</v>
      </c>
      <c r="Q984">
        <v>1472</v>
      </c>
      <c r="R984">
        <v>0</v>
      </c>
      <c r="S984">
        <v>1472</v>
      </c>
      <c r="T984">
        <v>192</v>
      </c>
      <c r="U984">
        <f>SUMIF(货件明细!J:J,E984,货件明细!AP:AP)</f>
        <v>192</v>
      </c>
      <c r="V984">
        <f>IF(U984=T984,0,1)</f>
        <v>0</v>
      </c>
      <c r="W984">
        <f>T984</f>
        <v>192</v>
      </c>
      <c r="X984">
        <f>SUMIF(货件明细!J:J,E984,货件明细!H:H)</f>
        <v>25.631</v>
      </c>
      <c r="Y984">
        <f>N984-X984</f>
        <v>2.469</v>
      </c>
      <c r="Z984">
        <f>SUMIF(货件明细!J:J,E984,货件明细!I:I)</f>
        <v>1472</v>
      </c>
      <c r="AA984">
        <f>IF(S984=Z984,0,1)</f>
        <v>0</v>
      </c>
    </row>
    <row r="985" spans="1:27">
      <c r="A985">
        <v>2</v>
      </c>
      <c r="B985">
        <v>7</v>
      </c>
      <c r="C985" s="3">
        <v>46063</v>
      </c>
      <c r="D985" t="s">
        <v>27</v>
      </c>
      <c r="E985" t="s">
        <v>1098</v>
      </c>
      <c r="F985" t="s">
        <v>62</v>
      </c>
      <c r="G985" t="s">
        <v>30</v>
      </c>
      <c r="H985" t="s">
        <v>37</v>
      </c>
      <c r="I985" t="s">
        <v>32</v>
      </c>
      <c r="J985" t="s">
        <v>32</v>
      </c>
      <c r="K985" t="s">
        <v>33</v>
      </c>
      <c r="L985" t="s">
        <v>323</v>
      </c>
      <c r="M985" t="s">
        <v>47</v>
      </c>
      <c r="N985">
        <v>28.4</v>
      </c>
      <c r="O985">
        <v>100</v>
      </c>
      <c r="P985">
        <v>1421</v>
      </c>
      <c r="Q985">
        <v>1521</v>
      </c>
      <c r="R985">
        <v>0</v>
      </c>
      <c r="S985">
        <v>1521</v>
      </c>
      <c r="T985">
        <v>194</v>
      </c>
      <c r="U985">
        <f>SUMIF(货件明细!J:J,E985,货件明细!AP:AP)</f>
        <v>194</v>
      </c>
      <c r="V985">
        <f>IF(U985=T985,0,1)</f>
        <v>0</v>
      </c>
      <c r="W985">
        <f>T985</f>
        <v>194</v>
      </c>
      <c r="X985">
        <f>SUMIF(货件明细!J:J,E985,货件明细!H:H)</f>
        <v>25.882</v>
      </c>
      <c r="Y985">
        <f>N985-X985</f>
        <v>2.518</v>
      </c>
      <c r="Z985">
        <f>SUMIF(货件明细!J:J,E985,货件明细!I:I)</f>
        <v>1521</v>
      </c>
      <c r="AA985">
        <f>IF(S985=Z985,0,1)</f>
        <v>0</v>
      </c>
    </row>
    <row r="986" spans="1:27">
      <c r="A986">
        <v>2</v>
      </c>
      <c r="B986">
        <v>7</v>
      </c>
      <c r="C986" s="3">
        <v>46063</v>
      </c>
      <c r="D986" t="s">
        <v>27</v>
      </c>
      <c r="E986" t="s">
        <v>1099</v>
      </c>
      <c r="F986" t="s">
        <v>76</v>
      </c>
      <c r="G986" t="s">
        <v>72</v>
      </c>
      <c r="H986" t="s">
        <v>37</v>
      </c>
      <c r="I986" t="s">
        <v>32</v>
      </c>
      <c r="J986" t="s">
        <v>32</v>
      </c>
      <c r="K986" t="s">
        <v>33</v>
      </c>
      <c r="L986" t="s">
        <v>323</v>
      </c>
      <c r="M986" t="s">
        <v>47</v>
      </c>
      <c r="N986">
        <v>28.4</v>
      </c>
      <c r="O986">
        <v>150</v>
      </c>
      <c r="P986">
        <v>1392</v>
      </c>
      <c r="Q986">
        <v>1542</v>
      </c>
      <c r="R986">
        <v>0</v>
      </c>
      <c r="S986">
        <v>1542</v>
      </c>
      <c r="T986">
        <v>194</v>
      </c>
      <c r="U986">
        <f>SUMIF(货件明细!J:J,E986,货件明细!AP:AP)</f>
        <v>194</v>
      </c>
      <c r="V986">
        <f>IF(U986=T986,0,1)</f>
        <v>0</v>
      </c>
      <c r="W986">
        <f>T986</f>
        <v>194</v>
      </c>
      <c r="X986">
        <f>SUMIF(货件明细!J:J,E986,货件明细!H:H)</f>
        <v>25.882</v>
      </c>
      <c r="Y986">
        <f>N986-X986</f>
        <v>2.518</v>
      </c>
      <c r="Z986">
        <f>SUMIF(货件明细!J:J,E986,货件明细!I:I)</f>
        <v>1542</v>
      </c>
      <c r="AA986">
        <f>IF(S986=Z986,0,1)</f>
        <v>0</v>
      </c>
    </row>
    <row r="987" spans="1:27">
      <c r="A987">
        <v>2</v>
      </c>
      <c r="B987">
        <v>7</v>
      </c>
      <c r="C987" s="3">
        <v>46063</v>
      </c>
      <c r="D987" t="s">
        <v>27</v>
      </c>
      <c r="E987" t="s">
        <v>1100</v>
      </c>
      <c r="F987" t="s">
        <v>71</v>
      </c>
      <c r="G987" t="s">
        <v>72</v>
      </c>
      <c r="H987" t="s">
        <v>37</v>
      </c>
      <c r="I987" t="s">
        <v>32</v>
      </c>
      <c r="J987" t="s">
        <v>32</v>
      </c>
      <c r="K987" t="s">
        <v>33</v>
      </c>
      <c r="L987" t="s">
        <v>323</v>
      </c>
      <c r="M987" t="s">
        <v>47</v>
      </c>
      <c r="N987">
        <v>28.4</v>
      </c>
      <c r="O987">
        <v>150</v>
      </c>
      <c r="P987">
        <v>1392</v>
      </c>
      <c r="Q987">
        <v>1542</v>
      </c>
      <c r="R987">
        <v>0</v>
      </c>
      <c r="S987">
        <v>1542</v>
      </c>
      <c r="T987">
        <v>194</v>
      </c>
      <c r="U987">
        <f>SUMIF(货件明细!J:J,E987,货件明细!AP:AP)</f>
        <v>194</v>
      </c>
      <c r="V987">
        <f>IF(U987=T987,0,1)</f>
        <v>0</v>
      </c>
      <c r="W987">
        <f>T987</f>
        <v>194</v>
      </c>
      <c r="X987">
        <f>SUMIF(货件明细!J:J,E987,货件明细!H:H)</f>
        <v>25.882</v>
      </c>
      <c r="Y987">
        <f>N987-X987</f>
        <v>2.518</v>
      </c>
      <c r="Z987">
        <f>SUMIF(货件明细!J:J,E987,货件明细!I:I)</f>
        <v>1542</v>
      </c>
      <c r="AA987">
        <f>IF(S987=Z987,0,1)</f>
        <v>0</v>
      </c>
    </row>
    <row r="988" hidden="1" spans="1:27">
      <c r="A988">
        <v>2</v>
      </c>
      <c r="B988">
        <v>7</v>
      </c>
      <c r="C988" s="3">
        <v>46063</v>
      </c>
      <c r="D988" t="s">
        <v>88</v>
      </c>
      <c r="E988" t="s">
        <v>1101</v>
      </c>
      <c r="F988" t="s">
        <v>211</v>
      </c>
      <c r="G988" t="s">
        <v>72</v>
      </c>
      <c r="H988" t="s">
        <v>56</v>
      </c>
      <c r="I988" t="s">
        <v>63</v>
      </c>
      <c r="J988" t="s">
        <v>63</v>
      </c>
      <c r="K988" t="s">
        <v>64</v>
      </c>
      <c r="L988" t="s">
        <v>65</v>
      </c>
      <c r="M988" t="s">
        <v>455</v>
      </c>
      <c r="N988">
        <v>65.75</v>
      </c>
      <c r="O988">
        <v>180</v>
      </c>
      <c r="P988">
        <v>214.65</v>
      </c>
      <c r="Q988">
        <v>394.65</v>
      </c>
      <c r="R988">
        <v>0</v>
      </c>
      <c r="S988">
        <v>394.65</v>
      </c>
      <c r="T988">
        <v>160</v>
      </c>
      <c r="U988">
        <f>SUMIF(货件明细!J:J,E988,货件明细!AP:AP)</f>
        <v>0</v>
      </c>
      <c r="V988">
        <f>IF(U988=T988,0,1)</f>
        <v>1</v>
      </c>
      <c r="W988">
        <f>T988</f>
        <v>160</v>
      </c>
      <c r="X988">
        <f>SUMIF(货件明细!J:J,E988,货件明细!H:H)</f>
        <v>0</v>
      </c>
      <c r="Y988">
        <f>N988-X988</f>
        <v>65.75</v>
      </c>
      <c r="Z988">
        <f>SUMIF(货件明细!J:J,E988,货件明细!I:I)</f>
        <v>0</v>
      </c>
      <c r="AA988">
        <f>IF(S988=Z988,0,1)</f>
        <v>1</v>
      </c>
    </row>
    <row r="989" hidden="1" spans="1:27">
      <c r="A989">
        <v>2</v>
      </c>
      <c r="B989">
        <v>7</v>
      </c>
      <c r="C989" s="3">
        <v>46063</v>
      </c>
      <c r="D989" t="s">
        <v>88</v>
      </c>
      <c r="E989" t="s">
        <v>1102</v>
      </c>
      <c r="F989" t="s">
        <v>211</v>
      </c>
      <c r="G989" t="s">
        <v>72</v>
      </c>
      <c r="H989" t="s">
        <v>78</v>
      </c>
      <c r="I989" t="s">
        <v>63</v>
      </c>
      <c r="J989" t="s">
        <v>63</v>
      </c>
      <c r="K989" t="s">
        <v>64</v>
      </c>
      <c r="L989" t="s">
        <v>65</v>
      </c>
      <c r="M989" t="s">
        <v>66</v>
      </c>
      <c r="N989">
        <v>89.05</v>
      </c>
      <c r="O989">
        <v>20.625</v>
      </c>
      <c r="P989">
        <v>298.941176470588</v>
      </c>
      <c r="Q989">
        <v>319.566176470588</v>
      </c>
      <c r="R989">
        <v>0</v>
      </c>
      <c r="S989">
        <v>319.566176470588</v>
      </c>
      <c r="T989">
        <v>560</v>
      </c>
      <c r="U989">
        <f>SUMIF(货件明细!J:J,E989,货件明细!AP:AP)</f>
        <v>0</v>
      </c>
      <c r="V989">
        <f>IF(U989=T989,0,1)</f>
        <v>1</v>
      </c>
      <c r="W989">
        <f>T989</f>
        <v>560</v>
      </c>
      <c r="X989">
        <f>SUMIF(货件明细!J:J,E989,货件明细!H:H)</f>
        <v>0</v>
      </c>
      <c r="Y989">
        <f>N989-X989</f>
        <v>89.05</v>
      </c>
      <c r="Z989">
        <f>SUMIF(货件明细!J:J,E989,货件明细!I:I)</f>
        <v>0</v>
      </c>
      <c r="AA989">
        <f>IF(S989=Z989,0,1)</f>
        <v>1</v>
      </c>
    </row>
    <row r="990" hidden="1" spans="1:27">
      <c r="A990">
        <v>2</v>
      </c>
      <c r="B990">
        <v>7</v>
      </c>
      <c r="C990" s="3">
        <v>46063</v>
      </c>
      <c r="D990" t="s">
        <v>88</v>
      </c>
      <c r="E990" t="s">
        <v>1103</v>
      </c>
      <c r="F990" t="s">
        <v>211</v>
      </c>
      <c r="G990" t="s">
        <v>72</v>
      </c>
      <c r="H990" t="s">
        <v>31</v>
      </c>
      <c r="I990" t="s">
        <v>63</v>
      </c>
      <c r="J990" t="s">
        <v>63</v>
      </c>
      <c r="K990" t="s">
        <v>64</v>
      </c>
      <c r="L990" t="s">
        <v>65</v>
      </c>
      <c r="M990" t="s">
        <v>66</v>
      </c>
      <c r="N990">
        <v>158.61</v>
      </c>
      <c r="O990">
        <v>20.625</v>
      </c>
      <c r="P990">
        <v>336.308823529412</v>
      </c>
      <c r="Q990">
        <v>356.933823529412</v>
      </c>
      <c r="R990">
        <v>0</v>
      </c>
      <c r="S990">
        <v>356.933823529412</v>
      </c>
      <c r="T990">
        <v>360</v>
      </c>
      <c r="U990">
        <f>SUMIF(货件明细!J:J,E990,货件明细!AP:AP)</f>
        <v>0</v>
      </c>
      <c r="V990">
        <f>IF(U990=T990,0,1)</f>
        <v>1</v>
      </c>
      <c r="W990">
        <f>T990</f>
        <v>360</v>
      </c>
      <c r="X990">
        <f>SUMIF(货件明细!J:J,E990,货件明细!H:H)</f>
        <v>0</v>
      </c>
      <c r="Y990">
        <f>N990-X990</f>
        <v>158.61</v>
      </c>
      <c r="Z990">
        <f>SUMIF(货件明细!J:J,E990,货件明细!I:I)</f>
        <v>0</v>
      </c>
      <c r="AA990">
        <f>IF(S990=Z990,0,1)</f>
        <v>1</v>
      </c>
    </row>
    <row r="991" hidden="1" spans="1:27">
      <c r="A991">
        <v>2</v>
      </c>
      <c r="B991">
        <v>7</v>
      </c>
      <c r="C991" s="3">
        <v>46063</v>
      </c>
      <c r="D991" t="s">
        <v>27</v>
      </c>
      <c r="E991" t="s">
        <v>1104</v>
      </c>
      <c r="F991" t="s">
        <v>185</v>
      </c>
      <c r="G991" t="s">
        <v>30</v>
      </c>
      <c r="H991" t="s">
        <v>59</v>
      </c>
      <c r="I991" t="s">
        <v>63</v>
      </c>
      <c r="J991" t="s">
        <v>63</v>
      </c>
      <c r="K991" t="s">
        <v>64</v>
      </c>
      <c r="L991" t="s">
        <v>65</v>
      </c>
      <c r="M991" t="s">
        <v>66</v>
      </c>
      <c r="N991">
        <v>32.55</v>
      </c>
      <c r="O991">
        <v>41.25</v>
      </c>
      <c r="P991">
        <v>193.92</v>
      </c>
      <c r="Q991">
        <v>235.17</v>
      </c>
      <c r="R991">
        <v>0</v>
      </c>
      <c r="S991">
        <v>235.17</v>
      </c>
      <c r="T991">
        <v>178</v>
      </c>
      <c r="U991">
        <f>SUMIF(货件明细!J:J,E991,货件明细!AP:AP)</f>
        <v>0</v>
      </c>
      <c r="V991">
        <f>IF(U991=T991,0,1)</f>
        <v>1</v>
      </c>
      <c r="W991">
        <f>T991</f>
        <v>178</v>
      </c>
      <c r="X991">
        <f>SUMIF(货件明细!J:J,E991,货件明细!H:H)</f>
        <v>0</v>
      </c>
      <c r="Y991">
        <f>N991-X991</f>
        <v>32.55</v>
      </c>
      <c r="Z991">
        <f>SUMIF(货件明细!J:J,E991,货件明细!I:I)</f>
        <v>0</v>
      </c>
      <c r="AA991">
        <f>IF(S991=Z991,0,1)</f>
        <v>1</v>
      </c>
    </row>
    <row r="992" hidden="1" spans="1:27">
      <c r="A992">
        <v>2</v>
      </c>
      <c r="B992">
        <v>7</v>
      </c>
      <c r="C992" s="3">
        <v>46063</v>
      </c>
      <c r="D992" t="s">
        <v>27</v>
      </c>
      <c r="E992" t="s">
        <v>1105</v>
      </c>
      <c r="F992" t="s">
        <v>141</v>
      </c>
      <c r="G992" t="s">
        <v>69</v>
      </c>
      <c r="H992" t="s">
        <v>59</v>
      </c>
      <c r="I992" t="s">
        <v>63</v>
      </c>
      <c r="J992" t="s">
        <v>63</v>
      </c>
      <c r="K992" t="s">
        <v>64</v>
      </c>
      <c r="L992" t="s">
        <v>65</v>
      </c>
      <c r="M992" t="s">
        <v>66</v>
      </c>
      <c r="N992">
        <v>32.55</v>
      </c>
      <c r="O992">
        <v>25.3846153846154</v>
      </c>
      <c r="P992">
        <v>165.75</v>
      </c>
      <c r="Q992">
        <v>191.134615384615</v>
      </c>
      <c r="R992">
        <v>0</v>
      </c>
      <c r="S992">
        <v>191.134615384615</v>
      </c>
      <c r="T992">
        <v>178</v>
      </c>
      <c r="U992">
        <f>SUMIF(货件明细!J:J,E992,货件明细!AP:AP)</f>
        <v>0</v>
      </c>
      <c r="V992">
        <f>IF(U992=T992,0,1)</f>
        <v>1</v>
      </c>
      <c r="W992">
        <f>T992</f>
        <v>178</v>
      </c>
      <c r="X992">
        <f>SUMIF(货件明细!J:J,E992,货件明细!H:H)</f>
        <v>0</v>
      </c>
      <c r="Y992">
        <f>N992-X992</f>
        <v>32.55</v>
      </c>
      <c r="Z992">
        <f>SUMIF(货件明细!J:J,E992,货件明细!I:I)</f>
        <v>0</v>
      </c>
      <c r="AA992">
        <f>IF(S992=Z992,0,1)</f>
        <v>1</v>
      </c>
    </row>
    <row r="993" hidden="1" spans="1:27">
      <c r="A993">
        <v>2</v>
      </c>
      <c r="B993">
        <v>7</v>
      </c>
      <c r="C993" s="3">
        <v>46063</v>
      </c>
      <c r="D993" t="s">
        <v>27</v>
      </c>
      <c r="E993" t="s">
        <v>1106</v>
      </c>
      <c r="F993" t="s">
        <v>250</v>
      </c>
      <c r="G993" t="s">
        <v>72</v>
      </c>
      <c r="H993" t="s">
        <v>59</v>
      </c>
      <c r="I993" t="s">
        <v>63</v>
      </c>
      <c r="J993" t="s">
        <v>63</v>
      </c>
      <c r="K993" t="s">
        <v>64</v>
      </c>
      <c r="L993" t="s">
        <v>65</v>
      </c>
      <c r="M993" t="s">
        <v>66</v>
      </c>
      <c r="N993">
        <v>32.55</v>
      </c>
      <c r="O993">
        <v>20.625</v>
      </c>
      <c r="P993">
        <v>119.56</v>
      </c>
      <c r="Q993">
        <v>140.185</v>
      </c>
      <c r="R993">
        <v>0</v>
      </c>
      <c r="S993">
        <v>140.185</v>
      </c>
      <c r="T993">
        <v>178</v>
      </c>
      <c r="U993">
        <f>SUMIF(货件明细!J:J,E993,货件明细!AP:AP)</f>
        <v>0</v>
      </c>
      <c r="V993">
        <f>IF(U993=T993,0,1)</f>
        <v>1</v>
      </c>
      <c r="W993">
        <f>T993</f>
        <v>178</v>
      </c>
      <c r="X993">
        <f>SUMIF(货件明细!J:J,E993,货件明细!H:H)</f>
        <v>0</v>
      </c>
      <c r="Y993">
        <f>N993-X993</f>
        <v>32.55</v>
      </c>
      <c r="Z993">
        <f>SUMIF(货件明细!J:J,E993,货件明细!I:I)</f>
        <v>0</v>
      </c>
      <c r="AA993">
        <f>IF(S993=Z993,0,1)</f>
        <v>1</v>
      </c>
    </row>
    <row r="994" hidden="1" spans="1:27">
      <c r="A994">
        <v>2</v>
      </c>
      <c r="B994">
        <v>7</v>
      </c>
      <c r="C994" s="3">
        <v>46063</v>
      </c>
      <c r="D994" t="s">
        <v>27</v>
      </c>
      <c r="E994" t="s">
        <v>1107</v>
      </c>
      <c r="F994" t="s">
        <v>200</v>
      </c>
      <c r="G994" t="s">
        <v>30</v>
      </c>
      <c r="H994" t="s">
        <v>59</v>
      </c>
      <c r="I994" t="s">
        <v>63</v>
      </c>
      <c r="J994" t="s">
        <v>63</v>
      </c>
      <c r="K994" t="s">
        <v>64</v>
      </c>
      <c r="L994" t="s">
        <v>65</v>
      </c>
      <c r="M994" t="s">
        <v>664</v>
      </c>
      <c r="N994">
        <v>32.55</v>
      </c>
      <c r="O994">
        <v>41.25</v>
      </c>
      <c r="P994">
        <v>297.66</v>
      </c>
      <c r="Q994">
        <v>338.91</v>
      </c>
      <c r="R994">
        <v>0</v>
      </c>
      <c r="S994">
        <v>338.91</v>
      </c>
      <c r="T994">
        <v>178</v>
      </c>
      <c r="U994">
        <f>SUMIF(货件明细!J:J,E994,货件明细!AP:AP)</f>
        <v>0</v>
      </c>
      <c r="V994">
        <f>IF(U994=T994,0,1)</f>
        <v>1</v>
      </c>
      <c r="W994">
        <f>T994</f>
        <v>178</v>
      </c>
      <c r="X994">
        <f>SUMIF(货件明细!J:J,E994,货件明细!H:H)</f>
        <v>0</v>
      </c>
      <c r="Y994">
        <f>N994-X994</f>
        <v>32.55</v>
      </c>
      <c r="Z994">
        <f>SUMIF(货件明细!J:J,E994,货件明细!I:I)</f>
        <v>0</v>
      </c>
      <c r="AA994">
        <f>IF(S994=Z994,0,1)</f>
        <v>1</v>
      </c>
    </row>
    <row r="995" hidden="1" spans="1:27">
      <c r="A995">
        <v>2</v>
      </c>
      <c r="B995">
        <v>7</v>
      </c>
      <c r="C995" s="3">
        <v>46063</v>
      </c>
      <c r="D995" t="s">
        <v>27</v>
      </c>
      <c r="E995" t="s">
        <v>1108</v>
      </c>
      <c r="F995" t="s">
        <v>76</v>
      </c>
      <c r="G995" t="s">
        <v>72</v>
      </c>
      <c r="H995" t="s">
        <v>59</v>
      </c>
      <c r="I995" t="s">
        <v>63</v>
      </c>
      <c r="J995" t="s">
        <v>63</v>
      </c>
      <c r="K995" t="s">
        <v>64</v>
      </c>
      <c r="L995" t="s">
        <v>65</v>
      </c>
      <c r="M995" t="s">
        <v>66</v>
      </c>
      <c r="N995">
        <v>32.55</v>
      </c>
      <c r="O995">
        <v>20.625</v>
      </c>
      <c r="P995">
        <v>107.25</v>
      </c>
      <c r="Q995">
        <v>127.875</v>
      </c>
      <c r="R995">
        <v>0</v>
      </c>
      <c r="S995">
        <v>127.875</v>
      </c>
      <c r="T995">
        <v>178</v>
      </c>
      <c r="U995">
        <f>SUMIF(货件明细!J:J,E995,货件明细!AP:AP)</f>
        <v>0</v>
      </c>
      <c r="V995">
        <f>IF(U995=T995,0,1)</f>
        <v>1</v>
      </c>
      <c r="W995">
        <f>T995</f>
        <v>178</v>
      </c>
      <c r="X995">
        <f>SUMIF(货件明细!J:J,E995,货件明细!H:H)</f>
        <v>0</v>
      </c>
      <c r="Y995">
        <f>N995-X995</f>
        <v>32.55</v>
      </c>
      <c r="Z995">
        <f>SUMIF(货件明细!J:J,E995,货件明细!I:I)</f>
        <v>0</v>
      </c>
      <c r="AA995">
        <f>IF(S995=Z995,0,1)</f>
        <v>1</v>
      </c>
    </row>
    <row r="996" hidden="1" spans="1:27">
      <c r="A996">
        <v>2</v>
      </c>
      <c r="B996">
        <v>7</v>
      </c>
      <c r="C996" s="3">
        <v>46063</v>
      </c>
      <c r="D996" t="s">
        <v>27</v>
      </c>
      <c r="E996" t="s">
        <v>1109</v>
      </c>
      <c r="F996" t="s">
        <v>198</v>
      </c>
      <c r="G996" t="s">
        <v>69</v>
      </c>
      <c r="H996" t="s">
        <v>46</v>
      </c>
      <c r="I996" t="s">
        <v>63</v>
      </c>
      <c r="J996" t="s">
        <v>63</v>
      </c>
      <c r="K996" t="s">
        <v>64</v>
      </c>
      <c r="L996" t="s">
        <v>65</v>
      </c>
      <c r="M996" t="s">
        <v>66</v>
      </c>
      <c r="N996">
        <v>42.15</v>
      </c>
      <c r="O996">
        <v>25.3846153846154</v>
      </c>
      <c r="P996">
        <v>257.25</v>
      </c>
      <c r="Q996">
        <v>282.634615384615</v>
      </c>
      <c r="R996">
        <v>0</v>
      </c>
      <c r="S996">
        <v>282.634615384615</v>
      </c>
      <c r="T996">
        <v>90</v>
      </c>
      <c r="U996">
        <f>SUMIF(货件明细!J:J,E996,货件明细!AP:AP)</f>
        <v>0</v>
      </c>
      <c r="V996">
        <f>IF(U996=T996,0,1)</f>
        <v>1</v>
      </c>
      <c r="W996">
        <f>T996</f>
        <v>90</v>
      </c>
      <c r="X996">
        <f>SUMIF(货件明细!J:J,E996,货件明细!H:H)</f>
        <v>0</v>
      </c>
      <c r="Y996">
        <f>N996-X996</f>
        <v>42.15</v>
      </c>
      <c r="Z996">
        <f>SUMIF(货件明细!J:J,E996,货件明细!I:I)</f>
        <v>0</v>
      </c>
      <c r="AA996">
        <f>IF(S996=Z996,0,1)</f>
        <v>1</v>
      </c>
    </row>
    <row r="997" hidden="1" spans="1:27">
      <c r="A997">
        <v>2</v>
      </c>
      <c r="B997">
        <v>7</v>
      </c>
      <c r="C997" s="3">
        <v>46063</v>
      </c>
      <c r="D997" t="s">
        <v>27</v>
      </c>
      <c r="E997" t="s">
        <v>1110</v>
      </c>
      <c r="F997" t="s">
        <v>548</v>
      </c>
      <c r="G997" t="s">
        <v>72</v>
      </c>
      <c r="H997" t="s">
        <v>46</v>
      </c>
      <c r="I997" t="s">
        <v>63</v>
      </c>
      <c r="J997" t="s">
        <v>63</v>
      </c>
      <c r="K997" t="s">
        <v>64</v>
      </c>
      <c r="L997" t="s">
        <v>65</v>
      </c>
      <c r="M997" t="s">
        <v>66</v>
      </c>
      <c r="N997">
        <v>42.15</v>
      </c>
      <c r="O997">
        <v>20.625</v>
      </c>
      <c r="P997">
        <v>206.25</v>
      </c>
      <c r="Q997">
        <v>226.875</v>
      </c>
      <c r="R997">
        <v>0</v>
      </c>
      <c r="S997">
        <v>226.875</v>
      </c>
      <c r="T997">
        <v>90</v>
      </c>
      <c r="U997">
        <f>SUMIF(货件明细!J:J,E997,货件明细!AP:AP)</f>
        <v>0</v>
      </c>
      <c r="V997">
        <f>IF(U997=T997,0,1)</f>
        <v>1</v>
      </c>
      <c r="W997">
        <f>T997</f>
        <v>90</v>
      </c>
      <c r="X997">
        <f>SUMIF(货件明细!J:J,E997,货件明细!H:H)</f>
        <v>0</v>
      </c>
      <c r="Y997">
        <f>N997-X997</f>
        <v>42.15</v>
      </c>
      <c r="Z997">
        <f>SUMIF(货件明细!J:J,E997,货件明细!I:I)</f>
        <v>0</v>
      </c>
      <c r="AA997">
        <f>IF(S997=Z997,0,1)</f>
        <v>1</v>
      </c>
    </row>
    <row r="998" hidden="1" spans="1:27">
      <c r="A998">
        <v>2</v>
      </c>
      <c r="B998">
        <v>7</v>
      </c>
      <c r="C998" s="3">
        <v>46063</v>
      </c>
      <c r="D998" t="s">
        <v>27</v>
      </c>
      <c r="E998" t="s">
        <v>1111</v>
      </c>
      <c r="F998" t="s">
        <v>390</v>
      </c>
      <c r="G998" t="s">
        <v>30</v>
      </c>
      <c r="H998" t="s">
        <v>46</v>
      </c>
      <c r="I998" t="s">
        <v>63</v>
      </c>
      <c r="J998" t="s">
        <v>63</v>
      </c>
      <c r="K998" t="s">
        <v>64</v>
      </c>
      <c r="L998" t="s">
        <v>65</v>
      </c>
      <c r="M998" t="s">
        <v>664</v>
      </c>
      <c r="N998">
        <v>42.15</v>
      </c>
      <c r="O998">
        <v>41.25</v>
      </c>
      <c r="P998">
        <v>397.32</v>
      </c>
      <c r="Q998">
        <v>438.57</v>
      </c>
      <c r="R998">
        <v>0</v>
      </c>
      <c r="S998">
        <v>438.57</v>
      </c>
      <c r="T998">
        <v>90</v>
      </c>
      <c r="U998">
        <f>SUMIF(货件明细!J:J,E998,货件明细!AP:AP)</f>
        <v>0</v>
      </c>
      <c r="V998">
        <f>IF(U998=T998,0,1)</f>
        <v>1</v>
      </c>
      <c r="W998">
        <f>T998</f>
        <v>90</v>
      </c>
      <c r="X998">
        <f>SUMIF(货件明细!J:J,E998,货件明细!H:H)</f>
        <v>0</v>
      </c>
      <c r="Y998">
        <f>N998-X998</f>
        <v>42.15</v>
      </c>
      <c r="Z998">
        <f>SUMIF(货件明细!J:J,E998,货件明细!I:I)</f>
        <v>0</v>
      </c>
      <c r="AA998">
        <f>IF(S998=Z998,0,1)</f>
        <v>1</v>
      </c>
    </row>
    <row r="999" hidden="1" spans="1:27">
      <c r="A999">
        <v>2</v>
      </c>
      <c r="B999">
        <v>7</v>
      </c>
      <c r="C999" s="3">
        <v>46063</v>
      </c>
      <c r="D999" t="s">
        <v>27</v>
      </c>
      <c r="E999" t="s">
        <v>1112</v>
      </c>
      <c r="F999" t="s">
        <v>76</v>
      </c>
      <c r="G999" t="s">
        <v>72</v>
      </c>
      <c r="H999" t="s">
        <v>46</v>
      </c>
      <c r="I999" t="s">
        <v>63</v>
      </c>
      <c r="J999" t="s">
        <v>63</v>
      </c>
      <c r="K999" t="s">
        <v>64</v>
      </c>
      <c r="L999" t="s">
        <v>65</v>
      </c>
      <c r="M999" t="s">
        <v>66</v>
      </c>
      <c r="N999">
        <v>25.95</v>
      </c>
      <c r="O999">
        <v>20.625</v>
      </c>
      <c r="P999">
        <v>115.5</v>
      </c>
      <c r="Q999">
        <v>136.125</v>
      </c>
      <c r="R999">
        <v>0</v>
      </c>
      <c r="S999">
        <v>136.125</v>
      </c>
      <c r="T999">
        <v>60</v>
      </c>
      <c r="U999">
        <f>SUMIF(货件明细!J:J,E999,货件明细!AP:AP)</f>
        <v>0</v>
      </c>
      <c r="V999">
        <f>IF(U999=T999,0,1)</f>
        <v>1</v>
      </c>
      <c r="W999">
        <f>T999</f>
        <v>60</v>
      </c>
      <c r="X999">
        <f>SUMIF(货件明细!J:J,E999,货件明细!H:H)</f>
        <v>0</v>
      </c>
      <c r="Y999">
        <f>N999-X999</f>
        <v>25.95</v>
      </c>
      <c r="Z999">
        <f>SUMIF(货件明细!J:J,E999,货件明细!I:I)</f>
        <v>0</v>
      </c>
      <c r="AA999">
        <f>IF(S999=Z999,0,1)</f>
        <v>1</v>
      </c>
    </row>
    <row r="1000" hidden="1" spans="1:27">
      <c r="A1000">
        <v>2</v>
      </c>
      <c r="B1000">
        <v>7</v>
      </c>
      <c r="C1000" s="3">
        <v>46063</v>
      </c>
      <c r="D1000" t="s">
        <v>27</v>
      </c>
      <c r="E1000" t="s">
        <v>1113</v>
      </c>
      <c r="F1000" t="s">
        <v>239</v>
      </c>
      <c r="G1000" t="s">
        <v>72</v>
      </c>
      <c r="H1000" t="s">
        <v>46</v>
      </c>
      <c r="I1000" t="s">
        <v>63</v>
      </c>
      <c r="J1000" t="s">
        <v>63</v>
      </c>
      <c r="K1000" t="s">
        <v>64</v>
      </c>
      <c r="L1000" t="s">
        <v>65</v>
      </c>
      <c r="M1000" t="s">
        <v>66</v>
      </c>
      <c r="N1000">
        <v>58.35</v>
      </c>
      <c r="O1000">
        <v>25.3846153846154</v>
      </c>
      <c r="P1000">
        <v>311.1</v>
      </c>
      <c r="Q1000">
        <v>336.484615384615</v>
      </c>
      <c r="R1000">
        <v>0</v>
      </c>
      <c r="S1000">
        <v>336.484615384615</v>
      </c>
      <c r="T1000">
        <v>120</v>
      </c>
      <c r="U1000">
        <f>SUMIF(货件明细!J:J,E1000,货件明细!AP:AP)</f>
        <v>0</v>
      </c>
      <c r="V1000">
        <f>IF(U1000=T1000,0,1)</f>
        <v>1</v>
      </c>
      <c r="W1000">
        <f>T1000</f>
        <v>120</v>
      </c>
      <c r="X1000">
        <f>SUMIF(货件明细!J:J,E1000,货件明细!H:H)</f>
        <v>0</v>
      </c>
      <c r="Y1000">
        <f>N1000-X1000</f>
        <v>58.35</v>
      </c>
      <c r="Z1000">
        <f>SUMIF(货件明细!J:J,E1000,货件明细!I:I)</f>
        <v>0</v>
      </c>
      <c r="AA1000">
        <f>IF(S1000=Z1000,0,1)</f>
        <v>1</v>
      </c>
    </row>
    <row r="1001" hidden="1" spans="1:27">
      <c r="A1001">
        <v>2</v>
      </c>
      <c r="B1001">
        <v>7</v>
      </c>
      <c r="C1001" s="3">
        <v>46063</v>
      </c>
      <c r="D1001" t="s">
        <v>27</v>
      </c>
      <c r="E1001" t="s">
        <v>1114</v>
      </c>
      <c r="F1001" t="s">
        <v>185</v>
      </c>
      <c r="G1001" t="s">
        <v>30</v>
      </c>
      <c r="H1001" t="s">
        <v>31</v>
      </c>
      <c r="I1001" t="s">
        <v>63</v>
      </c>
      <c r="J1001" t="s">
        <v>63</v>
      </c>
      <c r="K1001" t="s">
        <v>64</v>
      </c>
      <c r="L1001" t="s">
        <v>65</v>
      </c>
      <c r="M1001" t="s">
        <v>66</v>
      </c>
      <c r="N1001">
        <v>13.8</v>
      </c>
      <c r="O1001">
        <v>41.25</v>
      </c>
      <c r="P1001">
        <v>96.96</v>
      </c>
      <c r="Q1001">
        <v>138.21</v>
      </c>
      <c r="R1001">
        <v>0</v>
      </c>
      <c r="S1001">
        <v>138.21</v>
      </c>
      <c r="T1001">
        <v>66</v>
      </c>
      <c r="U1001">
        <f>SUMIF(货件明细!J:J,E1001,货件明细!AP:AP)</f>
        <v>0</v>
      </c>
      <c r="V1001">
        <f>IF(U1001=T1001,0,1)</f>
        <v>1</v>
      </c>
      <c r="W1001">
        <f>T1001</f>
        <v>66</v>
      </c>
      <c r="X1001">
        <f>SUMIF(货件明细!J:J,E1001,货件明细!H:H)</f>
        <v>0</v>
      </c>
      <c r="Y1001">
        <f>N1001-X1001</f>
        <v>13.8</v>
      </c>
      <c r="Z1001">
        <f>SUMIF(货件明细!J:J,E1001,货件明细!I:I)</f>
        <v>0</v>
      </c>
      <c r="AA1001">
        <f>IF(S1001=Z1001,0,1)</f>
        <v>1</v>
      </c>
    </row>
    <row r="1002" hidden="1" spans="1:27">
      <c r="A1002">
        <v>2</v>
      </c>
      <c r="B1002">
        <v>7</v>
      </c>
      <c r="C1002" s="3">
        <v>46063</v>
      </c>
      <c r="D1002" t="s">
        <v>27</v>
      </c>
      <c r="E1002" t="s">
        <v>1115</v>
      </c>
      <c r="F1002" t="s">
        <v>243</v>
      </c>
      <c r="G1002" t="s">
        <v>72</v>
      </c>
      <c r="H1002" t="s">
        <v>31</v>
      </c>
      <c r="I1002" t="s">
        <v>63</v>
      </c>
      <c r="J1002" t="s">
        <v>63</v>
      </c>
      <c r="K1002" t="s">
        <v>64</v>
      </c>
      <c r="L1002" t="s">
        <v>65</v>
      </c>
      <c r="M1002" t="s">
        <v>66</v>
      </c>
      <c r="N1002">
        <v>13.8</v>
      </c>
      <c r="O1002">
        <v>25.3846153846154</v>
      </c>
      <c r="P1002">
        <v>59.1230769230769</v>
      </c>
      <c r="Q1002">
        <v>84.5076923076923</v>
      </c>
      <c r="R1002">
        <v>0</v>
      </c>
      <c r="S1002">
        <v>84.5076923076923</v>
      </c>
      <c r="T1002">
        <v>66</v>
      </c>
      <c r="U1002">
        <f>SUMIF(货件明细!J:J,E1002,货件明细!AP:AP)</f>
        <v>0</v>
      </c>
      <c r="V1002">
        <f>IF(U1002=T1002,0,1)</f>
        <v>1</v>
      </c>
      <c r="W1002">
        <f>T1002</f>
        <v>66</v>
      </c>
      <c r="X1002">
        <f>SUMIF(货件明细!J:J,E1002,货件明细!H:H)</f>
        <v>0</v>
      </c>
      <c r="Y1002">
        <f>N1002-X1002</f>
        <v>13.8</v>
      </c>
      <c r="Z1002">
        <f>SUMIF(货件明细!J:J,E1002,货件明细!I:I)</f>
        <v>0</v>
      </c>
      <c r="AA1002">
        <f>IF(S1002=Z1002,0,1)</f>
        <v>1</v>
      </c>
    </row>
    <row r="1003" hidden="1" spans="1:27">
      <c r="A1003">
        <v>2</v>
      </c>
      <c r="B1003">
        <v>7</v>
      </c>
      <c r="C1003" s="3">
        <v>46063</v>
      </c>
      <c r="D1003" t="s">
        <v>27</v>
      </c>
      <c r="E1003" t="s">
        <v>1116</v>
      </c>
      <c r="F1003" t="s">
        <v>198</v>
      </c>
      <c r="G1003" t="s">
        <v>69</v>
      </c>
      <c r="H1003" t="s">
        <v>31</v>
      </c>
      <c r="I1003" t="s">
        <v>63</v>
      </c>
      <c r="J1003" t="s">
        <v>63</v>
      </c>
      <c r="K1003" t="s">
        <v>64</v>
      </c>
      <c r="L1003" t="s">
        <v>65</v>
      </c>
      <c r="M1003" t="s">
        <v>66</v>
      </c>
      <c r="N1003">
        <v>13.8</v>
      </c>
      <c r="O1003">
        <v>25.3846153846154</v>
      </c>
      <c r="P1003">
        <v>85.75</v>
      </c>
      <c r="Q1003">
        <v>111.134615384615</v>
      </c>
      <c r="R1003">
        <v>0</v>
      </c>
      <c r="S1003">
        <v>111.134615384615</v>
      </c>
      <c r="T1003">
        <v>66</v>
      </c>
      <c r="U1003">
        <f>SUMIF(货件明细!J:J,E1003,货件明细!AP:AP)</f>
        <v>0</v>
      </c>
      <c r="V1003">
        <f>IF(U1003=T1003,0,1)</f>
        <v>1</v>
      </c>
      <c r="W1003">
        <f>T1003</f>
        <v>66</v>
      </c>
      <c r="X1003">
        <f>SUMIF(货件明细!J:J,E1003,货件明细!H:H)</f>
        <v>0</v>
      </c>
      <c r="Y1003">
        <f>N1003-X1003</f>
        <v>13.8</v>
      </c>
      <c r="Z1003">
        <f>SUMIF(货件明细!J:J,E1003,货件明细!I:I)</f>
        <v>0</v>
      </c>
      <c r="AA1003">
        <f>IF(S1003=Z1003,0,1)</f>
        <v>1</v>
      </c>
    </row>
    <row r="1004" hidden="1" spans="1:27">
      <c r="A1004">
        <v>2</v>
      </c>
      <c r="B1004">
        <v>7</v>
      </c>
      <c r="C1004" s="3">
        <v>46063</v>
      </c>
      <c r="D1004" t="s">
        <v>27</v>
      </c>
      <c r="E1004" t="s">
        <v>1117</v>
      </c>
      <c r="F1004" t="s">
        <v>250</v>
      </c>
      <c r="G1004" t="s">
        <v>72</v>
      </c>
      <c r="H1004" t="s">
        <v>31</v>
      </c>
      <c r="I1004" t="s">
        <v>63</v>
      </c>
      <c r="J1004" t="s">
        <v>63</v>
      </c>
      <c r="K1004" t="s">
        <v>64</v>
      </c>
      <c r="L1004" t="s">
        <v>65</v>
      </c>
      <c r="M1004" t="s">
        <v>66</v>
      </c>
      <c r="N1004">
        <v>13.8</v>
      </c>
      <c r="O1004">
        <v>20.625</v>
      </c>
      <c r="P1004">
        <v>59.78</v>
      </c>
      <c r="Q1004">
        <v>80.405</v>
      </c>
      <c r="R1004">
        <v>0</v>
      </c>
      <c r="S1004">
        <v>80.405</v>
      </c>
      <c r="T1004">
        <v>66</v>
      </c>
      <c r="U1004">
        <f>SUMIF(货件明细!J:J,E1004,货件明细!AP:AP)</f>
        <v>0</v>
      </c>
      <c r="V1004">
        <f>IF(U1004=T1004,0,1)</f>
        <v>1</v>
      </c>
      <c r="W1004">
        <f>T1004</f>
        <v>66</v>
      </c>
      <c r="X1004">
        <f>SUMIF(货件明细!J:J,E1004,货件明细!H:H)</f>
        <v>0</v>
      </c>
      <c r="Y1004">
        <f>N1004-X1004</f>
        <v>13.8</v>
      </c>
      <c r="Z1004">
        <f>SUMIF(货件明细!J:J,E1004,货件明细!I:I)</f>
        <v>0</v>
      </c>
      <c r="AA1004">
        <f>IF(S1004=Z1004,0,1)</f>
        <v>1</v>
      </c>
    </row>
    <row r="1005" hidden="1" spans="1:27">
      <c r="A1005">
        <v>2</v>
      </c>
      <c r="B1005">
        <v>7</v>
      </c>
      <c r="C1005" s="3">
        <v>46063</v>
      </c>
      <c r="D1005" t="s">
        <v>27</v>
      </c>
      <c r="E1005" t="s">
        <v>1118</v>
      </c>
      <c r="F1005" t="s">
        <v>187</v>
      </c>
      <c r="G1005" t="s">
        <v>72</v>
      </c>
      <c r="H1005" t="s">
        <v>31</v>
      </c>
      <c r="I1005" t="s">
        <v>63</v>
      </c>
      <c r="J1005" t="s">
        <v>63</v>
      </c>
      <c r="K1005" t="s">
        <v>64</v>
      </c>
      <c r="L1005" t="s">
        <v>65</v>
      </c>
      <c r="M1005" t="s">
        <v>66</v>
      </c>
      <c r="N1005">
        <v>13.8</v>
      </c>
      <c r="O1005">
        <v>20.625</v>
      </c>
      <c r="P1005">
        <v>53.3076923076923</v>
      </c>
      <c r="Q1005">
        <v>73.9326923076923</v>
      </c>
      <c r="R1005">
        <v>0</v>
      </c>
      <c r="S1005">
        <v>73.9326923076923</v>
      </c>
      <c r="T1005">
        <v>66</v>
      </c>
      <c r="U1005">
        <f>SUMIF(货件明细!J:J,E1005,货件明细!AP:AP)</f>
        <v>0</v>
      </c>
      <c r="V1005">
        <f>IF(U1005=T1005,0,1)</f>
        <v>1</v>
      </c>
      <c r="W1005">
        <f>T1005</f>
        <v>66</v>
      </c>
      <c r="X1005">
        <f>SUMIF(货件明细!J:J,E1005,货件明细!H:H)</f>
        <v>0</v>
      </c>
      <c r="Y1005">
        <f>N1005-X1005</f>
        <v>13.8</v>
      </c>
      <c r="Z1005">
        <f>SUMIF(货件明细!J:J,E1005,货件明细!I:I)</f>
        <v>0</v>
      </c>
      <c r="AA1005">
        <f>IF(S1005=Z1005,0,1)</f>
        <v>1</v>
      </c>
    </row>
    <row r="1006" hidden="1" spans="1:27">
      <c r="A1006">
        <v>2</v>
      </c>
      <c r="B1006">
        <v>7</v>
      </c>
      <c r="C1006" s="3">
        <v>46063</v>
      </c>
      <c r="D1006" t="s">
        <v>27</v>
      </c>
      <c r="E1006" t="s">
        <v>1119</v>
      </c>
      <c r="F1006" t="s">
        <v>185</v>
      </c>
      <c r="G1006" t="s">
        <v>30</v>
      </c>
      <c r="H1006" t="s">
        <v>37</v>
      </c>
      <c r="I1006" t="s">
        <v>63</v>
      </c>
      <c r="J1006" t="s">
        <v>63</v>
      </c>
      <c r="K1006" t="s">
        <v>64</v>
      </c>
      <c r="L1006" t="s">
        <v>65</v>
      </c>
      <c r="M1006" t="s">
        <v>66</v>
      </c>
      <c r="N1006">
        <v>35.85</v>
      </c>
      <c r="O1006">
        <v>41.25</v>
      </c>
      <c r="P1006">
        <v>193.92</v>
      </c>
      <c r="Q1006">
        <v>235.17</v>
      </c>
      <c r="R1006">
        <v>0</v>
      </c>
      <c r="S1006">
        <v>235.17</v>
      </c>
      <c r="T1006">
        <v>264</v>
      </c>
      <c r="U1006">
        <f>SUMIF(货件明细!J:J,E1006,货件明细!AP:AP)</f>
        <v>0</v>
      </c>
      <c r="V1006">
        <f>IF(U1006=T1006,0,1)</f>
        <v>1</v>
      </c>
      <c r="W1006">
        <f>T1006</f>
        <v>264</v>
      </c>
      <c r="X1006">
        <f>SUMIF(货件明细!J:J,E1006,货件明细!H:H)</f>
        <v>0</v>
      </c>
      <c r="Y1006">
        <f>N1006-X1006</f>
        <v>35.85</v>
      </c>
      <c r="Z1006">
        <f>SUMIF(货件明细!J:J,E1006,货件明细!I:I)</f>
        <v>0</v>
      </c>
      <c r="AA1006">
        <f>IF(S1006=Z1006,0,1)</f>
        <v>1</v>
      </c>
    </row>
    <row r="1007" hidden="1" spans="1:27">
      <c r="A1007">
        <v>2</v>
      </c>
      <c r="B1007">
        <v>7</v>
      </c>
      <c r="C1007" s="3">
        <v>46063</v>
      </c>
      <c r="D1007" t="s">
        <v>27</v>
      </c>
      <c r="E1007" t="s">
        <v>1120</v>
      </c>
      <c r="F1007" t="s">
        <v>243</v>
      </c>
      <c r="G1007" t="s">
        <v>72</v>
      </c>
      <c r="H1007" t="s">
        <v>37</v>
      </c>
      <c r="I1007" t="s">
        <v>63</v>
      </c>
      <c r="J1007" t="s">
        <v>63</v>
      </c>
      <c r="K1007" t="s">
        <v>64</v>
      </c>
      <c r="L1007" t="s">
        <v>65</v>
      </c>
      <c r="M1007" t="s">
        <v>66</v>
      </c>
      <c r="N1007">
        <v>35.85</v>
      </c>
      <c r="O1007">
        <v>25.3846153846154</v>
      </c>
      <c r="P1007">
        <v>118.246153846154</v>
      </c>
      <c r="Q1007">
        <v>143.630769230769</v>
      </c>
      <c r="R1007">
        <v>0</v>
      </c>
      <c r="S1007">
        <v>143.630769230769</v>
      </c>
      <c r="T1007">
        <v>264</v>
      </c>
      <c r="U1007">
        <f>SUMIF(货件明细!J:J,E1007,货件明细!AP:AP)</f>
        <v>0</v>
      </c>
      <c r="V1007">
        <f>IF(U1007=T1007,0,1)</f>
        <v>1</v>
      </c>
      <c r="W1007">
        <f>T1007</f>
        <v>264</v>
      </c>
      <c r="X1007">
        <f>SUMIF(货件明细!J:J,E1007,货件明细!H:H)</f>
        <v>0</v>
      </c>
      <c r="Y1007">
        <f>N1007-X1007</f>
        <v>35.85</v>
      </c>
      <c r="Z1007">
        <f>SUMIF(货件明细!J:J,E1007,货件明细!I:I)</f>
        <v>0</v>
      </c>
      <c r="AA1007">
        <f>IF(S1007=Z1007,0,1)</f>
        <v>1</v>
      </c>
    </row>
    <row r="1008" hidden="1" spans="1:27">
      <c r="A1008">
        <v>2</v>
      </c>
      <c r="B1008">
        <v>7</v>
      </c>
      <c r="C1008" s="3">
        <v>46063</v>
      </c>
      <c r="D1008" t="s">
        <v>27</v>
      </c>
      <c r="E1008" t="s">
        <v>1121</v>
      </c>
      <c r="F1008" t="s">
        <v>198</v>
      </c>
      <c r="G1008" t="s">
        <v>69</v>
      </c>
      <c r="H1008" t="s">
        <v>37</v>
      </c>
      <c r="I1008" t="s">
        <v>63</v>
      </c>
      <c r="J1008" t="s">
        <v>63</v>
      </c>
      <c r="K1008" t="s">
        <v>64</v>
      </c>
      <c r="L1008" t="s">
        <v>65</v>
      </c>
      <c r="M1008" t="s">
        <v>66</v>
      </c>
      <c r="N1008">
        <v>35.85</v>
      </c>
      <c r="O1008">
        <v>25.3846153846154</v>
      </c>
      <c r="P1008">
        <v>171.5</v>
      </c>
      <c r="Q1008">
        <v>196.884615384615</v>
      </c>
      <c r="R1008">
        <v>0</v>
      </c>
      <c r="S1008">
        <v>196.884615384615</v>
      </c>
      <c r="T1008">
        <v>264</v>
      </c>
      <c r="U1008">
        <f>SUMIF(货件明细!J:J,E1008,货件明细!AP:AP)</f>
        <v>0</v>
      </c>
      <c r="V1008">
        <f>IF(U1008=T1008,0,1)</f>
        <v>1</v>
      </c>
      <c r="W1008">
        <f>T1008</f>
        <v>264</v>
      </c>
      <c r="X1008">
        <f>SUMIF(货件明细!J:J,E1008,货件明细!H:H)</f>
        <v>0</v>
      </c>
      <c r="Y1008">
        <f>N1008-X1008</f>
        <v>35.85</v>
      </c>
      <c r="Z1008">
        <f>SUMIF(货件明细!J:J,E1008,货件明细!I:I)</f>
        <v>0</v>
      </c>
      <c r="AA1008">
        <f>IF(S1008=Z1008,0,1)</f>
        <v>1</v>
      </c>
    </row>
    <row r="1009" hidden="1" spans="1:27">
      <c r="A1009">
        <v>2</v>
      </c>
      <c r="B1009">
        <v>7</v>
      </c>
      <c r="C1009" s="3">
        <v>46063</v>
      </c>
      <c r="D1009" t="s">
        <v>27</v>
      </c>
      <c r="E1009" t="s">
        <v>1122</v>
      </c>
      <c r="F1009" t="s">
        <v>250</v>
      </c>
      <c r="G1009" t="s">
        <v>72</v>
      </c>
      <c r="H1009" t="s">
        <v>37</v>
      </c>
      <c r="I1009" t="s">
        <v>63</v>
      </c>
      <c r="J1009" t="s">
        <v>63</v>
      </c>
      <c r="K1009" t="s">
        <v>64</v>
      </c>
      <c r="L1009" t="s">
        <v>65</v>
      </c>
      <c r="M1009" t="s">
        <v>66</v>
      </c>
      <c r="N1009">
        <v>35.85</v>
      </c>
      <c r="O1009">
        <v>20.625</v>
      </c>
      <c r="P1009">
        <v>119.56</v>
      </c>
      <c r="Q1009">
        <v>140.185</v>
      </c>
      <c r="R1009">
        <v>0</v>
      </c>
      <c r="S1009">
        <v>140.185</v>
      </c>
      <c r="T1009">
        <v>264</v>
      </c>
      <c r="U1009">
        <f>SUMIF(货件明细!J:J,E1009,货件明细!AP:AP)</f>
        <v>0</v>
      </c>
      <c r="V1009">
        <f>IF(U1009=T1009,0,1)</f>
        <v>1</v>
      </c>
      <c r="W1009">
        <f>T1009</f>
        <v>264</v>
      </c>
      <c r="X1009">
        <f>SUMIF(货件明细!J:J,E1009,货件明细!H:H)</f>
        <v>0</v>
      </c>
      <c r="Y1009">
        <f>N1009-X1009</f>
        <v>35.85</v>
      </c>
      <c r="Z1009">
        <f>SUMIF(货件明细!J:J,E1009,货件明细!I:I)</f>
        <v>0</v>
      </c>
      <c r="AA1009">
        <f>IF(S1009=Z1009,0,1)</f>
        <v>1</v>
      </c>
    </row>
    <row r="1010" hidden="1" spans="1:27">
      <c r="A1010">
        <v>2</v>
      </c>
      <c r="B1010">
        <v>7</v>
      </c>
      <c r="C1010" s="3">
        <v>46063</v>
      </c>
      <c r="D1010" t="s">
        <v>27</v>
      </c>
      <c r="E1010" t="s">
        <v>1123</v>
      </c>
      <c r="F1010" t="s">
        <v>187</v>
      </c>
      <c r="G1010" t="s">
        <v>72</v>
      </c>
      <c r="H1010" t="s">
        <v>37</v>
      </c>
      <c r="I1010" t="s">
        <v>63</v>
      </c>
      <c r="J1010" t="s">
        <v>63</v>
      </c>
      <c r="K1010" t="s">
        <v>64</v>
      </c>
      <c r="L1010" t="s">
        <v>65</v>
      </c>
      <c r="M1010" t="s">
        <v>66</v>
      </c>
      <c r="N1010">
        <v>35.85</v>
      </c>
      <c r="O1010">
        <v>20.625</v>
      </c>
      <c r="P1010">
        <v>106.615384615385</v>
      </c>
      <c r="Q1010">
        <v>127.240384615385</v>
      </c>
      <c r="R1010">
        <v>0</v>
      </c>
      <c r="S1010">
        <v>127.240384615385</v>
      </c>
      <c r="T1010">
        <v>264</v>
      </c>
      <c r="U1010">
        <f>SUMIF(货件明细!J:J,E1010,货件明细!AP:AP)</f>
        <v>0</v>
      </c>
      <c r="V1010">
        <f>IF(U1010=T1010,0,1)</f>
        <v>1</v>
      </c>
      <c r="W1010">
        <f>T1010</f>
        <v>264</v>
      </c>
      <c r="X1010">
        <f>SUMIF(货件明细!J:J,E1010,货件明细!H:H)</f>
        <v>0</v>
      </c>
      <c r="Y1010">
        <f>N1010-X1010</f>
        <v>35.85</v>
      </c>
      <c r="Z1010">
        <f>SUMIF(货件明细!J:J,E1010,货件明细!I:I)</f>
        <v>0</v>
      </c>
      <c r="AA1010">
        <f>IF(S1010=Z1010,0,1)</f>
        <v>1</v>
      </c>
    </row>
    <row r="1011" hidden="1" spans="1:27">
      <c r="A1011">
        <v>2</v>
      </c>
      <c r="B1011">
        <v>7</v>
      </c>
      <c r="C1011" s="3">
        <v>46063</v>
      </c>
      <c r="D1011" t="s">
        <v>27</v>
      </c>
      <c r="E1011" t="s">
        <v>1124</v>
      </c>
      <c r="F1011" t="s">
        <v>185</v>
      </c>
      <c r="G1011" t="s">
        <v>30</v>
      </c>
      <c r="H1011" t="s">
        <v>51</v>
      </c>
      <c r="I1011" t="s">
        <v>63</v>
      </c>
      <c r="J1011" t="s">
        <v>63</v>
      </c>
      <c r="K1011" t="s">
        <v>64</v>
      </c>
      <c r="L1011" t="s">
        <v>65</v>
      </c>
      <c r="M1011" t="s">
        <v>66</v>
      </c>
      <c r="N1011">
        <v>84.05</v>
      </c>
      <c r="O1011">
        <v>41.25</v>
      </c>
      <c r="P1011">
        <v>581.76</v>
      </c>
      <c r="Q1011">
        <v>623.01</v>
      </c>
      <c r="R1011">
        <v>0</v>
      </c>
      <c r="S1011">
        <v>623.01</v>
      </c>
      <c r="T1011">
        <v>446</v>
      </c>
      <c r="U1011">
        <f>SUMIF(货件明细!J:J,E1011,货件明细!AP:AP)</f>
        <v>0</v>
      </c>
      <c r="V1011">
        <f>IF(U1011=T1011,0,1)</f>
        <v>1</v>
      </c>
      <c r="W1011">
        <f>T1011</f>
        <v>446</v>
      </c>
      <c r="X1011">
        <f>SUMIF(货件明细!J:J,E1011,货件明细!H:H)</f>
        <v>0</v>
      </c>
      <c r="Y1011">
        <f>N1011-X1011</f>
        <v>84.05</v>
      </c>
      <c r="Z1011">
        <f>SUMIF(货件明细!J:J,E1011,货件明细!I:I)</f>
        <v>0</v>
      </c>
      <c r="AA1011">
        <f>IF(S1011=Z1011,0,1)</f>
        <v>1</v>
      </c>
    </row>
    <row r="1012" hidden="1" spans="1:27">
      <c r="A1012">
        <v>2</v>
      </c>
      <c r="B1012">
        <v>7</v>
      </c>
      <c r="C1012" s="3">
        <v>46063</v>
      </c>
      <c r="D1012" t="s">
        <v>27</v>
      </c>
      <c r="E1012" t="s">
        <v>1125</v>
      </c>
      <c r="F1012" t="s">
        <v>243</v>
      </c>
      <c r="G1012" t="s">
        <v>72</v>
      </c>
      <c r="H1012" t="s">
        <v>51</v>
      </c>
      <c r="I1012" t="s">
        <v>63</v>
      </c>
      <c r="J1012" t="s">
        <v>63</v>
      </c>
      <c r="K1012" t="s">
        <v>64</v>
      </c>
      <c r="L1012" t="s">
        <v>65</v>
      </c>
      <c r="M1012" t="s">
        <v>66</v>
      </c>
      <c r="N1012">
        <v>84.05</v>
      </c>
      <c r="O1012">
        <v>25.3846153846154</v>
      </c>
      <c r="P1012">
        <v>354.738461538462</v>
      </c>
      <c r="Q1012">
        <v>380.123076923077</v>
      </c>
      <c r="R1012">
        <v>0</v>
      </c>
      <c r="S1012">
        <v>380.123076923077</v>
      </c>
      <c r="T1012">
        <v>446</v>
      </c>
      <c r="U1012">
        <f>SUMIF(货件明细!J:J,E1012,货件明细!AP:AP)</f>
        <v>0</v>
      </c>
      <c r="V1012">
        <f>IF(U1012=T1012,0,1)</f>
        <v>1</v>
      </c>
      <c r="W1012">
        <f>T1012</f>
        <v>446</v>
      </c>
      <c r="X1012">
        <f>SUMIF(货件明细!J:J,E1012,货件明细!H:H)</f>
        <v>0</v>
      </c>
      <c r="Y1012">
        <f>N1012-X1012</f>
        <v>84.05</v>
      </c>
      <c r="Z1012">
        <f>SUMIF(货件明细!J:J,E1012,货件明细!I:I)</f>
        <v>0</v>
      </c>
      <c r="AA1012">
        <f>IF(S1012=Z1012,0,1)</f>
        <v>1</v>
      </c>
    </row>
    <row r="1013" hidden="1" spans="1:27">
      <c r="A1013">
        <v>2</v>
      </c>
      <c r="B1013">
        <v>7</v>
      </c>
      <c r="C1013" s="3">
        <v>46063</v>
      </c>
      <c r="D1013" t="s">
        <v>27</v>
      </c>
      <c r="E1013" t="s">
        <v>1126</v>
      </c>
      <c r="F1013" t="s">
        <v>198</v>
      </c>
      <c r="G1013" t="s">
        <v>69</v>
      </c>
      <c r="H1013" t="s">
        <v>51</v>
      </c>
      <c r="I1013" t="s">
        <v>63</v>
      </c>
      <c r="J1013" t="s">
        <v>63</v>
      </c>
      <c r="K1013" t="s">
        <v>64</v>
      </c>
      <c r="L1013" t="s">
        <v>65</v>
      </c>
      <c r="M1013" t="s">
        <v>66</v>
      </c>
      <c r="N1013">
        <v>84.05</v>
      </c>
      <c r="O1013">
        <v>25.3846153846154</v>
      </c>
      <c r="P1013">
        <v>514.5</v>
      </c>
      <c r="Q1013">
        <v>539.884615384615</v>
      </c>
      <c r="R1013">
        <v>0</v>
      </c>
      <c r="S1013">
        <v>539.884615384615</v>
      </c>
      <c r="T1013">
        <v>446</v>
      </c>
      <c r="U1013">
        <f>SUMIF(货件明细!J:J,E1013,货件明细!AP:AP)</f>
        <v>0</v>
      </c>
      <c r="V1013">
        <f>IF(U1013=T1013,0,1)</f>
        <v>1</v>
      </c>
      <c r="W1013">
        <f>T1013</f>
        <v>446</v>
      </c>
      <c r="X1013">
        <f>SUMIF(货件明细!J:J,E1013,货件明细!H:H)</f>
        <v>0</v>
      </c>
      <c r="Y1013">
        <f>N1013-X1013</f>
        <v>84.05</v>
      </c>
      <c r="Z1013">
        <f>SUMIF(货件明细!J:J,E1013,货件明细!I:I)</f>
        <v>0</v>
      </c>
      <c r="AA1013">
        <f>IF(S1013=Z1013,0,1)</f>
        <v>1</v>
      </c>
    </row>
    <row r="1014" hidden="1" spans="1:27">
      <c r="A1014">
        <v>2</v>
      </c>
      <c r="B1014">
        <v>7</v>
      </c>
      <c r="C1014" s="3">
        <v>46063</v>
      </c>
      <c r="D1014" t="s">
        <v>27</v>
      </c>
      <c r="E1014" t="s">
        <v>1127</v>
      </c>
      <c r="F1014" t="s">
        <v>250</v>
      </c>
      <c r="G1014" t="s">
        <v>72</v>
      </c>
      <c r="H1014" t="s">
        <v>51</v>
      </c>
      <c r="I1014" t="s">
        <v>63</v>
      </c>
      <c r="J1014" t="s">
        <v>63</v>
      </c>
      <c r="K1014" t="s">
        <v>64</v>
      </c>
      <c r="L1014" t="s">
        <v>65</v>
      </c>
      <c r="M1014" t="s">
        <v>66</v>
      </c>
      <c r="N1014">
        <v>84.05</v>
      </c>
      <c r="O1014">
        <v>20.625</v>
      </c>
      <c r="P1014">
        <v>358.68</v>
      </c>
      <c r="Q1014">
        <v>379.305</v>
      </c>
      <c r="R1014">
        <v>0</v>
      </c>
      <c r="S1014">
        <v>379.305</v>
      </c>
      <c r="T1014">
        <v>446</v>
      </c>
      <c r="U1014">
        <f>SUMIF(货件明细!J:J,E1014,货件明细!AP:AP)</f>
        <v>0</v>
      </c>
      <c r="V1014">
        <f>IF(U1014=T1014,0,1)</f>
        <v>1</v>
      </c>
      <c r="W1014">
        <f>T1014</f>
        <v>446</v>
      </c>
      <c r="X1014">
        <f>SUMIF(货件明细!J:J,E1014,货件明细!H:H)</f>
        <v>0</v>
      </c>
      <c r="Y1014">
        <f>N1014-X1014</f>
        <v>84.05</v>
      </c>
      <c r="Z1014">
        <f>SUMIF(货件明细!J:J,E1014,货件明细!I:I)</f>
        <v>0</v>
      </c>
      <c r="AA1014">
        <f>IF(S1014=Z1014,0,1)</f>
        <v>1</v>
      </c>
    </row>
    <row r="1015" hidden="1" spans="1:27">
      <c r="A1015">
        <v>2</v>
      </c>
      <c r="B1015">
        <v>7</v>
      </c>
      <c r="C1015" s="3">
        <v>46063</v>
      </c>
      <c r="D1015" t="s">
        <v>27</v>
      </c>
      <c r="E1015" t="s">
        <v>1128</v>
      </c>
      <c r="F1015" t="s">
        <v>187</v>
      </c>
      <c r="G1015" t="s">
        <v>72</v>
      </c>
      <c r="H1015" t="s">
        <v>51</v>
      </c>
      <c r="I1015" t="s">
        <v>63</v>
      </c>
      <c r="J1015" t="s">
        <v>63</v>
      </c>
      <c r="K1015" t="s">
        <v>64</v>
      </c>
      <c r="L1015" t="s">
        <v>65</v>
      </c>
      <c r="M1015" t="s">
        <v>66</v>
      </c>
      <c r="N1015">
        <v>84.05</v>
      </c>
      <c r="O1015">
        <v>20.625</v>
      </c>
      <c r="P1015">
        <v>319.846153846154</v>
      </c>
      <c r="Q1015">
        <v>340.471153846154</v>
      </c>
      <c r="R1015">
        <v>0</v>
      </c>
      <c r="S1015">
        <v>340.471153846154</v>
      </c>
      <c r="T1015">
        <v>446</v>
      </c>
      <c r="U1015">
        <f>SUMIF(货件明细!J:J,E1015,货件明细!AP:AP)</f>
        <v>0</v>
      </c>
      <c r="V1015">
        <f>IF(U1015=T1015,0,1)</f>
        <v>1</v>
      </c>
      <c r="W1015">
        <f>T1015</f>
        <v>446</v>
      </c>
      <c r="X1015">
        <f>SUMIF(货件明细!J:J,E1015,货件明细!H:H)</f>
        <v>0</v>
      </c>
      <c r="Y1015">
        <f>N1015-X1015</f>
        <v>84.05</v>
      </c>
      <c r="Z1015">
        <f>SUMIF(货件明细!J:J,E1015,货件明细!I:I)</f>
        <v>0</v>
      </c>
      <c r="AA1015">
        <f>IF(S1015=Z1015,0,1)</f>
        <v>1</v>
      </c>
    </row>
    <row r="1016" hidden="1" spans="1:27">
      <c r="A1016">
        <v>2</v>
      </c>
      <c r="B1016">
        <v>7</v>
      </c>
      <c r="C1016" s="3">
        <v>46063</v>
      </c>
      <c r="D1016" t="s">
        <v>27</v>
      </c>
      <c r="E1016" t="s">
        <v>1129</v>
      </c>
      <c r="F1016" t="s">
        <v>185</v>
      </c>
      <c r="G1016" t="s">
        <v>30</v>
      </c>
      <c r="H1016" t="s">
        <v>78</v>
      </c>
      <c r="I1016" t="s">
        <v>63</v>
      </c>
      <c r="J1016" t="s">
        <v>63</v>
      </c>
      <c r="K1016" t="s">
        <v>64</v>
      </c>
      <c r="L1016" t="s">
        <v>65</v>
      </c>
      <c r="M1016" t="s">
        <v>66</v>
      </c>
      <c r="N1016">
        <v>11.6</v>
      </c>
      <c r="O1016">
        <v>41.25</v>
      </c>
      <c r="P1016">
        <v>96.96</v>
      </c>
      <c r="Q1016">
        <v>138.21</v>
      </c>
      <c r="R1016">
        <v>0</v>
      </c>
      <c r="S1016">
        <v>138.21</v>
      </c>
      <c r="T1016">
        <v>78</v>
      </c>
      <c r="U1016">
        <f>SUMIF(货件明细!J:J,E1016,货件明细!AP:AP)</f>
        <v>0</v>
      </c>
      <c r="V1016">
        <f>IF(U1016=T1016,0,1)</f>
        <v>1</v>
      </c>
      <c r="W1016">
        <f>T1016</f>
        <v>78</v>
      </c>
      <c r="X1016">
        <f>SUMIF(货件明细!J:J,E1016,货件明细!H:H)</f>
        <v>0</v>
      </c>
      <c r="Y1016">
        <f>N1016-X1016</f>
        <v>11.6</v>
      </c>
      <c r="Z1016">
        <f>SUMIF(货件明细!J:J,E1016,货件明细!I:I)</f>
        <v>0</v>
      </c>
      <c r="AA1016">
        <f>IF(S1016=Z1016,0,1)</f>
        <v>1</v>
      </c>
    </row>
    <row r="1017" hidden="1" spans="1:27">
      <c r="A1017">
        <v>2</v>
      </c>
      <c r="B1017">
        <v>7</v>
      </c>
      <c r="C1017" s="3">
        <v>46063</v>
      </c>
      <c r="D1017" t="s">
        <v>27</v>
      </c>
      <c r="E1017" t="s">
        <v>1130</v>
      </c>
      <c r="F1017" t="s">
        <v>243</v>
      </c>
      <c r="G1017" t="s">
        <v>72</v>
      </c>
      <c r="H1017" t="s">
        <v>78</v>
      </c>
      <c r="I1017" t="s">
        <v>63</v>
      </c>
      <c r="J1017" t="s">
        <v>63</v>
      </c>
      <c r="K1017" t="s">
        <v>64</v>
      </c>
      <c r="L1017" t="s">
        <v>65</v>
      </c>
      <c r="M1017" t="s">
        <v>66</v>
      </c>
      <c r="N1017">
        <v>11.6</v>
      </c>
      <c r="O1017">
        <v>25.3846153846154</v>
      </c>
      <c r="P1017">
        <v>59.1230769230769</v>
      </c>
      <c r="Q1017">
        <v>84.5076923076923</v>
      </c>
      <c r="R1017">
        <v>0</v>
      </c>
      <c r="S1017">
        <v>84.5076923076923</v>
      </c>
      <c r="T1017">
        <v>78</v>
      </c>
      <c r="U1017">
        <f>SUMIF(货件明细!J:J,E1017,货件明细!AP:AP)</f>
        <v>0</v>
      </c>
      <c r="V1017">
        <f>IF(U1017=T1017,0,1)</f>
        <v>1</v>
      </c>
      <c r="W1017">
        <f>T1017</f>
        <v>78</v>
      </c>
      <c r="X1017">
        <f>SUMIF(货件明细!J:J,E1017,货件明细!H:H)</f>
        <v>0</v>
      </c>
      <c r="Y1017">
        <f>N1017-X1017</f>
        <v>11.6</v>
      </c>
      <c r="Z1017">
        <f>SUMIF(货件明细!J:J,E1017,货件明细!I:I)</f>
        <v>0</v>
      </c>
      <c r="AA1017">
        <f>IF(S1017=Z1017,0,1)</f>
        <v>1</v>
      </c>
    </row>
    <row r="1018" hidden="1" spans="1:27">
      <c r="A1018">
        <v>2</v>
      </c>
      <c r="B1018">
        <v>7</v>
      </c>
      <c r="C1018" s="3">
        <v>46063</v>
      </c>
      <c r="D1018" t="s">
        <v>27</v>
      </c>
      <c r="E1018" t="s">
        <v>1131</v>
      </c>
      <c r="F1018" t="s">
        <v>198</v>
      </c>
      <c r="G1018" t="s">
        <v>69</v>
      </c>
      <c r="H1018" t="s">
        <v>78</v>
      </c>
      <c r="I1018" t="s">
        <v>63</v>
      </c>
      <c r="J1018" t="s">
        <v>63</v>
      </c>
      <c r="K1018" t="s">
        <v>64</v>
      </c>
      <c r="L1018" t="s">
        <v>65</v>
      </c>
      <c r="M1018" t="s">
        <v>66</v>
      </c>
      <c r="N1018">
        <v>11.6</v>
      </c>
      <c r="O1018">
        <v>25.3846153846154</v>
      </c>
      <c r="P1018">
        <v>85.75</v>
      </c>
      <c r="Q1018">
        <v>111.134615384615</v>
      </c>
      <c r="R1018">
        <v>0</v>
      </c>
      <c r="S1018">
        <v>111.134615384615</v>
      </c>
      <c r="T1018">
        <v>78</v>
      </c>
      <c r="U1018">
        <f>SUMIF(货件明细!J:J,E1018,货件明细!AP:AP)</f>
        <v>0</v>
      </c>
      <c r="V1018">
        <f>IF(U1018=T1018,0,1)</f>
        <v>1</v>
      </c>
      <c r="W1018">
        <f>T1018</f>
        <v>78</v>
      </c>
      <c r="X1018">
        <f>SUMIF(货件明细!J:J,E1018,货件明细!H:H)</f>
        <v>0</v>
      </c>
      <c r="Y1018">
        <f>N1018-X1018</f>
        <v>11.6</v>
      </c>
      <c r="Z1018">
        <f>SUMIF(货件明细!J:J,E1018,货件明细!I:I)</f>
        <v>0</v>
      </c>
      <c r="AA1018">
        <f>IF(S1018=Z1018,0,1)</f>
        <v>1</v>
      </c>
    </row>
    <row r="1019" hidden="1" spans="1:27">
      <c r="A1019">
        <v>2</v>
      </c>
      <c r="B1019">
        <v>7</v>
      </c>
      <c r="C1019" s="3">
        <v>46063</v>
      </c>
      <c r="D1019" t="s">
        <v>27</v>
      </c>
      <c r="E1019" t="s">
        <v>1132</v>
      </c>
      <c r="F1019" t="s">
        <v>250</v>
      </c>
      <c r="G1019" t="s">
        <v>72</v>
      </c>
      <c r="H1019" t="s">
        <v>78</v>
      </c>
      <c r="I1019" t="s">
        <v>63</v>
      </c>
      <c r="J1019" t="s">
        <v>63</v>
      </c>
      <c r="K1019" t="s">
        <v>64</v>
      </c>
      <c r="L1019" t="s">
        <v>65</v>
      </c>
      <c r="M1019" t="s">
        <v>66</v>
      </c>
      <c r="N1019">
        <v>11.6</v>
      </c>
      <c r="O1019">
        <v>20.625</v>
      </c>
      <c r="P1019">
        <v>59.78</v>
      </c>
      <c r="Q1019">
        <v>80.405</v>
      </c>
      <c r="R1019">
        <v>0</v>
      </c>
      <c r="S1019">
        <v>80.405</v>
      </c>
      <c r="T1019">
        <v>78</v>
      </c>
      <c r="U1019">
        <f>SUMIF(货件明细!J:J,E1019,货件明细!AP:AP)</f>
        <v>0</v>
      </c>
      <c r="V1019">
        <f>IF(U1019=T1019,0,1)</f>
        <v>1</v>
      </c>
      <c r="W1019">
        <f>T1019</f>
        <v>78</v>
      </c>
      <c r="X1019">
        <f>SUMIF(货件明细!J:J,E1019,货件明细!H:H)</f>
        <v>0</v>
      </c>
      <c r="Y1019">
        <f>N1019-X1019</f>
        <v>11.6</v>
      </c>
      <c r="Z1019">
        <f>SUMIF(货件明细!J:J,E1019,货件明细!I:I)</f>
        <v>0</v>
      </c>
      <c r="AA1019">
        <f>IF(S1019=Z1019,0,1)</f>
        <v>1</v>
      </c>
    </row>
    <row r="1020" hidden="1" spans="1:27">
      <c r="A1020">
        <v>2</v>
      </c>
      <c r="B1020">
        <v>7</v>
      </c>
      <c r="C1020" s="3">
        <v>46063</v>
      </c>
      <c r="D1020" t="s">
        <v>27</v>
      </c>
      <c r="E1020" t="s">
        <v>1133</v>
      </c>
      <c r="F1020" t="s">
        <v>187</v>
      </c>
      <c r="G1020" t="s">
        <v>72</v>
      </c>
      <c r="H1020" t="s">
        <v>78</v>
      </c>
      <c r="I1020" t="s">
        <v>63</v>
      </c>
      <c r="J1020" t="s">
        <v>63</v>
      </c>
      <c r="K1020" t="s">
        <v>64</v>
      </c>
      <c r="L1020" t="s">
        <v>65</v>
      </c>
      <c r="M1020" t="s">
        <v>66</v>
      </c>
      <c r="N1020">
        <v>11.6</v>
      </c>
      <c r="O1020">
        <v>20.625</v>
      </c>
      <c r="P1020">
        <v>53.3076923076923</v>
      </c>
      <c r="Q1020">
        <v>73.9326923076923</v>
      </c>
      <c r="R1020">
        <v>0</v>
      </c>
      <c r="S1020">
        <v>73.9326923076923</v>
      </c>
      <c r="T1020">
        <v>78</v>
      </c>
      <c r="U1020">
        <f>SUMIF(货件明细!J:J,E1020,货件明细!AP:AP)</f>
        <v>0</v>
      </c>
      <c r="V1020">
        <f>IF(U1020=T1020,0,1)</f>
        <v>1</v>
      </c>
      <c r="W1020">
        <f>T1020</f>
        <v>78</v>
      </c>
      <c r="X1020">
        <f>SUMIF(货件明细!J:J,E1020,货件明细!H:H)</f>
        <v>0</v>
      </c>
      <c r="Y1020">
        <f>N1020-X1020</f>
        <v>11.6</v>
      </c>
      <c r="Z1020">
        <f>SUMIF(货件明细!J:J,E1020,货件明细!I:I)</f>
        <v>0</v>
      </c>
      <c r="AA1020">
        <f>IF(S1020=Z1020,0,1)</f>
        <v>1</v>
      </c>
    </row>
    <row r="1021" hidden="1" spans="1:27">
      <c r="A1021">
        <v>2</v>
      </c>
      <c r="B1021">
        <v>7</v>
      </c>
      <c r="C1021" s="3">
        <v>46063</v>
      </c>
      <c r="D1021" t="s">
        <v>27</v>
      </c>
      <c r="E1021" t="s">
        <v>1134</v>
      </c>
      <c r="F1021" t="s">
        <v>185</v>
      </c>
      <c r="G1021" t="s">
        <v>30</v>
      </c>
      <c r="H1021" t="s">
        <v>39</v>
      </c>
      <c r="I1021" t="s">
        <v>63</v>
      </c>
      <c r="J1021" t="s">
        <v>63</v>
      </c>
      <c r="K1021" t="s">
        <v>64</v>
      </c>
      <c r="L1021" t="s">
        <v>65</v>
      </c>
      <c r="M1021" t="s">
        <v>66</v>
      </c>
      <c r="N1021">
        <v>59.8</v>
      </c>
      <c r="O1021">
        <v>41.25</v>
      </c>
      <c r="P1021">
        <v>290.88</v>
      </c>
      <c r="Q1021">
        <v>332.13</v>
      </c>
      <c r="R1021">
        <v>0</v>
      </c>
      <c r="S1021">
        <v>332.13</v>
      </c>
      <c r="T1021">
        <v>174</v>
      </c>
      <c r="U1021">
        <f>SUMIF(货件明细!J:J,E1021,货件明细!AP:AP)</f>
        <v>0</v>
      </c>
      <c r="V1021">
        <f>IF(U1021=T1021,0,1)</f>
        <v>1</v>
      </c>
      <c r="W1021">
        <f>T1021</f>
        <v>174</v>
      </c>
      <c r="X1021">
        <f>SUMIF(货件明细!J:J,E1021,货件明细!H:H)</f>
        <v>0</v>
      </c>
      <c r="Y1021">
        <f>N1021-X1021</f>
        <v>59.8</v>
      </c>
      <c r="Z1021">
        <f>SUMIF(货件明细!J:J,E1021,货件明细!I:I)</f>
        <v>0</v>
      </c>
      <c r="AA1021">
        <f>IF(S1021=Z1021,0,1)</f>
        <v>1</v>
      </c>
    </row>
    <row r="1022" hidden="1" spans="1:27">
      <c r="A1022">
        <v>2</v>
      </c>
      <c r="B1022">
        <v>7</v>
      </c>
      <c r="C1022" s="3">
        <v>46063</v>
      </c>
      <c r="D1022" t="s">
        <v>27</v>
      </c>
      <c r="E1022" t="s">
        <v>1135</v>
      </c>
      <c r="F1022" t="s">
        <v>243</v>
      </c>
      <c r="G1022" t="s">
        <v>72</v>
      </c>
      <c r="H1022" t="s">
        <v>39</v>
      </c>
      <c r="I1022" t="s">
        <v>63</v>
      </c>
      <c r="J1022" t="s">
        <v>63</v>
      </c>
      <c r="K1022" t="s">
        <v>64</v>
      </c>
      <c r="L1022" t="s">
        <v>65</v>
      </c>
      <c r="M1022" t="s">
        <v>66</v>
      </c>
      <c r="N1022">
        <v>59.8</v>
      </c>
      <c r="O1022">
        <v>25.3846153846154</v>
      </c>
      <c r="P1022">
        <v>177.369230769231</v>
      </c>
      <c r="Q1022">
        <v>202.753846153846</v>
      </c>
      <c r="R1022">
        <v>0</v>
      </c>
      <c r="S1022">
        <v>202.753846153846</v>
      </c>
      <c r="T1022">
        <v>174</v>
      </c>
      <c r="U1022">
        <f>SUMIF(货件明细!J:J,E1022,货件明细!AP:AP)</f>
        <v>0</v>
      </c>
      <c r="V1022">
        <f>IF(U1022=T1022,0,1)</f>
        <v>1</v>
      </c>
      <c r="W1022">
        <f>T1022</f>
        <v>174</v>
      </c>
      <c r="X1022">
        <f>SUMIF(货件明细!J:J,E1022,货件明细!H:H)</f>
        <v>0</v>
      </c>
      <c r="Y1022">
        <f>N1022-X1022</f>
        <v>59.8</v>
      </c>
      <c r="Z1022">
        <f>SUMIF(货件明细!J:J,E1022,货件明细!I:I)</f>
        <v>0</v>
      </c>
      <c r="AA1022">
        <f>IF(S1022=Z1022,0,1)</f>
        <v>1</v>
      </c>
    </row>
    <row r="1023" hidden="1" spans="1:27">
      <c r="A1023">
        <v>2</v>
      </c>
      <c r="B1023">
        <v>7</v>
      </c>
      <c r="C1023" s="3">
        <v>46063</v>
      </c>
      <c r="D1023" t="s">
        <v>27</v>
      </c>
      <c r="E1023" t="s">
        <v>1136</v>
      </c>
      <c r="F1023" t="s">
        <v>198</v>
      </c>
      <c r="G1023" t="s">
        <v>69</v>
      </c>
      <c r="H1023" t="s">
        <v>39</v>
      </c>
      <c r="I1023" t="s">
        <v>63</v>
      </c>
      <c r="J1023" t="s">
        <v>63</v>
      </c>
      <c r="K1023" t="s">
        <v>64</v>
      </c>
      <c r="L1023" t="s">
        <v>65</v>
      </c>
      <c r="M1023" t="s">
        <v>66</v>
      </c>
      <c r="N1023">
        <v>59.8</v>
      </c>
      <c r="O1023">
        <v>25.3846153846154</v>
      </c>
      <c r="P1023">
        <v>257.25</v>
      </c>
      <c r="Q1023">
        <v>282.634615384615</v>
      </c>
      <c r="R1023">
        <v>0</v>
      </c>
      <c r="S1023">
        <v>282.634615384615</v>
      </c>
      <c r="T1023">
        <v>174</v>
      </c>
      <c r="U1023">
        <f>SUMIF(货件明细!J:J,E1023,货件明细!AP:AP)</f>
        <v>0</v>
      </c>
      <c r="V1023">
        <f>IF(U1023=T1023,0,1)</f>
        <v>1</v>
      </c>
      <c r="W1023">
        <f>T1023</f>
        <v>174</v>
      </c>
      <c r="X1023">
        <f>SUMIF(货件明细!J:J,E1023,货件明细!H:H)</f>
        <v>0</v>
      </c>
      <c r="Y1023">
        <f>N1023-X1023</f>
        <v>59.8</v>
      </c>
      <c r="Z1023">
        <f>SUMIF(货件明细!J:J,E1023,货件明细!I:I)</f>
        <v>0</v>
      </c>
      <c r="AA1023">
        <f>IF(S1023=Z1023,0,1)</f>
        <v>1</v>
      </c>
    </row>
    <row r="1024" hidden="1" spans="1:27">
      <c r="A1024">
        <v>2</v>
      </c>
      <c r="B1024">
        <v>7</v>
      </c>
      <c r="C1024" s="3">
        <v>46063</v>
      </c>
      <c r="D1024" t="s">
        <v>27</v>
      </c>
      <c r="E1024" t="s">
        <v>1137</v>
      </c>
      <c r="F1024" t="s">
        <v>250</v>
      </c>
      <c r="G1024" t="s">
        <v>72</v>
      </c>
      <c r="H1024" t="s">
        <v>39</v>
      </c>
      <c r="I1024" t="s">
        <v>63</v>
      </c>
      <c r="J1024" t="s">
        <v>63</v>
      </c>
      <c r="K1024" t="s">
        <v>64</v>
      </c>
      <c r="L1024" t="s">
        <v>65</v>
      </c>
      <c r="M1024" t="s">
        <v>66</v>
      </c>
      <c r="N1024">
        <v>59.8</v>
      </c>
      <c r="O1024">
        <v>20.625</v>
      </c>
      <c r="P1024">
        <v>179.34</v>
      </c>
      <c r="Q1024">
        <v>199.965</v>
      </c>
      <c r="R1024">
        <v>0</v>
      </c>
      <c r="S1024">
        <v>199.965</v>
      </c>
      <c r="T1024">
        <v>174</v>
      </c>
      <c r="U1024">
        <f>SUMIF(货件明细!J:J,E1024,货件明细!AP:AP)</f>
        <v>0</v>
      </c>
      <c r="V1024">
        <f>IF(U1024=T1024,0,1)</f>
        <v>1</v>
      </c>
      <c r="W1024">
        <f>T1024</f>
        <v>174</v>
      </c>
      <c r="X1024">
        <f>SUMIF(货件明细!J:J,E1024,货件明细!H:H)</f>
        <v>0</v>
      </c>
      <c r="Y1024">
        <f>N1024-X1024</f>
        <v>59.8</v>
      </c>
      <c r="Z1024">
        <f>SUMIF(货件明细!J:J,E1024,货件明细!I:I)</f>
        <v>0</v>
      </c>
      <c r="AA1024">
        <f>IF(S1024=Z1024,0,1)</f>
        <v>1</v>
      </c>
    </row>
    <row r="1025" hidden="1" spans="1:27">
      <c r="A1025">
        <v>2</v>
      </c>
      <c r="B1025">
        <v>7</v>
      </c>
      <c r="C1025" s="3">
        <v>46063</v>
      </c>
      <c r="D1025" t="s">
        <v>27</v>
      </c>
      <c r="E1025" t="s">
        <v>1138</v>
      </c>
      <c r="F1025" t="s">
        <v>187</v>
      </c>
      <c r="G1025" t="s">
        <v>72</v>
      </c>
      <c r="H1025" t="s">
        <v>39</v>
      </c>
      <c r="I1025" t="s">
        <v>63</v>
      </c>
      <c r="J1025" t="s">
        <v>63</v>
      </c>
      <c r="K1025" t="s">
        <v>64</v>
      </c>
      <c r="L1025" t="s">
        <v>65</v>
      </c>
      <c r="M1025" t="s">
        <v>66</v>
      </c>
      <c r="N1025">
        <v>59.8</v>
      </c>
      <c r="O1025">
        <v>20.625</v>
      </c>
      <c r="P1025">
        <v>159.923076923077</v>
      </c>
      <c r="Q1025">
        <v>180.548076923077</v>
      </c>
      <c r="R1025">
        <v>0</v>
      </c>
      <c r="S1025">
        <v>180.548076923077</v>
      </c>
      <c r="T1025">
        <v>174</v>
      </c>
      <c r="U1025">
        <f>SUMIF(货件明细!J:J,E1025,货件明细!AP:AP)</f>
        <v>0</v>
      </c>
      <c r="V1025">
        <f>IF(U1025=T1025,0,1)</f>
        <v>1</v>
      </c>
      <c r="W1025">
        <f>T1025</f>
        <v>174</v>
      </c>
      <c r="X1025">
        <f>SUMIF(货件明细!J:J,E1025,货件明细!H:H)</f>
        <v>0</v>
      </c>
      <c r="Y1025">
        <f>N1025-X1025</f>
        <v>59.8</v>
      </c>
      <c r="Z1025">
        <f>SUMIF(货件明细!J:J,E1025,货件明细!I:I)</f>
        <v>0</v>
      </c>
      <c r="AA1025">
        <f>IF(S1025=Z1025,0,1)</f>
        <v>1</v>
      </c>
    </row>
    <row r="1026" hidden="1" spans="1:27">
      <c r="A1026">
        <v>2</v>
      </c>
      <c r="B1026">
        <v>7</v>
      </c>
      <c r="C1026" s="3">
        <v>46064</v>
      </c>
      <c r="D1026" t="s">
        <v>27</v>
      </c>
      <c r="E1026" t="s">
        <v>1139</v>
      </c>
      <c r="F1026" t="s">
        <v>185</v>
      </c>
      <c r="G1026" t="s">
        <v>30</v>
      </c>
      <c r="H1026" t="s">
        <v>56</v>
      </c>
      <c r="I1026" t="s">
        <v>1140</v>
      </c>
      <c r="J1026" t="s">
        <v>146</v>
      </c>
      <c r="K1026" t="s">
        <v>64</v>
      </c>
      <c r="L1026" t="s">
        <v>147</v>
      </c>
      <c r="M1026" t="s">
        <v>148</v>
      </c>
      <c r="N1026">
        <v>78.8</v>
      </c>
      <c r="O1026">
        <v>20</v>
      </c>
      <c r="P1026">
        <v>446.358974358974</v>
      </c>
      <c r="Q1026">
        <v>466.358974358974</v>
      </c>
      <c r="R1026">
        <v>0</v>
      </c>
      <c r="S1026">
        <v>466.358974358974</v>
      </c>
      <c r="T1026">
        <v>339</v>
      </c>
      <c r="U1026">
        <f>SUMIF(货件明细!J:J,E1026,货件明细!AP:AP)</f>
        <v>0</v>
      </c>
      <c r="V1026">
        <f>IF(U1026=T1026,0,1)</f>
        <v>1</v>
      </c>
      <c r="W1026">
        <f>T1026</f>
        <v>339</v>
      </c>
      <c r="X1026">
        <f>SUMIF(货件明细!J:J,E1026,货件明细!H:H)</f>
        <v>0</v>
      </c>
      <c r="Y1026">
        <f>N1026-X1026</f>
        <v>78.8</v>
      </c>
      <c r="Z1026">
        <f>SUMIF(货件明细!J:J,E1026,货件明细!I:I)</f>
        <v>0</v>
      </c>
      <c r="AA1026">
        <f>IF(S1026=Z1026,0,1)</f>
        <v>1</v>
      </c>
    </row>
    <row r="1027" hidden="1" spans="1:27">
      <c r="A1027">
        <v>2</v>
      </c>
      <c r="B1027">
        <v>7</v>
      </c>
      <c r="C1027" s="3">
        <v>46064</v>
      </c>
      <c r="D1027" t="s">
        <v>27</v>
      </c>
      <c r="E1027" t="s">
        <v>1141</v>
      </c>
      <c r="F1027" t="s">
        <v>141</v>
      </c>
      <c r="G1027" t="s">
        <v>69</v>
      </c>
      <c r="H1027" t="s">
        <v>56</v>
      </c>
      <c r="I1027" t="s">
        <v>1140</v>
      </c>
      <c r="J1027" t="s">
        <v>1140</v>
      </c>
      <c r="K1027" t="s">
        <v>64</v>
      </c>
      <c r="L1027" t="s">
        <v>147</v>
      </c>
      <c r="M1027" t="s">
        <v>1142</v>
      </c>
      <c r="N1027">
        <v>78.8</v>
      </c>
      <c r="O1027">
        <v>20</v>
      </c>
      <c r="P1027">
        <v>635.454545454545</v>
      </c>
      <c r="Q1027">
        <v>655.454545454545</v>
      </c>
      <c r="R1027">
        <v>0</v>
      </c>
      <c r="S1027">
        <v>655.454545454545</v>
      </c>
      <c r="T1027">
        <v>339</v>
      </c>
      <c r="U1027">
        <f>SUMIF(货件明细!J:J,E1027,货件明细!AP:AP)</f>
        <v>0</v>
      </c>
      <c r="V1027">
        <f>IF(U1027=T1027,0,1)</f>
        <v>1</v>
      </c>
      <c r="W1027">
        <f>T1027</f>
        <v>339</v>
      </c>
      <c r="X1027">
        <f>SUMIF(货件明细!J:J,E1027,货件明细!H:H)</f>
        <v>0</v>
      </c>
      <c r="Y1027">
        <f>N1027-X1027</f>
        <v>78.8</v>
      </c>
      <c r="Z1027">
        <f>SUMIF(货件明细!J:J,E1027,货件明细!I:I)</f>
        <v>0</v>
      </c>
      <c r="AA1027">
        <f>IF(S1027=Z1027,0,1)</f>
        <v>1</v>
      </c>
    </row>
    <row r="1028" hidden="1" spans="1:27">
      <c r="A1028">
        <v>2</v>
      </c>
      <c r="B1028">
        <v>7</v>
      </c>
      <c r="C1028" s="3">
        <v>46064</v>
      </c>
      <c r="D1028" t="s">
        <v>27</v>
      </c>
      <c r="E1028" t="s">
        <v>1143</v>
      </c>
      <c r="F1028" t="s">
        <v>250</v>
      </c>
      <c r="G1028" t="s">
        <v>72</v>
      </c>
      <c r="H1028" t="s">
        <v>56</v>
      </c>
      <c r="I1028" t="s">
        <v>1140</v>
      </c>
      <c r="J1028" t="s">
        <v>1140</v>
      </c>
      <c r="K1028" t="s">
        <v>64</v>
      </c>
      <c r="L1028" t="s">
        <v>147</v>
      </c>
      <c r="M1028" t="s">
        <v>1142</v>
      </c>
      <c r="N1028">
        <v>78.8</v>
      </c>
      <c r="O1028">
        <v>10</v>
      </c>
      <c r="P1028">
        <v>532.169696969697</v>
      </c>
      <c r="Q1028">
        <v>542.169696969697</v>
      </c>
      <c r="R1028">
        <v>0</v>
      </c>
      <c r="S1028">
        <v>542.169696969697</v>
      </c>
      <c r="T1028">
        <v>339</v>
      </c>
      <c r="U1028">
        <f>SUMIF(货件明细!J:J,E1028,货件明细!AP:AP)</f>
        <v>0</v>
      </c>
      <c r="V1028">
        <f>IF(U1028=T1028,0,1)</f>
        <v>1</v>
      </c>
      <c r="W1028">
        <f>T1028</f>
        <v>339</v>
      </c>
      <c r="X1028">
        <f>SUMIF(货件明细!J:J,E1028,货件明细!H:H)</f>
        <v>0</v>
      </c>
      <c r="Y1028">
        <f>N1028-X1028</f>
        <v>78.8</v>
      </c>
      <c r="Z1028">
        <f>SUMIF(货件明细!J:J,E1028,货件明细!I:I)</f>
        <v>0</v>
      </c>
      <c r="AA1028">
        <f>IF(S1028=Z1028,0,1)</f>
        <v>1</v>
      </c>
    </row>
    <row r="1029" hidden="1" spans="1:27">
      <c r="A1029">
        <v>2</v>
      </c>
      <c r="B1029">
        <v>7</v>
      </c>
      <c r="C1029" s="3">
        <v>46064</v>
      </c>
      <c r="D1029" t="s">
        <v>27</v>
      </c>
      <c r="E1029" t="s">
        <v>1144</v>
      </c>
      <c r="F1029" t="s">
        <v>187</v>
      </c>
      <c r="G1029" t="s">
        <v>72</v>
      </c>
      <c r="H1029" t="s">
        <v>56</v>
      </c>
      <c r="I1029" t="s">
        <v>1140</v>
      </c>
      <c r="J1029" t="s">
        <v>1140</v>
      </c>
      <c r="K1029" t="s">
        <v>64</v>
      </c>
      <c r="L1029" t="s">
        <v>147</v>
      </c>
      <c r="M1029" t="s">
        <v>1142</v>
      </c>
      <c r="N1029">
        <v>78.8</v>
      </c>
      <c r="O1029">
        <v>10</v>
      </c>
      <c r="P1029">
        <v>498.58064516129</v>
      </c>
      <c r="Q1029">
        <v>508.58064516129</v>
      </c>
      <c r="R1029">
        <v>0</v>
      </c>
      <c r="S1029">
        <v>508.58064516129</v>
      </c>
      <c r="T1029">
        <v>339</v>
      </c>
      <c r="U1029">
        <f>SUMIF(货件明细!J:J,E1029,货件明细!AP:AP)</f>
        <v>0</v>
      </c>
      <c r="V1029">
        <f>IF(U1029=T1029,0,1)</f>
        <v>1</v>
      </c>
      <c r="W1029">
        <f>T1029</f>
        <v>339</v>
      </c>
      <c r="X1029">
        <f>SUMIF(货件明细!J:J,E1029,货件明细!H:H)</f>
        <v>0</v>
      </c>
      <c r="Y1029">
        <f>N1029-X1029</f>
        <v>78.8</v>
      </c>
      <c r="Z1029">
        <f>SUMIF(货件明细!J:J,E1029,货件明细!I:I)</f>
        <v>0</v>
      </c>
      <c r="AA1029">
        <f>IF(S1029=Z1029,0,1)</f>
        <v>1</v>
      </c>
    </row>
    <row r="1030" hidden="1" spans="1:27">
      <c r="A1030">
        <v>2</v>
      </c>
      <c r="B1030">
        <v>7</v>
      </c>
      <c r="C1030" s="3">
        <v>46064</v>
      </c>
      <c r="D1030" t="s">
        <v>27</v>
      </c>
      <c r="E1030" t="s">
        <v>1145</v>
      </c>
      <c r="F1030" t="s">
        <v>200</v>
      </c>
      <c r="G1030" t="s">
        <v>30</v>
      </c>
      <c r="H1030" t="s">
        <v>56</v>
      </c>
      <c r="I1030" t="s">
        <v>1140</v>
      </c>
      <c r="J1030" t="s">
        <v>146</v>
      </c>
      <c r="K1030" t="s">
        <v>64</v>
      </c>
      <c r="L1030" t="s">
        <v>147</v>
      </c>
      <c r="M1030" t="s">
        <v>148</v>
      </c>
      <c r="N1030">
        <v>78.8</v>
      </c>
      <c r="O1030">
        <v>22.2222222222222</v>
      </c>
      <c r="P1030">
        <v>484.88</v>
      </c>
      <c r="Q1030">
        <v>507.102222222222</v>
      </c>
      <c r="R1030">
        <v>0</v>
      </c>
      <c r="S1030">
        <v>507.102222222222</v>
      </c>
      <c r="T1030">
        <v>339</v>
      </c>
      <c r="U1030">
        <f>SUMIF(货件明细!J:J,E1030,货件明细!AP:AP)</f>
        <v>0</v>
      </c>
      <c r="V1030">
        <f>IF(U1030=T1030,0,1)</f>
        <v>1</v>
      </c>
      <c r="W1030">
        <f>T1030</f>
        <v>339</v>
      </c>
      <c r="X1030">
        <f>SUMIF(货件明细!J:J,E1030,货件明细!H:H)</f>
        <v>0</v>
      </c>
      <c r="Y1030">
        <f>N1030-X1030</f>
        <v>78.8</v>
      </c>
      <c r="Z1030">
        <f>SUMIF(货件明细!J:J,E1030,货件明细!I:I)</f>
        <v>0</v>
      </c>
      <c r="AA1030">
        <f>IF(S1030=Z1030,0,1)</f>
        <v>1</v>
      </c>
    </row>
    <row r="1031" hidden="1" spans="1:27">
      <c r="A1031">
        <v>2</v>
      </c>
      <c r="B1031">
        <v>7</v>
      </c>
      <c r="C1031" s="3">
        <v>46064</v>
      </c>
      <c r="D1031" t="s">
        <v>27</v>
      </c>
      <c r="E1031" t="s">
        <v>1146</v>
      </c>
      <c r="F1031" t="s">
        <v>185</v>
      </c>
      <c r="G1031" t="s">
        <v>30</v>
      </c>
      <c r="H1031" t="s">
        <v>51</v>
      </c>
      <c r="I1031" t="s">
        <v>1140</v>
      </c>
      <c r="J1031" t="s">
        <v>146</v>
      </c>
      <c r="K1031" t="s">
        <v>64</v>
      </c>
      <c r="L1031" t="s">
        <v>147</v>
      </c>
      <c r="M1031" t="s">
        <v>148</v>
      </c>
      <c r="N1031">
        <v>48.25</v>
      </c>
      <c r="O1031">
        <v>20</v>
      </c>
      <c r="P1031">
        <v>446.358974358974</v>
      </c>
      <c r="Q1031">
        <v>466.358974358974</v>
      </c>
      <c r="R1031">
        <v>0</v>
      </c>
      <c r="S1031">
        <v>466.358974358974</v>
      </c>
      <c r="T1031">
        <v>328</v>
      </c>
      <c r="U1031">
        <f>SUMIF(货件明细!J:J,E1031,货件明细!AP:AP)</f>
        <v>0</v>
      </c>
      <c r="V1031">
        <f>IF(U1031=T1031,0,1)</f>
        <v>1</v>
      </c>
      <c r="W1031">
        <f>T1031</f>
        <v>328</v>
      </c>
      <c r="X1031">
        <f>SUMIF(货件明细!J:J,E1031,货件明细!H:H)</f>
        <v>0</v>
      </c>
      <c r="Y1031">
        <f>N1031-X1031</f>
        <v>48.25</v>
      </c>
      <c r="Z1031">
        <f>SUMIF(货件明细!J:J,E1031,货件明细!I:I)</f>
        <v>0</v>
      </c>
      <c r="AA1031">
        <f>IF(S1031=Z1031,0,1)</f>
        <v>1</v>
      </c>
    </row>
    <row r="1032" hidden="1" spans="1:27">
      <c r="A1032">
        <v>2</v>
      </c>
      <c r="B1032">
        <v>7</v>
      </c>
      <c r="C1032" s="3">
        <v>46064</v>
      </c>
      <c r="D1032" t="s">
        <v>27</v>
      </c>
      <c r="E1032" t="s">
        <v>1147</v>
      </c>
      <c r="F1032" t="s">
        <v>141</v>
      </c>
      <c r="G1032" t="s">
        <v>69</v>
      </c>
      <c r="H1032" t="s">
        <v>51</v>
      </c>
      <c r="I1032" t="s">
        <v>1140</v>
      </c>
      <c r="J1032" t="s">
        <v>1140</v>
      </c>
      <c r="K1032" t="s">
        <v>64</v>
      </c>
      <c r="L1032" t="s">
        <v>147</v>
      </c>
      <c r="M1032" t="s">
        <v>1142</v>
      </c>
      <c r="N1032">
        <v>48.25</v>
      </c>
      <c r="O1032">
        <v>20</v>
      </c>
      <c r="P1032">
        <v>635.454545454545</v>
      </c>
      <c r="Q1032">
        <v>655.454545454545</v>
      </c>
      <c r="R1032">
        <v>0</v>
      </c>
      <c r="S1032">
        <v>655.454545454545</v>
      </c>
      <c r="T1032">
        <v>328</v>
      </c>
      <c r="U1032">
        <f>SUMIF(货件明细!J:J,E1032,货件明细!AP:AP)</f>
        <v>0</v>
      </c>
      <c r="V1032">
        <f>IF(U1032=T1032,0,1)</f>
        <v>1</v>
      </c>
      <c r="W1032">
        <f>T1032</f>
        <v>328</v>
      </c>
      <c r="X1032">
        <f>SUMIF(货件明细!J:J,E1032,货件明细!H:H)</f>
        <v>0</v>
      </c>
      <c r="Y1032">
        <f>N1032-X1032</f>
        <v>48.25</v>
      </c>
      <c r="Z1032">
        <f>SUMIF(货件明细!J:J,E1032,货件明细!I:I)</f>
        <v>0</v>
      </c>
      <c r="AA1032">
        <f>IF(S1032=Z1032,0,1)</f>
        <v>1</v>
      </c>
    </row>
    <row r="1033" hidden="1" spans="1:27">
      <c r="A1033">
        <v>2</v>
      </c>
      <c r="B1033">
        <v>7</v>
      </c>
      <c r="C1033" s="3">
        <v>46064</v>
      </c>
      <c r="D1033" t="s">
        <v>27</v>
      </c>
      <c r="E1033" t="s">
        <v>1148</v>
      </c>
      <c r="F1033" t="s">
        <v>250</v>
      </c>
      <c r="G1033" t="s">
        <v>72</v>
      </c>
      <c r="H1033" t="s">
        <v>51</v>
      </c>
      <c r="I1033" t="s">
        <v>1140</v>
      </c>
      <c r="J1033" t="s">
        <v>1140</v>
      </c>
      <c r="K1033" t="s">
        <v>64</v>
      </c>
      <c r="L1033" t="s">
        <v>147</v>
      </c>
      <c r="M1033" t="s">
        <v>1142</v>
      </c>
      <c r="N1033">
        <v>48.25</v>
      </c>
      <c r="O1033">
        <v>10</v>
      </c>
      <c r="P1033">
        <v>532.169696969697</v>
      </c>
      <c r="Q1033">
        <v>542.169696969697</v>
      </c>
      <c r="R1033">
        <v>0</v>
      </c>
      <c r="S1033">
        <v>542.169696969697</v>
      </c>
      <c r="T1033">
        <v>328</v>
      </c>
      <c r="U1033">
        <f>SUMIF(货件明细!J:J,E1033,货件明细!AP:AP)</f>
        <v>0</v>
      </c>
      <c r="V1033">
        <f>IF(U1033=T1033,0,1)</f>
        <v>1</v>
      </c>
      <c r="W1033">
        <f>T1033</f>
        <v>328</v>
      </c>
      <c r="X1033">
        <f>SUMIF(货件明细!J:J,E1033,货件明细!H:H)</f>
        <v>0</v>
      </c>
      <c r="Y1033">
        <f>N1033-X1033</f>
        <v>48.25</v>
      </c>
      <c r="Z1033">
        <f>SUMIF(货件明细!J:J,E1033,货件明细!I:I)</f>
        <v>0</v>
      </c>
      <c r="AA1033">
        <f>IF(S1033=Z1033,0,1)</f>
        <v>1</v>
      </c>
    </row>
    <row r="1034" hidden="1" spans="1:27">
      <c r="A1034">
        <v>2</v>
      </c>
      <c r="B1034">
        <v>7</v>
      </c>
      <c r="C1034" s="3">
        <v>46064</v>
      </c>
      <c r="D1034" t="s">
        <v>27</v>
      </c>
      <c r="E1034" t="s">
        <v>1149</v>
      </c>
      <c r="F1034" t="s">
        <v>187</v>
      </c>
      <c r="G1034" t="s">
        <v>72</v>
      </c>
      <c r="H1034" t="s">
        <v>51</v>
      </c>
      <c r="I1034" t="s">
        <v>1140</v>
      </c>
      <c r="J1034" t="s">
        <v>1140</v>
      </c>
      <c r="K1034" t="s">
        <v>64</v>
      </c>
      <c r="L1034" t="s">
        <v>147</v>
      </c>
      <c r="M1034" t="s">
        <v>1142</v>
      </c>
      <c r="N1034">
        <v>48.25</v>
      </c>
      <c r="O1034">
        <v>10</v>
      </c>
      <c r="P1034">
        <v>498.58064516129</v>
      </c>
      <c r="Q1034">
        <v>508.58064516129</v>
      </c>
      <c r="R1034">
        <v>0</v>
      </c>
      <c r="S1034">
        <v>508.58064516129</v>
      </c>
      <c r="T1034">
        <v>328</v>
      </c>
      <c r="U1034">
        <f>SUMIF(货件明细!J:J,E1034,货件明细!AP:AP)</f>
        <v>0</v>
      </c>
      <c r="V1034">
        <f>IF(U1034=T1034,0,1)</f>
        <v>1</v>
      </c>
      <c r="W1034">
        <f>T1034</f>
        <v>328</v>
      </c>
      <c r="X1034">
        <f>SUMIF(货件明细!J:J,E1034,货件明细!H:H)</f>
        <v>0</v>
      </c>
      <c r="Y1034">
        <f>N1034-X1034</f>
        <v>48.25</v>
      </c>
      <c r="Z1034">
        <f>SUMIF(货件明细!J:J,E1034,货件明细!I:I)</f>
        <v>0</v>
      </c>
      <c r="AA1034">
        <f>IF(S1034=Z1034,0,1)</f>
        <v>1</v>
      </c>
    </row>
    <row r="1035" hidden="1" spans="1:27">
      <c r="A1035">
        <v>2</v>
      </c>
      <c r="B1035">
        <v>7</v>
      </c>
      <c r="C1035" s="3">
        <v>46064</v>
      </c>
      <c r="D1035" t="s">
        <v>27</v>
      </c>
      <c r="E1035" t="s">
        <v>1150</v>
      </c>
      <c r="F1035" t="s">
        <v>200</v>
      </c>
      <c r="G1035" t="s">
        <v>30</v>
      </c>
      <c r="H1035" t="s">
        <v>51</v>
      </c>
      <c r="I1035" t="s">
        <v>1140</v>
      </c>
      <c r="J1035" t="s">
        <v>146</v>
      </c>
      <c r="K1035" t="s">
        <v>64</v>
      </c>
      <c r="L1035" t="s">
        <v>147</v>
      </c>
      <c r="M1035" t="s">
        <v>148</v>
      </c>
      <c r="N1035">
        <v>48.25</v>
      </c>
      <c r="O1035">
        <v>22.2222222222222</v>
      </c>
      <c r="P1035">
        <v>484.88</v>
      </c>
      <c r="Q1035">
        <v>507.102222222222</v>
      </c>
      <c r="R1035">
        <v>0</v>
      </c>
      <c r="S1035">
        <v>507.102222222222</v>
      </c>
      <c r="T1035">
        <v>328</v>
      </c>
      <c r="U1035">
        <f>SUMIF(货件明细!J:J,E1035,货件明细!AP:AP)</f>
        <v>0</v>
      </c>
      <c r="V1035">
        <f>IF(U1035=T1035,0,1)</f>
        <v>1</v>
      </c>
      <c r="W1035">
        <f>T1035</f>
        <v>328</v>
      </c>
      <c r="X1035">
        <f>SUMIF(货件明细!J:J,E1035,货件明细!H:H)</f>
        <v>0</v>
      </c>
      <c r="Y1035">
        <f>N1035-X1035</f>
        <v>48.25</v>
      </c>
      <c r="Z1035">
        <f>SUMIF(货件明细!J:J,E1035,货件明细!I:I)</f>
        <v>0</v>
      </c>
      <c r="AA1035">
        <f>IF(S1035=Z1035,0,1)</f>
        <v>1</v>
      </c>
    </row>
    <row r="1036" hidden="1" spans="1:27">
      <c r="A1036">
        <v>2</v>
      </c>
      <c r="B1036">
        <v>7</v>
      </c>
      <c r="C1036" s="3">
        <v>46064</v>
      </c>
      <c r="D1036" t="s">
        <v>27</v>
      </c>
      <c r="E1036" t="s">
        <v>1151</v>
      </c>
      <c r="F1036" t="s">
        <v>185</v>
      </c>
      <c r="G1036" t="s">
        <v>30</v>
      </c>
      <c r="H1036" t="s">
        <v>31</v>
      </c>
      <c r="I1036" t="s">
        <v>1140</v>
      </c>
      <c r="J1036" t="s">
        <v>146</v>
      </c>
      <c r="K1036" t="s">
        <v>64</v>
      </c>
      <c r="L1036" t="s">
        <v>147</v>
      </c>
      <c r="M1036" t="s">
        <v>148</v>
      </c>
      <c r="N1036">
        <v>24.4</v>
      </c>
      <c r="O1036">
        <v>20</v>
      </c>
      <c r="P1036">
        <v>223.179487179487</v>
      </c>
      <c r="Q1036">
        <v>243.179487179487</v>
      </c>
      <c r="R1036">
        <v>0</v>
      </c>
      <c r="S1036">
        <v>243.179487179487</v>
      </c>
      <c r="T1036">
        <v>77</v>
      </c>
      <c r="U1036">
        <f>SUMIF(货件明细!J:J,E1036,货件明细!AP:AP)</f>
        <v>0</v>
      </c>
      <c r="V1036">
        <f>IF(U1036=T1036,0,1)</f>
        <v>1</v>
      </c>
      <c r="W1036">
        <f>T1036</f>
        <v>77</v>
      </c>
      <c r="X1036">
        <f>SUMIF(货件明细!J:J,E1036,货件明细!H:H)</f>
        <v>0</v>
      </c>
      <c r="Y1036">
        <f>N1036-X1036</f>
        <v>24.4</v>
      </c>
      <c r="Z1036">
        <f>SUMIF(货件明细!J:J,E1036,货件明细!I:I)</f>
        <v>0</v>
      </c>
      <c r="AA1036">
        <f>IF(S1036=Z1036,0,1)</f>
        <v>1</v>
      </c>
    </row>
    <row r="1037" hidden="1" spans="1:27">
      <c r="A1037">
        <v>2</v>
      </c>
      <c r="B1037">
        <v>7</v>
      </c>
      <c r="C1037" s="3">
        <v>46064</v>
      </c>
      <c r="D1037" t="s">
        <v>27</v>
      </c>
      <c r="E1037" t="s">
        <v>1152</v>
      </c>
      <c r="F1037" t="s">
        <v>141</v>
      </c>
      <c r="G1037" t="s">
        <v>69</v>
      </c>
      <c r="H1037" t="s">
        <v>31</v>
      </c>
      <c r="I1037" t="s">
        <v>1140</v>
      </c>
      <c r="J1037" t="s">
        <v>1140</v>
      </c>
      <c r="K1037" t="s">
        <v>64</v>
      </c>
      <c r="L1037" t="s">
        <v>147</v>
      </c>
      <c r="M1037" t="s">
        <v>1142</v>
      </c>
      <c r="N1037">
        <v>24.4</v>
      </c>
      <c r="O1037">
        <v>20</v>
      </c>
      <c r="P1037">
        <v>317.727272727273</v>
      </c>
      <c r="Q1037">
        <v>337.727272727273</v>
      </c>
      <c r="R1037">
        <v>0</v>
      </c>
      <c r="S1037">
        <v>337.727272727273</v>
      </c>
      <c r="T1037">
        <v>77</v>
      </c>
      <c r="U1037">
        <f>SUMIF(货件明细!J:J,E1037,货件明细!AP:AP)</f>
        <v>0</v>
      </c>
      <c r="V1037">
        <f>IF(U1037=T1037,0,1)</f>
        <v>1</v>
      </c>
      <c r="W1037">
        <f>T1037</f>
        <v>77</v>
      </c>
      <c r="X1037">
        <f>SUMIF(货件明细!J:J,E1037,货件明细!H:H)</f>
        <v>0</v>
      </c>
      <c r="Y1037">
        <f>N1037-X1037</f>
        <v>24.4</v>
      </c>
      <c r="Z1037">
        <f>SUMIF(货件明细!J:J,E1037,货件明细!I:I)</f>
        <v>0</v>
      </c>
      <c r="AA1037">
        <f>IF(S1037=Z1037,0,1)</f>
        <v>1</v>
      </c>
    </row>
    <row r="1038" hidden="1" spans="1:27">
      <c r="A1038">
        <v>2</v>
      </c>
      <c r="B1038">
        <v>7</v>
      </c>
      <c r="C1038" s="3">
        <v>46064</v>
      </c>
      <c r="D1038" t="s">
        <v>27</v>
      </c>
      <c r="E1038" t="s">
        <v>1153</v>
      </c>
      <c r="F1038" t="s">
        <v>250</v>
      </c>
      <c r="G1038" t="s">
        <v>72</v>
      </c>
      <c r="H1038" t="s">
        <v>31</v>
      </c>
      <c r="I1038" t="s">
        <v>1140</v>
      </c>
      <c r="J1038" t="s">
        <v>1140</v>
      </c>
      <c r="K1038" t="s">
        <v>64</v>
      </c>
      <c r="L1038" t="s">
        <v>147</v>
      </c>
      <c r="M1038" t="s">
        <v>1142</v>
      </c>
      <c r="N1038">
        <v>24.4</v>
      </c>
      <c r="O1038">
        <v>10</v>
      </c>
      <c r="P1038">
        <v>266.084848484849</v>
      </c>
      <c r="Q1038">
        <v>276.084848484849</v>
      </c>
      <c r="R1038">
        <v>0</v>
      </c>
      <c r="S1038">
        <v>276.084848484849</v>
      </c>
      <c r="T1038">
        <v>77</v>
      </c>
      <c r="U1038">
        <f>SUMIF(货件明细!J:J,E1038,货件明细!AP:AP)</f>
        <v>0</v>
      </c>
      <c r="V1038">
        <f>IF(U1038=T1038,0,1)</f>
        <v>1</v>
      </c>
      <c r="W1038">
        <f>T1038</f>
        <v>77</v>
      </c>
      <c r="X1038">
        <f>SUMIF(货件明细!J:J,E1038,货件明细!H:H)</f>
        <v>0</v>
      </c>
      <c r="Y1038">
        <f>N1038-X1038</f>
        <v>24.4</v>
      </c>
      <c r="Z1038">
        <f>SUMIF(货件明细!J:J,E1038,货件明细!I:I)</f>
        <v>0</v>
      </c>
      <c r="AA1038">
        <f>IF(S1038=Z1038,0,1)</f>
        <v>1</v>
      </c>
    </row>
    <row r="1039" hidden="1" spans="1:27">
      <c r="A1039">
        <v>2</v>
      </c>
      <c r="B1039">
        <v>7</v>
      </c>
      <c r="C1039" s="3">
        <v>46064</v>
      </c>
      <c r="D1039" t="s">
        <v>27</v>
      </c>
      <c r="E1039" t="s">
        <v>1154</v>
      </c>
      <c r="F1039" t="s">
        <v>187</v>
      </c>
      <c r="G1039" t="s">
        <v>72</v>
      </c>
      <c r="H1039" t="s">
        <v>31</v>
      </c>
      <c r="I1039" t="s">
        <v>1140</v>
      </c>
      <c r="J1039" t="s">
        <v>1140</v>
      </c>
      <c r="K1039" t="s">
        <v>64</v>
      </c>
      <c r="L1039" t="s">
        <v>147</v>
      </c>
      <c r="M1039" t="s">
        <v>1142</v>
      </c>
      <c r="N1039">
        <v>24.4</v>
      </c>
      <c r="O1039">
        <v>10</v>
      </c>
      <c r="P1039">
        <v>249.290322580645</v>
      </c>
      <c r="Q1039">
        <v>259.290322580645</v>
      </c>
      <c r="R1039">
        <v>0</v>
      </c>
      <c r="S1039">
        <v>259.290322580645</v>
      </c>
      <c r="T1039">
        <v>77</v>
      </c>
      <c r="U1039">
        <f>SUMIF(货件明细!J:J,E1039,货件明细!AP:AP)</f>
        <v>0</v>
      </c>
      <c r="V1039">
        <f>IF(U1039=T1039,0,1)</f>
        <v>1</v>
      </c>
      <c r="W1039">
        <f>T1039</f>
        <v>77</v>
      </c>
      <c r="X1039">
        <f>SUMIF(货件明细!J:J,E1039,货件明细!H:H)</f>
        <v>0</v>
      </c>
      <c r="Y1039">
        <f>N1039-X1039</f>
        <v>24.4</v>
      </c>
      <c r="Z1039">
        <f>SUMIF(货件明细!J:J,E1039,货件明细!I:I)</f>
        <v>0</v>
      </c>
      <c r="AA1039">
        <f>IF(S1039=Z1039,0,1)</f>
        <v>1</v>
      </c>
    </row>
    <row r="1040" hidden="1" spans="1:27">
      <c r="A1040">
        <v>2</v>
      </c>
      <c r="B1040">
        <v>7</v>
      </c>
      <c r="C1040" s="3">
        <v>46064</v>
      </c>
      <c r="D1040" t="s">
        <v>27</v>
      </c>
      <c r="E1040" t="s">
        <v>1155</v>
      </c>
      <c r="F1040" t="s">
        <v>200</v>
      </c>
      <c r="G1040" t="s">
        <v>30</v>
      </c>
      <c r="H1040" t="s">
        <v>31</v>
      </c>
      <c r="I1040" t="s">
        <v>1140</v>
      </c>
      <c r="J1040" t="s">
        <v>146</v>
      </c>
      <c r="K1040" t="s">
        <v>64</v>
      </c>
      <c r="L1040" t="s">
        <v>147</v>
      </c>
      <c r="M1040" t="s">
        <v>148</v>
      </c>
      <c r="N1040">
        <v>24.4</v>
      </c>
      <c r="O1040">
        <v>22.2222222222222</v>
      </c>
      <c r="P1040">
        <v>242.44</v>
      </c>
      <c r="Q1040">
        <v>264.662222222222</v>
      </c>
      <c r="R1040">
        <v>0</v>
      </c>
      <c r="S1040">
        <v>264.662222222222</v>
      </c>
      <c r="T1040">
        <v>77</v>
      </c>
      <c r="U1040">
        <f>SUMIF(货件明细!J:J,E1040,货件明细!AP:AP)</f>
        <v>0</v>
      </c>
      <c r="V1040">
        <f>IF(U1040=T1040,0,1)</f>
        <v>1</v>
      </c>
      <c r="W1040">
        <f>T1040</f>
        <v>77</v>
      </c>
      <c r="X1040">
        <f>SUMIF(货件明细!J:J,E1040,货件明细!H:H)</f>
        <v>0</v>
      </c>
      <c r="Y1040">
        <f>N1040-X1040</f>
        <v>24.4</v>
      </c>
      <c r="Z1040">
        <f>SUMIF(货件明细!J:J,E1040,货件明细!I:I)</f>
        <v>0</v>
      </c>
      <c r="AA1040">
        <f>IF(S1040=Z1040,0,1)</f>
        <v>1</v>
      </c>
    </row>
    <row r="1041" hidden="1" spans="1:27">
      <c r="A1041">
        <v>2</v>
      </c>
      <c r="B1041">
        <v>7</v>
      </c>
      <c r="C1041" s="3">
        <v>46064</v>
      </c>
      <c r="D1041" t="s">
        <v>27</v>
      </c>
      <c r="E1041" t="s">
        <v>1156</v>
      </c>
      <c r="F1041" t="s">
        <v>185</v>
      </c>
      <c r="G1041" t="s">
        <v>30</v>
      </c>
      <c r="H1041" t="s">
        <v>37</v>
      </c>
      <c r="I1041" t="s">
        <v>1140</v>
      </c>
      <c r="J1041" t="s">
        <v>146</v>
      </c>
      <c r="K1041" t="s">
        <v>64</v>
      </c>
      <c r="L1041" t="s">
        <v>147</v>
      </c>
      <c r="M1041" t="s">
        <v>148</v>
      </c>
      <c r="N1041">
        <v>22.15</v>
      </c>
      <c r="O1041">
        <v>33.3333333333333</v>
      </c>
      <c r="P1041">
        <v>223.179487179487</v>
      </c>
      <c r="Q1041">
        <v>256.512820512821</v>
      </c>
      <c r="R1041">
        <v>0</v>
      </c>
      <c r="S1041">
        <v>256.512820512821</v>
      </c>
      <c r="T1041">
        <v>228</v>
      </c>
      <c r="U1041">
        <f>SUMIF(货件明细!J:J,E1041,货件明细!AP:AP)</f>
        <v>0</v>
      </c>
      <c r="V1041">
        <f>IF(U1041=T1041,0,1)</f>
        <v>1</v>
      </c>
      <c r="W1041">
        <f>T1041</f>
        <v>228</v>
      </c>
      <c r="X1041">
        <f>SUMIF(货件明细!J:J,E1041,货件明细!H:H)</f>
        <v>0</v>
      </c>
      <c r="Y1041">
        <f>N1041-X1041</f>
        <v>22.15</v>
      </c>
      <c r="Z1041">
        <f>SUMIF(货件明细!J:J,E1041,货件明细!I:I)</f>
        <v>0</v>
      </c>
      <c r="AA1041">
        <f>IF(S1041=Z1041,0,1)</f>
        <v>1</v>
      </c>
    </row>
    <row r="1042" hidden="1" spans="1:27">
      <c r="A1042">
        <v>2</v>
      </c>
      <c r="B1042">
        <v>7</v>
      </c>
      <c r="C1042" s="3">
        <v>46064</v>
      </c>
      <c r="D1042" t="s">
        <v>27</v>
      </c>
      <c r="E1042" t="s">
        <v>1157</v>
      </c>
      <c r="F1042" t="s">
        <v>141</v>
      </c>
      <c r="G1042" t="s">
        <v>69</v>
      </c>
      <c r="H1042" t="s">
        <v>37</v>
      </c>
      <c r="I1042" t="s">
        <v>1140</v>
      </c>
      <c r="J1042" t="s">
        <v>1140</v>
      </c>
      <c r="K1042" t="s">
        <v>64</v>
      </c>
      <c r="L1042" t="s">
        <v>147</v>
      </c>
      <c r="M1042" t="s">
        <v>1142</v>
      </c>
      <c r="N1042">
        <v>22.15</v>
      </c>
      <c r="O1042">
        <v>25</v>
      </c>
      <c r="P1042">
        <v>317.727272727273</v>
      </c>
      <c r="Q1042">
        <v>342.727272727273</v>
      </c>
      <c r="R1042">
        <v>0</v>
      </c>
      <c r="S1042">
        <v>342.727272727273</v>
      </c>
      <c r="T1042">
        <v>228</v>
      </c>
      <c r="U1042">
        <f>SUMIF(货件明细!J:J,E1042,货件明细!AP:AP)</f>
        <v>0</v>
      </c>
      <c r="V1042">
        <f>IF(U1042=T1042,0,1)</f>
        <v>1</v>
      </c>
      <c r="W1042">
        <f>T1042</f>
        <v>228</v>
      </c>
      <c r="X1042">
        <f>SUMIF(货件明细!J:J,E1042,货件明细!H:H)</f>
        <v>0</v>
      </c>
      <c r="Y1042">
        <f>N1042-X1042</f>
        <v>22.15</v>
      </c>
      <c r="Z1042">
        <f>SUMIF(货件明细!J:J,E1042,货件明细!I:I)</f>
        <v>0</v>
      </c>
      <c r="AA1042">
        <f>IF(S1042=Z1042,0,1)</f>
        <v>1</v>
      </c>
    </row>
    <row r="1043" hidden="1" spans="1:27">
      <c r="A1043">
        <v>2</v>
      </c>
      <c r="B1043">
        <v>7</v>
      </c>
      <c r="C1043" s="3">
        <v>46064</v>
      </c>
      <c r="D1043" t="s">
        <v>27</v>
      </c>
      <c r="E1043" t="s">
        <v>1158</v>
      </c>
      <c r="F1043" t="s">
        <v>250</v>
      </c>
      <c r="G1043" t="s">
        <v>72</v>
      </c>
      <c r="H1043" t="s">
        <v>37</v>
      </c>
      <c r="I1043" t="s">
        <v>1140</v>
      </c>
      <c r="J1043" t="s">
        <v>1140</v>
      </c>
      <c r="K1043" t="s">
        <v>64</v>
      </c>
      <c r="L1043" t="s">
        <v>147</v>
      </c>
      <c r="M1043" t="s">
        <v>1142</v>
      </c>
      <c r="N1043">
        <v>22.15</v>
      </c>
      <c r="O1043">
        <v>18.1818181818182</v>
      </c>
      <c r="P1043">
        <v>266.084848484849</v>
      </c>
      <c r="Q1043">
        <v>284.266666666667</v>
      </c>
      <c r="R1043">
        <v>0</v>
      </c>
      <c r="S1043">
        <v>284.266666666667</v>
      </c>
      <c r="T1043">
        <v>228</v>
      </c>
      <c r="U1043">
        <f>SUMIF(货件明细!J:J,E1043,货件明细!AP:AP)</f>
        <v>0</v>
      </c>
      <c r="V1043">
        <f>IF(U1043=T1043,0,1)</f>
        <v>1</v>
      </c>
      <c r="W1043">
        <f>T1043</f>
        <v>228</v>
      </c>
      <c r="X1043">
        <f>SUMIF(货件明细!J:J,E1043,货件明细!H:H)</f>
        <v>0</v>
      </c>
      <c r="Y1043">
        <f>N1043-X1043</f>
        <v>22.15</v>
      </c>
      <c r="Z1043">
        <f>SUMIF(货件明细!J:J,E1043,货件明细!I:I)</f>
        <v>0</v>
      </c>
      <c r="AA1043">
        <f>IF(S1043=Z1043,0,1)</f>
        <v>1</v>
      </c>
    </row>
    <row r="1044" hidden="1" spans="1:27">
      <c r="A1044">
        <v>2</v>
      </c>
      <c r="B1044">
        <v>7</v>
      </c>
      <c r="C1044" s="3">
        <v>46064</v>
      </c>
      <c r="D1044" t="s">
        <v>27</v>
      </c>
      <c r="E1044" t="s">
        <v>1159</v>
      </c>
      <c r="F1044" t="s">
        <v>187</v>
      </c>
      <c r="G1044" t="s">
        <v>72</v>
      </c>
      <c r="H1044" t="s">
        <v>37</v>
      </c>
      <c r="I1044" t="s">
        <v>1140</v>
      </c>
      <c r="J1044" t="s">
        <v>1140</v>
      </c>
      <c r="K1044" t="s">
        <v>64</v>
      </c>
      <c r="L1044" t="s">
        <v>147</v>
      </c>
      <c r="M1044" t="s">
        <v>1142</v>
      </c>
      <c r="N1044">
        <v>22.15</v>
      </c>
      <c r="O1044">
        <v>18.1818181818182</v>
      </c>
      <c r="P1044">
        <v>249.290322580645</v>
      </c>
      <c r="Q1044">
        <v>267.472140762463</v>
      </c>
      <c r="R1044">
        <v>0</v>
      </c>
      <c r="S1044">
        <v>267.472140762463</v>
      </c>
      <c r="T1044">
        <v>228</v>
      </c>
      <c r="U1044">
        <f>SUMIF(货件明细!J:J,E1044,货件明细!AP:AP)</f>
        <v>0</v>
      </c>
      <c r="V1044">
        <f>IF(U1044=T1044,0,1)</f>
        <v>1</v>
      </c>
      <c r="W1044">
        <f>T1044</f>
        <v>228</v>
      </c>
      <c r="X1044">
        <f>SUMIF(货件明细!J:J,E1044,货件明细!H:H)</f>
        <v>0</v>
      </c>
      <c r="Y1044">
        <f>N1044-X1044</f>
        <v>22.15</v>
      </c>
      <c r="Z1044">
        <f>SUMIF(货件明细!J:J,E1044,货件明细!I:I)</f>
        <v>0</v>
      </c>
      <c r="AA1044">
        <f>IF(S1044=Z1044,0,1)</f>
        <v>1</v>
      </c>
    </row>
    <row r="1045" hidden="1" spans="1:27">
      <c r="A1045">
        <v>2</v>
      </c>
      <c r="B1045">
        <v>7</v>
      </c>
      <c r="C1045" s="3">
        <v>46064</v>
      </c>
      <c r="D1045" t="s">
        <v>27</v>
      </c>
      <c r="E1045" t="s">
        <v>1160</v>
      </c>
      <c r="F1045" t="s">
        <v>200</v>
      </c>
      <c r="G1045" t="s">
        <v>30</v>
      </c>
      <c r="H1045" t="s">
        <v>37</v>
      </c>
      <c r="I1045" t="s">
        <v>1140</v>
      </c>
      <c r="J1045" t="s">
        <v>146</v>
      </c>
      <c r="K1045" t="s">
        <v>64</v>
      </c>
      <c r="L1045" t="s">
        <v>147</v>
      </c>
      <c r="M1045" t="s">
        <v>148</v>
      </c>
      <c r="N1045">
        <v>22.15</v>
      </c>
      <c r="O1045">
        <v>50</v>
      </c>
      <c r="P1045">
        <v>242.44</v>
      </c>
      <c r="Q1045">
        <v>292.44</v>
      </c>
      <c r="R1045">
        <v>0</v>
      </c>
      <c r="S1045">
        <v>292.44</v>
      </c>
      <c r="T1045">
        <v>228</v>
      </c>
      <c r="U1045">
        <f>SUMIF(货件明细!J:J,E1045,货件明细!AP:AP)</f>
        <v>0</v>
      </c>
      <c r="V1045">
        <f>IF(U1045=T1045,0,1)</f>
        <v>1</v>
      </c>
      <c r="W1045">
        <f>T1045</f>
        <v>228</v>
      </c>
      <c r="X1045">
        <f>SUMIF(货件明细!J:J,E1045,货件明细!H:H)</f>
        <v>0</v>
      </c>
      <c r="Y1045">
        <f>N1045-X1045</f>
        <v>22.15</v>
      </c>
      <c r="Z1045">
        <f>SUMIF(货件明细!J:J,E1045,货件明细!I:I)</f>
        <v>0</v>
      </c>
      <c r="AA1045">
        <f>IF(S1045=Z1045,0,1)</f>
        <v>1</v>
      </c>
    </row>
    <row r="1046" hidden="1" spans="1:27">
      <c r="A1046">
        <v>2</v>
      </c>
      <c r="B1046">
        <v>7</v>
      </c>
      <c r="C1046" s="3">
        <v>46064</v>
      </c>
      <c r="D1046" t="s">
        <v>27</v>
      </c>
      <c r="E1046" t="s">
        <v>1161</v>
      </c>
      <c r="F1046" t="s">
        <v>185</v>
      </c>
      <c r="G1046" t="s">
        <v>30</v>
      </c>
      <c r="H1046" t="s">
        <v>51</v>
      </c>
      <c r="I1046" t="s">
        <v>1140</v>
      </c>
      <c r="J1046" t="s">
        <v>146</v>
      </c>
      <c r="K1046" t="s">
        <v>64</v>
      </c>
      <c r="L1046" t="s">
        <v>147</v>
      </c>
      <c r="M1046" t="s">
        <v>148</v>
      </c>
      <c r="N1046">
        <v>12.2</v>
      </c>
      <c r="O1046">
        <v>20</v>
      </c>
      <c r="P1046">
        <v>111.589743589744</v>
      </c>
      <c r="Q1046">
        <v>131.589743589744</v>
      </c>
      <c r="R1046">
        <v>0</v>
      </c>
      <c r="S1046">
        <v>131.589743589744</v>
      </c>
      <c r="T1046">
        <v>26</v>
      </c>
      <c r="U1046">
        <f>SUMIF(货件明细!J:J,E1046,货件明细!AP:AP)</f>
        <v>0</v>
      </c>
      <c r="V1046">
        <f>IF(U1046=T1046,0,1)</f>
        <v>1</v>
      </c>
      <c r="W1046">
        <f>T1046</f>
        <v>26</v>
      </c>
      <c r="X1046">
        <f>SUMIF(货件明细!J:J,E1046,货件明细!H:H)</f>
        <v>0</v>
      </c>
      <c r="Y1046">
        <f>N1046-X1046</f>
        <v>12.2</v>
      </c>
      <c r="Z1046">
        <f>SUMIF(货件明细!J:J,E1046,货件明细!I:I)</f>
        <v>0</v>
      </c>
      <c r="AA1046">
        <f>IF(S1046=Z1046,0,1)</f>
        <v>1</v>
      </c>
    </row>
    <row r="1047" hidden="1" spans="1:27">
      <c r="A1047">
        <v>2</v>
      </c>
      <c r="B1047">
        <v>7</v>
      </c>
      <c r="C1047" s="3">
        <v>46064</v>
      </c>
      <c r="D1047" t="s">
        <v>27</v>
      </c>
      <c r="E1047" t="s">
        <v>1162</v>
      </c>
      <c r="F1047" t="s">
        <v>141</v>
      </c>
      <c r="G1047" t="s">
        <v>69</v>
      </c>
      <c r="H1047" t="s">
        <v>51</v>
      </c>
      <c r="I1047" t="s">
        <v>1140</v>
      </c>
      <c r="J1047" t="s">
        <v>1140</v>
      </c>
      <c r="K1047" t="s">
        <v>64</v>
      </c>
      <c r="L1047" t="s">
        <v>147</v>
      </c>
      <c r="M1047" t="s">
        <v>1142</v>
      </c>
      <c r="N1047">
        <v>12.2</v>
      </c>
      <c r="O1047">
        <v>20</v>
      </c>
      <c r="P1047">
        <v>158.863636363636</v>
      </c>
      <c r="Q1047">
        <v>178.863636363636</v>
      </c>
      <c r="R1047">
        <v>0</v>
      </c>
      <c r="S1047">
        <v>178.863636363636</v>
      </c>
      <c r="T1047">
        <v>26</v>
      </c>
      <c r="U1047">
        <f>SUMIF(货件明细!J:J,E1047,货件明细!AP:AP)</f>
        <v>0</v>
      </c>
      <c r="V1047">
        <f>IF(U1047=T1047,0,1)</f>
        <v>1</v>
      </c>
      <c r="W1047">
        <f>T1047</f>
        <v>26</v>
      </c>
      <c r="X1047">
        <f>SUMIF(货件明细!J:J,E1047,货件明细!H:H)</f>
        <v>0</v>
      </c>
      <c r="Y1047">
        <f>N1047-X1047</f>
        <v>12.2</v>
      </c>
      <c r="Z1047">
        <f>SUMIF(货件明细!J:J,E1047,货件明细!I:I)</f>
        <v>0</v>
      </c>
      <c r="AA1047">
        <f>IF(S1047=Z1047,0,1)</f>
        <v>1</v>
      </c>
    </row>
    <row r="1048" hidden="1" spans="1:27">
      <c r="A1048">
        <v>2</v>
      </c>
      <c r="B1048">
        <v>7</v>
      </c>
      <c r="C1048" s="3">
        <v>46064</v>
      </c>
      <c r="D1048" t="s">
        <v>27</v>
      </c>
      <c r="E1048" t="s">
        <v>1163</v>
      </c>
      <c r="F1048" t="s">
        <v>250</v>
      </c>
      <c r="G1048" t="s">
        <v>72</v>
      </c>
      <c r="H1048" t="s">
        <v>51</v>
      </c>
      <c r="I1048" t="s">
        <v>1140</v>
      </c>
      <c r="J1048" t="s">
        <v>1140</v>
      </c>
      <c r="K1048" t="s">
        <v>64</v>
      </c>
      <c r="L1048" t="s">
        <v>147</v>
      </c>
      <c r="M1048" t="s">
        <v>1142</v>
      </c>
      <c r="N1048">
        <v>12.2</v>
      </c>
      <c r="O1048">
        <v>10</v>
      </c>
      <c r="P1048">
        <v>133.042424242424</v>
      </c>
      <c r="Q1048">
        <v>143.042424242424</v>
      </c>
      <c r="R1048">
        <v>0</v>
      </c>
      <c r="S1048">
        <v>143.042424242424</v>
      </c>
      <c r="T1048">
        <v>26</v>
      </c>
      <c r="U1048">
        <f>SUMIF(货件明细!J:J,E1048,货件明细!AP:AP)</f>
        <v>0</v>
      </c>
      <c r="V1048">
        <f>IF(U1048=T1048,0,1)</f>
        <v>1</v>
      </c>
      <c r="W1048">
        <f>T1048</f>
        <v>26</v>
      </c>
      <c r="X1048">
        <f>SUMIF(货件明细!J:J,E1048,货件明细!H:H)</f>
        <v>0</v>
      </c>
      <c r="Y1048">
        <f>N1048-X1048</f>
        <v>12.2</v>
      </c>
      <c r="Z1048">
        <f>SUMIF(货件明细!J:J,E1048,货件明细!I:I)</f>
        <v>0</v>
      </c>
      <c r="AA1048">
        <f>IF(S1048=Z1048,0,1)</f>
        <v>1</v>
      </c>
    </row>
    <row r="1049" hidden="1" spans="1:27">
      <c r="A1049">
        <v>2</v>
      </c>
      <c r="B1049">
        <v>7</v>
      </c>
      <c r="C1049" s="3">
        <v>46064</v>
      </c>
      <c r="D1049" t="s">
        <v>27</v>
      </c>
      <c r="E1049" t="s">
        <v>1164</v>
      </c>
      <c r="F1049" t="s">
        <v>187</v>
      </c>
      <c r="G1049" t="s">
        <v>72</v>
      </c>
      <c r="H1049" t="s">
        <v>51</v>
      </c>
      <c r="I1049" t="s">
        <v>1140</v>
      </c>
      <c r="J1049" t="s">
        <v>1140</v>
      </c>
      <c r="K1049" t="s">
        <v>64</v>
      </c>
      <c r="L1049" t="s">
        <v>147</v>
      </c>
      <c r="M1049" t="s">
        <v>1142</v>
      </c>
      <c r="N1049">
        <v>12.2</v>
      </c>
      <c r="O1049">
        <v>10</v>
      </c>
      <c r="P1049">
        <v>124.645161290323</v>
      </c>
      <c r="Q1049">
        <v>134.645161290323</v>
      </c>
      <c r="R1049">
        <v>0</v>
      </c>
      <c r="S1049">
        <v>134.645161290323</v>
      </c>
      <c r="T1049">
        <v>26</v>
      </c>
      <c r="U1049">
        <f>SUMIF(货件明细!J:J,E1049,货件明细!AP:AP)</f>
        <v>0</v>
      </c>
      <c r="V1049">
        <f>IF(U1049=T1049,0,1)</f>
        <v>1</v>
      </c>
      <c r="W1049">
        <f>T1049</f>
        <v>26</v>
      </c>
      <c r="X1049">
        <f>SUMIF(货件明细!J:J,E1049,货件明细!H:H)</f>
        <v>0</v>
      </c>
      <c r="Y1049">
        <f>N1049-X1049</f>
        <v>12.2</v>
      </c>
      <c r="Z1049">
        <f>SUMIF(货件明细!J:J,E1049,货件明细!I:I)</f>
        <v>0</v>
      </c>
      <c r="AA1049">
        <f>IF(S1049=Z1049,0,1)</f>
        <v>1</v>
      </c>
    </row>
    <row r="1050" hidden="1" spans="1:27">
      <c r="A1050">
        <v>2</v>
      </c>
      <c r="B1050">
        <v>7</v>
      </c>
      <c r="C1050" s="3">
        <v>46064</v>
      </c>
      <c r="D1050" t="s">
        <v>27</v>
      </c>
      <c r="E1050" t="s">
        <v>1165</v>
      </c>
      <c r="F1050" t="s">
        <v>200</v>
      </c>
      <c r="G1050" t="s">
        <v>30</v>
      </c>
      <c r="H1050" t="s">
        <v>51</v>
      </c>
      <c r="I1050" t="s">
        <v>1140</v>
      </c>
      <c r="J1050" t="s">
        <v>146</v>
      </c>
      <c r="K1050" t="s">
        <v>64</v>
      </c>
      <c r="L1050" t="s">
        <v>147</v>
      </c>
      <c r="M1050" t="s">
        <v>148</v>
      </c>
      <c r="N1050">
        <v>12.2</v>
      </c>
      <c r="O1050">
        <v>22.2222222222222</v>
      </c>
      <c r="P1050">
        <v>121.22</v>
      </c>
      <c r="Q1050">
        <v>143.442222222222</v>
      </c>
      <c r="R1050">
        <v>0</v>
      </c>
      <c r="S1050">
        <v>143.442222222222</v>
      </c>
      <c r="T1050">
        <v>26</v>
      </c>
      <c r="U1050">
        <f>SUMIF(货件明细!J:J,E1050,货件明细!AP:AP)</f>
        <v>0</v>
      </c>
      <c r="V1050">
        <f>IF(U1050=T1050,0,1)</f>
        <v>1</v>
      </c>
      <c r="W1050">
        <f>T1050</f>
        <v>26</v>
      </c>
      <c r="X1050">
        <f>SUMIF(货件明细!J:J,E1050,货件明细!H:H)</f>
        <v>0</v>
      </c>
      <c r="Y1050">
        <f>N1050-X1050</f>
        <v>12.2</v>
      </c>
      <c r="Z1050">
        <f>SUMIF(货件明细!J:J,E1050,货件明细!I:I)</f>
        <v>0</v>
      </c>
      <c r="AA1050">
        <f>IF(S1050=Z1050,0,1)</f>
        <v>1</v>
      </c>
    </row>
    <row r="1051" hidden="1" spans="1:27">
      <c r="A1051">
        <v>2</v>
      </c>
      <c r="B1051">
        <v>7</v>
      </c>
      <c r="C1051" s="3">
        <v>46064</v>
      </c>
      <c r="D1051" t="s">
        <v>27</v>
      </c>
      <c r="E1051" t="s">
        <v>1166</v>
      </c>
      <c r="F1051" t="s">
        <v>98</v>
      </c>
      <c r="G1051" t="s">
        <v>72</v>
      </c>
      <c r="H1051" t="s">
        <v>46</v>
      </c>
      <c r="I1051" t="s">
        <v>1140</v>
      </c>
      <c r="J1051" t="s">
        <v>1140</v>
      </c>
      <c r="K1051" t="s">
        <v>64</v>
      </c>
      <c r="L1051" t="s">
        <v>147</v>
      </c>
      <c r="M1051" t="s">
        <v>1142</v>
      </c>
      <c r="N1051">
        <v>54.9</v>
      </c>
      <c r="O1051">
        <v>66.6666666666667</v>
      </c>
      <c r="P1051">
        <v>548.8</v>
      </c>
      <c r="Q1051">
        <v>615.466666666667</v>
      </c>
      <c r="R1051">
        <v>0</v>
      </c>
      <c r="S1051">
        <v>615.466666666667</v>
      </c>
      <c r="T1051">
        <v>227</v>
      </c>
      <c r="U1051">
        <f>SUMIF(货件明细!J:J,E1051,货件明细!AP:AP)</f>
        <v>0</v>
      </c>
      <c r="V1051">
        <f>IF(U1051=T1051,0,1)</f>
        <v>1</v>
      </c>
      <c r="W1051">
        <f>T1051</f>
        <v>227</v>
      </c>
      <c r="X1051">
        <f>SUMIF(货件明细!J:J,E1051,货件明细!H:H)</f>
        <v>0</v>
      </c>
      <c r="Y1051">
        <f>N1051-X1051</f>
        <v>54.9</v>
      </c>
      <c r="Z1051">
        <f>SUMIF(货件明细!J:J,E1051,货件明细!I:I)</f>
        <v>0</v>
      </c>
      <c r="AA1051">
        <f>IF(S1051=Z1051,0,1)</f>
        <v>1</v>
      </c>
    </row>
    <row r="1052" hidden="1" spans="1:27">
      <c r="A1052">
        <v>2</v>
      </c>
      <c r="B1052">
        <v>7</v>
      </c>
      <c r="C1052" s="3">
        <v>46064</v>
      </c>
      <c r="D1052" t="s">
        <v>27</v>
      </c>
      <c r="E1052" t="s">
        <v>1167</v>
      </c>
      <c r="F1052" t="s">
        <v>185</v>
      </c>
      <c r="G1052" t="s">
        <v>30</v>
      </c>
      <c r="H1052" t="s">
        <v>46</v>
      </c>
      <c r="I1052" t="s">
        <v>1140</v>
      </c>
      <c r="J1052" t="s">
        <v>146</v>
      </c>
      <c r="K1052" t="s">
        <v>64</v>
      </c>
      <c r="L1052" t="s">
        <v>147</v>
      </c>
      <c r="M1052" t="s">
        <v>148</v>
      </c>
      <c r="N1052">
        <v>70.5</v>
      </c>
      <c r="O1052">
        <v>33.3333333333333</v>
      </c>
      <c r="P1052">
        <v>446.358974358974</v>
      </c>
      <c r="Q1052">
        <v>479.692307692308</v>
      </c>
      <c r="R1052">
        <v>0</v>
      </c>
      <c r="S1052">
        <v>479.692307692308</v>
      </c>
      <c r="T1052">
        <v>256</v>
      </c>
      <c r="U1052">
        <f>SUMIF(货件明细!J:J,E1052,货件明细!AP:AP)</f>
        <v>0</v>
      </c>
      <c r="V1052">
        <f>IF(U1052=T1052,0,1)</f>
        <v>1</v>
      </c>
      <c r="W1052">
        <f>T1052</f>
        <v>256</v>
      </c>
      <c r="X1052">
        <f>SUMIF(货件明细!J:J,E1052,货件明细!H:H)</f>
        <v>0</v>
      </c>
      <c r="Y1052">
        <f>N1052-X1052</f>
        <v>70.5</v>
      </c>
      <c r="Z1052">
        <f>SUMIF(货件明细!J:J,E1052,货件明细!I:I)</f>
        <v>0</v>
      </c>
      <c r="AA1052">
        <f>IF(S1052=Z1052,0,1)</f>
        <v>1</v>
      </c>
    </row>
    <row r="1053" hidden="1" spans="1:27">
      <c r="A1053">
        <v>2</v>
      </c>
      <c r="B1053">
        <v>7</v>
      </c>
      <c r="C1053" s="3">
        <v>46064</v>
      </c>
      <c r="D1053" t="s">
        <v>27</v>
      </c>
      <c r="E1053" t="s">
        <v>1168</v>
      </c>
      <c r="F1053" t="s">
        <v>243</v>
      </c>
      <c r="G1053" t="s">
        <v>72</v>
      </c>
      <c r="H1053" t="s">
        <v>46</v>
      </c>
      <c r="I1053" t="s">
        <v>1140</v>
      </c>
      <c r="J1053" t="s">
        <v>1140</v>
      </c>
      <c r="K1053" t="s">
        <v>64</v>
      </c>
      <c r="L1053" t="s">
        <v>147</v>
      </c>
      <c r="M1053" t="s">
        <v>1142</v>
      </c>
      <c r="N1053">
        <v>70.5</v>
      </c>
      <c r="O1053">
        <v>18.1818181818182</v>
      </c>
      <c r="P1053">
        <v>744.8</v>
      </c>
      <c r="Q1053">
        <v>762.981818181818</v>
      </c>
      <c r="R1053">
        <v>0</v>
      </c>
      <c r="S1053">
        <v>762.981818181818</v>
      </c>
      <c r="T1053">
        <v>256</v>
      </c>
      <c r="U1053">
        <f>SUMIF(货件明细!J:J,E1053,货件明细!AP:AP)</f>
        <v>0</v>
      </c>
      <c r="V1053">
        <f>IF(U1053=T1053,0,1)</f>
        <v>1</v>
      </c>
      <c r="W1053">
        <f>T1053</f>
        <v>256</v>
      </c>
      <c r="X1053">
        <f>SUMIF(货件明细!J:J,E1053,货件明细!H:H)</f>
        <v>0</v>
      </c>
      <c r="Y1053">
        <f>N1053-X1053</f>
        <v>70.5</v>
      </c>
      <c r="Z1053">
        <f>SUMIF(货件明细!J:J,E1053,货件明细!I:I)</f>
        <v>0</v>
      </c>
      <c r="AA1053">
        <f>IF(S1053=Z1053,0,1)</f>
        <v>1</v>
      </c>
    </row>
    <row r="1054" hidden="1" spans="1:27">
      <c r="A1054">
        <v>2</v>
      </c>
      <c r="B1054">
        <v>7</v>
      </c>
      <c r="C1054" s="3">
        <v>46064</v>
      </c>
      <c r="D1054" t="s">
        <v>27</v>
      </c>
      <c r="E1054" t="s">
        <v>1169</v>
      </c>
      <c r="F1054" t="s">
        <v>198</v>
      </c>
      <c r="G1054" t="s">
        <v>69</v>
      </c>
      <c r="H1054" t="s">
        <v>46</v>
      </c>
      <c r="I1054" t="s">
        <v>1140</v>
      </c>
      <c r="J1054" t="s">
        <v>1140</v>
      </c>
      <c r="K1054" t="s">
        <v>64</v>
      </c>
      <c r="L1054" t="s">
        <v>147</v>
      </c>
      <c r="M1054" t="s">
        <v>1142</v>
      </c>
      <c r="N1054">
        <v>70.5</v>
      </c>
      <c r="O1054">
        <v>25</v>
      </c>
      <c r="P1054">
        <v>652.4</v>
      </c>
      <c r="Q1054">
        <v>677.4</v>
      </c>
      <c r="R1054">
        <v>0</v>
      </c>
      <c r="S1054">
        <v>677.4</v>
      </c>
      <c r="T1054">
        <v>256</v>
      </c>
      <c r="U1054">
        <f>SUMIF(货件明细!J:J,E1054,货件明细!AP:AP)</f>
        <v>0</v>
      </c>
      <c r="V1054">
        <f>IF(U1054=T1054,0,1)</f>
        <v>1</v>
      </c>
      <c r="W1054">
        <f>T1054</f>
        <v>256</v>
      </c>
      <c r="X1054">
        <f>SUMIF(货件明细!J:J,E1054,货件明细!H:H)</f>
        <v>0</v>
      </c>
      <c r="Y1054">
        <f>N1054-X1054</f>
        <v>70.5</v>
      </c>
      <c r="Z1054">
        <f>SUMIF(货件明细!J:J,E1054,货件明细!I:I)</f>
        <v>0</v>
      </c>
      <c r="AA1054">
        <f>IF(S1054=Z1054,0,1)</f>
        <v>1</v>
      </c>
    </row>
    <row r="1055" hidden="1" spans="1:27">
      <c r="A1055">
        <v>2</v>
      </c>
      <c r="B1055">
        <v>7</v>
      </c>
      <c r="C1055" s="3">
        <v>46064</v>
      </c>
      <c r="D1055" t="s">
        <v>27</v>
      </c>
      <c r="E1055" t="s">
        <v>1170</v>
      </c>
      <c r="F1055" t="s">
        <v>239</v>
      </c>
      <c r="G1055" t="s">
        <v>72</v>
      </c>
      <c r="H1055" t="s">
        <v>46</v>
      </c>
      <c r="I1055" t="s">
        <v>1140</v>
      </c>
      <c r="J1055" t="s">
        <v>1140</v>
      </c>
      <c r="K1055" t="s">
        <v>64</v>
      </c>
      <c r="L1055" t="s">
        <v>147</v>
      </c>
      <c r="M1055" t="s">
        <v>1142</v>
      </c>
      <c r="N1055">
        <v>86.1</v>
      </c>
      <c r="O1055">
        <v>66.6666666666667</v>
      </c>
      <c r="P1055">
        <v>921.2</v>
      </c>
      <c r="Q1055">
        <v>987.866666666667</v>
      </c>
      <c r="R1055">
        <v>0</v>
      </c>
      <c r="S1055">
        <v>987.866666666667</v>
      </c>
      <c r="T1055">
        <v>285</v>
      </c>
      <c r="U1055">
        <f>SUMIF(货件明细!J:J,E1055,货件明细!AP:AP)</f>
        <v>0</v>
      </c>
      <c r="V1055">
        <f>IF(U1055=T1055,0,1)</f>
        <v>1</v>
      </c>
      <c r="W1055">
        <f>T1055</f>
        <v>285</v>
      </c>
      <c r="X1055">
        <f>SUMIF(货件明细!J:J,E1055,货件明细!H:H)</f>
        <v>0</v>
      </c>
      <c r="Y1055">
        <f>N1055-X1055</f>
        <v>86.1</v>
      </c>
      <c r="Z1055">
        <f>SUMIF(货件明细!J:J,E1055,货件明细!I:I)</f>
        <v>0</v>
      </c>
      <c r="AA1055">
        <f>IF(S1055=Z1055,0,1)</f>
        <v>1</v>
      </c>
    </row>
    <row r="1056" hidden="1" spans="1:27">
      <c r="A1056">
        <v>2</v>
      </c>
      <c r="B1056">
        <v>7</v>
      </c>
      <c r="C1056" s="3">
        <v>46064</v>
      </c>
      <c r="D1056" t="s">
        <v>27</v>
      </c>
      <c r="E1056" t="s">
        <v>1171</v>
      </c>
      <c r="F1056" t="s">
        <v>185</v>
      </c>
      <c r="G1056" t="s">
        <v>30</v>
      </c>
      <c r="H1056" t="s">
        <v>31</v>
      </c>
      <c r="I1056" t="s">
        <v>1140</v>
      </c>
      <c r="J1056" t="s">
        <v>146</v>
      </c>
      <c r="K1056" t="s">
        <v>64</v>
      </c>
      <c r="L1056" t="s">
        <v>147</v>
      </c>
      <c r="M1056" t="s">
        <v>148</v>
      </c>
      <c r="N1056">
        <v>74.05</v>
      </c>
      <c r="O1056">
        <v>20</v>
      </c>
      <c r="P1056">
        <v>446.358974358974</v>
      </c>
      <c r="Q1056">
        <v>466.358974358974</v>
      </c>
      <c r="R1056">
        <v>0</v>
      </c>
      <c r="S1056">
        <v>466.358974358974</v>
      </c>
      <c r="T1056">
        <v>379</v>
      </c>
      <c r="U1056">
        <f>SUMIF(货件明细!J:J,E1056,货件明细!AP:AP)</f>
        <v>0</v>
      </c>
      <c r="V1056">
        <f>IF(U1056=T1056,0,1)</f>
        <v>1</v>
      </c>
      <c r="W1056">
        <f>T1056</f>
        <v>379</v>
      </c>
      <c r="X1056">
        <f>SUMIF(货件明细!J:J,E1056,货件明细!H:H)</f>
        <v>0</v>
      </c>
      <c r="Y1056">
        <f>N1056-X1056</f>
        <v>74.05</v>
      </c>
      <c r="Z1056">
        <f>SUMIF(货件明细!J:J,E1056,货件明细!I:I)</f>
        <v>0</v>
      </c>
      <c r="AA1056">
        <f>IF(S1056=Z1056,0,1)</f>
        <v>1</v>
      </c>
    </row>
    <row r="1057" hidden="1" spans="1:27">
      <c r="A1057">
        <v>2</v>
      </c>
      <c r="B1057">
        <v>7</v>
      </c>
      <c r="C1057" s="3">
        <v>46064</v>
      </c>
      <c r="D1057" t="s">
        <v>27</v>
      </c>
      <c r="E1057" t="s">
        <v>1172</v>
      </c>
      <c r="F1057" t="s">
        <v>141</v>
      </c>
      <c r="G1057" t="s">
        <v>69</v>
      </c>
      <c r="H1057" t="s">
        <v>31</v>
      </c>
      <c r="I1057" t="s">
        <v>1140</v>
      </c>
      <c r="J1057" t="s">
        <v>1140</v>
      </c>
      <c r="K1057" t="s">
        <v>64</v>
      </c>
      <c r="L1057" t="s">
        <v>147</v>
      </c>
      <c r="M1057" t="s">
        <v>1142</v>
      </c>
      <c r="N1057">
        <v>74.05</v>
      </c>
      <c r="O1057">
        <v>20</v>
      </c>
      <c r="P1057">
        <v>635.454545454545</v>
      </c>
      <c r="Q1057">
        <v>655.454545454545</v>
      </c>
      <c r="R1057">
        <v>0</v>
      </c>
      <c r="S1057">
        <v>655.454545454545</v>
      </c>
      <c r="T1057">
        <v>379</v>
      </c>
      <c r="U1057">
        <f>SUMIF(货件明细!J:J,E1057,货件明细!AP:AP)</f>
        <v>0</v>
      </c>
      <c r="V1057">
        <f>IF(U1057=T1057,0,1)</f>
        <v>1</v>
      </c>
      <c r="W1057">
        <f>T1057</f>
        <v>379</v>
      </c>
      <c r="X1057">
        <f>SUMIF(货件明细!J:J,E1057,货件明细!H:H)</f>
        <v>0</v>
      </c>
      <c r="Y1057">
        <f>N1057-X1057</f>
        <v>74.05</v>
      </c>
      <c r="Z1057">
        <f>SUMIF(货件明细!J:J,E1057,货件明细!I:I)</f>
        <v>0</v>
      </c>
      <c r="AA1057">
        <f>IF(S1057=Z1057,0,1)</f>
        <v>1</v>
      </c>
    </row>
    <row r="1058" hidden="1" spans="1:27">
      <c r="A1058">
        <v>2</v>
      </c>
      <c r="B1058">
        <v>7</v>
      </c>
      <c r="C1058" s="3">
        <v>46064</v>
      </c>
      <c r="D1058" t="s">
        <v>27</v>
      </c>
      <c r="E1058" t="s">
        <v>1173</v>
      </c>
      <c r="F1058" t="s">
        <v>250</v>
      </c>
      <c r="G1058" t="s">
        <v>72</v>
      </c>
      <c r="H1058" t="s">
        <v>31</v>
      </c>
      <c r="I1058" t="s">
        <v>1140</v>
      </c>
      <c r="J1058" t="s">
        <v>1140</v>
      </c>
      <c r="K1058" t="s">
        <v>64</v>
      </c>
      <c r="L1058" t="s">
        <v>147</v>
      </c>
      <c r="M1058" t="s">
        <v>1142</v>
      </c>
      <c r="N1058">
        <v>74.05</v>
      </c>
      <c r="O1058">
        <v>10</v>
      </c>
      <c r="P1058">
        <v>532.169696969697</v>
      </c>
      <c r="Q1058">
        <v>542.169696969697</v>
      </c>
      <c r="R1058">
        <v>0</v>
      </c>
      <c r="S1058">
        <v>542.169696969697</v>
      </c>
      <c r="T1058">
        <v>379</v>
      </c>
      <c r="U1058">
        <f>SUMIF(货件明细!J:J,E1058,货件明细!AP:AP)</f>
        <v>0</v>
      </c>
      <c r="V1058">
        <f>IF(U1058=T1058,0,1)</f>
        <v>1</v>
      </c>
      <c r="W1058">
        <f>T1058</f>
        <v>379</v>
      </c>
      <c r="X1058">
        <f>SUMIF(货件明细!J:J,E1058,货件明细!H:H)</f>
        <v>0</v>
      </c>
      <c r="Y1058">
        <f>N1058-X1058</f>
        <v>74.05</v>
      </c>
      <c r="Z1058">
        <f>SUMIF(货件明细!J:J,E1058,货件明细!I:I)</f>
        <v>0</v>
      </c>
      <c r="AA1058">
        <f>IF(S1058=Z1058,0,1)</f>
        <v>1</v>
      </c>
    </row>
    <row r="1059" hidden="1" spans="1:27">
      <c r="A1059">
        <v>2</v>
      </c>
      <c r="B1059">
        <v>7</v>
      </c>
      <c r="C1059" s="3">
        <v>46064</v>
      </c>
      <c r="D1059" t="s">
        <v>27</v>
      </c>
      <c r="E1059" t="s">
        <v>1174</v>
      </c>
      <c r="F1059" t="s">
        <v>187</v>
      </c>
      <c r="G1059" t="s">
        <v>72</v>
      </c>
      <c r="H1059" t="s">
        <v>31</v>
      </c>
      <c r="I1059" t="s">
        <v>1140</v>
      </c>
      <c r="J1059" t="s">
        <v>1140</v>
      </c>
      <c r="K1059" t="s">
        <v>64</v>
      </c>
      <c r="L1059" t="s">
        <v>147</v>
      </c>
      <c r="M1059" t="s">
        <v>1142</v>
      </c>
      <c r="N1059">
        <v>74.05</v>
      </c>
      <c r="O1059">
        <v>10</v>
      </c>
      <c r="P1059">
        <v>498.58064516129</v>
      </c>
      <c r="Q1059">
        <v>508.58064516129</v>
      </c>
      <c r="R1059">
        <v>0</v>
      </c>
      <c r="S1059">
        <v>508.58064516129</v>
      </c>
      <c r="T1059">
        <v>379</v>
      </c>
      <c r="U1059">
        <f>SUMIF(货件明细!J:J,E1059,货件明细!AP:AP)</f>
        <v>0</v>
      </c>
      <c r="V1059">
        <f>IF(U1059=T1059,0,1)</f>
        <v>1</v>
      </c>
      <c r="W1059">
        <f>T1059</f>
        <v>379</v>
      </c>
      <c r="X1059">
        <f>SUMIF(货件明细!J:J,E1059,货件明细!H:H)</f>
        <v>0</v>
      </c>
      <c r="Y1059">
        <f>N1059-X1059</f>
        <v>74.05</v>
      </c>
      <c r="Z1059">
        <f>SUMIF(货件明细!J:J,E1059,货件明细!I:I)</f>
        <v>0</v>
      </c>
      <c r="AA1059">
        <f>IF(S1059=Z1059,0,1)</f>
        <v>1</v>
      </c>
    </row>
    <row r="1060" hidden="1" spans="1:27">
      <c r="A1060">
        <v>2</v>
      </c>
      <c r="B1060">
        <v>7</v>
      </c>
      <c r="C1060" s="3">
        <v>46064</v>
      </c>
      <c r="D1060" t="s">
        <v>27</v>
      </c>
      <c r="E1060" t="s">
        <v>1175</v>
      </c>
      <c r="F1060" t="s">
        <v>200</v>
      </c>
      <c r="G1060" t="s">
        <v>30</v>
      </c>
      <c r="H1060" t="s">
        <v>31</v>
      </c>
      <c r="I1060" t="s">
        <v>1140</v>
      </c>
      <c r="J1060" t="s">
        <v>146</v>
      </c>
      <c r="K1060" t="s">
        <v>64</v>
      </c>
      <c r="L1060" t="s">
        <v>147</v>
      </c>
      <c r="M1060" t="s">
        <v>148</v>
      </c>
      <c r="N1060">
        <v>74.05</v>
      </c>
      <c r="O1060">
        <v>22.2222222222222</v>
      </c>
      <c r="P1060">
        <v>484.88</v>
      </c>
      <c r="Q1060">
        <v>507.102222222222</v>
      </c>
      <c r="R1060">
        <v>0</v>
      </c>
      <c r="S1060">
        <v>507.102222222222</v>
      </c>
      <c r="T1060">
        <v>379</v>
      </c>
      <c r="U1060">
        <f>SUMIF(货件明细!J:J,E1060,货件明细!AP:AP)</f>
        <v>0</v>
      </c>
      <c r="V1060">
        <f>IF(U1060=T1060,0,1)</f>
        <v>1</v>
      </c>
      <c r="W1060">
        <f>T1060</f>
        <v>379</v>
      </c>
      <c r="X1060">
        <f>SUMIF(货件明细!J:J,E1060,货件明细!H:H)</f>
        <v>0</v>
      </c>
      <c r="Y1060">
        <f>N1060-X1060</f>
        <v>74.05</v>
      </c>
      <c r="Z1060">
        <f>SUMIF(货件明细!J:J,E1060,货件明细!I:I)</f>
        <v>0</v>
      </c>
      <c r="AA1060">
        <f>IF(S1060=Z1060,0,1)</f>
        <v>1</v>
      </c>
    </row>
    <row r="1061" hidden="1" spans="1:27">
      <c r="A1061">
        <v>2</v>
      </c>
      <c r="B1061">
        <v>7</v>
      </c>
      <c r="C1061" s="3">
        <v>46064</v>
      </c>
      <c r="D1061" t="s">
        <v>27</v>
      </c>
      <c r="E1061" t="s">
        <v>1176</v>
      </c>
      <c r="F1061" t="s">
        <v>185</v>
      </c>
      <c r="G1061" t="s">
        <v>30</v>
      </c>
      <c r="H1061" t="s">
        <v>59</v>
      </c>
      <c r="I1061" t="s">
        <v>1140</v>
      </c>
      <c r="J1061" t="s">
        <v>146</v>
      </c>
      <c r="K1061" t="s">
        <v>64</v>
      </c>
      <c r="L1061" t="s">
        <v>147</v>
      </c>
      <c r="M1061" t="s">
        <v>148</v>
      </c>
      <c r="N1061">
        <v>40.4</v>
      </c>
      <c r="O1061">
        <v>33.3333333333333</v>
      </c>
      <c r="P1061">
        <v>334.769230769231</v>
      </c>
      <c r="Q1061">
        <v>368.102564102564</v>
      </c>
      <c r="R1061">
        <v>0</v>
      </c>
      <c r="S1061">
        <v>368.102564102564</v>
      </c>
      <c r="T1061">
        <v>192</v>
      </c>
      <c r="U1061">
        <f>SUMIF(货件明细!J:J,E1061,货件明细!AP:AP)</f>
        <v>0</v>
      </c>
      <c r="V1061">
        <f>IF(U1061=T1061,0,1)</f>
        <v>1</v>
      </c>
      <c r="W1061">
        <f>T1061</f>
        <v>192</v>
      </c>
      <c r="X1061">
        <f>SUMIF(货件明细!J:J,E1061,货件明细!H:H)</f>
        <v>0</v>
      </c>
      <c r="Y1061">
        <f>N1061-X1061</f>
        <v>40.4</v>
      </c>
      <c r="Z1061">
        <f>SUMIF(货件明细!J:J,E1061,货件明细!I:I)</f>
        <v>0</v>
      </c>
      <c r="AA1061">
        <f>IF(S1061=Z1061,0,1)</f>
        <v>1</v>
      </c>
    </row>
    <row r="1062" hidden="1" spans="1:27">
      <c r="A1062">
        <v>2</v>
      </c>
      <c r="B1062">
        <v>7</v>
      </c>
      <c r="C1062" s="3">
        <v>46064</v>
      </c>
      <c r="D1062" t="s">
        <v>27</v>
      </c>
      <c r="E1062" t="s">
        <v>1177</v>
      </c>
      <c r="F1062" t="s">
        <v>68</v>
      </c>
      <c r="G1062" t="s">
        <v>69</v>
      </c>
      <c r="H1062" t="s">
        <v>59</v>
      </c>
      <c r="I1062" t="s">
        <v>1140</v>
      </c>
      <c r="J1062" t="s">
        <v>1140</v>
      </c>
      <c r="K1062" t="s">
        <v>64</v>
      </c>
      <c r="L1062" t="s">
        <v>147</v>
      </c>
      <c r="M1062" t="s">
        <v>1142</v>
      </c>
      <c r="N1062">
        <v>40.4</v>
      </c>
      <c r="O1062">
        <v>25</v>
      </c>
      <c r="P1062">
        <v>396.1</v>
      </c>
      <c r="Q1062">
        <v>421.1</v>
      </c>
      <c r="R1062">
        <v>0</v>
      </c>
      <c r="S1062">
        <v>421.1</v>
      </c>
      <c r="T1062">
        <v>192</v>
      </c>
      <c r="U1062">
        <f>SUMIF(货件明细!J:J,E1062,货件明细!AP:AP)</f>
        <v>0</v>
      </c>
      <c r="V1062">
        <f>IF(U1062=T1062,0,1)</f>
        <v>1</v>
      </c>
      <c r="W1062">
        <f>T1062</f>
        <v>192</v>
      </c>
      <c r="X1062">
        <f>SUMIF(货件明细!J:J,E1062,货件明细!H:H)</f>
        <v>0</v>
      </c>
      <c r="Y1062">
        <f>N1062-X1062</f>
        <v>40.4</v>
      </c>
      <c r="Z1062">
        <f>SUMIF(货件明细!J:J,E1062,货件明细!I:I)</f>
        <v>0</v>
      </c>
      <c r="AA1062">
        <f>IF(S1062=Z1062,0,1)</f>
        <v>1</v>
      </c>
    </row>
    <row r="1063" hidden="1" spans="1:27">
      <c r="A1063">
        <v>2</v>
      </c>
      <c r="B1063">
        <v>7</v>
      </c>
      <c r="C1063" s="3">
        <v>46064</v>
      </c>
      <c r="D1063" t="s">
        <v>27</v>
      </c>
      <c r="E1063" t="s">
        <v>1178</v>
      </c>
      <c r="F1063" t="s">
        <v>141</v>
      </c>
      <c r="G1063" t="s">
        <v>69</v>
      </c>
      <c r="H1063" t="s">
        <v>59</v>
      </c>
      <c r="I1063" t="s">
        <v>1140</v>
      </c>
      <c r="J1063" t="s">
        <v>1140</v>
      </c>
      <c r="K1063" t="s">
        <v>64</v>
      </c>
      <c r="L1063" t="s">
        <v>147</v>
      </c>
      <c r="M1063" t="s">
        <v>1142</v>
      </c>
      <c r="N1063">
        <v>40.4</v>
      </c>
      <c r="O1063">
        <v>25</v>
      </c>
      <c r="P1063">
        <v>476.590909090909</v>
      </c>
      <c r="Q1063">
        <v>501.590909090909</v>
      </c>
      <c r="R1063">
        <v>0</v>
      </c>
      <c r="S1063">
        <v>501.590909090909</v>
      </c>
      <c r="T1063">
        <v>192</v>
      </c>
      <c r="U1063">
        <f>SUMIF(货件明细!J:J,E1063,货件明细!AP:AP)</f>
        <v>0</v>
      </c>
      <c r="V1063">
        <f>IF(U1063=T1063,0,1)</f>
        <v>1</v>
      </c>
      <c r="W1063">
        <f>T1063</f>
        <v>192</v>
      </c>
      <c r="X1063">
        <f>SUMIF(货件明细!J:J,E1063,货件明细!H:H)</f>
        <v>0</v>
      </c>
      <c r="Y1063">
        <f>N1063-X1063</f>
        <v>40.4</v>
      </c>
      <c r="Z1063">
        <f>SUMIF(货件明细!J:J,E1063,货件明细!I:I)</f>
        <v>0</v>
      </c>
      <c r="AA1063">
        <f>IF(S1063=Z1063,0,1)</f>
        <v>1</v>
      </c>
    </row>
    <row r="1064" hidden="1" spans="1:27">
      <c r="A1064">
        <v>2</v>
      </c>
      <c r="B1064">
        <v>7</v>
      </c>
      <c r="C1064" s="3">
        <v>46064</v>
      </c>
      <c r="D1064" t="s">
        <v>27</v>
      </c>
      <c r="E1064" t="s">
        <v>1179</v>
      </c>
      <c r="F1064" t="s">
        <v>198</v>
      </c>
      <c r="G1064" t="s">
        <v>69</v>
      </c>
      <c r="H1064" t="s">
        <v>59</v>
      </c>
      <c r="I1064" t="s">
        <v>1140</v>
      </c>
      <c r="J1064" t="s">
        <v>1140</v>
      </c>
      <c r="K1064" t="s">
        <v>64</v>
      </c>
      <c r="L1064" t="s">
        <v>147</v>
      </c>
      <c r="M1064" t="s">
        <v>1142</v>
      </c>
      <c r="N1064">
        <v>40.4</v>
      </c>
      <c r="O1064">
        <v>25</v>
      </c>
      <c r="P1064">
        <v>489.3</v>
      </c>
      <c r="Q1064">
        <v>514.3</v>
      </c>
      <c r="R1064">
        <v>0</v>
      </c>
      <c r="S1064">
        <v>514.3</v>
      </c>
      <c r="T1064">
        <v>192</v>
      </c>
      <c r="U1064">
        <f>SUMIF(货件明细!J:J,E1064,货件明细!AP:AP)</f>
        <v>0</v>
      </c>
      <c r="V1064">
        <f>IF(U1064=T1064,0,1)</f>
        <v>1</v>
      </c>
      <c r="W1064">
        <f>T1064</f>
        <v>192</v>
      </c>
      <c r="X1064">
        <f>SUMIF(货件明细!J:J,E1064,货件明细!H:H)</f>
        <v>0</v>
      </c>
      <c r="Y1064">
        <f>N1064-X1064</f>
        <v>40.4</v>
      </c>
      <c r="Z1064">
        <f>SUMIF(货件明细!J:J,E1064,货件明细!I:I)</f>
        <v>0</v>
      </c>
      <c r="AA1064">
        <f>IF(S1064=Z1064,0,1)</f>
        <v>1</v>
      </c>
    </row>
    <row r="1065" hidden="1" spans="1:27">
      <c r="A1065">
        <v>2</v>
      </c>
      <c r="B1065">
        <v>7</v>
      </c>
      <c r="C1065" s="3">
        <v>46064</v>
      </c>
      <c r="D1065" t="s">
        <v>27</v>
      </c>
      <c r="E1065" t="s">
        <v>1180</v>
      </c>
      <c r="F1065" t="s">
        <v>76</v>
      </c>
      <c r="G1065" t="s">
        <v>72</v>
      </c>
      <c r="H1065" t="s">
        <v>59</v>
      </c>
      <c r="I1065" t="s">
        <v>1140</v>
      </c>
      <c r="J1065" t="s">
        <v>1140</v>
      </c>
      <c r="K1065" t="s">
        <v>64</v>
      </c>
      <c r="L1065" t="s">
        <v>147</v>
      </c>
      <c r="M1065" t="s">
        <v>1142</v>
      </c>
      <c r="N1065">
        <v>40.4</v>
      </c>
      <c r="O1065">
        <v>18.1818181818182</v>
      </c>
      <c r="P1065">
        <v>312.8</v>
      </c>
      <c r="Q1065">
        <v>330.981818181818</v>
      </c>
      <c r="R1065">
        <v>0</v>
      </c>
      <c r="S1065">
        <v>330.981818181818</v>
      </c>
      <c r="T1065">
        <v>192</v>
      </c>
      <c r="U1065">
        <f>SUMIF(货件明细!J:J,E1065,货件明细!AP:AP)</f>
        <v>0</v>
      </c>
      <c r="V1065">
        <f>IF(U1065=T1065,0,1)</f>
        <v>1</v>
      </c>
      <c r="W1065">
        <f>T1065</f>
        <v>192</v>
      </c>
      <c r="X1065">
        <f>SUMIF(货件明细!J:J,E1065,货件明细!H:H)</f>
        <v>0</v>
      </c>
      <c r="Y1065">
        <f>N1065-X1065</f>
        <v>40.4</v>
      </c>
      <c r="Z1065">
        <f>SUMIF(货件明细!J:J,E1065,货件明细!I:I)</f>
        <v>0</v>
      </c>
      <c r="AA1065">
        <f>IF(S1065=Z1065,0,1)</f>
        <v>1</v>
      </c>
    </row>
    <row r="1066" hidden="1" spans="1:27">
      <c r="A1066">
        <v>2</v>
      </c>
      <c r="B1066">
        <v>7</v>
      </c>
      <c r="C1066" s="3">
        <v>46064</v>
      </c>
      <c r="D1066" t="s">
        <v>27</v>
      </c>
      <c r="E1066" t="s">
        <v>1181</v>
      </c>
      <c r="F1066" t="s">
        <v>185</v>
      </c>
      <c r="G1066" t="s">
        <v>30</v>
      </c>
      <c r="H1066" t="s">
        <v>224</v>
      </c>
      <c r="I1066" t="s">
        <v>1140</v>
      </c>
      <c r="J1066" t="s">
        <v>146</v>
      </c>
      <c r="K1066" t="s">
        <v>64</v>
      </c>
      <c r="L1066" t="s">
        <v>147</v>
      </c>
      <c r="M1066" t="s">
        <v>148</v>
      </c>
      <c r="N1066">
        <v>17.5</v>
      </c>
      <c r="O1066">
        <v>33.3333333333333</v>
      </c>
      <c r="P1066">
        <v>223.179487179487</v>
      </c>
      <c r="Q1066">
        <v>256.512820512821</v>
      </c>
      <c r="R1066">
        <v>0</v>
      </c>
      <c r="S1066">
        <v>256.512820512821</v>
      </c>
      <c r="T1066">
        <v>116</v>
      </c>
      <c r="U1066">
        <f>SUMIF(货件明细!J:J,E1066,货件明细!AP:AP)</f>
        <v>0</v>
      </c>
      <c r="V1066">
        <f>IF(U1066=T1066,0,1)</f>
        <v>1</v>
      </c>
      <c r="W1066">
        <f>T1066</f>
        <v>116</v>
      </c>
      <c r="X1066">
        <f>SUMIF(货件明细!J:J,E1066,货件明细!H:H)</f>
        <v>0</v>
      </c>
      <c r="Y1066">
        <f>N1066-X1066</f>
        <v>17.5</v>
      </c>
      <c r="Z1066">
        <f>SUMIF(货件明细!J:J,E1066,货件明细!I:I)</f>
        <v>0</v>
      </c>
      <c r="AA1066">
        <f>IF(S1066=Z1066,0,1)</f>
        <v>1</v>
      </c>
    </row>
    <row r="1067" hidden="1" spans="1:27">
      <c r="A1067">
        <v>2</v>
      </c>
      <c r="B1067">
        <v>7</v>
      </c>
      <c r="C1067" s="3">
        <v>46064</v>
      </c>
      <c r="D1067" t="s">
        <v>27</v>
      </c>
      <c r="E1067" t="s">
        <v>1182</v>
      </c>
      <c r="F1067" t="s">
        <v>198</v>
      </c>
      <c r="G1067" t="s">
        <v>69</v>
      </c>
      <c r="H1067" t="s">
        <v>224</v>
      </c>
      <c r="I1067" t="s">
        <v>1140</v>
      </c>
      <c r="J1067" t="s">
        <v>1140</v>
      </c>
      <c r="K1067" t="s">
        <v>64</v>
      </c>
      <c r="L1067" t="s">
        <v>147</v>
      </c>
      <c r="M1067" t="s">
        <v>1142</v>
      </c>
      <c r="N1067">
        <v>17.5</v>
      </c>
      <c r="O1067">
        <v>25</v>
      </c>
      <c r="P1067">
        <v>326.2</v>
      </c>
      <c r="Q1067">
        <v>351.2</v>
      </c>
      <c r="R1067">
        <v>0</v>
      </c>
      <c r="S1067">
        <v>351.2</v>
      </c>
      <c r="T1067">
        <v>116</v>
      </c>
      <c r="U1067">
        <f>SUMIF(货件明细!J:J,E1067,货件明细!AP:AP)</f>
        <v>0</v>
      </c>
      <c r="V1067">
        <f>IF(U1067=T1067,0,1)</f>
        <v>1</v>
      </c>
      <c r="W1067">
        <f>T1067</f>
        <v>116</v>
      </c>
      <c r="X1067">
        <f>SUMIF(货件明细!J:J,E1067,货件明细!H:H)</f>
        <v>0</v>
      </c>
      <c r="Y1067">
        <f>N1067-X1067</f>
        <v>17.5</v>
      </c>
      <c r="Z1067">
        <f>SUMIF(货件明细!J:J,E1067,货件明细!I:I)</f>
        <v>0</v>
      </c>
      <c r="AA1067">
        <f>IF(S1067=Z1067,0,1)</f>
        <v>1</v>
      </c>
    </row>
    <row r="1068" hidden="1" spans="1:27">
      <c r="A1068">
        <v>2</v>
      </c>
      <c r="B1068">
        <v>7</v>
      </c>
      <c r="C1068" s="3">
        <v>46064</v>
      </c>
      <c r="D1068" t="s">
        <v>27</v>
      </c>
      <c r="E1068" t="s">
        <v>1183</v>
      </c>
      <c r="F1068" t="s">
        <v>250</v>
      </c>
      <c r="G1068" t="s">
        <v>72</v>
      </c>
      <c r="H1068" t="s">
        <v>224</v>
      </c>
      <c r="I1068" t="s">
        <v>1140</v>
      </c>
      <c r="J1068" t="s">
        <v>1140</v>
      </c>
      <c r="K1068" t="s">
        <v>64</v>
      </c>
      <c r="L1068" t="s">
        <v>147</v>
      </c>
      <c r="M1068" t="s">
        <v>1142</v>
      </c>
      <c r="N1068">
        <v>17.5</v>
      </c>
      <c r="O1068">
        <v>18.1818181818182</v>
      </c>
      <c r="P1068">
        <v>266.084848484849</v>
      </c>
      <c r="Q1068">
        <v>284.266666666667</v>
      </c>
      <c r="R1068">
        <v>0</v>
      </c>
      <c r="S1068">
        <v>284.266666666667</v>
      </c>
      <c r="T1068">
        <v>115</v>
      </c>
      <c r="U1068">
        <f>SUMIF(货件明细!J:J,E1068,货件明细!AP:AP)</f>
        <v>0</v>
      </c>
      <c r="V1068">
        <f>IF(U1068=T1068,0,1)</f>
        <v>1</v>
      </c>
      <c r="W1068">
        <f>T1068</f>
        <v>115</v>
      </c>
      <c r="X1068">
        <f>SUMIF(货件明细!J:J,E1068,货件明细!H:H)</f>
        <v>0</v>
      </c>
      <c r="Y1068">
        <f>N1068-X1068</f>
        <v>17.5</v>
      </c>
      <c r="Z1068">
        <f>SUMIF(货件明细!J:J,E1068,货件明细!I:I)</f>
        <v>0</v>
      </c>
      <c r="AA1068">
        <f>IF(S1068=Z1068,0,1)</f>
        <v>1</v>
      </c>
    </row>
    <row r="1069" hidden="1" spans="1:27">
      <c r="A1069">
        <v>2</v>
      </c>
      <c r="B1069">
        <v>7</v>
      </c>
      <c r="C1069" s="3">
        <v>46064</v>
      </c>
      <c r="D1069" t="s">
        <v>27</v>
      </c>
      <c r="E1069" t="s">
        <v>1184</v>
      </c>
      <c r="F1069" t="s">
        <v>548</v>
      </c>
      <c r="G1069" t="s">
        <v>72</v>
      </c>
      <c r="H1069" t="s">
        <v>224</v>
      </c>
      <c r="I1069" t="s">
        <v>1140</v>
      </c>
      <c r="J1069" t="s">
        <v>1140</v>
      </c>
      <c r="K1069" t="s">
        <v>64</v>
      </c>
      <c r="L1069" t="s">
        <v>147</v>
      </c>
      <c r="M1069" t="s">
        <v>1142</v>
      </c>
      <c r="N1069">
        <v>17.5</v>
      </c>
      <c r="O1069">
        <v>18.1818181818182</v>
      </c>
      <c r="P1069">
        <v>184</v>
      </c>
      <c r="Q1069">
        <v>202.181818181818</v>
      </c>
      <c r="R1069">
        <v>0</v>
      </c>
      <c r="S1069">
        <v>202.181818181818</v>
      </c>
      <c r="T1069">
        <v>116</v>
      </c>
      <c r="U1069">
        <f>SUMIF(货件明细!J:J,E1069,货件明细!AP:AP)</f>
        <v>0</v>
      </c>
      <c r="V1069">
        <f>IF(U1069=T1069,0,1)</f>
        <v>1</v>
      </c>
      <c r="W1069">
        <f>T1069</f>
        <v>116</v>
      </c>
      <c r="X1069">
        <f>SUMIF(货件明细!J:J,E1069,货件明细!H:H)</f>
        <v>0</v>
      </c>
      <c r="Y1069">
        <f>N1069-X1069</f>
        <v>17.5</v>
      </c>
      <c r="Z1069">
        <f>SUMIF(货件明细!J:J,E1069,货件明细!I:I)</f>
        <v>0</v>
      </c>
      <c r="AA1069">
        <f>IF(S1069=Z1069,0,1)</f>
        <v>1</v>
      </c>
    </row>
    <row r="1070" hidden="1" spans="1:27">
      <c r="A1070">
        <v>2</v>
      </c>
      <c r="B1070">
        <v>7</v>
      </c>
      <c r="C1070" s="3">
        <v>46064</v>
      </c>
      <c r="D1070" t="s">
        <v>27</v>
      </c>
      <c r="E1070" t="s">
        <v>1185</v>
      </c>
      <c r="F1070" t="s">
        <v>187</v>
      </c>
      <c r="G1070" t="s">
        <v>72</v>
      </c>
      <c r="H1070" t="s">
        <v>224</v>
      </c>
      <c r="I1070" t="s">
        <v>1140</v>
      </c>
      <c r="J1070" t="s">
        <v>1140</v>
      </c>
      <c r="K1070" t="s">
        <v>64</v>
      </c>
      <c r="L1070" t="s">
        <v>147</v>
      </c>
      <c r="M1070" t="s">
        <v>1142</v>
      </c>
      <c r="N1070">
        <v>17.5</v>
      </c>
      <c r="O1070">
        <v>18.1818181818182</v>
      </c>
      <c r="P1070">
        <v>249.290322580645</v>
      </c>
      <c r="Q1070">
        <v>267.472140762463</v>
      </c>
      <c r="R1070">
        <v>0</v>
      </c>
      <c r="S1070">
        <v>267.472140762463</v>
      </c>
      <c r="T1070">
        <v>116</v>
      </c>
      <c r="U1070">
        <f>SUMIF(货件明细!J:J,E1070,货件明细!AP:AP)</f>
        <v>0</v>
      </c>
      <c r="V1070">
        <f>IF(U1070=T1070,0,1)</f>
        <v>1</v>
      </c>
      <c r="W1070">
        <f>T1070</f>
        <v>116</v>
      </c>
      <c r="X1070">
        <f>SUMIF(货件明细!J:J,E1070,货件明细!H:H)</f>
        <v>0</v>
      </c>
      <c r="Y1070">
        <f>N1070-X1070</f>
        <v>17.5</v>
      </c>
      <c r="Z1070">
        <f>SUMIF(货件明细!J:J,E1070,货件明细!I:I)</f>
        <v>0</v>
      </c>
      <c r="AA1070">
        <f>IF(S1070=Z1070,0,1)</f>
        <v>1</v>
      </c>
    </row>
    <row r="1071" hidden="1" spans="1:27">
      <c r="A1071">
        <v>2</v>
      </c>
      <c r="B1071">
        <v>7</v>
      </c>
      <c r="C1071" s="3">
        <v>46064</v>
      </c>
      <c r="D1071" t="s">
        <v>27</v>
      </c>
      <c r="E1071" t="s">
        <v>1186</v>
      </c>
      <c r="F1071" t="s">
        <v>185</v>
      </c>
      <c r="G1071" t="s">
        <v>30</v>
      </c>
      <c r="H1071" t="s">
        <v>54</v>
      </c>
      <c r="I1071" t="s">
        <v>1140</v>
      </c>
      <c r="J1071" t="s">
        <v>146</v>
      </c>
      <c r="K1071" t="s">
        <v>64</v>
      </c>
      <c r="L1071" t="s">
        <v>147</v>
      </c>
      <c r="M1071" t="s">
        <v>148</v>
      </c>
      <c r="N1071">
        <v>20.05</v>
      </c>
      <c r="O1071">
        <v>33.3333333333333</v>
      </c>
      <c r="P1071">
        <v>111.589743589744</v>
      </c>
      <c r="Q1071">
        <v>144.923076923077</v>
      </c>
      <c r="R1071">
        <v>0</v>
      </c>
      <c r="S1071">
        <v>144.923076923077</v>
      </c>
      <c r="T1071">
        <v>114</v>
      </c>
      <c r="U1071">
        <f>SUMIF(货件明细!J:J,E1071,货件明细!AP:AP)</f>
        <v>0</v>
      </c>
      <c r="V1071">
        <f>IF(U1071=T1071,0,1)</f>
        <v>1</v>
      </c>
      <c r="W1071">
        <f>T1071</f>
        <v>114</v>
      </c>
      <c r="X1071">
        <f>SUMIF(货件明细!J:J,E1071,货件明细!H:H)</f>
        <v>0</v>
      </c>
      <c r="Y1071">
        <f>N1071-X1071</f>
        <v>20.05</v>
      </c>
      <c r="Z1071">
        <f>SUMIF(货件明细!J:J,E1071,货件明细!I:I)</f>
        <v>0</v>
      </c>
      <c r="AA1071">
        <f>IF(S1071=Z1071,0,1)</f>
        <v>1</v>
      </c>
    </row>
    <row r="1072" hidden="1" spans="1:27">
      <c r="A1072">
        <v>2</v>
      </c>
      <c r="B1072">
        <v>7</v>
      </c>
      <c r="C1072" s="3">
        <v>46064</v>
      </c>
      <c r="D1072" t="s">
        <v>27</v>
      </c>
      <c r="E1072" t="s">
        <v>1187</v>
      </c>
      <c r="F1072" t="s">
        <v>250</v>
      </c>
      <c r="G1072" t="s">
        <v>72</v>
      </c>
      <c r="H1072" t="s">
        <v>54</v>
      </c>
      <c r="I1072" t="s">
        <v>1140</v>
      </c>
      <c r="J1072" t="s">
        <v>1140</v>
      </c>
      <c r="K1072" t="s">
        <v>64</v>
      </c>
      <c r="L1072" t="s">
        <v>147</v>
      </c>
      <c r="M1072" t="s">
        <v>1142</v>
      </c>
      <c r="N1072">
        <v>20.05</v>
      </c>
      <c r="O1072">
        <v>18.1818181818182</v>
      </c>
      <c r="P1072">
        <v>133.042424242424</v>
      </c>
      <c r="Q1072">
        <v>151.224242424242</v>
      </c>
      <c r="R1072">
        <v>0</v>
      </c>
      <c r="S1072">
        <v>151.224242424242</v>
      </c>
      <c r="T1072">
        <v>114</v>
      </c>
      <c r="U1072">
        <f>SUMIF(货件明细!J:J,E1072,货件明细!AP:AP)</f>
        <v>0</v>
      </c>
      <c r="V1072">
        <f>IF(U1072=T1072,0,1)</f>
        <v>1</v>
      </c>
      <c r="W1072">
        <f>T1072</f>
        <v>114</v>
      </c>
      <c r="X1072">
        <f>SUMIF(货件明细!J:J,E1072,货件明细!H:H)</f>
        <v>0</v>
      </c>
      <c r="Y1072">
        <f>N1072-X1072</f>
        <v>20.05</v>
      </c>
      <c r="Z1072">
        <f>SUMIF(货件明细!J:J,E1072,货件明细!I:I)</f>
        <v>0</v>
      </c>
      <c r="AA1072">
        <f>IF(S1072=Z1072,0,1)</f>
        <v>1</v>
      </c>
    </row>
    <row r="1073" hidden="1" spans="1:27">
      <c r="A1073">
        <v>2</v>
      </c>
      <c r="B1073">
        <v>7</v>
      </c>
      <c r="C1073" s="3">
        <v>46064</v>
      </c>
      <c r="D1073" t="s">
        <v>27</v>
      </c>
      <c r="E1073" t="s">
        <v>1188</v>
      </c>
      <c r="F1073" t="s">
        <v>187</v>
      </c>
      <c r="G1073" t="s">
        <v>72</v>
      </c>
      <c r="H1073" t="s">
        <v>54</v>
      </c>
      <c r="I1073" t="s">
        <v>1140</v>
      </c>
      <c r="J1073" t="s">
        <v>1140</v>
      </c>
      <c r="K1073" t="s">
        <v>64</v>
      </c>
      <c r="L1073" t="s">
        <v>147</v>
      </c>
      <c r="M1073" t="s">
        <v>1142</v>
      </c>
      <c r="N1073">
        <v>20.05</v>
      </c>
      <c r="O1073">
        <v>18.1818181818182</v>
      </c>
      <c r="P1073">
        <v>124.645161290323</v>
      </c>
      <c r="Q1073">
        <v>142.826979472141</v>
      </c>
      <c r="R1073">
        <v>0</v>
      </c>
      <c r="S1073">
        <v>142.826979472141</v>
      </c>
      <c r="T1073">
        <v>114</v>
      </c>
      <c r="U1073">
        <f>SUMIF(货件明细!J:J,E1073,货件明细!AP:AP)</f>
        <v>0</v>
      </c>
      <c r="V1073">
        <f>IF(U1073=T1073,0,1)</f>
        <v>1</v>
      </c>
      <c r="W1073">
        <f>T1073</f>
        <v>114</v>
      </c>
      <c r="X1073">
        <f>SUMIF(货件明细!J:J,E1073,货件明细!H:H)</f>
        <v>0</v>
      </c>
      <c r="Y1073">
        <f>N1073-X1073</f>
        <v>20.05</v>
      </c>
      <c r="Z1073">
        <f>SUMIF(货件明细!J:J,E1073,货件明细!I:I)</f>
        <v>0</v>
      </c>
      <c r="AA1073">
        <f>IF(S1073=Z1073,0,1)</f>
        <v>1</v>
      </c>
    </row>
    <row r="1074" hidden="1" spans="1:27">
      <c r="A1074">
        <v>2</v>
      </c>
      <c r="B1074">
        <v>7</v>
      </c>
      <c r="C1074" s="3">
        <v>46064</v>
      </c>
      <c r="D1074" t="s">
        <v>27</v>
      </c>
      <c r="E1074" t="s">
        <v>1189</v>
      </c>
      <c r="F1074" t="s">
        <v>141</v>
      </c>
      <c r="G1074" t="s">
        <v>69</v>
      </c>
      <c r="H1074" t="s">
        <v>54</v>
      </c>
      <c r="I1074" t="s">
        <v>1140</v>
      </c>
      <c r="J1074" t="s">
        <v>1140</v>
      </c>
      <c r="K1074" t="s">
        <v>64</v>
      </c>
      <c r="L1074" t="s">
        <v>147</v>
      </c>
      <c r="M1074" t="s">
        <v>1142</v>
      </c>
      <c r="N1074">
        <v>20.05</v>
      </c>
      <c r="O1074">
        <v>25</v>
      </c>
      <c r="P1074">
        <v>158.863636363636</v>
      </c>
      <c r="Q1074">
        <v>183.863636363636</v>
      </c>
      <c r="R1074">
        <v>0</v>
      </c>
      <c r="S1074">
        <v>183.863636363636</v>
      </c>
      <c r="T1074">
        <v>114</v>
      </c>
      <c r="U1074">
        <f>SUMIF(货件明细!J:J,E1074,货件明细!AP:AP)</f>
        <v>0</v>
      </c>
      <c r="V1074">
        <f>IF(U1074=T1074,0,1)</f>
        <v>1</v>
      </c>
      <c r="W1074">
        <f>T1074</f>
        <v>114</v>
      </c>
      <c r="X1074">
        <f>SUMIF(货件明细!J:J,E1074,货件明细!H:H)</f>
        <v>0</v>
      </c>
      <c r="Y1074">
        <f>N1074-X1074</f>
        <v>20.05</v>
      </c>
      <c r="Z1074">
        <f>SUMIF(货件明细!J:J,E1074,货件明细!I:I)</f>
        <v>0</v>
      </c>
      <c r="AA1074">
        <f>IF(S1074=Z1074,0,1)</f>
        <v>1</v>
      </c>
    </row>
    <row r="1075" hidden="1" spans="1:27">
      <c r="A1075">
        <v>2</v>
      </c>
      <c r="B1075">
        <v>7</v>
      </c>
      <c r="C1075" s="3">
        <v>46064</v>
      </c>
      <c r="D1075" t="s">
        <v>27</v>
      </c>
      <c r="E1075" t="s">
        <v>1190</v>
      </c>
      <c r="F1075" t="s">
        <v>200</v>
      </c>
      <c r="G1075" t="s">
        <v>30</v>
      </c>
      <c r="H1075" t="s">
        <v>54</v>
      </c>
      <c r="I1075" t="s">
        <v>1140</v>
      </c>
      <c r="J1075" t="s">
        <v>146</v>
      </c>
      <c r="K1075" t="s">
        <v>64</v>
      </c>
      <c r="L1075" t="s">
        <v>147</v>
      </c>
      <c r="M1075" t="s">
        <v>148</v>
      </c>
      <c r="N1075">
        <v>20.05</v>
      </c>
      <c r="O1075">
        <v>50</v>
      </c>
      <c r="P1075">
        <v>121.22</v>
      </c>
      <c r="Q1075">
        <v>171.22</v>
      </c>
      <c r="R1075">
        <v>0</v>
      </c>
      <c r="S1075">
        <v>171.22</v>
      </c>
      <c r="T1075">
        <v>114</v>
      </c>
      <c r="U1075">
        <f>SUMIF(货件明细!J:J,E1075,货件明细!AP:AP)</f>
        <v>0</v>
      </c>
      <c r="V1075">
        <f>IF(U1075=T1075,0,1)</f>
        <v>1</v>
      </c>
      <c r="W1075">
        <f>T1075</f>
        <v>114</v>
      </c>
      <c r="X1075">
        <f>SUMIF(货件明细!J:J,E1075,货件明细!H:H)</f>
        <v>0</v>
      </c>
      <c r="Y1075">
        <f>N1075-X1075</f>
        <v>20.05</v>
      </c>
      <c r="Z1075">
        <f>SUMIF(货件明细!J:J,E1075,货件明细!I:I)</f>
        <v>0</v>
      </c>
      <c r="AA1075">
        <f>IF(S1075=Z1075,0,1)</f>
        <v>1</v>
      </c>
    </row>
    <row r="1076" hidden="1" spans="1:27">
      <c r="A1076">
        <v>2</v>
      </c>
      <c r="B1076">
        <v>7</v>
      </c>
      <c r="C1076" s="3">
        <v>46064</v>
      </c>
      <c r="D1076" t="s">
        <v>27</v>
      </c>
      <c r="E1076" t="s">
        <v>1191</v>
      </c>
      <c r="F1076" t="s">
        <v>185</v>
      </c>
      <c r="G1076" t="s">
        <v>30</v>
      </c>
      <c r="H1076" t="s">
        <v>37</v>
      </c>
      <c r="I1076" t="s">
        <v>1140</v>
      </c>
      <c r="J1076" t="s">
        <v>146</v>
      </c>
      <c r="K1076" t="s">
        <v>64</v>
      </c>
      <c r="L1076" t="s">
        <v>147</v>
      </c>
      <c r="M1076" t="s">
        <v>148</v>
      </c>
      <c r="N1076">
        <v>51</v>
      </c>
      <c r="O1076">
        <v>33.3333333333333</v>
      </c>
      <c r="P1076">
        <v>446.358974358974</v>
      </c>
      <c r="Q1076">
        <v>479.692307692308</v>
      </c>
      <c r="R1076">
        <v>0</v>
      </c>
      <c r="S1076">
        <v>479.692307692308</v>
      </c>
      <c r="T1076">
        <v>327</v>
      </c>
      <c r="U1076">
        <f>SUMIF(货件明细!J:J,E1076,货件明细!AP:AP)</f>
        <v>0</v>
      </c>
      <c r="V1076">
        <f>IF(U1076=T1076,0,1)</f>
        <v>1</v>
      </c>
      <c r="W1076">
        <f>T1076</f>
        <v>327</v>
      </c>
      <c r="X1076">
        <f>SUMIF(货件明细!J:J,E1076,货件明细!H:H)</f>
        <v>0</v>
      </c>
      <c r="Y1076">
        <f>N1076-X1076</f>
        <v>51</v>
      </c>
      <c r="Z1076">
        <f>SUMIF(货件明细!J:J,E1076,货件明细!I:I)</f>
        <v>0</v>
      </c>
      <c r="AA1076">
        <f>IF(S1076=Z1076,0,1)</f>
        <v>1</v>
      </c>
    </row>
    <row r="1077" hidden="1" spans="1:27">
      <c r="A1077">
        <v>2</v>
      </c>
      <c r="B1077">
        <v>7</v>
      </c>
      <c r="C1077" s="3">
        <v>46064</v>
      </c>
      <c r="D1077" t="s">
        <v>27</v>
      </c>
      <c r="E1077" t="s">
        <v>1192</v>
      </c>
      <c r="F1077" t="s">
        <v>141</v>
      </c>
      <c r="G1077" t="s">
        <v>69</v>
      </c>
      <c r="H1077" t="s">
        <v>37</v>
      </c>
      <c r="I1077" t="s">
        <v>1140</v>
      </c>
      <c r="J1077" t="s">
        <v>1140</v>
      </c>
      <c r="K1077" t="s">
        <v>64</v>
      </c>
      <c r="L1077" t="s">
        <v>147</v>
      </c>
      <c r="M1077" t="s">
        <v>1142</v>
      </c>
      <c r="N1077">
        <v>51</v>
      </c>
      <c r="O1077">
        <v>25</v>
      </c>
      <c r="P1077">
        <v>635.454545454545</v>
      </c>
      <c r="Q1077">
        <v>660.454545454545</v>
      </c>
      <c r="R1077">
        <v>0</v>
      </c>
      <c r="S1077">
        <v>660.454545454545</v>
      </c>
      <c r="T1077">
        <v>327</v>
      </c>
      <c r="U1077">
        <f>SUMIF(货件明细!J:J,E1077,货件明细!AP:AP)</f>
        <v>0</v>
      </c>
      <c r="V1077">
        <f>IF(U1077=T1077,0,1)</f>
        <v>1</v>
      </c>
      <c r="W1077">
        <f>T1077</f>
        <v>327</v>
      </c>
      <c r="X1077">
        <f>SUMIF(货件明细!J:J,E1077,货件明细!H:H)</f>
        <v>0</v>
      </c>
      <c r="Y1077">
        <f>N1077-X1077</f>
        <v>51</v>
      </c>
      <c r="Z1077">
        <f>SUMIF(货件明细!J:J,E1077,货件明细!I:I)</f>
        <v>0</v>
      </c>
      <c r="AA1077">
        <f>IF(S1077=Z1077,0,1)</f>
        <v>1</v>
      </c>
    </row>
    <row r="1078" hidden="1" spans="1:27">
      <c r="A1078">
        <v>2</v>
      </c>
      <c r="B1078">
        <v>7</v>
      </c>
      <c r="C1078" s="3">
        <v>46064</v>
      </c>
      <c r="D1078" t="s">
        <v>27</v>
      </c>
      <c r="E1078" t="s">
        <v>1193</v>
      </c>
      <c r="F1078" t="s">
        <v>250</v>
      </c>
      <c r="G1078" t="s">
        <v>72</v>
      </c>
      <c r="H1078" t="s">
        <v>37</v>
      </c>
      <c r="I1078" t="s">
        <v>1140</v>
      </c>
      <c r="J1078" t="s">
        <v>1140</v>
      </c>
      <c r="K1078" t="s">
        <v>64</v>
      </c>
      <c r="L1078" t="s">
        <v>147</v>
      </c>
      <c r="M1078" t="s">
        <v>1142</v>
      </c>
      <c r="N1078">
        <v>51</v>
      </c>
      <c r="O1078">
        <v>18.1818181818182</v>
      </c>
      <c r="P1078">
        <v>532.169696969697</v>
      </c>
      <c r="Q1078">
        <v>550.351515151515</v>
      </c>
      <c r="R1078">
        <v>0</v>
      </c>
      <c r="S1078">
        <v>550.351515151515</v>
      </c>
      <c r="T1078">
        <v>327</v>
      </c>
      <c r="U1078">
        <f>SUMIF(货件明细!J:J,E1078,货件明细!AP:AP)</f>
        <v>0</v>
      </c>
      <c r="V1078">
        <f>IF(U1078=T1078,0,1)</f>
        <v>1</v>
      </c>
      <c r="W1078">
        <f>T1078</f>
        <v>327</v>
      </c>
      <c r="X1078">
        <f>SUMIF(货件明细!J:J,E1078,货件明细!H:H)</f>
        <v>0</v>
      </c>
      <c r="Y1078">
        <f>N1078-X1078</f>
        <v>51</v>
      </c>
      <c r="Z1078">
        <f>SUMIF(货件明细!J:J,E1078,货件明细!I:I)</f>
        <v>0</v>
      </c>
      <c r="AA1078">
        <f>IF(S1078=Z1078,0,1)</f>
        <v>1</v>
      </c>
    </row>
    <row r="1079" hidden="1" spans="1:27">
      <c r="A1079">
        <v>2</v>
      </c>
      <c r="B1079">
        <v>7</v>
      </c>
      <c r="C1079" s="3">
        <v>46064</v>
      </c>
      <c r="D1079" t="s">
        <v>27</v>
      </c>
      <c r="E1079" t="s">
        <v>1194</v>
      </c>
      <c r="F1079" t="s">
        <v>187</v>
      </c>
      <c r="G1079" t="s">
        <v>72</v>
      </c>
      <c r="H1079" t="s">
        <v>37</v>
      </c>
      <c r="I1079" t="s">
        <v>1140</v>
      </c>
      <c r="J1079" t="s">
        <v>1140</v>
      </c>
      <c r="K1079" t="s">
        <v>64</v>
      </c>
      <c r="L1079" t="s">
        <v>147</v>
      </c>
      <c r="M1079" t="s">
        <v>1142</v>
      </c>
      <c r="N1079">
        <v>51</v>
      </c>
      <c r="O1079">
        <v>18.1818181818182</v>
      </c>
      <c r="P1079">
        <v>498.58064516129</v>
      </c>
      <c r="Q1079">
        <v>516.762463343108</v>
      </c>
      <c r="R1079">
        <v>0</v>
      </c>
      <c r="S1079">
        <v>516.762463343108</v>
      </c>
      <c r="T1079">
        <v>327</v>
      </c>
      <c r="U1079">
        <f>SUMIF(货件明细!J:J,E1079,货件明细!AP:AP)</f>
        <v>0</v>
      </c>
      <c r="V1079">
        <f>IF(U1079=T1079,0,1)</f>
        <v>1</v>
      </c>
      <c r="W1079">
        <f>T1079</f>
        <v>327</v>
      </c>
      <c r="X1079">
        <f>SUMIF(货件明细!J:J,E1079,货件明细!H:H)</f>
        <v>0</v>
      </c>
      <c r="Y1079">
        <f>N1079-X1079</f>
        <v>51</v>
      </c>
      <c r="Z1079">
        <f>SUMIF(货件明细!J:J,E1079,货件明细!I:I)</f>
        <v>0</v>
      </c>
      <c r="AA1079">
        <f>IF(S1079=Z1079,0,1)</f>
        <v>1</v>
      </c>
    </row>
    <row r="1080" hidden="1" spans="1:27">
      <c r="A1080">
        <v>2</v>
      </c>
      <c r="B1080">
        <v>7</v>
      </c>
      <c r="C1080" s="3">
        <v>46064</v>
      </c>
      <c r="D1080" t="s">
        <v>27</v>
      </c>
      <c r="E1080" t="s">
        <v>1195</v>
      </c>
      <c r="F1080" t="s">
        <v>200</v>
      </c>
      <c r="G1080" t="s">
        <v>30</v>
      </c>
      <c r="H1080" t="s">
        <v>37</v>
      </c>
      <c r="I1080" t="s">
        <v>1140</v>
      </c>
      <c r="J1080" t="s">
        <v>146</v>
      </c>
      <c r="K1080" t="s">
        <v>64</v>
      </c>
      <c r="L1080" t="s">
        <v>147</v>
      </c>
      <c r="M1080" t="s">
        <v>148</v>
      </c>
      <c r="N1080">
        <v>51</v>
      </c>
      <c r="O1080">
        <v>50</v>
      </c>
      <c r="P1080">
        <v>484.88</v>
      </c>
      <c r="Q1080">
        <v>534.88</v>
      </c>
      <c r="R1080">
        <v>0</v>
      </c>
      <c r="S1080">
        <v>534.88</v>
      </c>
      <c r="T1080">
        <v>327</v>
      </c>
      <c r="U1080">
        <f>SUMIF(货件明细!J:J,E1080,货件明细!AP:AP)</f>
        <v>0</v>
      </c>
      <c r="V1080">
        <f>IF(U1080=T1080,0,1)</f>
        <v>1</v>
      </c>
      <c r="W1080">
        <f>T1080</f>
        <v>327</v>
      </c>
      <c r="X1080">
        <f>SUMIF(货件明细!J:J,E1080,货件明细!H:H)</f>
        <v>0</v>
      </c>
      <c r="Y1080">
        <f>N1080-X1080</f>
        <v>51</v>
      </c>
      <c r="Z1080">
        <f>SUMIF(货件明细!J:J,E1080,货件明细!I:I)</f>
        <v>0</v>
      </c>
      <c r="AA1080">
        <f>IF(S1080=Z1080,0,1)</f>
        <v>1</v>
      </c>
    </row>
    <row r="1081" hidden="1" spans="1:27">
      <c r="A1081">
        <v>2</v>
      </c>
      <c r="B1081">
        <v>7</v>
      </c>
      <c r="C1081" s="3">
        <v>46064</v>
      </c>
      <c r="D1081" t="s">
        <v>27</v>
      </c>
      <c r="E1081" t="s">
        <v>1196</v>
      </c>
      <c r="F1081" t="s">
        <v>185</v>
      </c>
      <c r="G1081" t="s">
        <v>30</v>
      </c>
      <c r="H1081" t="s">
        <v>39</v>
      </c>
      <c r="I1081" t="s">
        <v>1140</v>
      </c>
      <c r="J1081" t="s">
        <v>146</v>
      </c>
      <c r="K1081" t="s">
        <v>64</v>
      </c>
      <c r="L1081" t="s">
        <v>147</v>
      </c>
      <c r="M1081" t="s">
        <v>148</v>
      </c>
      <c r="N1081">
        <v>17.15</v>
      </c>
      <c r="O1081">
        <v>20</v>
      </c>
      <c r="P1081">
        <v>111.589743589744</v>
      </c>
      <c r="Q1081">
        <v>131.589743589744</v>
      </c>
      <c r="R1081">
        <v>0</v>
      </c>
      <c r="S1081">
        <v>131.589743589744</v>
      </c>
      <c r="T1081">
        <v>41</v>
      </c>
      <c r="U1081">
        <f>SUMIF(货件明细!J:J,E1081,货件明细!AP:AP)</f>
        <v>0</v>
      </c>
      <c r="V1081">
        <f>IF(U1081=T1081,0,1)</f>
        <v>1</v>
      </c>
      <c r="W1081">
        <f>T1081</f>
        <v>41</v>
      </c>
      <c r="X1081">
        <f>SUMIF(货件明细!J:J,E1081,货件明细!H:H)</f>
        <v>0</v>
      </c>
      <c r="Y1081">
        <f>N1081-X1081</f>
        <v>17.15</v>
      </c>
      <c r="Z1081">
        <f>SUMIF(货件明细!J:J,E1081,货件明细!I:I)</f>
        <v>0</v>
      </c>
      <c r="AA1081">
        <f>IF(S1081=Z1081,0,1)</f>
        <v>1</v>
      </c>
    </row>
    <row r="1082" hidden="1" spans="1:27">
      <c r="A1082">
        <v>2</v>
      </c>
      <c r="B1082">
        <v>7</v>
      </c>
      <c r="C1082" s="3">
        <v>46064</v>
      </c>
      <c r="D1082" t="s">
        <v>27</v>
      </c>
      <c r="E1082" t="s">
        <v>1197</v>
      </c>
      <c r="F1082" t="s">
        <v>141</v>
      </c>
      <c r="G1082" t="s">
        <v>69</v>
      </c>
      <c r="H1082" t="s">
        <v>39</v>
      </c>
      <c r="I1082" t="s">
        <v>1140</v>
      </c>
      <c r="J1082" t="s">
        <v>1140</v>
      </c>
      <c r="K1082" t="s">
        <v>64</v>
      </c>
      <c r="L1082" t="s">
        <v>147</v>
      </c>
      <c r="M1082" t="s">
        <v>1142</v>
      </c>
      <c r="N1082">
        <v>17.15</v>
      </c>
      <c r="O1082">
        <v>20</v>
      </c>
      <c r="P1082">
        <v>158.863636363636</v>
      </c>
      <c r="Q1082">
        <v>178.863636363636</v>
      </c>
      <c r="R1082">
        <v>0</v>
      </c>
      <c r="S1082">
        <v>178.863636363636</v>
      </c>
      <c r="T1082">
        <v>41</v>
      </c>
      <c r="U1082">
        <f>SUMIF(货件明细!J:J,E1082,货件明细!AP:AP)</f>
        <v>0</v>
      </c>
      <c r="V1082">
        <f>IF(U1082=T1082,0,1)</f>
        <v>1</v>
      </c>
      <c r="W1082">
        <f>T1082</f>
        <v>41</v>
      </c>
      <c r="X1082">
        <f>SUMIF(货件明细!J:J,E1082,货件明细!H:H)</f>
        <v>0</v>
      </c>
      <c r="Y1082">
        <f>N1082-X1082</f>
        <v>17.15</v>
      </c>
      <c r="Z1082">
        <f>SUMIF(货件明细!J:J,E1082,货件明细!I:I)</f>
        <v>0</v>
      </c>
      <c r="AA1082">
        <f>IF(S1082=Z1082,0,1)</f>
        <v>1</v>
      </c>
    </row>
    <row r="1083" hidden="1" spans="1:27">
      <c r="A1083">
        <v>2</v>
      </c>
      <c r="B1083">
        <v>7</v>
      </c>
      <c r="C1083" s="3">
        <v>46064</v>
      </c>
      <c r="D1083" t="s">
        <v>27</v>
      </c>
      <c r="E1083" t="s">
        <v>1198</v>
      </c>
      <c r="F1083" t="s">
        <v>250</v>
      </c>
      <c r="G1083" t="s">
        <v>72</v>
      </c>
      <c r="H1083" t="s">
        <v>39</v>
      </c>
      <c r="I1083" t="s">
        <v>1140</v>
      </c>
      <c r="J1083" t="s">
        <v>1140</v>
      </c>
      <c r="K1083" t="s">
        <v>64</v>
      </c>
      <c r="L1083" t="s">
        <v>147</v>
      </c>
      <c r="M1083" t="s">
        <v>1142</v>
      </c>
      <c r="N1083">
        <v>17.15</v>
      </c>
      <c r="O1083">
        <v>10</v>
      </c>
      <c r="P1083">
        <v>133.042424242424</v>
      </c>
      <c r="Q1083">
        <v>143.042424242424</v>
      </c>
      <c r="R1083">
        <v>0</v>
      </c>
      <c r="S1083">
        <v>143.042424242424</v>
      </c>
      <c r="T1083">
        <v>41</v>
      </c>
      <c r="U1083">
        <f>SUMIF(货件明细!J:J,E1083,货件明细!AP:AP)</f>
        <v>0</v>
      </c>
      <c r="V1083">
        <f>IF(U1083=T1083,0,1)</f>
        <v>1</v>
      </c>
      <c r="W1083">
        <f>T1083</f>
        <v>41</v>
      </c>
      <c r="X1083">
        <f>SUMIF(货件明细!J:J,E1083,货件明细!H:H)</f>
        <v>0</v>
      </c>
      <c r="Y1083">
        <f>N1083-X1083</f>
        <v>17.15</v>
      </c>
      <c r="Z1083">
        <f>SUMIF(货件明细!J:J,E1083,货件明细!I:I)</f>
        <v>0</v>
      </c>
      <c r="AA1083">
        <f>IF(S1083=Z1083,0,1)</f>
        <v>1</v>
      </c>
    </row>
    <row r="1084" hidden="1" spans="1:27">
      <c r="A1084">
        <v>2</v>
      </c>
      <c r="B1084">
        <v>7</v>
      </c>
      <c r="C1084" s="3">
        <v>46064</v>
      </c>
      <c r="D1084" t="s">
        <v>27</v>
      </c>
      <c r="E1084" t="s">
        <v>1199</v>
      </c>
      <c r="F1084" t="s">
        <v>187</v>
      </c>
      <c r="G1084" t="s">
        <v>72</v>
      </c>
      <c r="H1084" t="s">
        <v>39</v>
      </c>
      <c r="I1084" t="s">
        <v>1140</v>
      </c>
      <c r="J1084" t="s">
        <v>1140</v>
      </c>
      <c r="K1084" t="s">
        <v>64</v>
      </c>
      <c r="L1084" t="s">
        <v>147</v>
      </c>
      <c r="M1084" t="s">
        <v>1142</v>
      </c>
      <c r="N1084">
        <v>17.15</v>
      </c>
      <c r="O1084">
        <v>10</v>
      </c>
      <c r="P1084">
        <v>124.645161290323</v>
      </c>
      <c r="Q1084">
        <v>134.645161290323</v>
      </c>
      <c r="R1084">
        <v>0</v>
      </c>
      <c r="S1084">
        <v>134.645161290323</v>
      </c>
      <c r="T1084">
        <v>41</v>
      </c>
      <c r="U1084">
        <f>SUMIF(货件明细!J:J,E1084,货件明细!AP:AP)</f>
        <v>0</v>
      </c>
      <c r="V1084">
        <f>IF(U1084=T1084,0,1)</f>
        <v>1</v>
      </c>
      <c r="W1084">
        <f>T1084</f>
        <v>41</v>
      </c>
      <c r="X1084">
        <f>SUMIF(货件明细!J:J,E1084,货件明细!H:H)</f>
        <v>0</v>
      </c>
      <c r="Y1084">
        <f>N1084-X1084</f>
        <v>17.15</v>
      </c>
      <c r="Z1084">
        <f>SUMIF(货件明细!J:J,E1084,货件明细!I:I)</f>
        <v>0</v>
      </c>
      <c r="AA1084">
        <f>IF(S1084=Z1084,0,1)</f>
        <v>1</v>
      </c>
    </row>
    <row r="1085" hidden="1" spans="1:27">
      <c r="A1085">
        <v>2</v>
      </c>
      <c r="B1085">
        <v>7</v>
      </c>
      <c r="C1085" s="3">
        <v>46064</v>
      </c>
      <c r="D1085" t="s">
        <v>27</v>
      </c>
      <c r="E1085" t="s">
        <v>1200</v>
      </c>
      <c r="F1085" t="s">
        <v>200</v>
      </c>
      <c r="G1085" t="s">
        <v>30</v>
      </c>
      <c r="H1085" t="s">
        <v>39</v>
      </c>
      <c r="I1085" t="s">
        <v>1140</v>
      </c>
      <c r="J1085" t="s">
        <v>146</v>
      </c>
      <c r="K1085" t="s">
        <v>64</v>
      </c>
      <c r="L1085" t="s">
        <v>147</v>
      </c>
      <c r="M1085" t="s">
        <v>148</v>
      </c>
      <c r="N1085">
        <v>17.15</v>
      </c>
      <c r="O1085">
        <v>22.2222222222222</v>
      </c>
      <c r="P1085">
        <v>121.22</v>
      </c>
      <c r="Q1085">
        <v>143.442222222222</v>
      </c>
      <c r="R1085">
        <v>0</v>
      </c>
      <c r="S1085">
        <v>143.442222222222</v>
      </c>
      <c r="T1085">
        <v>41</v>
      </c>
      <c r="U1085">
        <f>SUMIF(货件明细!J:J,E1085,货件明细!AP:AP)</f>
        <v>0</v>
      </c>
      <c r="V1085">
        <f>IF(U1085=T1085,0,1)</f>
        <v>1</v>
      </c>
      <c r="W1085">
        <f>T1085</f>
        <v>41</v>
      </c>
      <c r="X1085">
        <f>SUMIF(货件明细!J:J,E1085,货件明细!H:H)</f>
        <v>0</v>
      </c>
      <c r="Y1085">
        <f>N1085-X1085</f>
        <v>17.15</v>
      </c>
      <c r="Z1085">
        <f>SUMIF(货件明细!J:J,E1085,货件明细!I:I)</f>
        <v>0</v>
      </c>
      <c r="AA1085">
        <f>IF(S1085=Z1085,0,1)</f>
        <v>1</v>
      </c>
    </row>
    <row r="1086" hidden="1" spans="1:27">
      <c r="A1086">
        <v>2</v>
      </c>
      <c r="B1086">
        <v>7</v>
      </c>
      <c r="C1086" s="3">
        <v>46064</v>
      </c>
      <c r="D1086" t="s">
        <v>27</v>
      </c>
      <c r="E1086" t="s">
        <v>1201</v>
      </c>
      <c r="F1086" t="s">
        <v>185</v>
      </c>
      <c r="G1086" t="s">
        <v>30</v>
      </c>
      <c r="H1086" t="s">
        <v>31</v>
      </c>
      <c r="I1086" t="s">
        <v>1140</v>
      </c>
      <c r="J1086" t="s">
        <v>146</v>
      </c>
      <c r="K1086" t="s">
        <v>64</v>
      </c>
      <c r="L1086" t="s">
        <v>147</v>
      </c>
      <c r="M1086" t="s">
        <v>148</v>
      </c>
      <c r="N1086">
        <v>21.9</v>
      </c>
      <c r="O1086">
        <v>20</v>
      </c>
      <c r="P1086">
        <v>111.589743589744</v>
      </c>
      <c r="Q1086">
        <v>131.589743589744</v>
      </c>
      <c r="R1086">
        <v>0</v>
      </c>
      <c r="S1086">
        <v>131.589743589744</v>
      </c>
      <c r="T1086">
        <v>52</v>
      </c>
      <c r="U1086">
        <f>SUMIF(货件明细!J:J,E1086,货件明细!AP:AP)</f>
        <v>0</v>
      </c>
      <c r="V1086">
        <f>IF(U1086=T1086,0,1)</f>
        <v>1</v>
      </c>
      <c r="W1086">
        <f>T1086</f>
        <v>52</v>
      </c>
      <c r="X1086">
        <f>SUMIF(货件明细!J:J,E1086,货件明细!H:H)</f>
        <v>0</v>
      </c>
      <c r="Y1086">
        <f>N1086-X1086</f>
        <v>21.9</v>
      </c>
      <c r="Z1086">
        <f>SUMIF(货件明细!J:J,E1086,货件明细!I:I)</f>
        <v>0</v>
      </c>
      <c r="AA1086">
        <f>IF(S1086=Z1086,0,1)</f>
        <v>1</v>
      </c>
    </row>
    <row r="1087" hidden="1" spans="1:27">
      <c r="A1087">
        <v>2</v>
      </c>
      <c r="B1087">
        <v>7</v>
      </c>
      <c r="C1087" s="3">
        <v>46064</v>
      </c>
      <c r="D1087" t="s">
        <v>27</v>
      </c>
      <c r="E1087" t="s">
        <v>1202</v>
      </c>
      <c r="F1087" t="s">
        <v>141</v>
      </c>
      <c r="G1087" t="s">
        <v>69</v>
      </c>
      <c r="H1087" t="s">
        <v>31</v>
      </c>
      <c r="I1087" t="s">
        <v>1140</v>
      </c>
      <c r="J1087" t="s">
        <v>1140</v>
      </c>
      <c r="K1087" t="s">
        <v>64</v>
      </c>
      <c r="L1087" t="s">
        <v>147</v>
      </c>
      <c r="M1087" t="s">
        <v>1142</v>
      </c>
      <c r="N1087">
        <v>21.9</v>
      </c>
      <c r="O1087">
        <v>20</v>
      </c>
      <c r="P1087">
        <v>158.863636363636</v>
      </c>
      <c r="Q1087">
        <v>178.863636363636</v>
      </c>
      <c r="R1087">
        <v>0</v>
      </c>
      <c r="S1087">
        <v>178.863636363636</v>
      </c>
      <c r="T1087">
        <v>52</v>
      </c>
      <c r="U1087">
        <f>SUMIF(货件明细!J:J,E1087,货件明细!AP:AP)</f>
        <v>0</v>
      </c>
      <c r="V1087">
        <f>IF(U1087=T1087,0,1)</f>
        <v>1</v>
      </c>
      <c r="W1087">
        <f>T1087</f>
        <v>52</v>
      </c>
      <c r="X1087">
        <f>SUMIF(货件明细!J:J,E1087,货件明细!H:H)</f>
        <v>0</v>
      </c>
      <c r="Y1087">
        <f>N1087-X1087</f>
        <v>21.9</v>
      </c>
      <c r="Z1087">
        <f>SUMIF(货件明细!J:J,E1087,货件明细!I:I)</f>
        <v>0</v>
      </c>
      <c r="AA1087">
        <f>IF(S1087=Z1087,0,1)</f>
        <v>1</v>
      </c>
    </row>
    <row r="1088" hidden="1" spans="1:27">
      <c r="A1088">
        <v>2</v>
      </c>
      <c r="B1088">
        <v>7</v>
      </c>
      <c r="C1088" s="3">
        <v>46064</v>
      </c>
      <c r="D1088" t="s">
        <v>27</v>
      </c>
      <c r="E1088" t="s">
        <v>1203</v>
      </c>
      <c r="F1088" t="s">
        <v>250</v>
      </c>
      <c r="G1088" t="s">
        <v>72</v>
      </c>
      <c r="H1088" t="s">
        <v>31</v>
      </c>
      <c r="I1088" t="s">
        <v>1140</v>
      </c>
      <c r="J1088" t="s">
        <v>1140</v>
      </c>
      <c r="K1088" t="s">
        <v>64</v>
      </c>
      <c r="L1088" t="s">
        <v>147</v>
      </c>
      <c r="M1088" t="s">
        <v>1142</v>
      </c>
      <c r="N1088">
        <v>21.9</v>
      </c>
      <c r="O1088">
        <v>10</v>
      </c>
      <c r="P1088">
        <v>133.042424242424</v>
      </c>
      <c r="Q1088">
        <v>143.042424242424</v>
      </c>
      <c r="R1088">
        <v>0</v>
      </c>
      <c r="S1088">
        <v>143.042424242424</v>
      </c>
      <c r="T1088">
        <v>52</v>
      </c>
      <c r="U1088">
        <f>SUMIF(货件明细!J:J,E1088,货件明细!AP:AP)</f>
        <v>0</v>
      </c>
      <c r="V1088">
        <f>IF(U1088=T1088,0,1)</f>
        <v>1</v>
      </c>
      <c r="W1088">
        <f>T1088</f>
        <v>52</v>
      </c>
      <c r="X1088">
        <f>SUMIF(货件明细!J:J,E1088,货件明细!H:H)</f>
        <v>0</v>
      </c>
      <c r="Y1088">
        <f>N1088-X1088</f>
        <v>21.9</v>
      </c>
      <c r="Z1088">
        <f>SUMIF(货件明细!J:J,E1088,货件明细!I:I)</f>
        <v>0</v>
      </c>
      <c r="AA1088">
        <f>IF(S1088=Z1088,0,1)</f>
        <v>1</v>
      </c>
    </row>
    <row r="1089" hidden="1" spans="1:27">
      <c r="A1089">
        <v>2</v>
      </c>
      <c r="B1089">
        <v>7</v>
      </c>
      <c r="C1089" s="3">
        <v>46064</v>
      </c>
      <c r="D1089" t="s">
        <v>27</v>
      </c>
      <c r="E1089" t="s">
        <v>1204</v>
      </c>
      <c r="F1089" t="s">
        <v>187</v>
      </c>
      <c r="G1089" t="s">
        <v>72</v>
      </c>
      <c r="H1089" t="s">
        <v>31</v>
      </c>
      <c r="I1089" t="s">
        <v>1140</v>
      </c>
      <c r="J1089" t="s">
        <v>1140</v>
      </c>
      <c r="K1089" t="s">
        <v>64</v>
      </c>
      <c r="L1089" t="s">
        <v>147</v>
      </c>
      <c r="M1089" t="s">
        <v>1142</v>
      </c>
      <c r="N1089">
        <v>21.9</v>
      </c>
      <c r="O1089">
        <v>10</v>
      </c>
      <c r="P1089">
        <v>124.645161290323</v>
      </c>
      <c r="Q1089">
        <v>134.645161290323</v>
      </c>
      <c r="R1089">
        <v>0</v>
      </c>
      <c r="S1089">
        <v>134.645161290323</v>
      </c>
      <c r="T1089">
        <v>52</v>
      </c>
      <c r="U1089">
        <f>SUMIF(货件明细!J:J,E1089,货件明细!AP:AP)</f>
        <v>0</v>
      </c>
      <c r="V1089">
        <f>IF(U1089=T1089,0,1)</f>
        <v>1</v>
      </c>
      <c r="W1089">
        <f>T1089</f>
        <v>52</v>
      </c>
      <c r="X1089">
        <f>SUMIF(货件明细!J:J,E1089,货件明细!H:H)</f>
        <v>0</v>
      </c>
      <c r="Y1089">
        <f>N1089-X1089</f>
        <v>21.9</v>
      </c>
      <c r="Z1089">
        <f>SUMIF(货件明细!J:J,E1089,货件明细!I:I)</f>
        <v>0</v>
      </c>
      <c r="AA1089">
        <f>IF(S1089=Z1089,0,1)</f>
        <v>1</v>
      </c>
    </row>
    <row r="1090" hidden="1" spans="1:27">
      <c r="A1090">
        <v>2</v>
      </c>
      <c r="B1090">
        <v>7</v>
      </c>
      <c r="C1090" s="3">
        <v>46064</v>
      </c>
      <c r="D1090" t="s">
        <v>27</v>
      </c>
      <c r="E1090" t="s">
        <v>1205</v>
      </c>
      <c r="F1090" t="s">
        <v>200</v>
      </c>
      <c r="G1090" t="s">
        <v>30</v>
      </c>
      <c r="H1090" t="s">
        <v>31</v>
      </c>
      <c r="I1090" t="s">
        <v>1140</v>
      </c>
      <c r="J1090" t="s">
        <v>146</v>
      </c>
      <c r="K1090" t="s">
        <v>64</v>
      </c>
      <c r="L1090" t="s">
        <v>147</v>
      </c>
      <c r="M1090" t="s">
        <v>148</v>
      </c>
      <c r="N1090">
        <v>21.9</v>
      </c>
      <c r="O1090">
        <v>22.2222222222222</v>
      </c>
      <c r="P1090">
        <v>121.22</v>
      </c>
      <c r="Q1090">
        <v>143.442222222222</v>
      </c>
      <c r="R1090">
        <v>0</v>
      </c>
      <c r="S1090">
        <v>143.442222222222</v>
      </c>
      <c r="T1090">
        <v>52</v>
      </c>
      <c r="U1090">
        <f>SUMIF(货件明细!J:J,E1090,货件明细!AP:AP)</f>
        <v>0</v>
      </c>
      <c r="V1090">
        <f>IF(U1090=T1090,0,1)</f>
        <v>1</v>
      </c>
      <c r="W1090">
        <f>T1090</f>
        <v>52</v>
      </c>
      <c r="X1090">
        <f>SUMIF(货件明细!J:J,E1090,货件明细!H:H)</f>
        <v>0</v>
      </c>
      <c r="Y1090">
        <f>N1090-X1090</f>
        <v>21.9</v>
      </c>
      <c r="Z1090">
        <f>SUMIF(货件明细!J:J,E1090,货件明细!I:I)</f>
        <v>0</v>
      </c>
      <c r="AA1090">
        <f>IF(S1090=Z1090,0,1)</f>
        <v>1</v>
      </c>
    </row>
    <row r="1091" hidden="1" spans="1:27">
      <c r="A1091">
        <v>2</v>
      </c>
      <c r="B1091">
        <v>7</v>
      </c>
      <c r="C1091" s="3">
        <v>46064</v>
      </c>
      <c r="D1091" t="s">
        <v>27</v>
      </c>
      <c r="E1091" t="s">
        <v>1206</v>
      </c>
      <c r="F1091" t="s">
        <v>187</v>
      </c>
      <c r="G1091" t="s">
        <v>72</v>
      </c>
      <c r="H1091" t="s">
        <v>39</v>
      </c>
      <c r="I1091" t="s">
        <v>1140</v>
      </c>
      <c r="J1091" t="s">
        <v>1140</v>
      </c>
      <c r="K1091" t="s">
        <v>64</v>
      </c>
      <c r="L1091" t="s">
        <v>147</v>
      </c>
      <c r="M1091" t="s">
        <v>1142</v>
      </c>
      <c r="N1091">
        <v>40.6</v>
      </c>
      <c r="O1091">
        <v>10</v>
      </c>
      <c r="P1091">
        <v>249.290322580645</v>
      </c>
      <c r="Q1091">
        <v>259.290322580645</v>
      </c>
      <c r="R1091">
        <v>0</v>
      </c>
      <c r="S1091">
        <v>259.290322580645</v>
      </c>
      <c r="T1091">
        <v>129</v>
      </c>
      <c r="U1091">
        <f>SUMIF(货件明细!J:J,E1091,货件明细!AP:AP)</f>
        <v>0</v>
      </c>
      <c r="V1091">
        <f>IF(U1091=T1091,0,1)</f>
        <v>1</v>
      </c>
      <c r="W1091">
        <f>T1091</f>
        <v>129</v>
      </c>
      <c r="X1091">
        <f>SUMIF(货件明细!J:J,E1091,货件明细!H:H)</f>
        <v>0</v>
      </c>
      <c r="Y1091">
        <f>N1091-X1091</f>
        <v>40.6</v>
      </c>
      <c r="Z1091">
        <f>SUMIF(货件明细!J:J,E1091,货件明细!I:I)</f>
        <v>0</v>
      </c>
      <c r="AA1091">
        <f>IF(S1091=Z1091,0,1)</f>
        <v>1</v>
      </c>
    </row>
    <row r="1092" hidden="1" spans="1:27">
      <c r="A1092">
        <v>2</v>
      </c>
      <c r="B1092">
        <v>7</v>
      </c>
      <c r="C1092" s="3">
        <v>46064</v>
      </c>
      <c r="D1092" t="s">
        <v>27</v>
      </c>
      <c r="E1092" t="s">
        <v>1207</v>
      </c>
      <c r="F1092" t="s">
        <v>185</v>
      </c>
      <c r="G1092" t="s">
        <v>30</v>
      </c>
      <c r="H1092" t="s">
        <v>39</v>
      </c>
      <c r="I1092" t="s">
        <v>1140</v>
      </c>
      <c r="J1092" t="s">
        <v>146</v>
      </c>
      <c r="K1092" t="s">
        <v>64</v>
      </c>
      <c r="L1092" t="s">
        <v>147</v>
      </c>
      <c r="M1092" t="s">
        <v>148</v>
      </c>
      <c r="N1092">
        <v>62.5</v>
      </c>
      <c r="O1092">
        <v>20</v>
      </c>
      <c r="P1092">
        <v>334.769230769231</v>
      </c>
      <c r="Q1092">
        <v>354.769230769231</v>
      </c>
      <c r="R1092">
        <v>0</v>
      </c>
      <c r="S1092">
        <v>354.769230769231</v>
      </c>
      <c r="T1092">
        <v>174</v>
      </c>
      <c r="U1092">
        <f>SUMIF(货件明细!J:J,E1092,货件明细!AP:AP)</f>
        <v>0</v>
      </c>
      <c r="V1092">
        <f>IF(U1092=T1092,0,1)</f>
        <v>1</v>
      </c>
      <c r="W1092">
        <f>T1092</f>
        <v>174</v>
      </c>
      <c r="X1092">
        <f>SUMIF(货件明细!J:J,E1092,货件明细!H:H)</f>
        <v>0</v>
      </c>
      <c r="Y1092">
        <f>N1092-X1092</f>
        <v>62.5</v>
      </c>
      <c r="Z1092">
        <f>SUMIF(货件明细!J:J,E1092,货件明细!I:I)</f>
        <v>0</v>
      </c>
      <c r="AA1092">
        <f>IF(S1092=Z1092,0,1)</f>
        <v>1</v>
      </c>
    </row>
    <row r="1093" hidden="1" spans="1:27">
      <c r="A1093">
        <v>2</v>
      </c>
      <c r="B1093">
        <v>7</v>
      </c>
      <c r="C1093" s="3">
        <v>46064</v>
      </c>
      <c r="D1093" t="s">
        <v>27</v>
      </c>
      <c r="E1093" t="s">
        <v>1208</v>
      </c>
      <c r="F1093" t="s">
        <v>141</v>
      </c>
      <c r="G1093" t="s">
        <v>69</v>
      </c>
      <c r="H1093" t="s">
        <v>39</v>
      </c>
      <c r="I1093" t="s">
        <v>1140</v>
      </c>
      <c r="J1093" t="s">
        <v>1140</v>
      </c>
      <c r="K1093" t="s">
        <v>64</v>
      </c>
      <c r="L1093" t="s">
        <v>147</v>
      </c>
      <c r="M1093" t="s">
        <v>1142</v>
      </c>
      <c r="N1093">
        <v>62.5</v>
      </c>
      <c r="O1093">
        <v>20</v>
      </c>
      <c r="P1093">
        <v>476.590909090909</v>
      </c>
      <c r="Q1093">
        <v>496.590909090909</v>
      </c>
      <c r="R1093">
        <v>0</v>
      </c>
      <c r="S1093">
        <v>496.590909090909</v>
      </c>
      <c r="T1093">
        <v>174</v>
      </c>
      <c r="U1093">
        <f>SUMIF(货件明细!J:J,E1093,货件明细!AP:AP)</f>
        <v>0</v>
      </c>
      <c r="V1093">
        <f>IF(U1093=T1093,0,1)</f>
        <v>1</v>
      </c>
      <c r="W1093">
        <f>T1093</f>
        <v>174</v>
      </c>
      <c r="X1093">
        <f>SUMIF(货件明细!J:J,E1093,货件明细!H:H)</f>
        <v>0</v>
      </c>
      <c r="Y1093">
        <f>N1093-X1093</f>
        <v>62.5</v>
      </c>
      <c r="Z1093">
        <f>SUMIF(货件明细!J:J,E1093,货件明细!I:I)</f>
        <v>0</v>
      </c>
      <c r="AA1093">
        <f>IF(S1093=Z1093,0,1)</f>
        <v>1</v>
      </c>
    </row>
    <row r="1094" hidden="1" spans="1:27">
      <c r="A1094">
        <v>2</v>
      </c>
      <c r="B1094">
        <v>7</v>
      </c>
      <c r="C1094" s="3">
        <v>46064</v>
      </c>
      <c r="D1094" t="s">
        <v>27</v>
      </c>
      <c r="E1094" t="s">
        <v>1209</v>
      </c>
      <c r="F1094" t="s">
        <v>200</v>
      </c>
      <c r="G1094" t="s">
        <v>30</v>
      </c>
      <c r="H1094" t="s">
        <v>39</v>
      </c>
      <c r="I1094" t="s">
        <v>1140</v>
      </c>
      <c r="J1094" t="s">
        <v>146</v>
      </c>
      <c r="K1094" t="s">
        <v>64</v>
      </c>
      <c r="L1094" t="s">
        <v>147</v>
      </c>
      <c r="M1094" t="s">
        <v>148</v>
      </c>
      <c r="N1094">
        <v>62.5</v>
      </c>
      <c r="O1094">
        <v>22.2222222222222</v>
      </c>
      <c r="P1094">
        <v>363.66</v>
      </c>
      <c r="Q1094">
        <v>385.882222222222</v>
      </c>
      <c r="R1094">
        <v>0</v>
      </c>
      <c r="S1094">
        <v>385.882222222222</v>
      </c>
      <c r="T1094">
        <v>174</v>
      </c>
      <c r="U1094">
        <f>SUMIF(货件明细!J:J,E1094,货件明细!AP:AP)</f>
        <v>0</v>
      </c>
      <c r="V1094">
        <f>IF(U1094=T1094,0,1)</f>
        <v>1</v>
      </c>
      <c r="W1094">
        <f>T1094</f>
        <v>174</v>
      </c>
      <c r="X1094">
        <f>SUMIF(货件明细!J:J,E1094,货件明细!H:H)</f>
        <v>0</v>
      </c>
      <c r="Y1094">
        <f>N1094-X1094</f>
        <v>62.5</v>
      </c>
      <c r="Z1094">
        <f>SUMIF(货件明细!J:J,E1094,货件明细!I:I)</f>
        <v>0</v>
      </c>
      <c r="AA1094">
        <f>IF(S1094=Z1094,0,1)</f>
        <v>1</v>
      </c>
    </row>
    <row r="1095" hidden="1" spans="1:27">
      <c r="A1095">
        <v>2</v>
      </c>
      <c r="B1095">
        <v>7</v>
      </c>
      <c r="C1095" s="3">
        <v>46064</v>
      </c>
      <c r="D1095" t="s">
        <v>27</v>
      </c>
      <c r="E1095" t="s">
        <v>1210</v>
      </c>
      <c r="F1095" t="s">
        <v>250</v>
      </c>
      <c r="G1095" t="s">
        <v>72</v>
      </c>
      <c r="H1095" t="s">
        <v>39</v>
      </c>
      <c r="I1095" t="s">
        <v>1140</v>
      </c>
      <c r="J1095" t="s">
        <v>1140</v>
      </c>
      <c r="K1095" t="s">
        <v>64</v>
      </c>
      <c r="L1095" t="s">
        <v>147</v>
      </c>
      <c r="M1095" t="s">
        <v>1142</v>
      </c>
      <c r="N1095">
        <v>84.4</v>
      </c>
      <c r="O1095">
        <v>10</v>
      </c>
      <c r="P1095">
        <v>532.169696969697</v>
      </c>
      <c r="Q1095">
        <v>542.169696969697</v>
      </c>
      <c r="R1095">
        <v>0</v>
      </c>
      <c r="S1095">
        <v>542.169696969697</v>
      </c>
      <c r="T1095">
        <v>219</v>
      </c>
      <c r="U1095">
        <f>SUMIF(货件明细!J:J,E1095,货件明细!AP:AP)</f>
        <v>0</v>
      </c>
      <c r="V1095">
        <f>IF(U1095=T1095,0,1)</f>
        <v>1</v>
      </c>
      <c r="W1095">
        <f>T1095</f>
        <v>219</v>
      </c>
      <c r="X1095">
        <f>SUMIF(货件明细!J:J,E1095,货件明细!H:H)</f>
        <v>0</v>
      </c>
      <c r="Y1095">
        <f>N1095-X1095</f>
        <v>84.4</v>
      </c>
      <c r="Z1095">
        <f>SUMIF(货件明细!J:J,E1095,货件明细!I:I)</f>
        <v>0</v>
      </c>
      <c r="AA1095">
        <f>IF(S1095=Z1095,0,1)</f>
        <v>1</v>
      </c>
    </row>
    <row r="1096" hidden="1" spans="1:27">
      <c r="A1096">
        <v>2</v>
      </c>
      <c r="B1096">
        <v>7</v>
      </c>
      <c r="C1096" s="3">
        <v>46064</v>
      </c>
      <c r="D1096" t="s">
        <v>27</v>
      </c>
      <c r="E1096" t="s">
        <v>1211</v>
      </c>
      <c r="F1096" t="s">
        <v>185</v>
      </c>
      <c r="G1096" t="s">
        <v>30</v>
      </c>
      <c r="H1096" t="s">
        <v>51</v>
      </c>
      <c r="I1096" t="s">
        <v>1140</v>
      </c>
      <c r="J1096" t="s">
        <v>146</v>
      </c>
      <c r="K1096" t="s">
        <v>64</v>
      </c>
      <c r="L1096" t="s">
        <v>147</v>
      </c>
      <c r="M1096" t="s">
        <v>148</v>
      </c>
      <c r="N1096">
        <v>23.2</v>
      </c>
      <c r="O1096">
        <v>20</v>
      </c>
      <c r="P1096">
        <v>223.179487179487</v>
      </c>
      <c r="Q1096">
        <v>243.179487179487</v>
      </c>
      <c r="R1096">
        <v>0</v>
      </c>
      <c r="S1096">
        <v>243.179487179487</v>
      </c>
      <c r="T1096">
        <v>98</v>
      </c>
      <c r="U1096">
        <f>SUMIF(货件明细!J:J,E1096,货件明细!AP:AP)</f>
        <v>0</v>
      </c>
      <c r="V1096">
        <f>IF(U1096=T1096,0,1)</f>
        <v>1</v>
      </c>
      <c r="W1096">
        <f>T1096</f>
        <v>98</v>
      </c>
      <c r="X1096">
        <f>SUMIF(货件明细!J:J,E1096,货件明细!H:H)</f>
        <v>0</v>
      </c>
      <c r="Y1096">
        <f>N1096-X1096</f>
        <v>23.2</v>
      </c>
      <c r="Z1096">
        <f>SUMIF(货件明细!J:J,E1096,货件明细!I:I)</f>
        <v>0</v>
      </c>
      <c r="AA1096">
        <f>IF(S1096=Z1096,0,1)</f>
        <v>1</v>
      </c>
    </row>
    <row r="1097" hidden="1" spans="1:27">
      <c r="A1097">
        <v>2</v>
      </c>
      <c r="B1097">
        <v>7</v>
      </c>
      <c r="C1097" s="3">
        <v>46064</v>
      </c>
      <c r="D1097" t="s">
        <v>27</v>
      </c>
      <c r="E1097" t="s">
        <v>1212</v>
      </c>
      <c r="F1097" t="s">
        <v>141</v>
      </c>
      <c r="G1097" t="s">
        <v>69</v>
      </c>
      <c r="H1097" t="s">
        <v>51</v>
      </c>
      <c r="I1097" t="s">
        <v>1140</v>
      </c>
      <c r="J1097" t="s">
        <v>1140</v>
      </c>
      <c r="K1097" t="s">
        <v>64</v>
      </c>
      <c r="L1097" t="s">
        <v>147</v>
      </c>
      <c r="M1097" t="s">
        <v>1142</v>
      </c>
      <c r="N1097">
        <v>23.2</v>
      </c>
      <c r="O1097">
        <v>20</v>
      </c>
      <c r="P1097">
        <v>317.727272727273</v>
      </c>
      <c r="Q1097">
        <v>337.727272727273</v>
      </c>
      <c r="R1097">
        <v>0</v>
      </c>
      <c r="S1097">
        <v>337.727272727273</v>
      </c>
      <c r="T1097">
        <v>98</v>
      </c>
      <c r="U1097">
        <f>SUMIF(货件明细!J:J,E1097,货件明细!AP:AP)</f>
        <v>0</v>
      </c>
      <c r="V1097">
        <f>IF(U1097=T1097,0,1)</f>
        <v>1</v>
      </c>
      <c r="W1097">
        <f>T1097</f>
        <v>98</v>
      </c>
      <c r="X1097">
        <f>SUMIF(货件明细!J:J,E1097,货件明细!H:H)</f>
        <v>0</v>
      </c>
      <c r="Y1097">
        <f>N1097-X1097</f>
        <v>23.2</v>
      </c>
      <c r="Z1097">
        <f>SUMIF(货件明细!J:J,E1097,货件明细!I:I)</f>
        <v>0</v>
      </c>
      <c r="AA1097">
        <f>IF(S1097=Z1097,0,1)</f>
        <v>1</v>
      </c>
    </row>
    <row r="1098" hidden="1" spans="1:27">
      <c r="A1098">
        <v>2</v>
      </c>
      <c r="B1098">
        <v>7</v>
      </c>
      <c r="C1098" s="3">
        <v>46064</v>
      </c>
      <c r="D1098" t="s">
        <v>27</v>
      </c>
      <c r="E1098" t="s">
        <v>1213</v>
      </c>
      <c r="F1098" t="s">
        <v>250</v>
      </c>
      <c r="G1098" t="s">
        <v>72</v>
      </c>
      <c r="H1098" t="s">
        <v>51</v>
      </c>
      <c r="I1098" t="s">
        <v>1140</v>
      </c>
      <c r="J1098" t="s">
        <v>1140</v>
      </c>
      <c r="K1098" t="s">
        <v>64</v>
      </c>
      <c r="L1098" t="s">
        <v>147</v>
      </c>
      <c r="M1098" t="s">
        <v>1142</v>
      </c>
      <c r="N1098">
        <v>23.2</v>
      </c>
      <c r="O1098">
        <v>10</v>
      </c>
      <c r="P1098">
        <v>266.084848484849</v>
      </c>
      <c r="Q1098">
        <v>276.084848484849</v>
      </c>
      <c r="R1098">
        <v>0</v>
      </c>
      <c r="S1098">
        <v>276.084848484849</v>
      </c>
      <c r="T1098">
        <v>98</v>
      </c>
      <c r="U1098">
        <f>SUMIF(货件明细!J:J,E1098,货件明细!AP:AP)</f>
        <v>0</v>
      </c>
      <c r="V1098">
        <f>IF(U1098=T1098,0,1)</f>
        <v>1</v>
      </c>
      <c r="W1098">
        <f>T1098</f>
        <v>98</v>
      </c>
      <c r="X1098">
        <f>SUMIF(货件明细!J:J,E1098,货件明细!H:H)</f>
        <v>0</v>
      </c>
      <c r="Y1098">
        <f>N1098-X1098</f>
        <v>23.2</v>
      </c>
      <c r="Z1098">
        <f>SUMIF(货件明细!J:J,E1098,货件明细!I:I)</f>
        <v>0</v>
      </c>
      <c r="AA1098">
        <f>IF(S1098=Z1098,0,1)</f>
        <v>1</v>
      </c>
    </row>
    <row r="1099" hidden="1" spans="1:27">
      <c r="A1099">
        <v>2</v>
      </c>
      <c r="B1099">
        <v>7</v>
      </c>
      <c r="C1099" s="3">
        <v>46064</v>
      </c>
      <c r="D1099" t="s">
        <v>27</v>
      </c>
      <c r="E1099" t="s">
        <v>1214</v>
      </c>
      <c r="F1099" t="s">
        <v>187</v>
      </c>
      <c r="G1099" t="s">
        <v>72</v>
      </c>
      <c r="H1099" t="s">
        <v>51</v>
      </c>
      <c r="I1099" t="s">
        <v>1140</v>
      </c>
      <c r="J1099" t="s">
        <v>1140</v>
      </c>
      <c r="K1099" t="s">
        <v>64</v>
      </c>
      <c r="L1099" t="s">
        <v>147</v>
      </c>
      <c r="M1099" t="s">
        <v>1142</v>
      </c>
      <c r="N1099">
        <v>23.2</v>
      </c>
      <c r="O1099">
        <v>10</v>
      </c>
      <c r="P1099">
        <v>249.290322580645</v>
      </c>
      <c r="Q1099">
        <v>259.290322580645</v>
      </c>
      <c r="R1099">
        <v>0</v>
      </c>
      <c r="S1099">
        <v>259.290322580645</v>
      </c>
      <c r="T1099">
        <v>98</v>
      </c>
      <c r="U1099">
        <f>SUMIF(货件明细!J:J,E1099,货件明细!AP:AP)</f>
        <v>0</v>
      </c>
      <c r="V1099">
        <f>IF(U1099=T1099,0,1)</f>
        <v>1</v>
      </c>
      <c r="W1099">
        <f>T1099</f>
        <v>98</v>
      </c>
      <c r="X1099">
        <f>SUMIF(货件明细!J:J,E1099,货件明细!H:H)</f>
        <v>0</v>
      </c>
      <c r="Y1099">
        <f>N1099-X1099</f>
        <v>23.2</v>
      </c>
      <c r="Z1099">
        <f>SUMIF(货件明细!J:J,E1099,货件明细!I:I)</f>
        <v>0</v>
      </c>
      <c r="AA1099">
        <f>IF(S1099=Z1099,0,1)</f>
        <v>1</v>
      </c>
    </row>
    <row r="1100" hidden="1" spans="1:27">
      <c r="A1100">
        <v>2</v>
      </c>
      <c r="B1100">
        <v>7</v>
      </c>
      <c r="C1100" s="3">
        <v>46064</v>
      </c>
      <c r="D1100" t="s">
        <v>27</v>
      </c>
      <c r="E1100" t="s">
        <v>1215</v>
      </c>
      <c r="F1100" t="s">
        <v>200</v>
      </c>
      <c r="G1100" t="s">
        <v>30</v>
      </c>
      <c r="H1100" t="s">
        <v>51</v>
      </c>
      <c r="I1100" t="s">
        <v>1140</v>
      </c>
      <c r="J1100" t="s">
        <v>146</v>
      </c>
      <c r="K1100" t="s">
        <v>64</v>
      </c>
      <c r="L1100" t="s">
        <v>147</v>
      </c>
      <c r="M1100" t="s">
        <v>148</v>
      </c>
      <c r="N1100">
        <v>23.2</v>
      </c>
      <c r="O1100">
        <v>22.2222222222222</v>
      </c>
      <c r="P1100">
        <v>242.44</v>
      </c>
      <c r="Q1100">
        <v>264.662222222222</v>
      </c>
      <c r="R1100">
        <v>0</v>
      </c>
      <c r="S1100">
        <v>264.662222222222</v>
      </c>
      <c r="T1100">
        <v>98</v>
      </c>
      <c r="U1100">
        <f>SUMIF(货件明细!J:J,E1100,货件明细!AP:AP)</f>
        <v>0</v>
      </c>
      <c r="V1100">
        <f>IF(U1100=T1100,0,1)</f>
        <v>1</v>
      </c>
      <c r="W1100">
        <f>T1100</f>
        <v>98</v>
      </c>
      <c r="X1100">
        <f>SUMIF(货件明细!J:J,E1100,货件明细!H:H)</f>
        <v>0</v>
      </c>
      <c r="Y1100">
        <f>N1100-X1100</f>
        <v>23.2</v>
      </c>
      <c r="Z1100">
        <f>SUMIF(货件明细!J:J,E1100,货件明细!I:I)</f>
        <v>0</v>
      </c>
      <c r="AA1100">
        <f>IF(S1100=Z1100,0,1)</f>
        <v>1</v>
      </c>
    </row>
    <row r="1101" hidden="1" spans="1:27">
      <c r="A1101">
        <v>2</v>
      </c>
      <c r="B1101">
        <v>7</v>
      </c>
      <c r="C1101" s="3">
        <v>46064</v>
      </c>
      <c r="D1101" t="s">
        <v>27</v>
      </c>
      <c r="E1101" t="s">
        <v>1216</v>
      </c>
      <c r="F1101" t="s">
        <v>185</v>
      </c>
      <c r="G1101" t="s">
        <v>30</v>
      </c>
      <c r="H1101" t="s">
        <v>78</v>
      </c>
      <c r="I1101" t="s">
        <v>1140</v>
      </c>
      <c r="J1101" t="s">
        <v>146</v>
      </c>
      <c r="K1101" t="s">
        <v>64</v>
      </c>
      <c r="L1101" t="s">
        <v>147</v>
      </c>
      <c r="M1101" t="s">
        <v>148</v>
      </c>
      <c r="N1101">
        <v>10.05</v>
      </c>
      <c r="O1101">
        <v>20</v>
      </c>
      <c r="P1101">
        <v>111.589743589744</v>
      </c>
      <c r="Q1101">
        <v>131.589743589744</v>
      </c>
      <c r="R1101">
        <v>0</v>
      </c>
      <c r="S1101">
        <v>131.589743589744</v>
      </c>
      <c r="T1101">
        <v>80</v>
      </c>
      <c r="U1101">
        <f>SUMIF(货件明细!J:J,E1101,货件明细!AP:AP)</f>
        <v>0</v>
      </c>
      <c r="V1101">
        <f>IF(U1101=T1101,0,1)</f>
        <v>1</v>
      </c>
      <c r="W1101">
        <f>T1101</f>
        <v>80</v>
      </c>
      <c r="X1101">
        <f>SUMIF(货件明细!J:J,E1101,货件明细!H:H)</f>
        <v>0</v>
      </c>
      <c r="Y1101">
        <f>N1101-X1101</f>
        <v>10.05</v>
      </c>
      <c r="Z1101">
        <f>SUMIF(货件明细!J:J,E1101,货件明细!I:I)</f>
        <v>0</v>
      </c>
      <c r="AA1101">
        <f>IF(S1101=Z1101,0,1)</f>
        <v>1</v>
      </c>
    </row>
    <row r="1102" hidden="1" spans="1:27">
      <c r="A1102">
        <v>2</v>
      </c>
      <c r="B1102">
        <v>7</v>
      </c>
      <c r="C1102" s="3">
        <v>46064</v>
      </c>
      <c r="D1102" t="s">
        <v>27</v>
      </c>
      <c r="E1102" t="s">
        <v>1217</v>
      </c>
      <c r="F1102" t="s">
        <v>141</v>
      </c>
      <c r="G1102" t="s">
        <v>69</v>
      </c>
      <c r="H1102" t="s">
        <v>78</v>
      </c>
      <c r="I1102" t="s">
        <v>1140</v>
      </c>
      <c r="J1102" t="s">
        <v>1140</v>
      </c>
      <c r="K1102" t="s">
        <v>64</v>
      </c>
      <c r="L1102" t="s">
        <v>147</v>
      </c>
      <c r="M1102" t="s">
        <v>1142</v>
      </c>
      <c r="N1102">
        <v>10.05</v>
      </c>
      <c r="O1102">
        <v>20</v>
      </c>
      <c r="P1102">
        <v>158.863636363636</v>
      </c>
      <c r="Q1102">
        <v>178.863636363636</v>
      </c>
      <c r="R1102">
        <v>0</v>
      </c>
      <c r="S1102">
        <v>178.863636363636</v>
      </c>
      <c r="T1102">
        <v>80</v>
      </c>
      <c r="U1102">
        <f>SUMIF(货件明细!J:J,E1102,货件明细!AP:AP)</f>
        <v>0</v>
      </c>
      <c r="V1102">
        <f>IF(U1102=T1102,0,1)</f>
        <v>1</v>
      </c>
      <c r="W1102">
        <f>T1102</f>
        <v>80</v>
      </c>
      <c r="X1102">
        <f>SUMIF(货件明细!J:J,E1102,货件明细!H:H)</f>
        <v>0</v>
      </c>
      <c r="Y1102">
        <f>N1102-X1102</f>
        <v>10.05</v>
      </c>
      <c r="Z1102">
        <f>SUMIF(货件明细!J:J,E1102,货件明细!I:I)</f>
        <v>0</v>
      </c>
      <c r="AA1102">
        <f>IF(S1102=Z1102,0,1)</f>
        <v>1</v>
      </c>
    </row>
    <row r="1103" hidden="1" spans="1:27">
      <c r="A1103">
        <v>2</v>
      </c>
      <c r="B1103">
        <v>7</v>
      </c>
      <c r="C1103" s="3">
        <v>46064</v>
      </c>
      <c r="D1103" t="s">
        <v>27</v>
      </c>
      <c r="E1103" t="s">
        <v>1218</v>
      </c>
      <c r="F1103" t="s">
        <v>250</v>
      </c>
      <c r="G1103" t="s">
        <v>72</v>
      </c>
      <c r="H1103" t="s">
        <v>78</v>
      </c>
      <c r="I1103" t="s">
        <v>1140</v>
      </c>
      <c r="J1103" t="s">
        <v>1140</v>
      </c>
      <c r="K1103" t="s">
        <v>64</v>
      </c>
      <c r="L1103" t="s">
        <v>147</v>
      </c>
      <c r="M1103" t="s">
        <v>1142</v>
      </c>
      <c r="N1103">
        <v>10.05</v>
      </c>
      <c r="O1103">
        <v>10</v>
      </c>
      <c r="P1103">
        <v>133.042424242424</v>
      </c>
      <c r="Q1103">
        <v>143.042424242424</v>
      </c>
      <c r="R1103">
        <v>0</v>
      </c>
      <c r="S1103">
        <v>143.042424242424</v>
      </c>
      <c r="T1103">
        <v>80</v>
      </c>
      <c r="U1103">
        <f>SUMIF(货件明细!J:J,E1103,货件明细!AP:AP)</f>
        <v>0</v>
      </c>
      <c r="V1103">
        <f>IF(U1103=T1103,0,1)</f>
        <v>1</v>
      </c>
      <c r="W1103">
        <f>T1103</f>
        <v>80</v>
      </c>
      <c r="X1103">
        <f>SUMIF(货件明细!J:J,E1103,货件明细!H:H)</f>
        <v>0</v>
      </c>
      <c r="Y1103">
        <f>N1103-X1103</f>
        <v>10.05</v>
      </c>
      <c r="Z1103">
        <f>SUMIF(货件明细!J:J,E1103,货件明细!I:I)</f>
        <v>0</v>
      </c>
      <c r="AA1103">
        <f>IF(S1103=Z1103,0,1)</f>
        <v>1</v>
      </c>
    </row>
    <row r="1104" hidden="1" spans="1:27">
      <c r="A1104">
        <v>2</v>
      </c>
      <c r="B1104">
        <v>7</v>
      </c>
      <c r="C1104" s="3">
        <v>46064</v>
      </c>
      <c r="D1104" t="s">
        <v>27</v>
      </c>
      <c r="E1104" t="s">
        <v>1219</v>
      </c>
      <c r="F1104" t="s">
        <v>187</v>
      </c>
      <c r="G1104" t="s">
        <v>72</v>
      </c>
      <c r="H1104" t="s">
        <v>78</v>
      </c>
      <c r="I1104" t="s">
        <v>1140</v>
      </c>
      <c r="J1104" t="s">
        <v>1140</v>
      </c>
      <c r="K1104" t="s">
        <v>64</v>
      </c>
      <c r="L1104" t="s">
        <v>147</v>
      </c>
      <c r="M1104" t="s">
        <v>1142</v>
      </c>
      <c r="N1104">
        <v>10.05</v>
      </c>
      <c r="O1104">
        <v>10</v>
      </c>
      <c r="P1104">
        <v>124.645161290323</v>
      </c>
      <c r="Q1104">
        <v>134.645161290323</v>
      </c>
      <c r="R1104">
        <v>0</v>
      </c>
      <c r="S1104">
        <v>134.645161290323</v>
      </c>
      <c r="T1104">
        <v>80</v>
      </c>
      <c r="U1104">
        <f>SUMIF(货件明细!J:J,E1104,货件明细!AP:AP)</f>
        <v>0</v>
      </c>
      <c r="V1104">
        <f>IF(U1104=T1104,0,1)</f>
        <v>1</v>
      </c>
      <c r="W1104">
        <f>T1104</f>
        <v>80</v>
      </c>
      <c r="X1104">
        <f>SUMIF(货件明细!J:J,E1104,货件明细!H:H)</f>
        <v>0</v>
      </c>
      <c r="Y1104">
        <f>N1104-X1104</f>
        <v>10.05</v>
      </c>
      <c r="Z1104">
        <f>SUMIF(货件明细!J:J,E1104,货件明细!I:I)</f>
        <v>0</v>
      </c>
      <c r="AA1104">
        <f>IF(S1104=Z1104,0,1)</f>
        <v>1</v>
      </c>
    </row>
    <row r="1105" hidden="1" spans="1:27">
      <c r="A1105">
        <v>2</v>
      </c>
      <c r="B1105">
        <v>7</v>
      </c>
      <c r="C1105" s="3">
        <v>46064</v>
      </c>
      <c r="D1105" t="s">
        <v>27</v>
      </c>
      <c r="E1105" t="s">
        <v>1220</v>
      </c>
      <c r="F1105" t="s">
        <v>200</v>
      </c>
      <c r="G1105" t="s">
        <v>30</v>
      </c>
      <c r="H1105" t="s">
        <v>78</v>
      </c>
      <c r="I1105" t="s">
        <v>1140</v>
      </c>
      <c r="J1105" t="s">
        <v>146</v>
      </c>
      <c r="K1105" t="s">
        <v>64</v>
      </c>
      <c r="L1105" t="s">
        <v>147</v>
      </c>
      <c r="M1105" t="s">
        <v>148</v>
      </c>
      <c r="N1105">
        <v>10.05</v>
      </c>
      <c r="O1105">
        <v>50</v>
      </c>
      <c r="P1105">
        <v>121.22</v>
      </c>
      <c r="Q1105">
        <v>171.22</v>
      </c>
      <c r="R1105">
        <v>0</v>
      </c>
      <c r="S1105">
        <v>171.22</v>
      </c>
      <c r="T1105">
        <v>80</v>
      </c>
      <c r="U1105">
        <f>SUMIF(货件明细!J:J,E1105,货件明细!AP:AP)</f>
        <v>0</v>
      </c>
      <c r="V1105">
        <f>IF(U1105=T1105,0,1)</f>
        <v>1</v>
      </c>
      <c r="W1105">
        <f>T1105</f>
        <v>80</v>
      </c>
      <c r="X1105">
        <f>SUMIF(货件明细!J:J,E1105,货件明细!H:H)</f>
        <v>0</v>
      </c>
      <c r="Y1105">
        <f>N1105-X1105</f>
        <v>10.05</v>
      </c>
      <c r="Z1105">
        <f>SUMIF(货件明细!J:J,E1105,货件明细!I:I)</f>
        <v>0</v>
      </c>
      <c r="AA1105">
        <f>IF(S1105=Z1105,0,1)</f>
        <v>1</v>
      </c>
    </row>
    <row r="1106" hidden="1" spans="1:27">
      <c r="A1106">
        <v>2</v>
      </c>
      <c r="B1106">
        <v>7</v>
      </c>
      <c r="C1106" s="3">
        <v>46064</v>
      </c>
      <c r="D1106" t="s">
        <v>27</v>
      </c>
      <c r="E1106" t="s">
        <v>1221</v>
      </c>
      <c r="F1106" t="s">
        <v>821</v>
      </c>
      <c r="G1106" t="s">
        <v>72</v>
      </c>
      <c r="H1106" t="s">
        <v>78</v>
      </c>
      <c r="I1106" t="s">
        <v>1140</v>
      </c>
      <c r="J1106" t="s">
        <v>1140</v>
      </c>
      <c r="K1106" t="s">
        <v>64</v>
      </c>
      <c r="L1106" t="s">
        <v>147</v>
      </c>
      <c r="M1106" t="s">
        <v>1142</v>
      </c>
      <c r="N1106">
        <v>25.8</v>
      </c>
      <c r="O1106">
        <v>66.6666666666667</v>
      </c>
      <c r="P1106">
        <v>184</v>
      </c>
      <c r="Q1106">
        <v>250.666666666667</v>
      </c>
      <c r="R1106">
        <v>500.4</v>
      </c>
      <c r="S1106">
        <v>751.066666666667</v>
      </c>
      <c r="T1106">
        <v>240</v>
      </c>
      <c r="U1106">
        <f>SUMIF(货件明细!J:J,E1106,货件明细!AP:AP)</f>
        <v>0</v>
      </c>
      <c r="V1106">
        <f>IF(U1106=T1106,0,1)</f>
        <v>1</v>
      </c>
      <c r="W1106">
        <f>T1106</f>
        <v>240</v>
      </c>
      <c r="X1106">
        <f>SUMIF(货件明细!J:J,E1106,货件明细!H:H)</f>
        <v>0</v>
      </c>
      <c r="Y1106">
        <f>N1106-X1106</f>
        <v>25.8</v>
      </c>
      <c r="Z1106">
        <f>SUMIF(货件明细!J:J,E1106,货件明细!I:I)</f>
        <v>0</v>
      </c>
      <c r="AA1106">
        <f>IF(S1106=Z1106,0,1)</f>
        <v>1</v>
      </c>
    </row>
    <row r="1107" spans="1:27">
      <c r="A1107">
        <v>2</v>
      </c>
      <c r="B1107">
        <v>9</v>
      </c>
      <c r="C1107" s="3">
        <v>46078</v>
      </c>
      <c r="D1107" t="s">
        <v>27</v>
      </c>
      <c r="E1107" t="s">
        <v>1222</v>
      </c>
      <c r="F1107" t="s">
        <v>29</v>
      </c>
      <c r="G1107" t="s">
        <v>30</v>
      </c>
      <c r="H1107" t="s">
        <v>46</v>
      </c>
      <c r="I1107" t="s">
        <v>42</v>
      </c>
      <c r="J1107" t="s">
        <v>42</v>
      </c>
      <c r="K1107" t="s">
        <v>33</v>
      </c>
      <c r="L1107" t="s">
        <v>207</v>
      </c>
      <c r="M1107" t="s">
        <v>218</v>
      </c>
      <c r="N1107">
        <v>21.95</v>
      </c>
      <c r="O1107">
        <v>200</v>
      </c>
      <c r="P1107">
        <v>1322.4</v>
      </c>
      <c r="Q1107">
        <v>1522.4</v>
      </c>
      <c r="R1107">
        <v>174.584</v>
      </c>
      <c r="S1107">
        <v>1696.984</v>
      </c>
      <c r="T1107">
        <v>157</v>
      </c>
      <c r="U1107">
        <f>SUMIF(货件明细!J:J,E1107,货件明细!AP:AP)</f>
        <v>157</v>
      </c>
      <c r="V1107">
        <f>IF(U1107=T1107,0,1)</f>
        <v>0</v>
      </c>
      <c r="W1107">
        <f>T1107</f>
        <v>157</v>
      </c>
      <c r="X1107">
        <f>SUMIF(货件明细!J:J,E1107,货件明细!H:H)</f>
        <v>20.724</v>
      </c>
      <c r="Y1107">
        <f>N1107-X1107</f>
        <v>1.226</v>
      </c>
      <c r="Z1107">
        <f>SUMIF(货件明细!J:J,E1107,货件明细!I:I)</f>
        <v>1696.984</v>
      </c>
      <c r="AA1107">
        <f>IF(S1107=Z1107,0,1)</f>
        <v>0</v>
      </c>
    </row>
    <row r="1108" spans="1:27">
      <c r="A1108">
        <v>2</v>
      </c>
      <c r="B1108">
        <v>9</v>
      </c>
      <c r="C1108" s="3">
        <v>46078</v>
      </c>
      <c r="D1108" t="s">
        <v>27</v>
      </c>
      <c r="E1108" t="s">
        <v>1223</v>
      </c>
      <c r="F1108" t="s">
        <v>652</v>
      </c>
      <c r="G1108" t="s">
        <v>72</v>
      </c>
      <c r="H1108" t="s">
        <v>54</v>
      </c>
      <c r="I1108" t="s">
        <v>32</v>
      </c>
      <c r="J1108" t="s">
        <v>32</v>
      </c>
      <c r="K1108" t="s">
        <v>33</v>
      </c>
      <c r="L1108" t="s">
        <v>323</v>
      </c>
      <c r="M1108" t="s">
        <v>47</v>
      </c>
      <c r="N1108">
        <v>14</v>
      </c>
      <c r="O1108">
        <v>100</v>
      </c>
      <c r="P1108">
        <v>532</v>
      </c>
      <c r="Q1108">
        <v>632</v>
      </c>
      <c r="R1108">
        <v>312.75</v>
      </c>
      <c r="S1108">
        <v>944.75</v>
      </c>
      <c r="T1108">
        <v>150</v>
      </c>
      <c r="U1108">
        <f>SUMIF(货件明细!J:J,E1108,货件明细!AP:AP)</f>
        <v>150</v>
      </c>
      <c r="V1108">
        <f>IF(U1108=T1108,0,1)</f>
        <v>0</v>
      </c>
      <c r="W1108">
        <f>T1108</f>
        <v>150</v>
      </c>
      <c r="X1108">
        <f>SUMIF(货件明细!J:J,E1108,货件明细!H:H)</f>
        <v>13.05</v>
      </c>
      <c r="Y1108">
        <f>N1108-X1108</f>
        <v>0.949999999999999</v>
      </c>
      <c r="Z1108">
        <f>SUMIF(货件明细!J:J,E1108,货件明细!I:I)</f>
        <v>944.75</v>
      </c>
      <c r="AA1108">
        <f>IF(S1108=Z1108,0,1)</f>
        <v>0</v>
      </c>
    </row>
    <row r="1109" spans="1:27">
      <c r="A1109">
        <v>2</v>
      </c>
      <c r="B1109">
        <v>9</v>
      </c>
      <c r="C1109" s="3">
        <v>46078</v>
      </c>
      <c r="D1109" t="s">
        <v>27</v>
      </c>
      <c r="E1109" t="s">
        <v>1224</v>
      </c>
      <c r="F1109" t="s">
        <v>652</v>
      </c>
      <c r="G1109" t="s">
        <v>72</v>
      </c>
      <c r="H1109" t="s">
        <v>37</v>
      </c>
      <c r="I1109" t="s">
        <v>32</v>
      </c>
      <c r="J1109" t="s">
        <v>32</v>
      </c>
      <c r="K1109" t="s">
        <v>33</v>
      </c>
      <c r="L1109" t="s">
        <v>323</v>
      </c>
      <c r="M1109" t="s">
        <v>47</v>
      </c>
      <c r="N1109">
        <v>15.4</v>
      </c>
      <c r="O1109">
        <v>100</v>
      </c>
      <c r="P1109">
        <v>608</v>
      </c>
      <c r="Q1109">
        <v>708</v>
      </c>
      <c r="R1109">
        <v>193.905</v>
      </c>
      <c r="S1109">
        <v>901.905</v>
      </c>
      <c r="T1109">
        <v>93</v>
      </c>
      <c r="U1109">
        <f>SUMIF(货件明细!J:J,E1109,货件明细!AP:AP)</f>
        <v>93</v>
      </c>
      <c r="V1109">
        <f>IF(U1109=T1109,0,1)</f>
        <v>0</v>
      </c>
      <c r="W1109">
        <f>T1109</f>
        <v>93</v>
      </c>
      <c r="X1109">
        <f>SUMIF(货件明细!J:J,E1109,货件明细!H:H)</f>
        <v>14.208</v>
      </c>
      <c r="Y1109">
        <f>N1109-X1109</f>
        <v>1.192</v>
      </c>
      <c r="Z1109">
        <f>SUMIF(货件明细!J:J,E1109,货件明细!I:I)</f>
        <v>901.905</v>
      </c>
      <c r="AA1109">
        <f>IF(S1109=Z1109,0,1)</f>
        <v>0</v>
      </c>
    </row>
    <row r="1110" spans="1:27">
      <c r="A1110">
        <v>2</v>
      </c>
      <c r="B1110">
        <v>9</v>
      </c>
      <c r="C1110" s="3">
        <v>46078</v>
      </c>
      <c r="D1110" t="s">
        <v>27</v>
      </c>
      <c r="E1110" t="s">
        <v>1225</v>
      </c>
      <c r="F1110" t="s">
        <v>652</v>
      </c>
      <c r="G1110" t="s">
        <v>72</v>
      </c>
      <c r="H1110" t="s">
        <v>31</v>
      </c>
      <c r="I1110" t="s">
        <v>32</v>
      </c>
      <c r="J1110" t="s">
        <v>32</v>
      </c>
      <c r="K1110" t="s">
        <v>33</v>
      </c>
      <c r="L1110" t="s">
        <v>323</v>
      </c>
      <c r="M1110" t="s">
        <v>47</v>
      </c>
      <c r="N1110">
        <v>14.8</v>
      </c>
      <c r="O1110">
        <v>100</v>
      </c>
      <c r="P1110">
        <v>570</v>
      </c>
      <c r="Q1110">
        <v>670</v>
      </c>
      <c r="R1110">
        <v>162.63</v>
      </c>
      <c r="S1110">
        <v>832.63</v>
      </c>
      <c r="T1110">
        <v>75</v>
      </c>
      <c r="U1110">
        <f>SUMIF(货件明细!J:J,E1110,货件明细!AP:AP)</f>
        <v>75</v>
      </c>
      <c r="V1110">
        <f>IF(U1110=T1110,0,1)</f>
        <v>0</v>
      </c>
      <c r="W1110">
        <f>T1110</f>
        <v>75</v>
      </c>
      <c r="X1110">
        <f>SUMIF(货件明细!J:J,E1110,货件明细!H:H)</f>
        <v>14.05</v>
      </c>
      <c r="Y1110">
        <f>N1110-X1110</f>
        <v>0.75</v>
      </c>
      <c r="Z1110">
        <f>SUMIF(货件明细!J:J,E1110,货件明细!I:I)</f>
        <v>832.63</v>
      </c>
      <c r="AA1110">
        <f>IF(S1110=Z1110,0,1)</f>
        <v>0</v>
      </c>
    </row>
    <row r="1111" spans="1:27">
      <c r="A1111">
        <v>2</v>
      </c>
      <c r="B1111">
        <v>9</v>
      </c>
      <c r="C1111" s="3">
        <v>46078</v>
      </c>
      <c r="D1111" t="s">
        <v>27</v>
      </c>
      <c r="E1111" t="s">
        <v>1226</v>
      </c>
      <c r="F1111" t="s">
        <v>1227</v>
      </c>
      <c r="G1111" t="s">
        <v>30</v>
      </c>
      <c r="H1111" t="s">
        <v>39</v>
      </c>
      <c r="I1111" t="s">
        <v>32</v>
      </c>
      <c r="J1111" t="s">
        <v>32</v>
      </c>
      <c r="K1111" t="s">
        <v>33</v>
      </c>
      <c r="L1111" t="s">
        <v>323</v>
      </c>
      <c r="M1111" t="s">
        <v>47</v>
      </c>
      <c r="N1111">
        <v>19.15</v>
      </c>
      <c r="O1111">
        <v>150</v>
      </c>
      <c r="P1111">
        <v>665</v>
      </c>
      <c r="Q1111">
        <v>815</v>
      </c>
      <c r="R1111">
        <v>73.948</v>
      </c>
      <c r="S1111">
        <v>888.948</v>
      </c>
      <c r="T1111">
        <v>40</v>
      </c>
      <c r="U1111">
        <f>SUMIF(货件明细!J:J,E1111,货件明细!AP:AP)</f>
        <v>40</v>
      </c>
      <c r="V1111">
        <f>IF(U1111=T1111,0,1)</f>
        <v>0</v>
      </c>
      <c r="W1111">
        <f>T1111</f>
        <v>40</v>
      </c>
      <c r="X1111">
        <f>SUMIF(货件明细!J:J,E1111,货件明细!H:H)</f>
        <v>18.28</v>
      </c>
      <c r="Y1111">
        <f>N1111-X1111</f>
        <v>0.869999999999997</v>
      </c>
      <c r="Z1111">
        <f>SUMIF(货件明细!J:J,E1111,货件明细!I:I)</f>
        <v>888.948</v>
      </c>
      <c r="AA1111">
        <f>IF(S1111=Z1111,0,1)</f>
        <v>0</v>
      </c>
    </row>
    <row r="1112" spans="1:27">
      <c r="A1112">
        <v>2</v>
      </c>
      <c r="B1112">
        <v>9</v>
      </c>
      <c r="C1112" s="3">
        <v>46078</v>
      </c>
      <c r="D1112" t="s">
        <v>27</v>
      </c>
      <c r="E1112" t="s">
        <v>1228</v>
      </c>
      <c r="F1112" t="s">
        <v>1227</v>
      </c>
      <c r="G1112" t="s">
        <v>30</v>
      </c>
      <c r="H1112" t="s">
        <v>56</v>
      </c>
      <c r="I1112" t="s">
        <v>32</v>
      </c>
      <c r="J1112" t="s">
        <v>32</v>
      </c>
      <c r="K1112" t="s">
        <v>33</v>
      </c>
      <c r="L1112" t="s">
        <v>323</v>
      </c>
      <c r="M1112" t="s">
        <v>47</v>
      </c>
      <c r="N1112">
        <v>171.25</v>
      </c>
      <c r="O1112">
        <v>150</v>
      </c>
      <c r="P1112">
        <v>5985</v>
      </c>
      <c r="Q1112">
        <v>6135</v>
      </c>
      <c r="R1112">
        <v>936.86</v>
      </c>
      <c r="S1112">
        <v>7071.86</v>
      </c>
      <c r="T1112">
        <v>720</v>
      </c>
      <c r="U1112">
        <f>SUMIF(货件明细!J:J,E1112,货件明细!AP:AP)</f>
        <v>720</v>
      </c>
      <c r="V1112">
        <f>IF(U1112=T1112,0,1)</f>
        <v>0</v>
      </c>
      <c r="W1112">
        <f>T1112</f>
        <v>720</v>
      </c>
      <c r="X1112">
        <f>SUMIF(货件明细!J:J,E1112,货件明细!H:H)</f>
        <v>165.046</v>
      </c>
      <c r="Y1112">
        <f>N1112-X1112</f>
        <v>6.20400000000001</v>
      </c>
      <c r="Z1112">
        <f>SUMIF(货件明细!J:J,E1112,货件明细!I:I)</f>
        <v>7071.86</v>
      </c>
      <c r="AA1112">
        <f>IF(S1112=Z1112,0,1)</f>
        <v>0</v>
      </c>
    </row>
    <row r="1113" spans="1:27">
      <c r="A1113">
        <v>2</v>
      </c>
      <c r="B1113">
        <v>9</v>
      </c>
      <c r="C1113" s="3">
        <v>46079</v>
      </c>
      <c r="D1113" t="s">
        <v>27</v>
      </c>
      <c r="E1113" t="s">
        <v>1229</v>
      </c>
      <c r="F1113" t="s">
        <v>29</v>
      </c>
      <c r="G1113" t="s">
        <v>30</v>
      </c>
      <c r="H1113" t="s">
        <v>224</v>
      </c>
      <c r="I1113" t="s">
        <v>42</v>
      </c>
      <c r="J1113" t="s">
        <v>42</v>
      </c>
      <c r="K1113" t="s">
        <v>33</v>
      </c>
      <c r="L1113" t="s">
        <v>43</v>
      </c>
      <c r="M1113" t="s">
        <v>44</v>
      </c>
      <c r="N1113">
        <v>21.7</v>
      </c>
      <c r="O1113">
        <v>200</v>
      </c>
      <c r="P1113">
        <v>1300</v>
      </c>
      <c r="Q1113">
        <v>1500</v>
      </c>
      <c r="R1113">
        <v>444.8</v>
      </c>
      <c r="S1113">
        <v>1944.8</v>
      </c>
      <c r="T1113">
        <v>400</v>
      </c>
      <c r="U1113">
        <f>SUMIF(货件明细!J:J,E1113,货件明细!AP:AP)</f>
        <v>400</v>
      </c>
      <c r="V1113">
        <f>IF(U1113=T1113,0,1)</f>
        <v>0</v>
      </c>
      <c r="W1113">
        <f>T1113</f>
        <v>400</v>
      </c>
      <c r="X1113">
        <f>SUMIF(货件明细!J:J,E1113,货件明细!H:H)</f>
        <v>20.42</v>
      </c>
      <c r="Y1113">
        <f>N1113-X1113</f>
        <v>1.28</v>
      </c>
      <c r="Z1113">
        <f>SUMIF(货件明细!J:J,E1113,货件明细!I:I)</f>
        <v>1944.8</v>
      </c>
      <c r="AA1113">
        <f>IF(S1113=Z1113,0,1)</f>
        <v>0</v>
      </c>
    </row>
    <row r="1114" spans="1:27">
      <c r="A1114">
        <v>2</v>
      </c>
      <c r="B1114">
        <v>9</v>
      </c>
      <c r="C1114" s="3">
        <v>46079</v>
      </c>
      <c r="D1114" t="s">
        <v>27</v>
      </c>
      <c r="E1114" t="s">
        <v>1230</v>
      </c>
      <c r="F1114" t="s">
        <v>1227</v>
      </c>
      <c r="G1114" t="s">
        <v>30</v>
      </c>
      <c r="H1114" t="s">
        <v>56</v>
      </c>
      <c r="I1114" t="s">
        <v>32</v>
      </c>
      <c r="J1114" t="s">
        <v>32</v>
      </c>
      <c r="K1114" t="s">
        <v>33</v>
      </c>
      <c r="L1114" t="s">
        <v>43</v>
      </c>
      <c r="M1114" t="s">
        <v>47</v>
      </c>
      <c r="N1114">
        <v>12.9</v>
      </c>
      <c r="O1114">
        <v>175</v>
      </c>
      <c r="P1114">
        <v>520</v>
      </c>
      <c r="Q1114">
        <v>705.5</v>
      </c>
      <c r="R1114">
        <v>63.801</v>
      </c>
      <c r="S1114">
        <v>769.301</v>
      </c>
      <c r="T1114">
        <v>51</v>
      </c>
      <c r="U1114">
        <f>SUMIF(货件明细!J:J,E1114,货件明细!AP:AP)</f>
        <v>51</v>
      </c>
      <c r="V1114">
        <f>IF(U1114=T1114,0,1)</f>
        <v>0</v>
      </c>
      <c r="W1114">
        <f>T1114</f>
        <v>51</v>
      </c>
      <c r="X1114">
        <f>SUMIF(货件明细!J:J,E1114,货件明细!H:H)</f>
        <v>12.036</v>
      </c>
      <c r="Y1114">
        <f>N1114-X1114</f>
        <v>0.864000000000001</v>
      </c>
      <c r="Z1114">
        <f>SUMIF(货件明细!J:J,E1114,货件明细!I:I)</f>
        <v>769.301</v>
      </c>
      <c r="AA1114">
        <f>IF(S1114=Z1114,0,1)</f>
        <v>0</v>
      </c>
    </row>
    <row r="1115" spans="1:27">
      <c r="A1115">
        <v>2</v>
      </c>
      <c r="B1115">
        <v>9</v>
      </c>
      <c r="C1115" s="3">
        <v>46079</v>
      </c>
      <c r="D1115" t="s">
        <v>27</v>
      </c>
      <c r="E1115" t="s">
        <v>1231</v>
      </c>
      <c r="F1115" t="s">
        <v>1227</v>
      </c>
      <c r="G1115" t="s">
        <v>30</v>
      </c>
      <c r="H1115" t="s">
        <v>31</v>
      </c>
      <c r="I1115" t="s">
        <v>32</v>
      </c>
      <c r="J1115" t="s">
        <v>32</v>
      </c>
      <c r="K1115" t="s">
        <v>33</v>
      </c>
      <c r="L1115" t="s">
        <v>43</v>
      </c>
      <c r="M1115" t="s">
        <v>47</v>
      </c>
      <c r="N1115">
        <v>70.55</v>
      </c>
      <c r="O1115">
        <v>175</v>
      </c>
      <c r="P1115">
        <v>2840</v>
      </c>
      <c r="Q1115">
        <v>3025.5</v>
      </c>
      <c r="R1115">
        <v>421.17</v>
      </c>
      <c r="S1115">
        <v>3446.67</v>
      </c>
      <c r="T1115">
        <v>370</v>
      </c>
      <c r="U1115">
        <f>SUMIF(货件明细!J:J,E1115,货件明细!AP:AP)</f>
        <v>370</v>
      </c>
      <c r="V1115">
        <f>IF(U1115=T1115,0,1)</f>
        <v>0</v>
      </c>
      <c r="W1115">
        <f>T1115</f>
        <v>370</v>
      </c>
      <c r="X1115">
        <f>SUMIF(货件明细!J:J,E1115,货件明细!H:H)</f>
        <v>66.6</v>
      </c>
      <c r="Y1115">
        <f>N1115-X1115</f>
        <v>3.95</v>
      </c>
      <c r="Z1115">
        <f>SUMIF(货件明细!J:J,E1115,货件明细!I:I)</f>
        <v>3446.67</v>
      </c>
      <c r="AA1115">
        <f>IF(S1115=Z1115,0,1)</f>
        <v>0</v>
      </c>
    </row>
    <row r="1116" spans="1:27">
      <c r="A1116">
        <v>2</v>
      </c>
      <c r="B1116">
        <v>9</v>
      </c>
      <c r="C1116" s="3">
        <v>46080</v>
      </c>
      <c r="D1116" t="s">
        <v>27</v>
      </c>
      <c r="E1116" t="s">
        <v>1232</v>
      </c>
      <c r="F1116" t="s">
        <v>1227</v>
      </c>
      <c r="G1116" t="s">
        <v>30</v>
      </c>
      <c r="H1116" t="s">
        <v>54</v>
      </c>
      <c r="I1116" t="s">
        <v>32</v>
      </c>
      <c r="J1116" t="s">
        <v>32</v>
      </c>
      <c r="K1116" t="s">
        <v>33</v>
      </c>
      <c r="L1116" t="s">
        <v>43</v>
      </c>
      <c r="M1116" t="s">
        <v>47</v>
      </c>
      <c r="N1116">
        <v>17.1</v>
      </c>
      <c r="O1116">
        <v>175</v>
      </c>
      <c r="P1116">
        <v>722.5</v>
      </c>
      <c r="Q1116">
        <v>899.25</v>
      </c>
      <c r="R1116">
        <v>179.032</v>
      </c>
      <c r="S1116">
        <v>1078.282</v>
      </c>
      <c r="T1116">
        <v>160</v>
      </c>
      <c r="U1116">
        <f>SUMIF(货件明细!J:J,E1116,货件明细!AP:AP)</f>
        <v>160</v>
      </c>
      <c r="V1116">
        <f>IF(U1116=T1116,0,1)</f>
        <v>0</v>
      </c>
      <c r="W1116">
        <f>T1116</f>
        <v>160</v>
      </c>
      <c r="X1116">
        <f>SUMIF(货件明细!J:J,E1116,货件明细!H:H)</f>
        <v>15.52</v>
      </c>
      <c r="Y1116">
        <f>N1116-X1116</f>
        <v>1.58</v>
      </c>
      <c r="Z1116">
        <f>SUMIF(货件明细!J:J,E1116,货件明细!I:I)</f>
        <v>1078.282</v>
      </c>
      <c r="AA1116">
        <f>IF(S1116=Z1116,0,1)</f>
        <v>0</v>
      </c>
    </row>
    <row r="1117" spans="1:27">
      <c r="A1117">
        <v>2</v>
      </c>
      <c r="B1117">
        <v>9</v>
      </c>
      <c r="C1117" s="3">
        <v>46080</v>
      </c>
      <c r="D1117" t="s">
        <v>27</v>
      </c>
      <c r="E1117" t="s">
        <v>1233</v>
      </c>
      <c r="F1117" t="s">
        <v>1227</v>
      </c>
      <c r="G1117" t="s">
        <v>30</v>
      </c>
      <c r="H1117" t="s">
        <v>31</v>
      </c>
      <c r="I1117" t="s">
        <v>32</v>
      </c>
      <c r="J1117" t="s">
        <v>32</v>
      </c>
      <c r="K1117" t="s">
        <v>33</v>
      </c>
      <c r="L1117" t="s">
        <v>43</v>
      </c>
      <c r="M1117" t="s">
        <v>47</v>
      </c>
      <c r="N1117">
        <v>30.15</v>
      </c>
      <c r="O1117">
        <v>175</v>
      </c>
      <c r="P1117">
        <v>1317.5</v>
      </c>
      <c r="Q1117">
        <v>1494.25</v>
      </c>
      <c r="R1117">
        <v>224.624</v>
      </c>
      <c r="S1117">
        <v>1718.874</v>
      </c>
      <c r="T1117">
        <v>200</v>
      </c>
      <c r="U1117">
        <f>SUMIF(货件明细!J:J,E1117,货件明细!AP:AP)</f>
        <v>200</v>
      </c>
      <c r="V1117">
        <f>IF(U1117=T1117,0,1)</f>
        <v>0</v>
      </c>
      <c r="W1117">
        <f>T1117</f>
        <v>200</v>
      </c>
      <c r="X1117">
        <f>SUMIF(货件明细!J:J,E1117,货件明细!H:H)</f>
        <v>28.8</v>
      </c>
      <c r="Y1117">
        <f>N1117-X1117</f>
        <v>1.35</v>
      </c>
      <c r="Z1117">
        <f>SUMIF(货件明细!J:J,E1117,货件明细!I:I)</f>
        <v>1718.874</v>
      </c>
      <c r="AA1117">
        <f>IF(S1117=Z1117,0,1)</f>
        <v>0</v>
      </c>
    </row>
    <row r="1118" hidden="1" spans="1:27">
      <c r="A1118">
        <v>2</v>
      </c>
      <c r="B1118">
        <v>9</v>
      </c>
      <c r="C1118" s="3">
        <v>46081</v>
      </c>
      <c r="D1118" t="s">
        <v>27</v>
      </c>
      <c r="E1118" t="s">
        <v>1234</v>
      </c>
      <c r="F1118" t="s">
        <v>185</v>
      </c>
      <c r="G1118" t="s">
        <v>30</v>
      </c>
      <c r="H1118" t="s">
        <v>37</v>
      </c>
      <c r="I1118" t="s">
        <v>63</v>
      </c>
      <c r="J1118" t="s">
        <v>63</v>
      </c>
      <c r="K1118" t="s">
        <v>64</v>
      </c>
      <c r="L1118" t="s">
        <v>65</v>
      </c>
      <c r="M1118" t="s">
        <v>1235</v>
      </c>
      <c r="N1118">
        <v>64.3</v>
      </c>
      <c r="O1118">
        <v>23.5714285714286</v>
      </c>
      <c r="P1118">
        <v>345.4</v>
      </c>
      <c r="Q1118">
        <v>368.971428571429</v>
      </c>
      <c r="R1118">
        <v>0</v>
      </c>
      <c r="S1118">
        <v>368.971428571429</v>
      </c>
      <c r="T1118">
        <v>446</v>
      </c>
      <c r="U1118">
        <f>SUMIF(货件明细!J:J,E1118,货件明细!AP:AP)</f>
        <v>0</v>
      </c>
      <c r="V1118">
        <f>IF(U1118=T1118,0,1)</f>
        <v>1</v>
      </c>
      <c r="W1118">
        <f>T1118</f>
        <v>446</v>
      </c>
      <c r="X1118">
        <f>SUMIF(货件明细!J:J,E1118,货件明细!H:H)</f>
        <v>0</v>
      </c>
      <c r="Y1118">
        <f>N1118-X1118</f>
        <v>64.3</v>
      </c>
      <c r="Z1118">
        <f>SUMIF(货件明细!J:J,E1118,货件明细!I:I)</f>
        <v>0</v>
      </c>
      <c r="AA1118">
        <f>IF(S1118=Z1118,0,1)</f>
        <v>1</v>
      </c>
    </row>
    <row r="1119" hidden="1" spans="1:27">
      <c r="A1119">
        <v>2</v>
      </c>
      <c r="B1119">
        <v>9</v>
      </c>
      <c r="C1119" s="3">
        <v>46081</v>
      </c>
      <c r="D1119" t="s">
        <v>27</v>
      </c>
      <c r="E1119" t="s">
        <v>1236</v>
      </c>
      <c r="F1119" t="s">
        <v>250</v>
      </c>
      <c r="G1119" t="s">
        <v>72</v>
      </c>
      <c r="H1119" t="s">
        <v>37</v>
      </c>
      <c r="I1119" t="s">
        <v>63</v>
      </c>
      <c r="J1119" t="s">
        <v>63</v>
      </c>
      <c r="K1119" t="s">
        <v>64</v>
      </c>
      <c r="L1119" t="s">
        <v>147</v>
      </c>
      <c r="M1119" t="s">
        <v>425</v>
      </c>
      <c r="N1119">
        <v>64.3</v>
      </c>
      <c r="O1119">
        <v>7.14285714285714</v>
      </c>
      <c r="P1119">
        <v>207</v>
      </c>
      <c r="Q1119">
        <v>214.142857142857</v>
      </c>
      <c r="R1119">
        <v>0</v>
      </c>
      <c r="S1119">
        <v>214.142857142857</v>
      </c>
      <c r="T1119">
        <v>446</v>
      </c>
      <c r="U1119">
        <f>SUMIF(货件明细!J:J,E1119,货件明细!AP:AP)</f>
        <v>0</v>
      </c>
      <c r="V1119">
        <f>IF(U1119=T1119,0,1)</f>
        <v>1</v>
      </c>
      <c r="W1119">
        <f>T1119</f>
        <v>446</v>
      </c>
      <c r="X1119">
        <f>SUMIF(货件明细!J:J,E1119,货件明细!H:H)</f>
        <v>0</v>
      </c>
      <c r="Y1119">
        <f>N1119-X1119</f>
        <v>64.3</v>
      </c>
      <c r="Z1119">
        <f>SUMIF(货件明细!J:J,E1119,货件明细!I:I)</f>
        <v>0</v>
      </c>
      <c r="AA1119">
        <f>IF(S1119=Z1119,0,1)</f>
        <v>1</v>
      </c>
    </row>
    <row r="1120" hidden="1" spans="1:27">
      <c r="A1120">
        <v>2</v>
      </c>
      <c r="B1120">
        <v>9</v>
      </c>
      <c r="C1120" s="3">
        <v>46081</v>
      </c>
      <c r="D1120" t="s">
        <v>27</v>
      </c>
      <c r="E1120" t="s">
        <v>1237</v>
      </c>
      <c r="F1120" t="s">
        <v>548</v>
      </c>
      <c r="G1120" t="s">
        <v>72</v>
      </c>
      <c r="H1120" t="s">
        <v>37</v>
      </c>
      <c r="I1120" t="s">
        <v>63</v>
      </c>
      <c r="J1120" t="s">
        <v>63</v>
      </c>
      <c r="K1120" t="s">
        <v>64</v>
      </c>
      <c r="L1120" t="s">
        <v>147</v>
      </c>
      <c r="M1120" t="s">
        <v>425</v>
      </c>
      <c r="N1120">
        <v>64.3</v>
      </c>
      <c r="O1120">
        <v>7.14285714285714</v>
      </c>
      <c r="P1120">
        <v>179.4</v>
      </c>
      <c r="Q1120">
        <v>186.542857142857</v>
      </c>
      <c r="R1120">
        <v>0</v>
      </c>
      <c r="S1120">
        <v>186.542857142857</v>
      </c>
      <c r="T1120">
        <v>446</v>
      </c>
      <c r="U1120">
        <f>SUMIF(货件明细!J:J,E1120,货件明细!AP:AP)</f>
        <v>0</v>
      </c>
      <c r="V1120">
        <f>IF(U1120=T1120,0,1)</f>
        <v>1</v>
      </c>
      <c r="W1120">
        <f>T1120</f>
        <v>446</v>
      </c>
      <c r="X1120">
        <f>SUMIF(货件明细!J:J,E1120,货件明细!H:H)</f>
        <v>0</v>
      </c>
      <c r="Y1120">
        <f>N1120-X1120</f>
        <v>64.3</v>
      </c>
      <c r="Z1120">
        <f>SUMIF(货件明细!J:J,E1120,货件明细!I:I)</f>
        <v>0</v>
      </c>
      <c r="AA1120">
        <f>IF(S1120=Z1120,0,1)</f>
        <v>1</v>
      </c>
    </row>
    <row r="1121" hidden="1" spans="1:27">
      <c r="A1121">
        <v>2</v>
      </c>
      <c r="B1121">
        <v>9</v>
      </c>
      <c r="C1121" s="3">
        <v>46081</v>
      </c>
      <c r="D1121" t="s">
        <v>27</v>
      </c>
      <c r="E1121" t="s">
        <v>1238</v>
      </c>
      <c r="F1121" t="s">
        <v>187</v>
      </c>
      <c r="G1121" t="s">
        <v>72</v>
      </c>
      <c r="H1121" t="s">
        <v>37</v>
      </c>
      <c r="I1121" t="s">
        <v>63</v>
      </c>
      <c r="J1121" t="s">
        <v>63</v>
      </c>
      <c r="K1121" t="s">
        <v>64</v>
      </c>
      <c r="L1121" t="s">
        <v>147</v>
      </c>
      <c r="M1121" t="s">
        <v>425</v>
      </c>
      <c r="N1121">
        <v>64.3</v>
      </c>
      <c r="O1121">
        <v>7.14285714285714</v>
      </c>
      <c r="P1121">
        <v>179.4</v>
      </c>
      <c r="Q1121">
        <v>186.542857142857</v>
      </c>
      <c r="R1121">
        <v>0</v>
      </c>
      <c r="S1121">
        <v>186.542857142857</v>
      </c>
      <c r="T1121">
        <v>446</v>
      </c>
      <c r="U1121">
        <f>SUMIF(货件明细!J:J,E1121,货件明细!AP:AP)</f>
        <v>0</v>
      </c>
      <c r="V1121">
        <f>IF(U1121=T1121,0,1)</f>
        <v>1</v>
      </c>
      <c r="W1121">
        <f>T1121</f>
        <v>446</v>
      </c>
      <c r="X1121">
        <f>SUMIF(货件明细!J:J,E1121,货件明细!H:H)</f>
        <v>0</v>
      </c>
      <c r="Y1121">
        <f>N1121-X1121</f>
        <v>64.3</v>
      </c>
      <c r="Z1121">
        <f>SUMIF(货件明细!J:J,E1121,货件明细!I:I)</f>
        <v>0</v>
      </c>
      <c r="AA1121">
        <f>IF(S1121=Z1121,0,1)</f>
        <v>1</v>
      </c>
    </row>
    <row r="1122" hidden="1" spans="1:27">
      <c r="A1122">
        <v>2</v>
      </c>
      <c r="B1122">
        <v>9</v>
      </c>
      <c r="C1122" s="3">
        <v>46081</v>
      </c>
      <c r="D1122" t="s">
        <v>27</v>
      </c>
      <c r="E1122" t="s">
        <v>1239</v>
      </c>
      <c r="F1122" t="s">
        <v>200</v>
      </c>
      <c r="G1122" t="s">
        <v>30</v>
      </c>
      <c r="H1122" t="s">
        <v>37</v>
      </c>
      <c r="I1122" t="s">
        <v>63</v>
      </c>
      <c r="J1122" t="s">
        <v>63</v>
      </c>
      <c r="K1122" t="s">
        <v>64</v>
      </c>
      <c r="L1122" t="s">
        <v>65</v>
      </c>
      <c r="M1122" t="s">
        <v>1235</v>
      </c>
      <c r="N1122">
        <v>64.3</v>
      </c>
      <c r="O1122">
        <v>23.5714285714286</v>
      </c>
      <c r="P1122">
        <v>336.6</v>
      </c>
      <c r="Q1122">
        <v>360.171428571429</v>
      </c>
      <c r="R1122">
        <v>0</v>
      </c>
      <c r="S1122">
        <v>360.171428571429</v>
      </c>
      <c r="T1122">
        <v>446</v>
      </c>
      <c r="U1122">
        <f>SUMIF(货件明细!J:J,E1122,货件明细!AP:AP)</f>
        <v>0</v>
      </c>
      <c r="V1122">
        <f>IF(U1122=T1122,0,1)</f>
        <v>1</v>
      </c>
      <c r="W1122">
        <f>T1122</f>
        <v>446</v>
      </c>
      <c r="X1122">
        <f>SUMIF(货件明细!J:J,E1122,货件明细!H:H)</f>
        <v>0</v>
      </c>
      <c r="Y1122">
        <f>N1122-X1122</f>
        <v>64.3</v>
      </c>
      <c r="Z1122">
        <f>SUMIF(货件明细!J:J,E1122,货件明细!I:I)</f>
        <v>0</v>
      </c>
      <c r="AA1122">
        <f>IF(S1122=Z1122,0,1)</f>
        <v>1</v>
      </c>
    </row>
    <row r="1123" hidden="1" spans="1:27">
      <c r="A1123">
        <v>2</v>
      </c>
      <c r="B1123">
        <v>9</v>
      </c>
      <c r="C1123" s="3">
        <v>46081</v>
      </c>
      <c r="D1123" t="s">
        <v>27</v>
      </c>
      <c r="E1123" t="s">
        <v>1240</v>
      </c>
      <c r="F1123" t="s">
        <v>185</v>
      </c>
      <c r="G1123" t="s">
        <v>30</v>
      </c>
      <c r="H1123" t="s">
        <v>78</v>
      </c>
      <c r="I1123" t="s">
        <v>63</v>
      </c>
      <c r="J1123" t="s">
        <v>63</v>
      </c>
      <c r="K1123" t="s">
        <v>64</v>
      </c>
      <c r="L1123" t="s">
        <v>65</v>
      </c>
      <c r="M1123" t="s">
        <v>1235</v>
      </c>
      <c r="N1123">
        <v>17.7</v>
      </c>
      <c r="O1123">
        <v>23.5714285714286</v>
      </c>
      <c r="P1123">
        <v>94.2</v>
      </c>
      <c r="Q1123">
        <v>117.771428571429</v>
      </c>
      <c r="R1123">
        <v>0</v>
      </c>
      <c r="S1123">
        <v>117.771428571429</v>
      </c>
      <c r="T1123">
        <v>102</v>
      </c>
      <c r="U1123">
        <f>SUMIF(货件明细!J:J,E1123,货件明细!AP:AP)</f>
        <v>0</v>
      </c>
      <c r="V1123">
        <f>IF(U1123=T1123,0,1)</f>
        <v>1</v>
      </c>
      <c r="W1123">
        <f>T1123</f>
        <v>102</v>
      </c>
      <c r="X1123">
        <f>SUMIF(货件明细!J:J,E1123,货件明细!H:H)</f>
        <v>0</v>
      </c>
      <c r="Y1123">
        <f>N1123-X1123</f>
        <v>17.7</v>
      </c>
      <c r="Z1123">
        <f>SUMIF(货件明细!J:J,E1123,货件明细!I:I)</f>
        <v>0</v>
      </c>
      <c r="AA1123">
        <f>IF(S1123=Z1123,0,1)</f>
        <v>1</v>
      </c>
    </row>
    <row r="1124" hidden="1" spans="1:27">
      <c r="A1124">
        <v>2</v>
      </c>
      <c r="B1124">
        <v>9</v>
      </c>
      <c r="C1124" s="3">
        <v>46081</v>
      </c>
      <c r="D1124" t="s">
        <v>27</v>
      </c>
      <c r="E1124" t="s">
        <v>1241</v>
      </c>
      <c r="F1124" t="s">
        <v>250</v>
      </c>
      <c r="G1124" t="s">
        <v>72</v>
      </c>
      <c r="H1124" t="s">
        <v>78</v>
      </c>
      <c r="I1124" t="s">
        <v>63</v>
      </c>
      <c r="J1124" t="s">
        <v>63</v>
      </c>
      <c r="K1124" t="s">
        <v>64</v>
      </c>
      <c r="L1124" t="s">
        <v>147</v>
      </c>
      <c r="M1124" t="s">
        <v>425</v>
      </c>
      <c r="N1124">
        <v>17.7</v>
      </c>
      <c r="O1124">
        <v>7.14285714285714</v>
      </c>
      <c r="P1124">
        <v>54</v>
      </c>
      <c r="Q1124">
        <v>61.1428571428571</v>
      </c>
      <c r="R1124">
        <v>0</v>
      </c>
      <c r="S1124">
        <v>61.1428571428571</v>
      </c>
      <c r="T1124">
        <v>102</v>
      </c>
      <c r="U1124">
        <f>SUMIF(货件明细!J:J,E1124,货件明细!AP:AP)</f>
        <v>0</v>
      </c>
      <c r="V1124">
        <f>IF(U1124=T1124,0,1)</f>
        <v>1</v>
      </c>
      <c r="W1124">
        <f>T1124</f>
        <v>102</v>
      </c>
      <c r="X1124">
        <f>SUMIF(货件明细!J:J,E1124,货件明细!H:H)</f>
        <v>0</v>
      </c>
      <c r="Y1124">
        <f>N1124-X1124</f>
        <v>17.7</v>
      </c>
      <c r="Z1124">
        <f>SUMIF(货件明细!J:J,E1124,货件明细!I:I)</f>
        <v>0</v>
      </c>
      <c r="AA1124">
        <f>IF(S1124=Z1124,0,1)</f>
        <v>1</v>
      </c>
    </row>
    <row r="1125" hidden="1" spans="1:27">
      <c r="A1125">
        <v>2</v>
      </c>
      <c r="B1125">
        <v>9</v>
      </c>
      <c r="C1125" s="3">
        <v>46081</v>
      </c>
      <c r="D1125" t="s">
        <v>27</v>
      </c>
      <c r="E1125" t="s">
        <v>1242</v>
      </c>
      <c r="F1125" t="s">
        <v>548</v>
      </c>
      <c r="G1125" t="s">
        <v>72</v>
      </c>
      <c r="H1125" t="s">
        <v>78</v>
      </c>
      <c r="I1125" t="s">
        <v>63</v>
      </c>
      <c r="J1125" t="s">
        <v>63</v>
      </c>
      <c r="K1125" t="s">
        <v>64</v>
      </c>
      <c r="L1125" t="s">
        <v>147</v>
      </c>
      <c r="M1125" t="s">
        <v>425</v>
      </c>
      <c r="N1125">
        <v>17.7</v>
      </c>
      <c r="O1125">
        <v>7.14285714285714</v>
      </c>
      <c r="P1125">
        <v>46.8</v>
      </c>
      <c r="Q1125">
        <v>53.9428571428571</v>
      </c>
      <c r="R1125">
        <v>0</v>
      </c>
      <c r="S1125">
        <v>53.9428571428571</v>
      </c>
      <c r="T1125">
        <v>102</v>
      </c>
      <c r="U1125">
        <f>SUMIF(货件明细!J:J,E1125,货件明细!AP:AP)</f>
        <v>0</v>
      </c>
      <c r="V1125">
        <f>IF(U1125=T1125,0,1)</f>
        <v>1</v>
      </c>
      <c r="W1125">
        <f>T1125</f>
        <v>102</v>
      </c>
      <c r="X1125">
        <f>SUMIF(货件明细!J:J,E1125,货件明细!H:H)</f>
        <v>0</v>
      </c>
      <c r="Y1125">
        <f>N1125-X1125</f>
        <v>17.7</v>
      </c>
      <c r="Z1125">
        <f>SUMIF(货件明细!J:J,E1125,货件明细!I:I)</f>
        <v>0</v>
      </c>
      <c r="AA1125">
        <f>IF(S1125=Z1125,0,1)</f>
        <v>1</v>
      </c>
    </row>
    <row r="1126" hidden="1" spans="1:27">
      <c r="A1126">
        <v>2</v>
      </c>
      <c r="B1126">
        <v>9</v>
      </c>
      <c r="C1126" s="3">
        <v>46081</v>
      </c>
      <c r="D1126" t="s">
        <v>27</v>
      </c>
      <c r="E1126" t="s">
        <v>1243</v>
      </c>
      <c r="F1126" t="s">
        <v>187</v>
      </c>
      <c r="G1126" t="s">
        <v>72</v>
      </c>
      <c r="H1126" t="s">
        <v>78</v>
      </c>
      <c r="I1126" t="s">
        <v>63</v>
      </c>
      <c r="J1126" t="s">
        <v>63</v>
      </c>
      <c r="K1126" t="s">
        <v>64</v>
      </c>
      <c r="L1126" t="s">
        <v>147</v>
      </c>
      <c r="M1126" t="s">
        <v>425</v>
      </c>
      <c r="N1126">
        <v>17.7</v>
      </c>
      <c r="O1126">
        <v>7.14285714285714</v>
      </c>
      <c r="P1126">
        <v>46.8</v>
      </c>
      <c r="Q1126">
        <v>53.9428571428571</v>
      </c>
      <c r="R1126">
        <v>0</v>
      </c>
      <c r="S1126">
        <v>53.9428571428571</v>
      </c>
      <c r="T1126">
        <v>102</v>
      </c>
      <c r="U1126">
        <f>SUMIF(货件明细!J:J,E1126,货件明细!AP:AP)</f>
        <v>0</v>
      </c>
      <c r="V1126">
        <f>IF(U1126=T1126,0,1)</f>
        <v>1</v>
      </c>
      <c r="W1126">
        <f>T1126</f>
        <v>102</v>
      </c>
      <c r="X1126">
        <f>SUMIF(货件明细!J:J,E1126,货件明细!H:H)</f>
        <v>0</v>
      </c>
      <c r="Y1126">
        <f>N1126-X1126</f>
        <v>17.7</v>
      </c>
      <c r="Z1126">
        <f>SUMIF(货件明细!J:J,E1126,货件明细!I:I)</f>
        <v>0</v>
      </c>
      <c r="AA1126">
        <f>IF(S1126=Z1126,0,1)</f>
        <v>1</v>
      </c>
    </row>
    <row r="1127" hidden="1" spans="1:27">
      <c r="A1127">
        <v>2</v>
      </c>
      <c r="B1127">
        <v>9</v>
      </c>
      <c r="C1127" s="3">
        <v>46081</v>
      </c>
      <c r="D1127" t="s">
        <v>27</v>
      </c>
      <c r="E1127" t="s">
        <v>1244</v>
      </c>
      <c r="F1127" t="s">
        <v>200</v>
      </c>
      <c r="G1127" t="s">
        <v>30</v>
      </c>
      <c r="H1127" t="s">
        <v>78</v>
      </c>
      <c r="I1127" t="s">
        <v>63</v>
      </c>
      <c r="J1127" t="s">
        <v>63</v>
      </c>
      <c r="K1127" t="s">
        <v>64</v>
      </c>
      <c r="L1127" t="s">
        <v>65</v>
      </c>
      <c r="M1127" t="s">
        <v>1235</v>
      </c>
      <c r="N1127">
        <v>17.7</v>
      </c>
      <c r="O1127">
        <v>23.5714285714286</v>
      </c>
      <c r="P1127">
        <v>91.8</v>
      </c>
      <c r="Q1127">
        <v>115.371428571429</v>
      </c>
      <c r="R1127">
        <v>0</v>
      </c>
      <c r="S1127">
        <v>115.371428571429</v>
      </c>
      <c r="T1127">
        <v>102</v>
      </c>
      <c r="U1127">
        <f>SUMIF(货件明细!J:J,E1127,货件明细!AP:AP)</f>
        <v>0</v>
      </c>
      <c r="V1127">
        <f>IF(U1127=T1127,0,1)</f>
        <v>1</v>
      </c>
      <c r="W1127">
        <f>T1127</f>
        <v>102</v>
      </c>
      <c r="X1127">
        <f>SUMIF(货件明细!J:J,E1127,货件明细!H:H)</f>
        <v>0</v>
      </c>
      <c r="Y1127">
        <f>N1127-X1127</f>
        <v>17.7</v>
      </c>
      <c r="Z1127">
        <f>SUMIF(货件明细!J:J,E1127,货件明细!I:I)</f>
        <v>0</v>
      </c>
      <c r="AA1127">
        <f>IF(S1127=Z1127,0,1)</f>
        <v>1</v>
      </c>
    </row>
    <row r="1128" hidden="1" spans="1:27">
      <c r="A1128">
        <v>2</v>
      </c>
      <c r="B1128">
        <v>9</v>
      </c>
      <c r="C1128" s="3">
        <v>46081</v>
      </c>
      <c r="D1128" t="s">
        <v>27</v>
      </c>
      <c r="E1128" t="s">
        <v>1245</v>
      </c>
      <c r="F1128" t="s">
        <v>185</v>
      </c>
      <c r="G1128" t="s">
        <v>30</v>
      </c>
      <c r="H1128" t="s">
        <v>51</v>
      </c>
      <c r="I1128" t="s">
        <v>63</v>
      </c>
      <c r="J1128" t="s">
        <v>63</v>
      </c>
      <c r="K1128" t="s">
        <v>64</v>
      </c>
      <c r="L1128" t="s">
        <v>65</v>
      </c>
      <c r="M1128" t="s">
        <v>1235</v>
      </c>
      <c r="N1128">
        <v>42.04</v>
      </c>
      <c r="O1128">
        <v>23.5714285714286</v>
      </c>
      <c r="P1128">
        <v>376.8</v>
      </c>
      <c r="Q1128">
        <v>400.371428571429</v>
      </c>
      <c r="R1128">
        <v>0</v>
      </c>
      <c r="S1128">
        <v>400.371428571429</v>
      </c>
      <c r="T1128">
        <v>208</v>
      </c>
      <c r="U1128">
        <f>SUMIF(货件明细!J:J,E1128,货件明细!AP:AP)</f>
        <v>0</v>
      </c>
      <c r="V1128">
        <f>IF(U1128=T1128,0,1)</f>
        <v>1</v>
      </c>
      <c r="W1128">
        <f>T1128</f>
        <v>208</v>
      </c>
      <c r="X1128">
        <f>SUMIF(货件明细!J:J,E1128,货件明细!H:H)</f>
        <v>0</v>
      </c>
      <c r="Y1128">
        <f>N1128-X1128</f>
        <v>42.04</v>
      </c>
      <c r="Z1128">
        <f>SUMIF(货件明细!J:J,E1128,货件明细!I:I)</f>
        <v>0</v>
      </c>
      <c r="AA1128">
        <f>IF(S1128=Z1128,0,1)</f>
        <v>1</v>
      </c>
    </row>
    <row r="1129" hidden="1" spans="1:27">
      <c r="A1129">
        <v>2</v>
      </c>
      <c r="B1129">
        <v>9</v>
      </c>
      <c r="C1129" s="3">
        <v>46081</v>
      </c>
      <c r="D1129" t="s">
        <v>27</v>
      </c>
      <c r="E1129" t="s">
        <v>1246</v>
      </c>
      <c r="F1129" t="s">
        <v>250</v>
      </c>
      <c r="G1129" t="s">
        <v>72</v>
      </c>
      <c r="H1129" t="s">
        <v>51</v>
      </c>
      <c r="I1129" t="s">
        <v>63</v>
      </c>
      <c r="J1129" t="s">
        <v>63</v>
      </c>
      <c r="K1129" t="s">
        <v>64</v>
      </c>
      <c r="L1129" t="s">
        <v>147</v>
      </c>
      <c r="M1129" t="s">
        <v>425</v>
      </c>
      <c r="N1129">
        <v>42.04</v>
      </c>
      <c r="O1129">
        <v>7.14285714285714</v>
      </c>
      <c r="P1129">
        <v>225</v>
      </c>
      <c r="Q1129">
        <v>232.142857142857</v>
      </c>
      <c r="R1129">
        <v>0</v>
      </c>
      <c r="S1129">
        <v>232.142857142857</v>
      </c>
      <c r="T1129">
        <v>208</v>
      </c>
      <c r="U1129">
        <f>SUMIF(货件明细!J:J,E1129,货件明细!AP:AP)</f>
        <v>0</v>
      </c>
      <c r="V1129">
        <f>IF(U1129=T1129,0,1)</f>
        <v>1</v>
      </c>
      <c r="W1129">
        <f>T1129</f>
        <v>208</v>
      </c>
      <c r="X1129">
        <f>SUMIF(货件明细!J:J,E1129,货件明细!H:H)</f>
        <v>0</v>
      </c>
      <c r="Y1129">
        <f>N1129-X1129</f>
        <v>42.04</v>
      </c>
      <c r="Z1129">
        <f>SUMIF(货件明细!J:J,E1129,货件明细!I:I)</f>
        <v>0</v>
      </c>
      <c r="AA1129">
        <f>IF(S1129=Z1129,0,1)</f>
        <v>1</v>
      </c>
    </row>
    <row r="1130" hidden="1" spans="1:27">
      <c r="A1130">
        <v>2</v>
      </c>
      <c r="B1130">
        <v>9</v>
      </c>
      <c r="C1130" s="3">
        <v>46081</v>
      </c>
      <c r="D1130" t="s">
        <v>27</v>
      </c>
      <c r="E1130" t="s">
        <v>1247</v>
      </c>
      <c r="F1130" t="s">
        <v>548</v>
      </c>
      <c r="G1130" t="s">
        <v>72</v>
      </c>
      <c r="H1130" t="s">
        <v>51</v>
      </c>
      <c r="I1130" t="s">
        <v>63</v>
      </c>
      <c r="J1130" t="s">
        <v>63</v>
      </c>
      <c r="K1130" t="s">
        <v>64</v>
      </c>
      <c r="L1130" t="s">
        <v>147</v>
      </c>
      <c r="M1130" t="s">
        <v>425</v>
      </c>
      <c r="N1130">
        <v>42.04</v>
      </c>
      <c r="O1130">
        <v>7.14285714285714</v>
      </c>
      <c r="P1130">
        <v>195</v>
      </c>
      <c r="Q1130">
        <v>202.142857142857</v>
      </c>
      <c r="R1130">
        <v>0</v>
      </c>
      <c r="S1130">
        <v>202.142857142857</v>
      </c>
      <c r="T1130">
        <v>208</v>
      </c>
      <c r="U1130">
        <f>SUMIF(货件明细!J:J,E1130,货件明细!AP:AP)</f>
        <v>0</v>
      </c>
      <c r="V1130">
        <f>IF(U1130=T1130,0,1)</f>
        <v>1</v>
      </c>
      <c r="W1130">
        <f>T1130</f>
        <v>208</v>
      </c>
      <c r="X1130">
        <f>SUMIF(货件明细!J:J,E1130,货件明细!H:H)</f>
        <v>0</v>
      </c>
      <c r="Y1130">
        <f>N1130-X1130</f>
        <v>42.04</v>
      </c>
      <c r="Z1130">
        <f>SUMIF(货件明细!J:J,E1130,货件明细!I:I)</f>
        <v>0</v>
      </c>
      <c r="AA1130">
        <f>IF(S1130=Z1130,0,1)</f>
        <v>1</v>
      </c>
    </row>
    <row r="1131" hidden="1" spans="1:27">
      <c r="A1131">
        <v>2</v>
      </c>
      <c r="B1131">
        <v>9</v>
      </c>
      <c r="C1131" s="3">
        <v>46081</v>
      </c>
      <c r="D1131" t="s">
        <v>27</v>
      </c>
      <c r="E1131" t="s">
        <v>1248</v>
      </c>
      <c r="F1131" t="s">
        <v>187</v>
      </c>
      <c r="G1131" t="s">
        <v>72</v>
      </c>
      <c r="H1131" t="s">
        <v>51</v>
      </c>
      <c r="I1131" t="s">
        <v>63</v>
      </c>
      <c r="J1131" t="s">
        <v>63</v>
      </c>
      <c r="K1131" t="s">
        <v>64</v>
      </c>
      <c r="L1131" t="s">
        <v>147</v>
      </c>
      <c r="M1131" t="s">
        <v>425</v>
      </c>
      <c r="N1131">
        <v>42.04</v>
      </c>
      <c r="O1131">
        <v>7.14285714285714</v>
      </c>
      <c r="P1131">
        <v>195</v>
      </c>
      <c r="Q1131">
        <v>202.142857142857</v>
      </c>
      <c r="R1131">
        <v>0</v>
      </c>
      <c r="S1131">
        <v>202.142857142857</v>
      </c>
      <c r="T1131">
        <v>208</v>
      </c>
      <c r="U1131">
        <f>SUMIF(货件明细!J:J,E1131,货件明细!AP:AP)</f>
        <v>0</v>
      </c>
      <c r="V1131">
        <f>IF(U1131=T1131,0,1)</f>
        <v>1</v>
      </c>
      <c r="W1131">
        <f>T1131</f>
        <v>208</v>
      </c>
      <c r="X1131">
        <f>SUMIF(货件明细!J:J,E1131,货件明细!H:H)</f>
        <v>0</v>
      </c>
      <c r="Y1131">
        <f>N1131-X1131</f>
        <v>42.04</v>
      </c>
      <c r="Z1131">
        <f>SUMIF(货件明细!J:J,E1131,货件明细!I:I)</f>
        <v>0</v>
      </c>
      <c r="AA1131">
        <f>IF(S1131=Z1131,0,1)</f>
        <v>1</v>
      </c>
    </row>
    <row r="1132" hidden="1" spans="1:27">
      <c r="A1132">
        <v>2</v>
      </c>
      <c r="B1132">
        <v>9</v>
      </c>
      <c r="C1132" s="3">
        <v>46081</v>
      </c>
      <c r="D1132" t="s">
        <v>27</v>
      </c>
      <c r="E1132" t="s">
        <v>1249</v>
      </c>
      <c r="F1132" t="s">
        <v>200</v>
      </c>
      <c r="G1132" t="s">
        <v>30</v>
      </c>
      <c r="H1132" t="s">
        <v>51</v>
      </c>
      <c r="I1132" t="s">
        <v>63</v>
      </c>
      <c r="J1132" t="s">
        <v>63</v>
      </c>
      <c r="K1132" t="s">
        <v>64</v>
      </c>
      <c r="L1132" t="s">
        <v>65</v>
      </c>
      <c r="M1132" t="s">
        <v>1235</v>
      </c>
      <c r="N1132">
        <v>42.04</v>
      </c>
      <c r="O1132">
        <v>23.5714285714286</v>
      </c>
      <c r="P1132">
        <v>367.2</v>
      </c>
      <c r="Q1132">
        <v>390.771428571429</v>
      </c>
      <c r="R1132">
        <v>0</v>
      </c>
      <c r="S1132">
        <v>390.771428571429</v>
      </c>
      <c r="T1132">
        <v>208</v>
      </c>
      <c r="U1132">
        <f>SUMIF(货件明细!J:J,E1132,货件明细!AP:AP)</f>
        <v>0</v>
      </c>
      <c r="V1132">
        <f>IF(U1132=T1132,0,1)</f>
        <v>1</v>
      </c>
      <c r="W1132">
        <f>T1132</f>
        <v>208</v>
      </c>
      <c r="X1132">
        <f>SUMIF(货件明细!J:J,E1132,货件明细!H:H)</f>
        <v>0</v>
      </c>
      <c r="Y1132">
        <f>N1132-X1132</f>
        <v>42.04</v>
      </c>
      <c r="Z1132">
        <f>SUMIF(货件明细!J:J,E1132,货件明细!I:I)</f>
        <v>0</v>
      </c>
      <c r="AA1132">
        <f>IF(S1132=Z1132,0,1)</f>
        <v>1</v>
      </c>
    </row>
    <row r="1133" hidden="1" spans="1:27">
      <c r="A1133">
        <v>2</v>
      </c>
      <c r="B1133">
        <v>9</v>
      </c>
      <c r="C1133" s="3">
        <v>46081</v>
      </c>
      <c r="D1133" t="s">
        <v>27</v>
      </c>
      <c r="E1133" t="s">
        <v>1250</v>
      </c>
      <c r="F1133" t="s">
        <v>185</v>
      </c>
      <c r="G1133" t="s">
        <v>30</v>
      </c>
      <c r="H1133" t="s">
        <v>56</v>
      </c>
      <c r="I1133" t="s">
        <v>63</v>
      </c>
      <c r="J1133" t="s">
        <v>63</v>
      </c>
      <c r="K1133" t="s">
        <v>64</v>
      </c>
      <c r="L1133" t="s">
        <v>65</v>
      </c>
      <c r="M1133" t="s">
        <v>1235</v>
      </c>
      <c r="N1133">
        <v>41</v>
      </c>
      <c r="O1133">
        <v>23.5714285714286</v>
      </c>
      <c r="P1133">
        <v>266.9</v>
      </c>
      <c r="Q1133">
        <v>290.471428571429</v>
      </c>
      <c r="R1133">
        <v>0</v>
      </c>
      <c r="S1133">
        <v>290.471428571429</v>
      </c>
      <c r="T1133">
        <v>225</v>
      </c>
      <c r="U1133">
        <f>SUMIF(货件明细!J:J,E1133,货件明细!AP:AP)</f>
        <v>0</v>
      </c>
      <c r="V1133">
        <f>IF(U1133=T1133,0,1)</f>
        <v>1</v>
      </c>
      <c r="W1133">
        <f>T1133</f>
        <v>225</v>
      </c>
      <c r="X1133">
        <f>SUMIF(货件明细!J:J,E1133,货件明细!H:H)</f>
        <v>0</v>
      </c>
      <c r="Y1133">
        <f>N1133-X1133</f>
        <v>41</v>
      </c>
      <c r="Z1133">
        <f>SUMIF(货件明细!J:J,E1133,货件明细!I:I)</f>
        <v>0</v>
      </c>
      <c r="AA1133">
        <f>IF(S1133=Z1133,0,1)</f>
        <v>1</v>
      </c>
    </row>
    <row r="1134" hidden="1" spans="1:27">
      <c r="A1134">
        <v>2</v>
      </c>
      <c r="B1134">
        <v>9</v>
      </c>
      <c r="C1134" s="3">
        <v>46081</v>
      </c>
      <c r="D1134" t="s">
        <v>27</v>
      </c>
      <c r="E1134" t="s">
        <v>1251</v>
      </c>
      <c r="F1134" t="s">
        <v>250</v>
      </c>
      <c r="G1134" t="s">
        <v>72</v>
      </c>
      <c r="H1134" t="s">
        <v>56</v>
      </c>
      <c r="I1134" t="s">
        <v>63</v>
      </c>
      <c r="J1134" t="s">
        <v>63</v>
      </c>
      <c r="K1134" t="s">
        <v>64</v>
      </c>
      <c r="L1134" t="s">
        <v>147</v>
      </c>
      <c r="M1134" t="s">
        <v>425</v>
      </c>
      <c r="N1134">
        <v>41</v>
      </c>
      <c r="O1134">
        <v>7.14285714285714</v>
      </c>
      <c r="P1134">
        <v>153</v>
      </c>
      <c r="Q1134">
        <v>160.142857142857</v>
      </c>
      <c r="R1134">
        <v>0</v>
      </c>
      <c r="S1134">
        <v>160.142857142857</v>
      </c>
      <c r="T1134">
        <v>225</v>
      </c>
      <c r="U1134">
        <f>SUMIF(货件明细!J:J,E1134,货件明细!AP:AP)</f>
        <v>0</v>
      </c>
      <c r="V1134">
        <f>IF(U1134=T1134,0,1)</f>
        <v>1</v>
      </c>
      <c r="W1134">
        <f>T1134</f>
        <v>225</v>
      </c>
      <c r="X1134">
        <f>SUMIF(货件明细!J:J,E1134,货件明细!H:H)</f>
        <v>0</v>
      </c>
      <c r="Y1134">
        <f>N1134-X1134</f>
        <v>41</v>
      </c>
      <c r="Z1134">
        <f>SUMIF(货件明细!J:J,E1134,货件明细!I:I)</f>
        <v>0</v>
      </c>
      <c r="AA1134">
        <f>IF(S1134=Z1134,0,1)</f>
        <v>1</v>
      </c>
    </row>
    <row r="1135" hidden="1" spans="1:27">
      <c r="A1135">
        <v>2</v>
      </c>
      <c r="B1135">
        <v>9</v>
      </c>
      <c r="C1135" s="3">
        <v>46081</v>
      </c>
      <c r="D1135" t="s">
        <v>27</v>
      </c>
      <c r="E1135" t="s">
        <v>1252</v>
      </c>
      <c r="F1135" t="s">
        <v>548</v>
      </c>
      <c r="G1135" t="s">
        <v>72</v>
      </c>
      <c r="H1135" t="s">
        <v>56</v>
      </c>
      <c r="I1135" t="s">
        <v>63</v>
      </c>
      <c r="J1135" t="s">
        <v>63</v>
      </c>
      <c r="K1135" t="s">
        <v>64</v>
      </c>
      <c r="L1135" t="s">
        <v>147</v>
      </c>
      <c r="M1135" t="s">
        <v>425</v>
      </c>
      <c r="N1135">
        <v>41</v>
      </c>
      <c r="O1135">
        <v>7.14285714285714</v>
      </c>
      <c r="P1135">
        <v>132.6</v>
      </c>
      <c r="Q1135">
        <v>139.742857142857</v>
      </c>
      <c r="R1135">
        <v>0</v>
      </c>
      <c r="S1135">
        <v>139.742857142857</v>
      </c>
      <c r="T1135">
        <v>225</v>
      </c>
      <c r="U1135">
        <f>SUMIF(货件明细!J:J,E1135,货件明细!AP:AP)</f>
        <v>0</v>
      </c>
      <c r="V1135">
        <f>IF(U1135=T1135,0,1)</f>
        <v>1</v>
      </c>
      <c r="W1135">
        <f>T1135</f>
        <v>225</v>
      </c>
      <c r="X1135">
        <f>SUMIF(货件明细!J:J,E1135,货件明细!H:H)</f>
        <v>0</v>
      </c>
      <c r="Y1135">
        <f>N1135-X1135</f>
        <v>41</v>
      </c>
      <c r="Z1135">
        <f>SUMIF(货件明细!J:J,E1135,货件明细!I:I)</f>
        <v>0</v>
      </c>
      <c r="AA1135">
        <f>IF(S1135=Z1135,0,1)</f>
        <v>1</v>
      </c>
    </row>
    <row r="1136" hidden="1" spans="1:27">
      <c r="A1136">
        <v>2</v>
      </c>
      <c r="B1136">
        <v>9</v>
      </c>
      <c r="C1136" s="3">
        <v>46081</v>
      </c>
      <c r="D1136" t="s">
        <v>27</v>
      </c>
      <c r="E1136" t="s">
        <v>1253</v>
      </c>
      <c r="F1136" t="s">
        <v>187</v>
      </c>
      <c r="G1136" t="s">
        <v>72</v>
      </c>
      <c r="H1136" t="s">
        <v>56</v>
      </c>
      <c r="I1136" t="s">
        <v>63</v>
      </c>
      <c r="J1136" t="s">
        <v>63</v>
      </c>
      <c r="K1136" t="s">
        <v>64</v>
      </c>
      <c r="L1136" t="s">
        <v>147</v>
      </c>
      <c r="M1136" t="s">
        <v>425</v>
      </c>
      <c r="N1136">
        <v>41</v>
      </c>
      <c r="O1136">
        <v>7.14285714285714</v>
      </c>
      <c r="P1136">
        <v>132.6</v>
      </c>
      <c r="Q1136">
        <v>139.742857142857</v>
      </c>
      <c r="R1136">
        <v>0</v>
      </c>
      <c r="S1136">
        <v>139.742857142857</v>
      </c>
      <c r="T1136">
        <v>225</v>
      </c>
      <c r="U1136">
        <f>SUMIF(货件明细!J:J,E1136,货件明细!AP:AP)</f>
        <v>0</v>
      </c>
      <c r="V1136">
        <f>IF(U1136=T1136,0,1)</f>
        <v>1</v>
      </c>
      <c r="W1136">
        <f>T1136</f>
        <v>225</v>
      </c>
      <c r="X1136">
        <f>SUMIF(货件明细!J:J,E1136,货件明细!H:H)</f>
        <v>0</v>
      </c>
      <c r="Y1136">
        <f>N1136-X1136</f>
        <v>41</v>
      </c>
      <c r="Z1136">
        <f>SUMIF(货件明细!J:J,E1136,货件明细!I:I)</f>
        <v>0</v>
      </c>
      <c r="AA1136">
        <f>IF(S1136=Z1136,0,1)</f>
        <v>1</v>
      </c>
    </row>
    <row r="1137" hidden="1" spans="1:27">
      <c r="A1137">
        <v>2</v>
      </c>
      <c r="B1137">
        <v>9</v>
      </c>
      <c r="C1137" s="3">
        <v>46081</v>
      </c>
      <c r="D1137" t="s">
        <v>27</v>
      </c>
      <c r="E1137" t="s">
        <v>1254</v>
      </c>
      <c r="F1137" t="s">
        <v>200</v>
      </c>
      <c r="G1137" t="s">
        <v>30</v>
      </c>
      <c r="H1137" t="s">
        <v>56</v>
      </c>
      <c r="I1137" t="s">
        <v>63</v>
      </c>
      <c r="J1137" t="s">
        <v>63</v>
      </c>
      <c r="K1137" t="s">
        <v>64</v>
      </c>
      <c r="L1137" t="s">
        <v>65</v>
      </c>
      <c r="M1137" t="s">
        <v>1235</v>
      </c>
      <c r="N1137">
        <v>41</v>
      </c>
      <c r="O1137">
        <v>23.5714285714286</v>
      </c>
      <c r="P1137">
        <v>244.8</v>
      </c>
      <c r="Q1137">
        <v>268.371428571429</v>
      </c>
      <c r="R1137">
        <v>0</v>
      </c>
      <c r="S1137">
        <v>268.371428571429</v>
      </c>
      <c r="T1137">
        <v>225</v>
      </c>
      <c r="U1137">
        <f>SUMIF(货件明细!J:J,E1137,货件明细!AP:AP)</f>
        <v>0</v>
      </c>
      <c r="V1137">
        <f>IF(U1137=T1137,0,1)</f>
        <v>1</v>
      </c>
      <c r="W1137">
        <f>T1137</f>
        <v>225</v>
      </c>
      <c r="X1137">
        <f>SUMIF(货件明细!J:J,E1137,货件明细!H:H)</f>
        <v>0</v>
      </c>
      <c r="Y1137">
        <f>N1137-X1137</f>
        <v>41</v>
      </c>
      <c r="Z1137">
        <f>SUMIF(货件明细!J:J,E1137,货件明细!I:I)</f>
        <v>0</v>
      </c>
      <c r="AA1137">
        <f>IF(S1137=Z1137,0,1)</f>
        <v>1</v>
      </c>
    </row>
    <row r="1138" hidden="1" spans="1:27">
      <c r="A1138">
        <v>2</v>
      </c>
      <c r="B1138">
        <v>9</v>
      </c>
      <c r="C1138" s="3">
        <v>46081</v>
      </c>
      <c r="D1138" t="s">
        <v>27</v>
      </c>
      <c r="E1138" t="s">
        <v>1255</v>
      </c>
      <c r="F1138" t="s">
        <v>185</v>
      </c>
      <c r="G1138" t="s">
        <v>30</v>
      </c>
      <c r="H1138" t="s">
        <v>59</v>
      </c>
      <c r="I1138" t="s">
        <v>63</v>
      </c>
      <c r="J1138" t="s">
        <v>63</v>
      </c>
      <c r="K1138" t="s">
        <v>64</v>
      </c>
      <c r="L1138" t="s">
        <v>65</v>
      </c>
      <c r="M1138" t="s">
        <v>1235</v>
      </c>
      <c r="N1138">
        <v>18.95</v>
      </c>
      <c r="O1138">
        <v>23.5714285714286</v>
      </c>
      <c r="P1138">
        <v>94.2</v>
      </c>
      <c r="Q1138">
        <v>117.771428571429</v>
      </c>
      <c r="R1138">
        <v>0</v>
      </c>
      <c r="S1138">
        <v>117.771428571429</v>
      </c>
      <c r="T1138">
        <v>127</v>
      </c>
      <c r="U1138">
        <f>SUMIF(货件明细!J:J,E1138,货件明细!AP:AP)</f>
        <v>0</v>
      </c>
      <c r="V1138">
        <f>IF(U1138=T1138,0,1)</f>
        <v>1</v>
      </c>
      <c r="W1138">
        <f>T1138</f>
        <v>127</v>
      </c>
      <c r="X1138">
        <f>SUMIF(货件明细!J:J,E1138,货件明细!H:H)</f>
        <v>0</v>
      </c>
      <c r="Y1138">
        <f>N1138-X1138</f>
        <v>18.95</v>
      </c>
      <c r="Z1138">
        <f>SUMIF(货件明细!J:J,E1138,货件明细!I:I)</f>
        <v>0</v>
      </c>
      <c r="AA1138">
        <f>IF(S1138=Z1138,0,1)</f>
        <v>1</v>
      </c>
    </row>
    <row r="1139" hidden="1" spans="1:27">
      <c r="A1139">
        <v>2</v>
      </c>
      <c r="B1139">
        <v>9</v>
      </c>
      <c r="C1139" s="3">
        <v>46081</v>
      </c>
      <c r="D1139" t="s">
        <v>27</v>
      </c>
      <c r="E1139" t="s">
        <v>1256</v>
      </c>
      <c r="F1139" t="s">
        <v>250</v>
      </c>
      <c r="G1139" t="s">
        <v>72</v>
      </c>
      <c r="H1139" t="s">
        <v>59</v>
      </c>
      <c r="I1139" t="s">
        <v>63</v>
      </c>
      <c r="J1139" t="s">
        <v>63</v>
      </c>
      <c r="K1139" t="s">
        <v>64</v>
      </c>
      <c r="L1139" t="s">
        <v>147</v>
      </c>
      <c r="M1139" t="s">
        <v>425</v>
      </c>
      <c r="N1139">
        <v>18.95</v>
      </c>
      <c r="O1139">
        <v>7.14285714285714</v>
      </c>
      <c r="P1139">
        <v>54</v>
      </c>
      <c r="Q1139">
        <v>61.1428571428571</v>
      </c>
      <c r="R1139">
        <v>0</v>
      </c>
      <c r="S1139">
        <v>61.1428571428571</v>
      </c>
      <c r="T1139">
        <v>127</v>
      </c>
      <c r="U1139">
        <f>SUMIF(货件明细!J:J,E1139,货件明细!AP:AP)</f>
        <v>0</v>
      </c>
      <c r="V1139">
        <f>IF(U1139=T1139,0,1)</f>
        <v>1</v>
      </c>
      <c r="W1139">
        <f>T1139</f>
        <v>127</v>
      </c>
      <c r="X1139">
        <f>SUMIF(货件明细!J:J,E1139,货件明细!H:H)</f>
        <v>0</v>
      </c>
      <c r="Y1139">
        <f>N1139-X1139</f>
        <v>18.95</v>
      </c>
      <c r="Z1139">
        <f>SUMIF(货件明细!J:J,E1139,货件明细!I:I)</f>
        <v>0</v>
      </c>
      <c r="AA1139">
        <f>IF(S1139=Z1139,0,1)</f>
        <v>1</v>
      </c>
    </row>
    <row r="1140" hidden="1" spans="1:27">
      <c r="A1140">
        <v>2</v>
      </c>
      <c r="B1140">
        <v>9</v>
      </c>
      <c r="C1140" s="3">
        <v>46081</v>
      </c>
      <c r="D1140" t="s">
        <v>27</v>
      </c>
      <c r="E1140" t="s">
        <v>1257</v>
      </c>
      <c r="F1140" t="s">
        <v>548</v>
      </c>
      <c r="G1140" t="s">
        <v>72</v>
      </c>
      <c r="H1140" t="s">
        <v>59</v>
      </c>
      <c r="I1140" t="s">
        <v>63</v>
      </c>
      <c r="J1140" t="s">
        <v>63</v>
      </c>
      <c r="K1140" t="s">
        <v>64</v>
      </c>
      <c r="L1140" t="s">
        <v>147</v>
      </c>
      <c r="M1140" t="s">
        <v>425</v>
      </c>
      <c r="N1140">
        <v>18.95</v>
      </c>
      <c r="O1140">
        <v>7.14285714285714</v>
      </c>
      <c r="P1140">
        <v>46.8</v>
      </c>
      <c r="Q1140">
        <v>53.9428571428571</v>
      </c>
      <c r="R1140">
        <v>0</v>
      </c>
      <c r="S1140">
        <v>53.9428571428571</v>
      </c>
      <c r="T1140">
        <v>127</v>
      </c>
      <c r="U1140">
        <f>SUMIF(货件明细!J:J,E1140,货件明细!AP:AP)</f>
        <v>0</v>
      </c>
      <c r="V1140">
        <f>IF(U1140=T1140,0,1)</f>
        <v>1</v>
      </c>
      <c r="W1140">
        <f>T1140</f>
        <v>127</v>
      </c>
      <c r="X1140">
        <f>SUMIF(货件明细!J:J,E1140,货件明细!H:H)</f>
        <v>0</v>
      </c>
      <c r="Y1140">
        <f>N1140-X1140</f>
        <v>18.95</v>
      </c>
      <c r="Z1140">
        <f>SUMIF(货件明细!J:J,E1140,货件明细!I:I)</f>
        <v>0</v>
      </c>
      <c r="AA1140">
        <f>IF(S1140=Z1140,0,1)</f>
        <v>1</v>
      </c>
    </row>
    <row r="1141" hidden="1" spans="1:27">
      <c r="A1141">
        <v>2</v>
      </c>
      <c r="B1141">
        <v>9</v>
      </c>
      <c r="C1141" s="3">
        <v>46081</v>
      </c>
      <c r="D1141" t="s">
        <v>27</v>
      </c>
      <c r="E1141" t="s">
        <v>1258</v>
      </c>
      <c r="F1141" t="s">
        <v>187</v>
      </c>
      <c r="G1141" t="s">
        <v>72</v>
      </c>
      <c r="H1141" t="s">
        <v>59</v>
      </c>
      <c r="I1141" t="s">
        <v>63</v>
      </c>
      <c r="J1141" t="s">
        <v>63</v>
      </c>
      <c r="K1141" t="s">
        <v>64</v>
      </c>
      <c r="L1141" t="s">
        <v>147</v>
      </c>
      <c r="M1141" t="s">
        <v>425</v>
      </c>
      <c r="N1141">
        <v>18.95</v>
      </c>
      <c r="O1141">
        <v>7.14285714285714</v>
      </c>
      <c r="P1141">
        <v>46.8</v>
      </c>
      <c r="Q1141">
        <v>53.9428571428571</v>
      </c>
      <c r="R1141">
        <v>0</v>
      </c>
      <c r="S1141">
        <v>53.9428571428571</v>
      </c>
      <c r="T1141">
        <v>127</v>
      </c>
      <c r="U1141">
        <f>SUMIF(货件明细!J:J,E1141,货件明细!AP:AP)</f>
        <v>0</v>
      </c>
      <c r="V1141">
        <f>IF(U1141=T1141,0,1)</f>
        <v>1</v>
      </c>
      <c r="W1141">
        <f>T1141</f>
        <v>127</v>
      </c>
      <c r="X1141">
        <f>SUMIF(货件明细!J:J,E1141,货件明细!H:H)</f>
        <v>0</v>
      </c>
      <c r="Y1141">
        <f>N1141-X1141</f>
        <v>18.95</v>
      </c>
      <c r="Z1141">
        <f>SUMIF(货件明细!J:J,E1141,货件明细!I:I)</f>
        <v>0</v>
      </c>
      <c r="AA1141">
        <f>IF(S1141=Z1141,0,1)</f>
        <v>1</v>
      </c>
    </row>
    <row r="1142" hidden="1" spans="1:27">
      <c r="A1142">
        <v>2</v>
      </c>
      <c r="B1142">
        <v>9</v>
      </c>
      <c r="C1142" s="3">
        <v>46081</v>
      </c>
      <c r="D1142" t="s">
        <v>27</v>
      </c>
      <c r="E1142" t="s">
        <v>1259</v>
      </c>
      <c r="F1142" t="s">
        <v>200</v>
      </c>
      <c r="G1142" t="s">
        <v>30</v>
      </c>
      <c r="H1142" t="s">
        <v>59</v>
      </c>
      <c r="I1142" t="s">
        <v>63</v>
      </c>
      <c r="J1142" t="s">
        <v>63</v>
      </c>
      <c r="K1142" t="s">
        <v>64</v>
      </c>
      <c r="L1142" t="s">
        <v>65</v>
      </c>
      <c r="M1142" t="s">
        <v>1235</v>
      </c>
      <c r="N1142">
        <v>18.95</v>
      </c>
      <c r="O1142">
        <v>23.5714285714286</v>
      </c>
      <c r="P1142">
        <v>91.8</v>
      </c>
      <c r="Q1142">
        <v>115.371428571429</v>
      </c>
      <c r="R1142">
        <v>0</v>
      </c>
      <c r="S1142">
        <v>115.371428571429</v>
      </c>
      <c r="T1142">
        <v>127</v>
      </c>
      <c r="U1142">
        <f>SUMIF(货件明细!J:J,E1142,货件明细!AP:AP)</f>
        <v>0</v>
      </c>
      <c r="V1142">
        <f>IF(U1142=T1142,0,1)</f>
        <v>1</v>
      </c>
      <c r="W1142">
        <f>T1142</f>
        <v>127</v>
      </c>
      <c r="X1142">
        <f>SUMIF(货件明细!J:J,E1142,货件明细!H:H)</f>
        <v>0</v>
      </c>
      <c r="Y1142">
        <f>N1142-X1142</f>
        <v>18.95</v>
      </c>
      <c r="Z1142">
        <f>SUMIF(货件明细!J:J,E1142,货件明细!I:I)</f>
        <v>0</v>
      </c>
      <c r="AA1142">
        <f>IF(S1142=Z1142,0,1)</f>
        <v>1</v>
      </c>
    </row>
    <row r="1143" hidden="1" spans="1:27">
      <c r="A1143">
        <v>2</v>
      </c>
      <c r="B1143">
        <v>9</v>
      </c>
      <c r="C1143" s="3">
        <v>46081</v>
      </c>
      <c r="D1143" t="s">
        <v>27</v>
      </c>
      <c r="E1143" t="s">
        <v>1260</v>
      </c>
      <c r="F1143" t="s">
        <v>185</v>
      </c>
      <c r="G1143" t="s">
        <v>30</v>
      </c>
      <c r="H1143" t="s">
        <v>31</v>
      </c>
      <c r="I1143" t="s">
        <v>63</v>
      </c>
      <c r="J1143" t="s">
        <v>63</v>
      </c>
      <c r="K1143" t="s">
        <v>64</v>
      </c>
      <c r="L1143" t="s">
        <v>65</v>
      </c>
      <c r="M1143" t="s">
        <v>1235</v>
      </c>
      <c r="N1143">
        <v>27.7</v>
      </c>
      <c r="O1143">
        <v>23.5714285714286</v>
      </c>
      <c r="P1143">
        <v>141.3</v>
      </c>
      <c r="Q1143">
        <v>164.871428571429</v>
      </c>
      <c r="R1143">
        <v>0</v>
      </c>
      <c r="S1143">
        <v>164.871428571429</v>
      </c>
      <c r="T1143">
        <v>82</v>
      </c>
      <c r="U1143">
        <f>SUMIF(货件明细!J:J,E1143,货件明细!AP:AP)</f>
        <v>0</v>
      </c>
      <c r="V1143">
        <f>IF(U1143=T1143,0,1)</f>
        <v>1</v>
      </c>
      <c r="W1143">
        <f>T1143</f>
        <v>82</v>
      </c>
      <c r="X1143">
        <f>SUMIF(货件明细!J:J,E1143,货件明细!H:H)</f>
        <v>0</v>
      </c>
      <c r="Y1143">
        <f>N1143-X1143</f>
        <v>27.7</v>
      </c>
      <c r="Z1143">
        <f>SUMIF(货件明细!J:J,E1143,货件明细!I:I)</f>
        <v>0</v>
      </c>
      <c r="AA1143">
        <f>IF(S1143=Z1143,0,1)</f>
        <v>1</v>
      </c>
    </row>
    <row r="1144" hidden="1" spans="1:27">
      <c r="A1144">
        <v>2</v>
      </c>
      <c r="B1144">
        <v>9</v>
      </c>
      <c r="C1144" s="3">
        <v>46081</v>
      </c>
      <c r="D1144" t="s">
        <v>27</v>
      </c>
      <c r="E1144" t="s">
        <v>1261</v>
      </c>
      <c r="F1144" t="s">
        <v>250</v>
      </c>
      <c r="G1144" t="s">
        <v>72</v>
      </c>
      <c r="H1144" t="s">
        <v>31</v>
      </c>
      <c r="I1144" t="s">
        <v>63</v>
      </c>
      <c r="J1144" t="s">
        <v>63</v>
      </c>
      <c r="K1144" t="s">
        <v>64</v>
      </c>
      <c r="L1144" t="s">
        <v>147</v>
      </c>
      <c r="M1144" t="s">
        <v>425</v>
      </c>
      <c r="N1144">
        <v>27.7</v>
      </c>
      <c r="O1144">
        <v>7.14285714285714</v>
      </c>
      <c r="P1144">
        <v>81</v>
      </c>
      <c r="Q1144">
        <v>88.1428571428571</v>
      </c>
      <c r="R1144">
        <v>0</v>
      </c>
      <c r="S1144">
        <v>88.1428571428571</v>
      </c>
      <c r="T1144">
        <v>82</v>
      </c>
      <c r="U1144">
        <f>SUMIF(货件明细!J:J,E1144,货件明细!AP:AP)</f>
        <v>0</v>
      </c>
      <c r="V1144">
        <f>IF(U1144=T1144,0,1)</f>
        <v>1</v>
      </c>
      <c r="W1144">
        <f>T1144</f>
        <v>82</v>
      </c>
      <c r="X1144">
        <f>SUMIF(货件明细!J:J,E1144,货件明细!H:H)</f>
        <v>0</v>
      </c>
      <c r="Y1144">
        <f>N1144-X1144</f>
        <v>27.7</v>
      </c>
      <c r="Z1144">
        <f>SUMIF(货件明细!J:J,E1144,货件明细!I:I)</f>
        <v>0</v>
      </c>
      <c r="AA1144">
        <f>IF(S1144=Z1144,0,1)</f>
        <v>1</v>
      </c>
    </row>
    <row r="1145" hidden="1" spans="1:27">
      <c r="A1145">
        <v>2</v>
      </c>
      <c r="B1145">
        <v>9</v>
      </c>
      <c r="C1145" s="3">
        <v>46081</v>
      </c>
      <c r="D1145" t="s">
        <v>27</v>
      </c>
      <c r="E1145" t="s">
        <v>1262</v>
      </c>
      <c r="F1145" t="s">
        <v>548</v>
      </c>
      <c r="G1145" t="s">
        <v>72</v>
      </c>
      <c r="H1145" t="s">
        <v>31</v>
      </c>
      <c r="I1145" t="s">
        <v>63</v>
      </c>
      <c r="J1145" t="s">
        <v>63</v>
      </c>
      <c r="K1145" t="s">
        <v>64</v>
      </c>
      <c r="L1145" t="s">
        <v>147</v>
      </c>
      <c r="M1145" t="s">
        <v>425</v>
      </c>
      <c r="N1145">
        <v>27.7</v>
      </c>
      <c r="O1145">
        <v>7.14285714285714</v>
      </c>
      <c r="P1145">
        <v>70.2</v>
      </c>
      <c r="Q1145">
        <v>77.3428571428571</v>
      </c>
      <c r="R1145">
        <v>0</v>
      </c>
      <c r="S1145">
        <v>77.3428571428571</v>
      </c>
      <c r="T1145">
        <v>82</v>
      </c>
      <c r="U1145">
        <f>SUMIF(货件明细!J:J,E1145,货件明细!AP:AP)</f>
        <v>0</v>
      </c>
      <c r="V1145">
        <f>IF(U1145=T1145,0,1)</f>
        <v>1</v>
      </c>
      <c r="W1145">
        <f>T1145</f>
        <v>82</v>
      </c>
      <c r="X1145">
        <f>SUMIF(货件明细!J:J,E1145,货件明细!H:H)</f>
        <v>0</v>
      </c>
      <c r="Y1145">
        <f>N1145-X1145</f>
        <v>27.7</v>
      </c>
      <c r="Z1145">
        <f>SUMIF(货件明细!J:J,E1145,货件明细!I:I)</f>
        <v>0</v>
      </c>
      <c r="AA1145">
        <f>IF(S1145=Z1145,0,1)</f>
        <v>1</v>
      </c>
    </row>
    <row r="1146" hidden="1" spans="1:27">
      <c r="A1146">
        <v>2</v>
      </c>
      <c r="B1146">
        <v>9</v>
      </c>
      <c r="C1146" s="3">
        <v>46081</v>
      </c>
      <c r="D1146" t="s">
        <v>27</v>
      </c>
      <c r="E1146" t="s">
        <v>1263</v>
      </c>
      <c r="F1146" t="s">
        <v>187</v>
      </c>
      <c r="G1146" t="s">
        <v>72</v>
      </c>
      <c r="H1146" t="s">
        <v>31</v>
      </c>
      <c r="I1146" t="s">
        <v>63</v>
      </c>
      <c r="J1146" t="s">
        <v>63</v>
      </c>
      <c r="K1146" t="s">
        <v>64</v>
      </c>
      <c r="L1146" t="s">
        <v>147</v>
      </c>
      <c r="M1146" t="s">
        <v>425</v>
      </c>
      <c r="N1146">
        <v>27.7</v>
      </c>
      <c r="O1146">
        <v>7.14285714285714</v>
      </c>
      <c r="P1146">
        <v>70.2</v>
      </c>
      <c r="Q1146">
        <v>77.3428571428571</v>
      </c>
      <c r="R1146">
        <v>0</v>
      </c>
      <c r="S1146">
        <v>77.3428571428571</v>
      </c>
      <c r="T1146">
        <v>82</v>
      </c>
      <c r="U1146">
        <f>SUMIF(货件明细!J:J,E1146,货件明细!AP:AP)</f>
        <v>0</v>
      </c>
      <c r="V1146">
        <f>IF(U1146=T1146,0,1)</f>
        <v>1</v>
      </c>
      <c r="W1146">
        <f>T1146</f>
        <v>82</v>
      </c>
      <c r="X1146">
        <f>SUMIF(货件明细!J:J,E1146,货件明细!H:H)</f>
        <v>0</v>
      </c>
      <c r="Y1146">
        <f>N1146-X1146</f>
        <v>27.7</v>
      </c>
      <c r="Z1146">
        <f>SUMIF(货件明细!J:J,E1146,货件明细!I:I)</f>
        <v>0</v>
      </c>
      <c r="AA1146">
        <f>IF(S1146=Z1146,0,1)</f>
        <v>1</v>
      </c>
    </row>
    <row r="1147" hidden="1" spans="1:27">
      <c r="A1147">
        <v>2</v>
      </c>
      <c r="B1147">
        <v>9</v>
      </c>
      <c r="C1147" s="3">
        <v>46081</v>
      </c>
      <c r="D1147" t="s">
        <v>27</v>
      </c>
      <c r="E1147" t="s">
        <v>1264</v>
      </c>
      <c r="F1147" t="s">
        <v>200</v>
      </c>
      <c r="G1147" t="s">
        <v>30</v>
      </c>
      <c r="H1147" t="s">
        <v>31</v>
      </c>
      <c r="I1147" t="s">
        <v>63</v>
      </c>
      <c r="J1147" t="s">
        <v>63</v>
      </c>
      <c r="K1147" t="s">
        <v>64</v>
      </c>
      <c r="L1147" t="s">
        <v>65</v>
      </c>
      <c r="M1147" t="s">
        <v>1235</v>
      </c>
      <c r="N1147">
        <v>27.7</v>
      </c>
      <c r="O1147">
        <v>23.5714285714286</v>
      </c>
      <c r="P1147">
        <v>137.7</v>
      </c>
      <c r="Q1147">
        <v>161.271428571429</v>
      </c>
      <c r="R1147">
        <v>0</v>
      </c>
      <c r="S1147">
        <v>161.271428571429</v>
      </c>
      <c r="T1147">
        <v>82</v>
      </c>
      <c r="U1147">
        <f>SUMIF(货件明细!J:J,E1147,货件明细!AP:AP)</f>
        <v>0</v>
      </c>
      <c r="V1147">
        <f>IF(U1147=T1147,0,1)</f>
        <v>1</v>
      </c>
      <c r="W1147">
        <f>T1147</f>
        <v>82</v>
      </c>
      <c r="X1147">
        <f>SUMIF(货件明细!J:J,E1147,货件明细!H:H)</f>
        <v>0</v>
      </c>
      <c r="Y1147">
        <f>N1147-X1147</f>
        <v>27.7</v>
      </c>
      <c r="Z1147">
        <f>SUMIF(货件明细!J:J,E1147,货件明细!I:I)</f>
        <v>0</v>
      </c>
      <c r="AA1147">
        <f>IF(S1147=Z1147,0,1)</f>
        <v>1</v>
      </c>
    </row>
    <row r="1148" hidden="1" spans="1:27">
      <c r="A1148">
        <v>2</v>
      </c>
      <c r="B1148">
        <v>9</v>
      </c>
      <c r="C1148" s="3">
        <v>46081</v>
      </c>
      <c r="D1148" t="s">
        <v>27</v>
      </c>
      <c r="E1148" t="s">
        <v>1265</v>
      </c>
      <c r="F1148" t="s">
        <v>185</v>
      </c>
      <c r="G1148" t="s">
        <v>30</v>
      </c>
      <c r="H1148" t="s">
        <v>39</v>
      </c>
      <c r="I1148" t="s">
        <v>63</v>
      </c>
      <c r="J1148" t="s">
        <v>63</v>
      </c>
      <c r="K1148" t="s">
        <v>64</v>
      </c>
      <c r="L1148" t="s">
        <v>65</v>
      </c>
      <c r="M1148" t="s">
        <v>1235</v>
      </c>
      <c r="N1148">
        <v>42.2</v>
      </c>
      <c r="O1148">
        <v>23.5714285714286</v>
      </c>
      <c r="P1148">
        <v>235.5</v>
      </c>
      <c r="Q1148">
        <v>259.071428571429</v>
      </c>
      <c r="R1148">
        <v>0</v>
      </c>
      <c r="S1148">
        <v>259.071428571429</v>
      </c>
      <c r="T1148">
        <v>113</v>
      </c>
      <c r="U1148">
        <f>SUMIF(货件明细!J:J,E1148,货件明细!AP:AP)</f>
        <v>0</v>
      </c>
      <c r="V1148">
        <f>IF(U1148=T1148,0,1)</f>
        <v>1</v>
      </c>
      <c r="W1148">
        <f>T1148</f>
        <v>113</v>
      </c>
      <c r="X1148">
        <f>SUMIF(货件明细!J:J,E1148,货件明细!H:H)</f>
        <v>0</v>
      </c>
      <c r="Y1148">
        <f>N1148-X1148</f>
        <v>42.2</v>
      </c>
      <c r="Z1148">
        <f>SUMIF(货件明细!J:J,E1148,货件明细!I:I)</f>
        <v>0</v>
      </c>
      <c r="AA1148">
        <f>IF(S1148=Z1148,0,1)</f>
        <v>1</v>
      </c>
    </row>
    <row r="1149" hidden="1" spans="1:27">
      <c r="A1149">
        <v>2</v>
      </c>
      <c r="B1149">
        <v>9</v>
      </c>
      <c r="C1149" s="3">
        <v>46081</v>
      </c>
      <c r="D1149" t="s">
        <v>27</v>
      </c>
      <c r="E1149" t="s">
        <v>1266</v>
      </c>
      <c r="F1149" t="s">
        <v>250</v>
      </c>
      <c r="G1149" t="s">
        <v>72</v>
      </c>
      <c r="H1149" t="s">
        <v>39</v>
      </c>
      <c r="I1149" t="s">
        <v>63</v>
      </c>
      <c r="J1149" t="s">
        <v>63</v>
      </c>
      <c r="K1149" t="s">
        <v>64</v>
      </c>
      <c r="L1149" t="s">
        <v>147</v>
      </c>
      <c r="M1149" t="s">
        <v>425</v>
      </c>
      <c r="N1149">
        <v>42.2</v>
      </c>
      <c r="O1149">
        <v>7.14285714285714</v>
      </c>
      <c r="P1149">
        <v>135</v>
      </c>
      <c r="Q1149">
        <v>142.142857142857</v>
      </c>
      <c r="R1149">
        <v>0</v>
      </c>
      <c r="S1149">
        <v>142.142857142857</v>
      </c>
      <c r="T1149">
        <v>113</v>
      </c>
      <c r="U1149">
        <f>SUMIF(货件明细!J:J,E1149,货件明细!AP:AP)</f>
        <v>0</v>
      </c>
      <c r="V1149">
        <f>IF(U1149=T1149,0,1)</f>
        <v>1</v>
      </c>
      <c r="W1149">
        <f>T1149</f>
        <v>113</v>
      </c>
      <c r="X1149">
        <f>SUMIF(货件明细!J:J,E1149,货件明细!H:H)</f>
        <v>0</v>
      </c>
      <c r="Y1149">
        <f>N1149-X1149</f>
        <v>42.2</v>
      </c>
      <c r="Z1149">
        <f>SUMIF(货件明细!J:J,E1149,货件明细!I:I)</f>
        <v>0</v>
      </c>
      <c r="AA1149">
        <f>IF(S1149=Z1149,0,1)</f>
        <v>1</v>
      </c>
    </row>
    <row r="1150" hidden="1" spans="1:27">
      <c r="A1150">
        <v>2</v>
      </c>
      <c r="B1150">
        <v>9</v>
      </c>
      <c r="C1150" s="3">
        <v>46081</v>
      </c>
      <c r="D1150" t="s">
        <v>27</v>
      </c>
      <c r="E1150" t="s">
        <v>1267</v>
      </c>
      <c r="F1150" t="s">
        <v>548</v>
      </c>
      <c r="G1150" t="s">
        <v>72</v>
      </c>
      <c r="H1150" t="s">
        <v>39</v>
      </c>
      <c r="I1150" t="s">
        <v>63</v>
      </c>
      <c r="J1150" t="s">
        <v>63</v>
      </c>
      <c r="K1150" t="s">
        <v>64</v>
      </c>
      <c r="L1150" t="s">
        <v>147</v>
      </c>
      <c r="M1150" t="s">
        <v>425</v>
      </c>
      <c r="N1150">
        <v>42.2</v>
      </c>
      <c r="O1150">
        <v>7.14285714285714</v>
      </c>
      <c r="P1150">
        <v>117</v>
      </c>
      <c r="Q1150">
        <v>124.142857142857</v>
      </c>
      <c r="R1150">
        <v>0</v>
      </c>
      <c r="S1150">
        <v>124.142857142857</v>
      </c>
      <c r="T1150">
        <v>113</v>
      </c>
      <c r="U1150">
        <f>SUMIF(货件明细!J:J,E1150,货件明细!AP:AP)</f>
        <v>0</v>
      </c>
      <c r="V1150">
        <f>IF(U1150=T1150,0,1)</f>
        <v>1</v>
      </c>
      <c r="W1150">
        <f>T1150</f>
        <v>113</v>
      </c>
      <c r="X1150">
        <f>SUMIF(货件明细!J:J,E1150,货件明细!H:H)</f>
        <v>0</v>
      </c>
      <c r="Y1150">
        <f>N1150-X1150</f>
        <v>42.2</v>
      </c>
      <c r="Z1150">
        <f>SUMIF(货件明细!J:J,E1150,货件明细!I:I)</f>
        <v>0</v>
      </c>
      <c r="AA1150">
        <f>IF(S1150=Z1150,0,1)</f>
        <v>1</v>
      </c>
    </row>
    <row r="1151" hidden="1" spans="1:27">
      <c r="A1151">
        <v>2</v>
      </c>
      <c r="B1151">
        <v>9</v>
      </c>
      <c r="C1151" s="3">
        <v>46081</v>
      </c>
      <c r="D1151" t="s">
        <v>27</v>
      </c>
      <c r="E1151" t="s">
        <v>1268</v>
      </c>
      <c r="F1151" t="s">
        <v>187</v>
      </c>
      <c r="G1151" t="s">
        <v>72</v>
      </c>
      <c r="H1151" t="s">
        <v>39</v>
      </c>
      <c r="I1151" t="s">
        <v>63</v>
      </c>
      <c r="J1151" t="s">
        <v>63</v>
      </c>
      <c r="K1151" t="s">
        <v>64</v>
      </c>
      <c r="L1151" t="s">
        <v>147</v>
      </c>
      <c r="M1151" t="s">
        <v>425</v>
      </c>
      <c r="N1151">
        <v>42.2</v>
      </c>
      <c r="O1151">
        <v>7.14285714285714</v>
      </c>
      <c r="P1151">
        <v>117</v>
      </c>
      <c r="Q1151">
        <v>124.142857142857</v>
      </c>
      <c r="R1151">
        <v>0</v>
      </c>
      <c r="S1151">
        <v>124.142857142857</v>
      </c>
      <c r="T1151">
        <v>113</v>
      </c>
      <c r="U1151">
        <f>SUMIF(货件明细!J:J,E1151,货件明细!AP:AP)</f>
        <v>0</v>
      </c>
      <c r="V1151">
        <f>IF(U1151=T1151,0,1)</f>
        <v>1</v>
      </c>
      <c r="W1151">
        <f>T1151</f>
        <v>113</v>
      </c>
      <c r="X1151">
        <f>SUMIF(货件明细!J:J,E1151,货件明细!H:H)</f>
        <v>0</v>
      </c>
      <c r="Y1151">
        <f>N1151-X1151</f>
        <v>42.2</v>
      </c>
      <c r="Z1151">
        <f>SUMIF(货件明细!J:J,E1151,货件明细!I:I)</f>
        <v>0</v>
      </c>
      <c r="AA1151">
        <f>IF(S1151=Z1151,0,1)</f>
        <v>1</v>
      </c>
    </row>
    <row r="1152" hidden="1" spans="1:27">
      <c r="A1152">
        <v>2</v>
      </c>
      <c r="B1152">
        <v>9</v>
      </c>
      <c r="C1152" s="3">
        <v>46081</v>
      </c>
      <c r="D1152" t="s">
        <v>27</v>
      </c>
      <c r="E1152" t="s">
        <v>1269</v>
      </c>
      <c r="F1152" t="s">
        <v>200</v>
      </c>
      <c r="G1152" t="s">
        <v>30</v>
      </c>
      <c r="H1152" t="s">
        <v>39</v>
      </c>
      <c r="I1152" t="s">
        <v>63</v>
      </c>
      <c r="J1152" t="s">
        <v>63</v>
      </c>
      <c r="K1152" t="s">
        <v>64</v>
      </c>
      <c r="L1152" t="s">
        <v>65</v>
      </c>
      <c r="M1152" t="s">
        <v>1235</v>
      </c>
      <c r="N1152">
        <v>42.2</v>
      </c>
      <c r="O1152">
        <v>23.5714285714286</v>
      </c>
      <c r="P1152">
        <v>229.5</v>
      </c>
      <c r="Q1152">
        <v>253.071428571429</v>
      </c>
      <c r="R1152">
        <v>0</v>
      </c>
      <c r="S1152">
        <v>253.071428571429</v>
      </c>
      <c r="T1152">
        <v>113</v>
      </c>
      <c r="U1152">
        <f>SUMIF(货件明细!J:J,E1152,货件明细!AP:AP)</f>
        <v>0</v>
      </c>
      <c r="V1152">
        <f>IF(U1152=T1152,0,1)</f>
        <v>1</v>
      </c>
      <c r="W1152">
        <f>T1152</f>
        <v>113</v>
      </c>
      <c r="X1152">
        <f>SUMIF(货件明细!J:J,E1152,货件明细!H:H)</f>
        <v>0</v>
      </c>
      <c r="Y1152">
        <f>N1152-X1152</f>
        <v>42.2</v>
      </c>
      <c r="Z1152">
        <f>SUMIF(货件明细!J:J,E1152,货件明细!I:I)</f>
        <v>0</v>
      </c>
      <c r="AA1152">
        <f>IF(S1152=Z1152,0,1)</f>
        <v>1</v>
      </c>
    </row>
    <row r="1153" hidden="1" spans="1:27">
      <c r="A1153">
        <v>2</v>
      </c>
      <c r="B1153">
        <v>9</v>
      </c>
      <c r="C1153" s="3">
        <v>46081</v>
      </c>
      <c r="D1153" t="s">
        <v>88</v>
      </c>
      <c r="E1153" t="s">
        <v>1270</v>
      </c>
      <c r="F1153" t="s">
        <v>211</v>
      </c>
      <c r="G1153" t="s">
        <v>72</v>
      </c>
      <c r="H1153" t="s">
        <v>51</v>
      </c>
      <c r="I1153" t="s">
        <v>63</v>
      </c>
      <c r="J1153" t="s">
        <v>63</v>
      </c>
      <c r="K1153" t="s">
        <v>64</v>
      </c>
      <c r="L1153" t="s">
        <v>147</v>
      </c>
      <c r="M1153" t="s">
        <v>774</v>
      </c>
      <c r="N1153">
        <v>516.99</v>
      </c>
      <c r="O1153">
        <v>150</v>
      </c>
      <c r="P1153">
        <v>2186.8</v>
      </c>
      <c r="Q1153">
        <v>2336.8</v>
      </c>
      <c r="R1153">
        <v>0</v>
      </c>
      <c r="S1153">
        <v>2336.8</v>
      </c>
      <c r="T1153">
        <v>1640</v>
      </c>
      <c r="U1153">
        <f>SUMIF(货件明细!J:J,E1153,货件明细!AP:AP)</f>
        <v>0</v>
      </c>
      <c r="V1153">
        <f>IF(U1153=T1153,0,1)</f>
        <v>1</v>
      </c>
      <c r="W1153">
        <f>T1153</f>
        <v>1640</v>
      </c>
      <c r="X1153">
        <f>SUMIF(货件明细!J:J,E1153,货件明细!H:H)</f>
        <v>0</v>
      </c>
      <c r="Y1153">
        <f>N1153-X1153</f>
        <v>516.99</v>
      </c>
      <c r="Z1153">
        <f>SUMIF(货件明细!J:J,E1153,货件明细!I:I)</f>
        <v>0</v>
      </c>
      <c r="AA1153">
        <f>IF(S1153=Z1153,0,1)</f>
        <v>1</v>
      </c>
    </row>
    <row r="1154" hidden="1" spans="1:27">
      <c r="A1154">
        <v>2</v>
      </c>
      <c r="B1154">
        <v>9</v>
      </c>
      <c r="C1154" s="3">
        <v>46081</v>
      </c>
      <c r="D1154" t="s">
        <v>27</v>
      </c>
      <c r="E1154" t="s">
        <v>1271</v>
      </c>
      <c r="F1154" t="s">
        <v>185</v>
      </c>
      <c r="G1154" t="s">
        <v>30</v>
      </c>
      <c r="H1154" t="s">
        <v>46</v>
      </c>
      <c r="I1154" t="s">
        <v>92</v>
      </c>
      <c r="J1154" t="s">
        <v>92</v>
      </c>
      <c r="K1154" t="s">
        <v>64</v>
      </c>
      <c r="L1154" t="s">
        <v>65</v>
      </c>
      <c r="M1154" t="s">
        <v>93</v>
      </c>
      <c r="N1154">
        <v>11.8</v>
      </c>
      <c r="O1154">
        <v>8.44444444444444</v>
      </c>
      <c r="P1154">
        <v>121.1925</v>
      </c>
      <c r="Q1154">
        <v>129.636944444444</v>
      </c>
      <c r="R1154">
        <v>0</v>
      </c>
      <c r="S1154">
        <v>129.636944444444</v>
      </c>
      <c r="T1154">
        <v>33</v>
      </c>
      <c r="U1154">
        <f>SUMIF(货件明细!J:J,E1154,货件明细!AP:AP)</f>
        <v>0</v>
      </c>
      <c r="V1154">
        <f>IF(U1154=T1154,0,1)</f>
        <v>1</v>
      </c>
      <c r="W1154">
        <f>T1154</f>
        <v>33</v>
      </c>
      <c r="X1154">
        <f>SUMIF(货件明细!J:J,E1154,货件明细!H:H)</f>
        <v>0</v>
      </c>
      <c r="Y1154">
        <f>N1154-X1154</f>
        <v>11.8</v>
      </c>
      <c r="Z1154">
        <f>SUMIF(货件明细!J:J,E1154,货件明细!I:I)</f>
        <v>0</v>
      </c>
      <c r="AA1154">
        <f>IF(S1154=Z1154,0,1)</f>
        <v>1</v>
      </c>
    </row>
    <row r="1155" hidden="1" spans="1:27">
      <c r="A1155">
        <v>2</v>
      </c>
      <c r="B1155">
        <v>9</v>
      </c>
      <c r="C1155" s="3">
        <v>46081</v>
      </c>
      <c r="D1155" t="s">
        <v>27</v>
      </c>
      <c r="E1155" t="s">
        <v>1272</v>
      </c>
      <c r="F1155" t="s">
        <v>250</v>
      </c>
      <c r="G1155" t="s">
        <v>72</v>
      </c>
      <c r="H1155" t="s">
        <v>46</v>
      </c>
      <c r="I1155" t="s">
        <v>92</v>
      </c>
      <c r="J1155" t="s">
        <v>92</v>
      </c>
      <c r="K1155" t="s">
        <v>64</v>
      </c>
      <c r="L1155" t="s">
        <v>65</v>
      </c>
      <c r="M1155" t="s">
        <v>93</v>
      </c>
      <c r="N1155">
        <v>11.8</v>
      </c>
      <c r="O1155">
        <v>8.44444444444444</v>
      </c>
      <c r="P1155">
        <v>82.8</v>
      </c>
      <c r="Q1155">
        <v>91.2444444444444</v>
      </c>
      <c r="R1155">
        <v>0</v>
      </c>
      <c r="S1155">
        <v>91.2444444444444</v>
      </c>
      <c r="T1155">
        <v>33</v>
      </c>
      <c r="U1155">
        <f>SUMIF(货件明细!J:J,E1155,货件明细!AP:AP)</f>
        <v>0</v>
      </c>
      <c r="V1155">
        <f>IF(U1155=T1155,0,1)</f>
        <v>1</v>
      </c>
      <c r="W1155">
        <f>T1155</f>
        <v>33</v>
      </c>
      <c r="X1155">
        <f>SUMIF(货件明细!J:J,E1155,货件明细!H:H)</f>
        <v>0</v>
      </c>
      <c r="Y1155">
        <f>N1155-X1155</f>
        <v>11.8</v>
      </c>
      <c r="Z1155">
        <f>SUMIF(货件明细!J:J,E1155,货件明细!I:I)</f>
        <v>0</v>
      </c>
      <c r="AA1155">
        <f>IF(S1155=Z1155,0,1)</f>
        <v>1</v>
      </c>
    </row>
    <row r="1156" hidden="1" spans="1:27">
      <c r="A1156">
        <v>2</v>
      </c>
      <c r="B1156">
        <v>9</v>
      </c>
      <c r="C1156" s="3">
        <v>46081</v>
      </c>
      <c r="D1156" t="s">
        <v>27</v>
      </c>
      <c r="E1156" t="s">
        <v>1273</v>
      </c>
      <c r="F1156" t="s">
        <v>548</v>
      </c>
      <c r="G1156" t="s">
        <v>72</v>
      </c>
      <c r="H1156" t="s">
        <v>46</v>
      </c>
      <c r="I1156" t="s">
        <v>92</v>
      </c>
      <c r="J1156" t="s">
        <v>92</v>
      </c>
      <c r="K1156" t="s">
        <v>64</v>
      </c>
      <c r="L1156" t="s">
        <v>65</v>
      </c>
      <c r="M1156" t="s">
        <v>93</v>
      </c>
      <c r="N1156">
        <v>11.8</v>
      </c>
      <c r="O1156">
        <v>8.44444444444444</v>
      </c>
      <c r="P1156">
        <v>52.75</v>
      </c>
      <c r="Q1156">
        <v>61.1944444444444</v>
      </c>
      <c r="R1156">
        <v>0</v>
      </c>
      <c r="S1156">
        <v>61.1944444444444</v>
      </c>
      <c r="T1156">
        <v>33</v>
      </c>
      <c r="U1156">
        <f>SUMIF(货件明细!J:J,E1156,货件明细!AP:AP)</f>
        <v>0</v>
      </c>
      <c r="V1156">
        <f>IF(U1156=T1156,0,1)</f>
        <v>1</v>
      </c>
      <c r="W1156">
        <f>T1156</f>
        <v>33</v>
      </c>
      <c r="X1156">
        <f>SUMIF(货件明细!J:J,E1156,货件明细!H:H)</f>
        <v>0</v>
      </c>
      <c r="Y1156">
        <f>N1156-X1156</f>
        <v>11.8</v>
      </c>
      <c r="Z1156">
        <f>SUMIF(货件明细!J:J,E1156,货件明细!I:I)</f>
        <v>0</v>
      </c>
      <c r="AA1156">
        <f>IF(S1156=Z1156,0,1)</f>
        <v>1</v>
      </c>
    </row>
    <row r="1157" hidden="1" spans="1:27">
      <c r="A1157">
        <v>2</v>
      </c>
      <c r="B1157">
        <v>9</v>
      </c>
      <c r="C1157" s="3">
        <v>46081</v>
      </c>
      <c r="D1157" t="s">
        <v>27</v>
      </c>
      <c r="E1157" t="s">
        <v>1274</v>
      </c>
      <c r="F1157" t="s">
        <v>187</v>
      </c>
      <c r="G1157" t="s">
        <v>72</v>
      </c>
      <c r="H1157" t="s">
        <v>46</v>
      </c>
      <c r="I1157" t="s">
        <v>92</v>
      </c>
      <c r="J1157" t="s">
        <v>92</v>
      </c>
      <c r="K1157" t="s">
        <v>64</v>
      </c>
      <c r="L1157" t="s">
        <v>65</v>
      </c>
      <c r="M1157" t="s">
        <v>93</v>
      </c>
      <c r="N1157">
        <v>11.8</v>
      </c>
      <c r="O1157">
        <v>8.44444444444444</v>
      </c>
      <c r="P1157">
        <v>52.75</v>
      </c>
      <c r="Q1157">
        <v>61.1944444444444</v>
      </c>
      <c r="R1157">
        <v>0</v>
      </c>
      <c r="S1157">
        <v>61.1944444444444</v>
      </c>
      <c r="T1157">
        <v>33</v>
      </c>
      <c r="U1157">
        <f>SUMIF(货件明细!J:J,E1157,货件明细!AP:AP)</f>
        <v>0</v>
      </c>
      <c r="V1157">
        <f>IF(U1157=T1157,0,1)</f>
        <v>1</v>
      </c>
      <c r="W1157">
        <f>T1157</f>
        <v>33</v>
      </c>
      <c r="X1157">
        <f>SUMIF(货件明细!J:J,E1157,货件明细!H:H)</f>
        <v>0</v>
      </c>
      <c r="Y1157">
        <f>N1157-X1157</f>
        <v>11.8</v>
      </c>
      <c r="Z1157">
        <f>SUMIF(货件明细!J:J,E1157,货件明细!I:I)</f>
        <v>0</v>
      </c>
      <c r="AA1157">
        <f>IF(S1157=Z1157,0,1)</f>
        <v>1</v>
      </c>
    </row>
    <row r="1158" hidden="1" spans="1:27">
      <c r="A1158">
        <v>2</v>
      </c>
      <c r="B1158">
        <v>9</v>
      </c>
      <c r="C1158" s="3">
        <v>46081</v>
      </c>
      <c r="D1158" t="s">
        <v>27</v>
      </c>
      <c r="E1158" t="s">
        <v>1275</v>
      </c>
      <c r="F1158" t="s">
        <v>200</v>
      </c>
      <c r="G1158" t="s">
        <v>30</v>
      </c>
      <c r="H1158" t="s">
        <v>46</v>
      </c>
      <c r="I1158" t="s">
        <v>92</v>
      </c>
      <c r="J1158" t="s">
        <v>92</v>
      </c>
      <c r="K1158" t="s">
        <v>64</v>
      </c>
      <c r="L1158" t="s">
        <v>65</v>
      </c>
      <c r="M1158" t="s">
        <v>93</v>
      </c>
      <c r="N1158">
        <v>11.8</v>
      </c>
      <c r="O1158">
        <v>8.44444444444444</v>
      </c>
      <c r="P1158">
        <v>81.25</v>
      </c>
      <c r="Q1158">
        <v>89.6944444444444</v>
      </c>
      <c r="R1158">
        <v>0</v>
      </c>
      <c r="S1158">
        <v>89.6944444444444</v>
      </c>
      <c r="T1158">
        <v>34</v>
      </c>
      <c r="U1158">
        <f>SUMIF(货件明细!J:J,E1158,货件明细!AP:AP)</f>
        <v>0</v>
      </c>
      <c r="V1158">
        <f>IF(U1158=T1158,0,1)</f>
        <v>1</v>
      </c>
      <c r="W1158">
        <f>T1158</f>
        <v>34</v>
      </c>
      <c r="X1158">
        <f>SUMIF(货件明细!J:J,E1158,货件明细!H:H)</f>
        <v>0</v>
      </c>
      <c r="Y1158">
        <f>N1158-X1158</f>
        <v>11.8</v>
      </c>
      <c r="Z1158">
        <f>SUMIF(货件明细!J:J,E1158,货件明细!I:I)</f>
        <v>0</v>
      </c>
      <c r="AA1158">
        <f>IF(S1158=Z1158,0,1)</f>
        <v>1</v>
      </c>
    </row>
    <row r="1159" hidden="1" spans="1:27">
      <c r="A1159">
        <v>2</v>
      </c>
      <c r="B1159">
        <v>9</v>
      </c>
      <c r="C1159" s="3">
        <v>46081</v>
      </c>
      <c r="D1159" t="s">
        <v>27</v>
      </c>
      <c r="E1159" t="s">
        <v>1276</v>
      </c>
      <c r="F1159" t="s">
        <v>185</v>
      </c>
      <c r="G1159" t="s">
        <v>30</v>
      </c>
      <c r="H1159" t="s">
        <v>224</v>
      </c>
      <c r="I1159" t="s">
        <v>92</v>
      </c>
      <c r="J1159" t="s">
        <v>92</v>
      </c>
      <c r="K1159" t="s">
        <v>64</v>
      </c>
      <c r="L1159" t="s">
        <v>65</v>
      </c>
      <c r="M1159" t="s">
        <v>93</v>
      </c>
      <c r="N1159">
        <v>15.2</v>
      </c>
      <c r="O1159">
        <v>8.44444444444444</v>
      </c>
      <c r="P1159">
        <v>121.1925</v>
      </c>
      <c r="Q1159">
        <v>129.636944444444</v>
      </c>
      <c r="R1159">
        <v>0</v>
      </c>
      <c r="S1159">
        <v>129.636944444444</v>
      </c>
      <c r="T1159">
        <v>152</v>
      </c>
      <c r="U1159">
        <f>SUMIF(货件明细!J:J,E1159,货件明细!AP:AP)</f>
        <v>0</v>
      </c>
      <c r="V1159">
        <f>IF(U1159=T1159,0,1)</f>
        <v>1</v>
      </c>
      <c r="W1159">
        <f>T1159</f>
        <v>152</v>
      </c>
      <c r="X1159">
        <f>SUMIF(货件明细!J:J,E1159,货件明细!H:H)</f>
        <v>0</v>
      </c>
      <c r="Y1159">
        <f>N1159-X1159</f>
        <v>15.2</v>
      </c>
      <c r="Z1159">
        <f>SUMIF(货件明细!J:J,E1159,货件明细!I:I)</f>
        <v>0</v>
      </c>
      <c r="AA1159">
        <f>IF(S1159=Z1159,0,1)</f>
        <v>1</v>
      </c>
    </row>
    <row r="1160" hidden="1" spans="1:27">
      <c r="A1160">
        <v>2</v>
      </c>
      <c r="B1160">
        <v>9</v>
      </c>
      <c r="C1160" s="3">
        <v>46081</v>
      </c>
      <c r="D1160" t="s">
        <v>27</v>
      </c>
      <c r="E1160" t="s">
        <v>1277</v>
      </c>
      <c r="F1160" t="s">
        <v>250</v>
      </c>
      <c r="G1160" t="s">
        <v>72</v>
      </c>
      <c r="H1160" t="s">
        <v>224</v>
      </c>
      <c r="I1160" t="s">
        <v>92</v>
      </c>
      <c r="J1160" t="s">
        <v>92</v>
      </c>
      <c r="K1160" t="s">
        <v>64</v>
      </c>
      <c r="L1160" t="s">
        <v>65</v>
      </c>
      <c r="M1160" t="s">
        <v>93</v>
      </c>
      <c r="N1160">
        <v>15.2</v>
      </c>
      <c r="O1160">
        <v>8.44444444444444</v>
      </c>
      <c r="P1160">
        <v>82.8</v>
      </c>
      <c r="Q1160">
        <v>91.2444444444444</v>
      </c>
      <c r="R1160">
        <v>0</v>
      </c>
      <c r="S1160">
        <v>91.2444444444444</v>
      </c>
      <c r="T1160">
        <v>152</v>
      </c>
      <c r="U1160">
        <f>SUMIF(货件明细!J:J,E1160,货件明细!AP:AP)</f>
        <v>0</v>
      </c>
      <c r="V1160">
        <f>IF(U1160=T1160,0,1)</f>
        <v>1</v>
      </c>
      <c r="W1160">
        <f>T1160</f>
        <v>152</v>
      </c>
      <c r="X1160">
        <f>SUMIF(货件明细!J:J,E1160,货件明细!H:H)</f>
        <v>0</v>
      </c>
      <c r="Y1160">
        <f>N1160-X1160</f>
        <v>15.2</v>
      </c>
      <c r="Z1160">
        <f>SUMIF(货件明细!J:J,E1160,货件明细!I:I)</f>
        <v>0</v>
      </c>
      <c r="AA1160">
        <f>IF(S1160=Z1160,0,1)</f>
        <v>1</v>
      </c>
    </row>
    <row r="1161" hidden="1" spans="1:27">
      <c r="A1161">
        <v>2</v>
      </c>
      <c r="B1161">
        <v>9</v>
      </c>
      <c r="C1161" s="3">
        <v>46081</v>
      </c>
      <c r="D1161" t="s">
        <v>27</v>
      </c>
      <c r="E1161" t="s">
        <v>1278</v>
      </c>
      <c r="F1161" t="s">
        <v>548</v>
      </c>
      <c r="G1161" t="s">
        <v>72</v>
      </c>
      <c r="H1161" t="s">
        <v>224</v>
      </c>
      <c r="I1161" t="s">
        <v>92</v>
      </c>
      <c r="J1161" t="s">
        <v>92</v>
      </c>
      <c r="K1161" t="s">
        <v>64</v>
      </c>
      <c r="L1161" t="s">
        <v>65</v>
      </c>
      <c r="M1161" t="s">
        <v>93</v>
      </c>
      <c r="N1161">
        <v>15.2</v>
      </c>
      <c r="O1161">
        <v>8.44444444444444</v>
      </c>
      <c r="P1161">
        <v>63.3</v>
      </c>
      <c r="Q1161">
        <v>71.7444444444444</v>
      </c>
      <c r="R1161">
        <v>0</v>
      </c>
      <c r="S1161">
        <v>71.7444444444444</v>
      </c>
      <c r="T1161">
        <v>152</v>
      </c>
      <c r="U1161">
        <f>SUMIF(货件明细!J:J,E1161,货件明细!AP:AP)</f>
        <v>0</v>
      </c>
      <c r="V1161">
        <f>IF(U1161=T1161,0,1)</f>
        <v>1</v>
      </c>
      <c r="W1161">
        <f>T1161</f>
        <v>152</v>
      </c>
      <c r="X1161">
        <f>SUMIF(货件明细!J:J,E1161,货件明细!H:H)</f>
        <v>0</v>
      </c>
      <c r="Y1161">
        <f>N1161-X1161</f>
        <v>15.2</v>
      </c>
      <c r="Z1161">
        <f>SUMIF(货件明细!J:J,E1161,货件明细!I:I)</f>
        <v>0</v>
      </c>
      <c r="AA1161">
        <f>IF(S1161=Z1161,0,1)</f>
        <v>1</v>
      </c>
    </row>
    <row r="1162" hidden="1" spans="1:27">
      <c r="A1162">
        <v>2</v>
      </c>
      <c r="B1162">
        <v>9</v>
      </c>
      <c r="C1162" s="3">
        <v>46081</v>
      </c>
      <c r="D1162" t="s">
        <v>27</v>
      </c>
      <c r="E1162" t="s">
        <v>1279</v>
      </c>
      <c r="F1162" t="s">
        <v>187</v>
      </c>
      <c r="G1162" t="s">
        <v>72</v>
      </c>
      <c r="H1162" t="s">
        <v>224</v>
      </c>
      <c r="I1162" t="s">
        <v>92</v>
      </c>
      <c r="J1162" t="s">
        <v>92</v>
      </c>
      <c r="K1162" t="s">
        <v>64</v>
      </c>
      <c r="L1162" t="s">
        <v>65</v>
      </c>
      <c r="M1162" t="s">
        <v>93</v>
      </c>
      <c r="N1162">
        <v>15.2</v>
      </c>
      <c r="O1162">
        <v>8.44444444444444</v>
      </c>
      <c r="P1162">
        <v>63.3</v>
      </c>
      <c r="Q1162">
        <v>71.7444444444444</v>
      </c>
      <c r="R1162">
        <v>0</v>
      </c>
      <c r="S1162">
        <v>71.7444444444444</v>
      </c>
      <c r="T1162">
        <v>152</v>
      </c>
      <c r="U1162">
        <f>SUMIF(货件明细!J:J,E1162,货件明细!AP:AP)</f>
        <v>0</v>
      </c>
      <c r="V1162">
        <f>IF(U1162=T1162,0,1)</f>
        <v>1</v>
      </c>
      <c r="W1162">
        <f>T1162</f>
        <v>152</v>
      </c>
      <c r="X1162">
        <f>SUMIF(货件明细!J:J,E1162,货件明细!H:H)</f>
        <v>0</v>
      </c>
      <c r="Y1162">
        <f>N1162-X1162</f>
        <v>15.2</v>
      </c>
      <c r="Z1162">
        <f>SUMIF(货件明细!J:J,E1162,货件明细!I:I)</f>
        <v>0</v>
      </c>
      <c r="AA1162">
        <f>IF(S1162=Z1162,0,1)</f>
        <v>1</v>
      </c>
    </row>
    <row r="1163" hidden="1" spans="1:27">
      <c r="A1163">
        <v>2</v>
      </c>
      <c r="B1163">
        <v>9</v>
      </c>
      <c r="C1163" s="3">
        <v>46081</v>
      </c>
      <c r="D1163" t="s">
        <v>27</v>
      </c>
      <c r="E1163" t="s">
        <v>1280</v>
      </c>
      <c r="F1163" t="s">
        <v>200</v>
      </c>
      <c r="G1163" t="s">
        <v>30</v>
      </c>
      <c r="H1163" t="s">
        <v>224</v>
      </c>
      <c r="I1163" t="s">
        <v>92</v>
      </c>
      <c r="J1163" t="s">
        <v>92</v>
      </c>
      <c r="K1163" t="s">
        <v>64</v>
      </c>
      <c r="L1163" t="s">
        <v>65</v>
      </c>
      <c r="M1163" t="s">
        <v>93</v>
      </c>
      <c r="N1163">
        <v>15.2</v>
      </c>
      <c r="O1163">
        <v>8.44444444444444</v>
      </c>
      <c r="P1163">
        <v>97.5</v>
      </c>
      <c r="Q1163">
        <v>105.944444444444</v>
      </c>
      <c r="R1163">
        <v>0</v>
      </c>
      <c r="S1163">
        <v>105.944444444444</v>
      </c>
      <c r="T1163">
        <v>151</v>
      </c>
      <c r="U1163">
        <f>SUMIF(货件明细!J:J,E1163,货件明细!AP:AP)</f>
        <v>0</v>
      </c>
      <c r="V1163">
        <f>IF(U1163=T1163,0,1)</f>
        <v>1</v>
      </c>
      <c r="W1163">
        <f>T1163</f>
        <v>151</v>
      </c>
      <c r="X1163">
        <f>SUMIF(货件明细!J:J,E1163,货件明细!H:H)</f>
        <v>0</v>
      </c>
      <c r="Y1163">
        <f>N1163-X1163</f>
        <v>15.2</v>
      </c>
      <c r="Z1163">
        <f>SUMIF(货件明细!J:J,E1163,货件明细!I:I)</f>
        <v>0</v>
      </c>
      <c r="AA1163">
        <f>IF(S1163=Z1163,0,1)</f>
        <v>1</v>
      </c>
    </row>
    <row r="1164" hidden="1" spans="1:27">
      <c r="A1164">
        <v>2</v>
      </c>
      <c r="B1164">
        <v>9</v>
      </c>
      <c r="C1164" s="3">
        <v>46081</v>
      </c>
      <c r="D1164" t="s">
        <v>27</v>
      </c>
      <c r="E1164" t="s">
        <v>1281</v>
      </c>
      <c r="F1164" t="s">
        <v>185</v>
      </c>
      <c r="G1164" t="s">
        <v>30</v>
      </c>
      <c r="H1164" t="s">
        <v>56</v>
      </c>
      <c r="I1164" t="s">
        <v>92</v>
      </c>
      <c r="J1164" t="s">
        <v>92</v>
      </c>
      <c r="K1164" t="s">
        <v>64</v>
      </c>
      <c r="L1164" t="s">
        <v>65</v>
      </c>
      <c r="M1164" t="s">
        <v>93</v>
      </c>
      <c r="N1164">
        <v>54</v>
      </c>
      <c r="O1164">
        <v>8.44444444444444</v>
      </c>
      <c r="P1164">
        <v>363.5775</v>
      </c>
      <c r="Q1164">
        <v>372.021944444444</v>
      </c>
      <c r="R1164">
        <v>0</v>
      </c>
      <c r="S1164">
        <v>372.021944444444</v>
      </c>
      <c r="T1164">
        <v>271</v>
      </c>
      <c r="U1164">
        <f>SUMIF(货件明细!J:J,E1164,货件明细!AP:AP)</f>
        <v>0</v>
      </c>
      <c r="V1164">
        <f>IF(U1164=T1164,0,1)</f>
        <v>1</v>
      </c>
      <c r="W1164">
        <f>T1164</f>
        <v>271</v>
      </c>
      <c r="X1164">
        <f>SUMIF(货件明细!J:J,E1164,货件明细!H:H)</f>
        <v>0</v>
      </c>
      <c r="Y1164">
        <f>N1164-X1164</f>
        <v>54</v>
      </c>
      <c r="Z1164">
        <f>SUMIF(货件明细!J:J,E1164,货件明细!I:I)</f>
        <v>0</v>
      </c>
      <c r="AA1164">
        <f>IF(S1164=Z1164,0,1)</f>
        <v>1</v>
      </c>
    </row>
    <row r="1165" hidden="1" spans="1:27">
      <c r="A1165">
        <v>2</v>
      </c>
      <c r="B1165">
        <v>9</v>
      </c>
      <c r="C1165" s="3">
        <v>46081</v>
      </c>
      <c r="D1165" t="s">
        <v>27</v>
      </c>
      <c r="E1165" t="s">
        <v>1282</v>
      </c>
      <c r="F1165" t="s">
        <v>250</v>
      </c>
      <c r="G1165" t="s">
        <v>72</v>
      </c>
      <c r="H1165" t="s">
        <v>56</v>
      </c>
      <c r="I1165" t="s">
        <v>92</v>
      </c>
      <c r="J1165" t="s">
        <v>92</v>
      </c>
      <c r="K1165" t="s">
        <v>64</v>
      </c>
      <c r="L1165" t="s">
        <v>65</v>
      </c>
      <c r="M1165" t="s">
        <v>93</v>
      </c>
      <c r="N1165">
        <v>54</v>
      </c>
      <c r="O1165">
        <v>8.44444444444444</v>
      </c>
      <c r="P1165">
        <v>248.4</v>
      </c>
      <c r="Q1165">
        <v>256.844444444444</v>
      </c>
      <c r="R1165">
        <v>0</v>
      </c>
      <c r="S1165">
        <v>256.844444444444</v>
      </c>
      <c r="T1165">
        <v>271</v>
      </c>
      <c r="U1165">
        <f>SUMIF(货件明细!J:J,E1165,货件明细!AP:AP)</f>
        <v>0</v>
      </c>
      <c r="V1165">
        <f>IF(U1165=T1165,0,1)</f>
        <v>1</v>
      </c>
      <c r="W1165">
        <f>T1165</f>
        <v>271</v>
      </c>
      <c r="X1165">
        <f>SUMIF(货件明细!J:J,E1165,货件明细!H:H)</f>
        <v>0</v>
      </c>
      <c r="Y1165">
        <f>N1165-X1165</f>
        <v>54</v>
      </c>
      <c r="Z1165">
        <f>SUMIF(货件明细!J:J,E1165,货件明细!I:I)</f>
        <v>0</v>
      </c>
      <c r="AA1165">
        <f>IF(S1165=Z1165,0,1)</f>
        <v>1</v>
      </c>
    </row>
    <row r="1166" hidden="1" spans="1:27">
      <c r="A1166">
        <v>2</v>
      </c>
      <c r="B1166">
        <v>9</v>
      </c>
      <c r="C1166" s="3">
        <v>46081</v>
      </c>
      <c r="D1166" t="s">
        <v>27</v>
      </c>
      <c r="E1166" t="s">
        <v>1283</v>
      </c>
      <c r="F1166" t="s">
        <v>548</v>
      </c>
      <c r="G1166" t="s">
        <v>72</v>
      </c>
      <c r="H1166" t="s">
        <v>56</v>
      </c>
      <c r="I1166" t="s">
        <v>92</v>
      </c>
      <c r="J1166" t="s">
        <v>92</v>
      </c>
      <c r="K1166" t="s">
        <v>64</v>
      </c>
      <c r="L1166" t="s">
        <v>65</v>
      </c>
      <c r="M1166" t="s">
        <v>93</v>
      </c>
      <c r="N1166">
        <v>54</v>
      </c>
      <c r="O1166">
        <v>8.44444444444444</v>
      </c>
      <c r="P1166">
        <v>263.75</v>
      </c>
      <c r="Q1166">
        <v>272.194444444444</v>
      </c>
      <c r="R1166">
        <v>0</v>
      </c>
      <c r="S1166">
        <v>272.194444444444</v>
      </c>
      <c r="T1166">
        <v>271</v>
      </c>
      <c r="U1166">
        <f>SUMIF(货件明细!J:J,E1166,货件明细!AP:AP)</f>
        <v>0</v>
      </c>
      <c r="V1166">
        <f>IF(U1166=T1166,0,1)</f>
        <v>1</v>
      </c>
      <c r="W1166">
        <f>T1166</f>
        <v>271</v>
      </c>
      <c r="X1166">
        <f>SUMIF(货件明细!J:J,E1166,货件明细!H:H)</f>
        <v>0</v>
      </c>
      <c r="Y1166">
        <f>N1166-X1166</f>
        <v>54</v>
      </c>
      <c r="Z1166">
        <f>SUMIF(货件明细!J:J,E1166,货件明细!I:I)</f>
        <v>0</v>
      </c>
      <c r="AA1166">
        <f>IF(S1166=Z1166,0,1)</f>
        <v>1</v>
      </c>
    </row>
    <row r="1167" hidden="1" spans="1:27">
      <c r="A1167">
        <v>2</v>
      </c>
      <c r="B1167">
        <v>9</v>
      </c>
      <c r="C1167" s="3">
        <v>46081</v>
      </c>
      <c r="D1167" t="s">
        <v>27</v>
      </c>
      <c r="E1167" t="s">
        <v>1284</v>
      </c>
      <c r="F1167" t="s">
        <v>187</v>
      </c>
      <c r="G1167" t="s">
        <v>72</v>
      </c>
      <c r="H1167" t="s">
        <v>56</v>
      </c>
      <c r="I1167" t="s">
        <v>92</v>
      </c>
      <c r="J1167" t="s">
        <v>92</v>
      </c>
      <c r="K1167" t="s">
        <v>64</v>
      </c>
      <c r="L1167" t="s">
        <v>65</v>
      </c>
      <c r="M1167" t="s">
        <v>93</v>
      </c>
      <c r="N1167">
        <v>54</v>
      </c>
      <c r="O1167">
        <v>8.44444444444444</v>
      </c>
      <c r="P1167">
        <v>263.75</v>
      </c>
      <c r="Q1167">
        <v>272.194444444444</v>
      </c>
      <c r="R1167">
        <v>0</v>
      </c>
      <c r="S1167">
        <v>272.194444444444</v>
      </c>
      <c r="T1167">
        <v>271</v>
      </c>
      <c r="U1167">
        <f>SUMIF(货件明细!J:J,E1167,货件明细!AP:AP)</f>
        <v>0</v>
      </c>
      <c r="V1167">
        <f>IF(U1167=T1167,0,1)</f>
        <v>1</v>
      </c>
      <c r="W1167">
        <f>T1167</f>
        <v>271</v>
      </c>
      <c r="X1167">
        <f>SUMIF(货件明细!J:J,E1167,货件明细!H:H)</f>
        <v>0</v>
      </c>
      <c r="Y1167">
        <f>N1167-X1167</f>
        <v>54</v>
      </c>
      <c r="Z1167">
        <f>SUMIF(货件明细!J:J,E1167,货件明细!I:I)</f>
        <v>0</v>
      </c>
      <c r="AA1167">
        <f>IF(S1167=Z1167,0,1)</f>
        <v>1</v>
      </c>
    </row>
    <row r="1168" hidden="1" spans="1:27">
      <c r="A1168">
        <v>2</v>
      </c>
      <c r="B1168">
        <v>9</v>
      </c>
      <c r="C1168" s="3">
        <v>46081</v>
      </c>
      <c r="D1168" t="s">
        <v>27</v>
      </c>
      <c r="E1168" t="s">
        <v>1285</v>
      </c>
      <c r="F1168" t="s">
        <v>200</v>
      </c>
      <c r="G1168" t="s">
        <v>30</v>
      </c>
      <c r="H1168" t="s">
        <v>56</v>
      </c>
      <c r="I1168" t="s">
        <v>92</v>
      </c>
      <c r="J1168" t="s">
        <v>92</v>
      </c>
      <c r="K1168" t="s">
        <v>64</v>
      </c>
      <c r="L1168" t="s">
        <v>65</v>
      </c>
      <c r="M1168" t="s">
        <v>93</v>
      </c>
      <c r="N1168">
        <v>54</v>
      </c>
      <c r="O1168">
        <v>8.44444444444444</v>
      </c>
      <c r="P1168">
        <v>406.25</v>
      </c>
      <c r="Q1168">
        <v>414.694444444444</v>
      </c>
      <c r="R1168">
        <v>0</v>
      </c>
      <c r="S1168">
        <v>414.694444444444</v>
      </c>
      <c r="T1168">
        <v>271</v>
      </c>
      <c r="U1168">
        <f>SUMIF(货件明细!J:J,E1168,货件明细!AP:AP)</f>
        <v>0</v>
      </c>
      <c r="V1168">
        <f>IF(U1168=T1168,0,1)</f>
        <v>1</v>
      </c>
      <c r="W1168">
        <f>T1168</f>
        <v>271</v>
      </c>
      <c r="X1168">
        <f>SUMIF(货件明细!J:J,E1168,货件明细!H:H)</f>
        <v>0</v>
      </c>
      <c r="Y1168">
        <f>N1168-X1168</f>
        <v>54</v>
      </c>
      <c r="Z1168">
        <f>SUMIF(货件明细!J:J,E1168,货件明细!I:I)</f>
        <v>0</v>
      </c>
      <c r="AA1168">
        <f>IF(S1168=Z1168,0,1)</f>
        <v>1</v>
      </c>
    </row>
    <row r="1169" hidden="1" spans="1:27">
      <c r="A1169">
        <v>2</v>
      </c>
      <c r="B1169">
        <v>9</v>
      </c>
      <c r="C1169" s="3">
        <v>46081</v>
      </c>
      <c r="D1169" t="s">
        <v>27</v>
      </c>
      <c r="E1169" t="s">
        <v>1286</v>
      </c>
      <c r="F1169" t="s">
        <v>185</v>
      </c>
      <c r="G1169" t="s">
        <v>30</v>
      </c>
      <c r="H1169" t="s">
        <v>51</v>
      </c>
      <c r="I1169" t="s">
        <v>92</v>
      </c>
      <c r="J1169" t="s">
        <v>92</v>
      </c>
      <c r="K1169" t="s">
        <v>64</v>
      </c>
      <c r="L1169" t="s">
        <v>65</v>
      </c>
      <c r="M1169" t="s">
        <v>93</v>
      </c>
      <c r="N1169">
        <v>40.35</v>
      </c>
      <c r="O1169">
        <v>8.44444444444444</v>
      </c>
      <c r="P1169">
        <v>363.5775</v>
      </c>
      <c r="Q1169">
        <v>372.021944444444</v>
      </c>
      <c r="R1169">
        <v>0</v>
      </c>
      <c r="S1169">
        <v>372.021944444444</v>
      </c>
      <c r="T1169">
        <v>166</v>
      </c>
      <c r="U1169">
        <f>SUMIF(货件明细!J:J,E1169,货件明细!AP:AP)</f>
        <v>0</v>
      </c>
      <c r="V1169">
        <f>IF(U1169=T1169,0,1)</f>
        <v>1</v>
      </c>
      <c r="W1169">
        <f>T1169</f>
        <v>166</v>
      </c>
      <c r="X1169">
        <f>SUMIF(货件明细!J:J,E1169,货件明细!H:H)</f>
        <v>0</v>
      </c>
      <c r="Y1169">
        <f>N1169-X1169</f>
        <v>40.35</v>
      </c>
      <c r="Z1169">
        <f>SUMIF(货件明细!J:J,E1169,货件明细!I:I)</f>
        <v>0</v>
      </c>
      <c r="AA1169">
        <f>IF(S1169=Z1169,0,1)</f>
        <v>1</v>
      </c>
    </row>
    <row r="1170" hidden="1" spans="1:27">
      <c r="A1170">
        <v>2</v>
      </c>
      <c r="B1170">
        <v>9</v>
      </c>
      <c r="C1170" s="3">
        <v>46081</v>
      </c>
      <c r="D1170" t="s">
        <v>27</v>
      </c>
      <c r="E1170" t="s">
        <v>1287</v>
      </c>
      <c r="F1170" t="s">
        <v>250</v>
      </c>
      <c r="G1170" t="s">
        <v>72</v>
      </c>
      <c r="H1170" t="s">
        <v>51</v>
      </c>
      <c r="I1170" t="s">
        <v>92</v>
      </c>
      <c r="J1170" t="s">
        <v>92</v>
      </c>
      <c r="K1170" t="s">
        <v>64</v>
      </c>
      <c r="L1170" t="s">
        <v>65</v>
      </c>
      <c r="M1170" t="s">
        <v>93</v>
      </c>
      <c r="N1170">
        <v>40.35</v>
      </c>
      <c r="O1170">
        <v>8.44444444444444</v>
      </c>
      <c r="P1170">
        <v>248.4</v>
      </c>
      <c r="Q1170">
        <v>256.844444444444</v>
      </c>
      <c r="R1170">
        <v>0</v>
      </c>
      <c r="S1170">
        <v>256.844444444444</v>
      </c>
      <c r="T1170">
        <v>166</v>
      </c>
      <c r="U1170">
        <f>SUMIF(货件明细!J:J,E1170,货件明细!AP:AP)</f>
        <v>0</v>
      </c>
      <c r="V1170">
        <f>IF(U1170=T1170,0,1)</f>
        <v>1</v>
      </c>
      <c r="W1170">
        <f>T1170</f>
        <v>166</v>
      </c>
      <c r="X1170">
        <f>SUMIF(货件明细!J:J,E1170,货件明细!H:H)</f>
        <v>0</v>
      </c>
      <c r="Y1170">
        <f>N1170-X1170</f>
        <v>40.35</v>
      </c>
      <c r="Z1170">
        <f>SUMIF(货件明细!J:J,E1170,货件明细!I:I)</f>
        <v>0</v>
      </c>
      <c r="AA1170">
        <f>IF(S1170=Z1170,0,1)</f>
        <v>1</v>
      </c>
    </row>
    <row r="1171" hidden="1" spans="1:27">
      <c r="A1171">
        <v>2</v>
      </c>
      <c r="B1171">
        <v>9</v>
      </c>
      <c r="C1171" s="3">
        <v>46081</v>
      </c>
      <c r="D1171" t="s">
        <v>27</v>
      </c>
      <c r="E1171" t="s">
        <v>1288</v>
      </c>
      <c r="F1171" t="s">
        <v>548</v>
      </c>
      <c r="G1171" t="s">
        <v>72</v>
      </c>
      <c r="H1171" t="s">
        <v>51</v>
      </c>
      <c r="I1171" t="s">
        <v>92</v>
      </c>
      <c r="J1171" t="s">
        <v>92</v>
      </c>
      <c r="K1171" t="s">
        <v>64</v>
      </c>
      <c r="L1171" t="s">
        <v>65</v>
      </c>
      <c r="M1171" t="s">
        <v>93</v>
      </c>
      <c r="N1171">
        <v>40.35</v>
      </c>
      <c r="O1171">
        <v>8.44444444444444</v>
      </c>
      <c r="P1171">
        <v>284.85</v>
      </c>
      <c r="Q1171">
        <v>293.294444444444</v>
      </c>
      <c r="R1171">
        <v>0</v>
      </c>
      <c r="S1171">
        <v>293.294444444444</v>
      </c>
      <c r="T1171">
        <v>166</v>
      </c>
      <c r="U1171">
        <f>SUMIF(货件明细!J:J,E1171,货件明细!AP:AP)</f>
        <v>0</v>
      </c>
      <c r="V1171">
        <f>IF(U1171=T1171,0,1)</f>
        <v>1</v>
      </c>
      <c r="W1171">
        <f>T1171</f>
        <v>166</v>
      </c>
      <c r="X1171">
        <f>SUMIF(货件明细!J:J,E1171,货件明细!H:H)</f>
        <v>0</v>
      </c>
      <c r="Y1171">
        <f>N1171-X1171</f>
        <v>40.35</v>
      </c>
      <c r="Z1171">
        <f>SUMIF(货件明细!J:J,E1171,货件明细!I:I)</f>
        <v>0</v>
      </c>
      <c r="AA1171">
        <f>IF(S1171=Z1171,0,1)</f>
        <v>1</v>
      </c>
    </row>
    <row r="1172" hidden="1" spans="1:27">
      <c r="A1172">
        <v>2</v>
      </c>
      <c r="B1172">
        <v>9</v>
      </c>
      <c r="C1172" s="3">
        <v>46081</v>
      </c>
      <c r="D1172" t="s">
        <v>27</v>
      </c>
      <c r="E1172" t="s">
        <v>1289</v>
      </c>
      <c r="F1172" t="s">
        <v>187</v>
      </c>
      <c r="G1172" t="s">
        <v>72</v>
      </c>
      <c r="H1172" t="s">
        <v>51</v>
      </c>
      <c r="I1172" t="s">
        <v>92</v>
      </c>
      <c r="J1172" t="s">
        <v>92</v>
      </c>
      <c r="K1172" t="s">
        <v>64</v>
      </c>
      <c r="L1172" t="s">
        <v>65</v>
      </c>
      <c r="M1172" t="s">
        <v>93</v>
      </c>
      <c r="N1172">
        <v>40.35</v>
      </c>
      <c r="O1172">
        <v>8.44444444444444</v>
      </c>
      <c r="P1172">
        <v>284.85</v>
      </c>
      <c r="Q1172">
        <v>293.294444444444</v>
      </c>
      <c r="R1172">
        <v>0</v>
      </c>
      <c r="S1172">
        <v>293.294444444444</v>
      </c>
      <c r="T1172">
        <v>166</v>
      </c>
      <c r="U1172">
        <f>SUMIF(货件明细!J:J,E1172,货件明细!AP:AP)</f>
        <v>0</v>
      </c>
      <c r="V1172">
        <f>IF(U1172=T1172,0,1)</f>
        <v>1</v>
      </c>
      <c r="W1172">
        <f>T1172</f>
        <v>166</v>
      </c>
      <c r="X1172">
        <f>SUMIF(货件明细!J:J,E1172,货件明细!H:H)</f>
        <v>0</v>
      </c>
      <c r="Y1172">
        <f>N1172-X1172</f>
        <v>40.35</v>
      </c>
      <c r="Z1172">
        <f>SUMIF(货件明细!J:J,E1172,货件明细!I:I)</f>
        <v>0</v>
      </c>
      <c r="AA1172">
        <f>IF(S1172=Z1172,0,1)</f>
        <v>1</v>
      </c>
    </row>
    <row r="1173" hidden="1" spans="1:27">
      <c r="A1173">
        <v>2</v>
      </c>
      <c r="B1173">
        <v>9</v>
      </c>
      <c r="C1173" s="3">
        <v>46081</v>
      </c>
      <c r="D1173" t="s">
        <v>27</v>
      </c>
      <c r="E1173" t="s">
        <v>1290</v>
      </c>
      <c r="F1173" t="s">
        <v>200</v>
      </c>
      <c r="G1173" t="s">
        <v>30</v>
      </c>
      <c r="H1173" t="s">
        <v>51</v>
      </c>
      <c r="I1173" t="s">
        <v>92</v>
      </c>
      <c r="J1173" t="s">
        <v>92</v>
      </c>
      <c r="K1173" t="s">
        <v>64</v>
      </c>
      <c r="L1173" t="s">
        <v>65</v>
      </c>
      <c r="M1173" t="s">
        <v>93</v>
      </c>
      <c r="N1173">
        <v>40.35</v>
      </c>
      <c r="O1173">
        <v>8.44444444444444</v>
      </c>
      <c r="P1173">
        <v>438.75</v>
      </c>
      <c r="Q1173">
        <v>447.194444444445</v>
      </c>
      <c r="R1173">
        <v>0</v>
      </c>
      <c r="S1173">
        <v>447.194444444445</v>
      </c>
      <c r="T1173">
        <v>166</v>
      </c>
      <c r="U1173">
        <f>SUMIF(货件明细!J:J,E1173,货件明细!AP:AP)</f>
        <v>0</v>
      </c>
      <c r="V1173">
        <f>IF(U1173=T1173,0,1)</f>
        <v>1</v>
      </c>
      <c r="W1173">
        <f>T1173</f>
        <v>166</v>
      </c>
      <c r="X1173">
        <f>SUMIF(货件明细!J:J,E1173,货件明细!H:H)</f>
        <v>0</v>
      </c>
      <c r="Y1173">
        <f>N1173-X1173</f>
        <v>40.35</v>
      </c>
      <c r="Z1173">
        <f>SUMIF(货件明细!J:J,E1173,货件明细!I:I)</f>
        <v>0</v>
      </c>
      <c r="AA1173">
        <f>IF(S1173=Z1173,0,1)</f>
        <v>1</v>
      </c>
    </row>
    <row r="1174" hidden="1" spans="1:27">
      <c r="A1174">
        <v>2</v>
      </c>
      <c r="B1174">
        <v>9</v>
      </c>
      <c r="C1174" s="3">
        <v>46081</v>
      </c>
      <c r="D1174" t="s">
        <v>27</v>
      </c>
      <c r="E1174" t="s">
        <v>1291</v>
      </c>
      <c r="F1174" t="s">
        <v>185</v>
      </c>
      <c r="G1174" t="s">
        <v>30</v>
      </c>
      <c r="H1174" t="s">
        <v>37</v>
      </c>
      <c r="I1174" t="s">
        <v>92</v>
      </c>
      <c r="J1174" t="s">
        <v>92</v>
      </c>
      <c r="K1174" t="s">
        <v>64</v>
      </c>
      <c r="L1174" t="s">
        <v>65</v>
      </c>
      <c r="M1174" t="s">
        <v>93</v>
      </c>
      <c r="N1174">
        <v>60.8</v>
      </c>
      <c r="O1174">
        <v>8.44444444444444</v>
      </c>
      <c r="P1174">
        <v>363.5775</v>
      </c>
      <c r="Q1174">
        <v>372.021944444444</v>
      </c>
      <c r="R1174">
        <v>0</v>
      </c>
      <c r="S1174">
        <v>372.021944444444</v>
      </c>
      <c r="T1174">
        <v>380</v>
      </c>
      <c r="U1174">
        <f>SUMIF(货件明细!J:J,E1174,货件明细!AP:AP)</f>
        <v>0</v>
      </c>
      <c r="V1174">
        <f>IF(U1174=T1174,0,1)</f>
        <v>1</v>
      </c>
      <c r="W1174">
        <f>T1174</f>
        <v>380</v>
      </c>
      <c r="X1174">
        <f>SUMIF(货件明细!J:J,E1174,货件明细!H:H)</f>
        <v>0</v>
      </c>
      <c r="Y1174">
        <f>N1174-X1174</f>
        <v>60.8</v>
      </c>
      <c r="Z1174">
        <f>SUMIF(货件明细!J:J,E1174,货件明细!I:I)</f>
        <v>0</v>
      </c>
      <c r="AA1174">
        <f>IF(S1174=Z1174,0,1)</f>
        <v>1</v>
      </c>
    </row>
    <row r="1175" hidden="1" spans="1:27">
      <c r="A1175">
        <v>2</v>
      </c>
      <c r="B1175">
        <v>9</v>
      </c>
      <c r="C1175" s="3">
        <v>46081</v>
      </c>
      <c r="D1175" t="s">
        <v>27</v>
      </c>
      <c r="E1175" t="s">
        <v>1292</v>
      </c>
      <c r="F1175" t="s">
        <v>250</v>
      </c>
      <c r="G1175" t="s">
        <v>72</v>
      </c>
      <c r="H1175" t="s">
        <v>37</v>
      </c>
      <c r="I1175" t="s">
        <v>92</v>
      </c>
      <c r="J1175" t="s">
        <v>92</v>
      </c>
      <c r="K1175" t="s">
        <v>64</v>
      </c>
      <c r="L1175" t="s">
        <v>65</v>
      </c>
      <c r="M1175" t="s">
        <v>93</v>
      </c>
      <c r="N1175">
        <v>60.8</v>
      </c>
      <c r="O1175">
        <v>8.44444444444444</v>
      </c>
      <c r="P1175">
        <v>248.4</v>
      </c>
      <c r="Q1175">
        <v>256.844444444444</v>
      </c>
      <c r="R1175">
        <v>0</v>
      </c>
      <c r="S1175">
        <v>256.844444444444</v>
      </c>
      <c r="T1175">
        <v>380</v>
      </c>
      <c r="U1175">
        <f>SUMIF(货件明细!J:J,E1175,货件明细!AP:AP)</f>
        <v>0</v>
      </c>
      <c r="V1175">
        <f>IF(U1175=T1175,0,1)</f>
        <v>1</v>
      </c>
      <c r="W1175">
        <f>T1175</f>
        <v>380</v>
      </c>
      <c r="X1175">
        <f>SUMIF(货件明细!J:J,E1175,货件明细!H:H)</f>
        <v>0</v>
      </c>
      <c r="Y1175">
        <f>N1175-X1175</f>
        <v>60.8</v>
      </c>
      <c r="Z1175">
        <f>SUMIF(货件明细!J:J,E1175,货件明细!I:I)</f>
        <v>0</v>
      </c>
      <c r="AA1175">
        <f>IF(S1175=Z1175,0,1)</f>
        <v>1</v>
      </c>
    </row>
    <row r="1176" hidden="1" spans="1:27">
      <c r="A1176">
        <v>2</v>
      </c>
      <c r="B1176">
        <v>9</v>
      </c>
      <c r="C1176" s="3">
        <v>46081</v>
      </c>
      <c r="D1176" t="s">
        <v>27</v>
      </c>
      <c r="E1176" t="s">
        <v>1293</v>
      </c>
      <c r="F1176" t="s">
        <v>548</v>
      </c>
      <c r="G1176" t="s">
        <v>72</v>
      </c>
      <c r="H1176" t="s">
        <v>37</v>
      </c>
      <c r="I1176" t="s">
        <v>92</v>
      </c>
      <c r="J1176" t="s">
        <v>92</v>
      </c>
      <c r="K1176" t="s">
        <v>64</v>
      </c>
      <c r="L1176" t="s">
        <v>65</v>
      </c>
      <c r="M1176" t="s">
        <v>93</v>
      </c>
      <c r="N1176">
        <v>60.8</v>
      </c>
      <c r="O1176">
        <v>8.44444444444444</v>
      </c>
      <c r="P1176">
        <v>221.55</v>
      </c>
      <c r="Q1176">
        <v>229.994444444444</v>
      </c>
      <c r="R1176">
        <v>0</v>
      </c>
      <c r="S1176">
        <v>229.994444444444</v>
      </c>
      <c r="T1176">
        <v>380</v>
      </c>
      <c r="U1176">
        <f>SUMIF(货件明细!J:J,E1176,货件明细!AP:AP)</f>
        <v>0</v>
      </c>
      <c r="V1176">
        <f>IF(U1176=T1176,0,1)</f>
        <v>1</v>
      </c>
      <c r="W1176">
        <f>T1176</f>
        <v>380</v>
      </c>
      <c r="X1176">
        <f>SUMIF(货件明细!J:J,E1176,货件明细!H:H)</f>
        <v>0</v>
      </c>
      <c r="Y1176">
        <f>N1176-X1176</f>
        <v>60.8</v>
      </c>
      <c r="Z1176">
        <f>SUMIF(货件明细!J:J,E1176,货件明细!I:I)</f>
        <v>0</v>
      </c>
      <c r="AA1176">
        <f>IF(S1176=Z1176,0,1)</f>
        <v>1</v>
      </c>
    </row>
    <row r="1177" hidden="1" spans="1:27">
      <c r="A1177">
        <v>2</v>
      </c>
      <c r="B1177">
        <v>9</v>
      </c>
      <c r="C1177" s="3">
        <v>46081</v>
      </c>
      <c r="D1177" t="s">
        <v>27</v>
      </c>
      <c r="E1177" t="s">
        <v>1294</v>
      </c>
      <c r="F1177" t="s">
        <v>187</v>
      </c>
      <c r="G1177" t="s">
        <v>72</v>
      </c>
      <c r="H1177" t="s">
        <v>37</v>
      </c>
      <c r="I1177" t="s">
        <v>92</v>
      </c>
      <c r="J1177" t="s">
        <v>92</v>
      </c>
      <c r="K1177" t="s">
        <v>64</v>
      </c>
      <c r="L1177" t="s">
        <v>65</v>
      </c>
      <c r="M1177" t="s">
        <v>93</v>
      </c>
      <c r="N1177">
        <v>60.8</v>
      </c>
      <c r="O1177">
        <v>8.44444444444444</v>
      </c>
      <c r="P1177">
        <v>221.55</v>
      </c>
      <c r="Q1177">
        <v>229.994444444444</v>
      </c>
      <c r="R1177">
        <v>0</v>
      </c>
      <c r="S1177">
        <v>229.994444444444</v>
      </c>
      <c r="T1177">
        <v>380</v>
      </c>
      <c r="U1177">
        <f>SUMIF(货件明细!J:J,E1177,货件明细!AP:AP)</f>
        <v>0</v>
      </c>
      <c r="V1177">
        <f>IF(U1177=T1177,0,1)</f>
        <v>1</v>
      </c>
      <c r="W1177">
        <f>T1177</f>
        <v>380</v>
      </c>
      <c r="X1177">
        <f>SUMIF(货件明细!J:J,E1177,货件明细!H:H)</f>
        <v>0</v>
      </c>
      <c r="Y1177">
        <f>N1177-X1177</f>
        <v>60.8</v>
      </c>
      <c r="Z1177">
        <f>SUMIF(货件明细!J:J,E1177,货件明细!I:I)</f>
        <v>0</v>
      </c>
      <c r="AA1177">
        <f>IF(S1177=Z1177,0,1)</f>
        <v>1</v>
      </c>
    </row>
    <row r="1178" hidden="1" spans="1:27">
      <c r="A1178">
        <v>2</v>
      </c>
      <c r="B1178">
        <v>9</v>
      </c>
      <c r="C1178" s="3">
        <v>46081</v>
      </c>
      <c r="D1178" t="s">
        <v>27</v>
      </c>
      <c r="E1178" t="s">
        <v>1295</v>
      </c>
      <c r="F1178" t="s">
        <v>200</v>
      </c>
      <c r="G1178" t="s">
        <v>30</v>
      </c>
      <c r="H1178" t="s">
        <v>37</v>
      </c>
      <c r="I1178" t="s">
        <v>92</v>
      </c>
      <c r="J1178" t="s">
        <v>92</v>
      </c>
      <c r="K1178" t="s">
        <v>64</v>
      </c>
      <c r="L1178" t="s">
        <v>65</v>
      </c>
      <c r="M1178" t="s">
        <v>93</v>
      </c>
      <c r="N1178">
        <v>60.8</v>
      </c>
      <c r="O1178">
        <v>8.44444444444444</v>
      </c>
      <c r="P1178">
        <v>341.25</v>
      </c>
      <c r="Q1178">
        <v>349.694444444444</v>
      </c>
      <c r="R1178">
        <v>0</v>
      </c>
      <c r="S1178">
        <v>349.694444444444</v>
      </c>
      <c r="T1178">
        <v>380</v>
      </c>
      <c r="U1178">
        <f>SUMIF(货件明细!J:J,E1178,货件明细!AP:AP)</f>
        <v>0</v>
      </c>
      <c r="V1178">
        <f>IF(U1178=T1178,0,1)</f>
        <v>1</v>
      </c>
      <c r="W1178">
        <f>T1178</f>
        <v>380</v>
      </c>
      <c r="X1178">
        <f>SUMIF(货件明细!J:J,E1178,货件明细!H:H)</f>
        <v>0</v>
      </c>
      <c r="Y1178">
        <f>N1178-X1178</f>
        <v>60.8</v>
      </c>
      <c r="Z1178">
        <f>SUMIF(货件明细!J:J,E1178,货件明细!I:I)</f>
        <v>0</v>
      </c>
      <c r="AA1178">
        <f>IF(S1178=Z1178,0,1)</f>
        <v>1</v>
      </c>
    </row>
    <row r="1179" hidden="1" spans="1:27">
      <c r="A1179">
        <v>2</v>
      </c>
      <c r="B1179">
        <v>9</v>
      </c>
      <c r="C1179" s="3">
        <v>46081</v>
      </c>
      <c r="D1179" t="s">
        <v>27</v>
      </c>
      <c r="E1179" t="s">
        <v>1296</v>
      </c>
      <c r="F1179" t="s">
        <v>185</v>
      </c>
      <c r="G1179" t="s">
        <v>30</v>
      </c>
      <c r="H1179" t="s">
        <v>78</v>
      </c>
      <c r="I1179" t="s">
        <v>92</v>
      </c>
      <c r="J1179" t="s">
        <v>92</v>
      </c>
      <c r="K1179" t="s">
        <v>64</v>
      </c>
      <c r="L1179" t="s">
        <v>65</v>
      </c>
      <c r="M1179" t="s">
        <v>93</v>
      </c>
      <c r="N1179">
        <v>10.25</v>
      </c>
      <c r="O1179">
        <v>8.44444444444444</v>
      </c>
      <c r="P1179">
        <v>121.1925</v>
      </c>
      <c r="Q1179">
        <v>129.636944444444</v>
      </c>
      <c r="R1179">
        <v>0</v>
      </c>
      <c r="S1179">
        <v>129.636944444444</v>
      </c>
      <c r="T1179">
        <v>92</v>
      </c>
      <c r="U1179">
        <f>SUMIF(货件明细!J:J,E1179,货件明细!AP:AP)</f>
        <v>0</v>
      </c>
      <c r="V1179">
        <f>IF(U1179=T1179,0,1)</f>
        <v>1</v>
      </c>
      <c r="W1179">
        <f>T1179</f>
        <v>92</v>
      </c>
      <c r="X1179">
        <f>SUMIF(货件明细!J:J,E1179,货件明细!H:H)</f>
        <v>0</v>
      </c>
      <c r="Y1179">
        <f>N1179-X1179</f>
        <v>10.25</v>
      </c>
      <c r="Z1179">
        <f>SUMIF(货件明细!J:J,E1179,货件明细!I:I)</f>
        <v>0</v>
      </c>
      <c r="AA1179">
        <f>IF(S1179=Z1179,0,1)</f>
        <v>1</v>
      </c>
    </row>
    <row r="1180" hidden="1" spans="1:27">
      <c r="A1180">
        <v>2</v>
      </c>
      <c r="B1180">
        <v>9</v>
      </c>
      <c r="C1180" s="3">
        <v>46081</v>
      </c>
      <c r="D1180" t="s">
        <v>27</v>
      </c>
      <c r="E1180" t="s">
        <v>1297</v>
      </c>
      <c r="F1180" t="s">
        <v>250</v>
      </c>
      <c r="G1180" t="s">
        <v>72</v>
      </c>
      <c r="H1180" t="s">
        <v>78</v>
      </c>
      <c r="I1180" t="s">
        <v>92</v>
      </c>
      <c r="J1180" t="s">
        <v>92</v>
      </c>
      <c r="K1180" t="s">
        <v>64</v>
      </c>
      <c r="L1180" t="s">
        <v>65</v>
      </c>
      <c r="M1180" t="s">
        <v>93</v>
      </c>
      <c r="N1180">
        <v>10.25</v>
      </c>
      <c r="O1180">
        <v>8.44444444444444</v>
      </c>
      <c r="P1180">
        <v>82.8</v>
      </c>
      <c r="Q1180">
        <v>91.2444444444444</v>
      </c>
      <c r="R1180">
        <v>0</v>
      </c>
      <c r="S1180">
        <v>91.2444444444444</v>
      </c>
      <c r="T1180">
        <v>92</v>
      </c>
      <c r="U1180">
        <f>SUMIF(货件明细!J:J,E1180,货件明细!AP:AP)</f>
        <v>0</v>
      </c>
      <c r="V1180">
        <f>IF(U1180=T1180,0,1)</f>
        <v>1</v>
      </c>
      <c r="W1180">
        <f>T1180</f>
        <v>92</v>
      </c>
      <c r="X1180">
        <f>SUMIF(货件明细!J:J,E1180,货件明细!H:H)</f>
        <v>0</v>
      </c>
      <c r="Y1180">
        <f>N1180-X1180</f>
        <v>10.25</v>
      </c>
      <c r="Z1180">
        <f>SUMIF(货件明细!J:J,E1180,货件明细!I:I)</f>
        <v>0</v>
      </c>
      <c r="AA1180">
        <f>IF(S1180=Z1180,0,1)</f>
        <v>1</v>
      </c>
    </row>
    <row r="1181" hidden="1" spans="1:27">
      <c r="A1181">
        <v>2</v>
      </c>
      <c r="B1181">
        <v>9</v>
      </c>
      <c r="C1181" s="3">
        <v>46081</v>
      </c>
      <c r="D1181" t="s">
        <v>27</v>
      </c>
      <c r="E1181" t="s">
        <v>1298</v>
      </c>
      <c r="F1181" t="s">
        <v>548</v>
      </c>
      <c r="G1181" t="s">
        <v>72</v>
      </c>
      <c r="H1181" t="s">
        <v>78</v>
      </c>
      <c r="I1181" t="s">
        <v>92</v>
      </c>
      <c r="J1181" t="s">
        <v>92</v>
      </c>
      <c r="K1181" t="s">
        <v>64</v>
      </c>
      <c r="L1181" t="s">
        <v>65</v>
      </c>
      <c r="M1181" t="s">
        <v>93</v>
      </c>
      <c r="N1181">
        <v>10.25</v>
      </c>
      <c r="O1181">
        <v>8.44444444444444</v>
      </c>
      <c r="P1181">
        <v>42.2</v>
      </c>
      <c r="Q1181">
        <v>50.6444444444444</v>
      </c>
      <c r="R1181">
        <v>0</v>
      </c>
      <c r="S1181">
        <v>50.6444444444444</v>
      </c>
      <c r="T1181">
        <v>92</v>
      </c>
      <c r="U1181">
        <f>SUMIF(货件明细!J:J,E1181,货件明细!AP:AP)</f>
        <v>0</v>
      </c>
      <c r="V1181">
        <f>IF(U1181=T1181,0,1)</f>
        <v>1</v>
      </c>
      <c r="W1181">
        <f>T1181</f>
        <v>92</v>
      </c>
      <c r="X1181">
        <f>SUMIF(货件明细!J:J,E1181,货件明细!H:H)</f>
        <v>0</v>
      </c>
      <c r="Y1181">
        <f>N1181-X1181</f>
        <v>10.25</v>
      </c>
      <c r="Z1181">
        <f>SUMIF(货件明细!J:J,E1181,货件明细!I:I)</f>
        <v>0</v>
      </c>
      <c r="AA1181">
        <f>IF(S1181=Z1181,0,1)</f>
        <v>1</v>
      </c>
    </row>
    <row r="1182" hidden="1" spans="1:27">
      <c r="A1182">
        <v>2</v>
      </c>
      <c r="B1182">
        <v>9</v>
      </c>
      <c r="C1182" s="3">
        <v>46081</v>
      </c>
      <c r="D1182" t="s">
        <v>27</v>
      </c>
      <c r="E1182" t="s">
        <v>1299</v>
      </c>
      <c r="F1182" t="s">
        <v>187</v>
      </c>
      <c r="G1182" t="s">
        <v>72</v>
      </c>
      <c r="H1182" t="s">
        <v>78</v>
      </c>
      <c r="I1182" t="s">
        <v>92</v>
      </c>
      <c r="J1182" t="s">
        <v>92</v>
      </c>
      <c r="K1182" t="s">
        <v>64</v>
      </c>
      <c r="L1182" t="s">
        <v>65</v>
      </c>
      <c r="M1182" t="s">
        <v>93</v>
      </c>
      <c r="N1182">
        <v>10.25</v>
      </c>
      <c r="O1182">
        <v>8.44444444444444</v>
      </c>
      <c r="P1182">
        <v>42.2</v>
      </c>
      <c r="Q1182">
        <v>50.6444444444444</v>
      </c>
      <c r="R1182">
        <v>0</v>
      </c>
      <c r="S1182">
        <v>50.6444444444444</v>
      </c>
      <c r="T1182">
        <v>92</v>
      </c>
      <c r="U1182">
        <f>SUMIF(货件明细!J:J,E1182,货件明细!AP:AP)</f>
        <v>0</v>
      </c>
      <c r="V1182">
        <f>IF(U1182=T1182,0,1)</f>
        <v>1</v>
      </c>
      <c r="W1182">
        <f>T1182</f>
        <v>92</v>
      </c>
      <c r="X1182">
        <f>SUMIF(货件明细!J:J,E1182,货件明细!H:H)</f>
        <v>0</v>
      </c>
      <c r="Y1182">
        <f>N1182-X1182</f>
        <v>10.25</v>
      </c>
      <c r="Z1182">
        <f>SUMIF(货件明细!J:J,E1182,货件明细!I:I)</f>
        <v>0</v>
      </c>
      <c r="AA1182">
        <f>IF(S1182=Z1182,0,1)</f>
        <v>1</v>
      </c>
    </row>
    <row r="1183" hidden="1" spans="1:27">
      <c r="A1183">
        <v>2</v>
      </c>
      <c r="B1183">
        <v>9</v>
      </c>
      <c r="C1183" s="3">
        <v>46081</v>
      </c>
      <c r="D1183" t="s">
        <v>27</v>
      </c>
      <c r="E1183" t="s">
        <v>1300</v>
      </c>
      <c r="F1183" t="s">
        <v>200</v>
      </c>
      <c r="G1183" t="s">
        <v>30</v>
      </c>
      <c r="H1183" t="s">
        <v>78</v>
      </c>
      <c r="I1183" t="s">
        <v>92</v>
      </c>
      <c r="J1183" t="s">
        <v>92</v>
      </c>
      <c r="K1183" t="s">
        <v>64</v>
      </c>
      <c r="L1183" t="s">
        <v>65</v>
      </c>
      <c r="M1183" t="s">
        <v>93</v>
      </c>
      <c r="N1183">
        <v>10.25</v>
      </c>
      <c r="O1183">
        <v>8.44444444444444</v>
      </c>
      <c r="P1183">
        <v>65</v>
      </c>
      <c r="Q1183">
        <v>73.4444444444444</v>
      </c>
      <c r="R1183">
        <v>0</v>
      </c>
      <c r="S1183">
        <v>73.4444444444444</v>
      </c>
      <c r="T1183">
        <v>92</v>
      </c>
      <c r="U1183">
        <f>SUMIF(货件明细!J:J,E1183,货件明细!AP:AP)</f>
        <v>0</v>
      </c>
      <c r="V1183">
        <f>IF(U1183=T1183,0,1)</f>
        <v>1</v>
      </c>
      <c r="W1183">
        <f>T1183</f>
        <v>92</v>
      </c>
      <c r="X1183">
        <f>SUMIF(货件明细!J:J,E1183,货件明细!H:H)</f>
        <v>0</v>
      </c>
      <c r="Y1183">
        <f>N1183-X1183</f>
        <v>10.25</v>
      </c>
      <c r="Z1183">
        <f>SUMIF(货件明细!J:J,E1183,货件明细!I:I)</f>
        <v>0</v>
      </c>
      <c r="AA1183">
        <f>IF(S1183=Z1183,0,1)</f>
        <v>1</v>
      </c>
    </row>
    <row r="1184" hidden="1" spans="1:27">
      <c r="A1184">
        <v>2</v>
      </c>
      <c r="B1184">
        <v>9</v>
      </c>
      <c r="C1184" s="3">
        <v>46081</v>
      </c>
      <c r="D1184" t="s">
        <v>27</v>
      </c>
      <c r="E1184" t="s">
        <v>1301</v>
      </c>
      <c r="F1184" t="s">
        <v>185</v>
      </c>
      <c r="G1184" t="s">
        <v>30</v>
      </c>
      <c r="H1184" t="s">
        <v>31</v>
      </c>
      <c r="I1184" t="s">
        <v>92</v>
      </c>
      <c r="J1184" t="s">
        <v>92</v>
      </c>
      <c r="K1184" t="s">
        <v>64</v>
      </c>
      <c r="L1184" t="s">
        <v>65</v>
      </c>
      <c r="M1184" t="s">
        <v>93</v>
      </c>
      <c r="N1184">
        <v>65.85</v>
      </c>
      <c r="O1184">
        <v>8.44444444444444</v>
      </c>
      <c r="P1184">
        <v>363.5775</v>
      </c>
      <c r="Q1184">
        <v>372.021944444444</v>
      </c>
      <c r="R1184">
        <v>0</v>
      </c>
      <c r="S1184">
        <v>372.021944444444</v>
      </c>
      <c r="T1184">
        <v>266</v>
      </c>
      <c r="U1184">
        <f>SUMIF(货件明细!J:J,E1184,货件明细!AP:AP)</f>
        <v>0</v>
      </c>
      <c r="V1184">
        <f>IF(U1184=T1184,0,1)</f>
        <v>1</v>
      </c>
      <c r="W1184">
        <f>T1184</f>
        <v>266</v>
      </c>
      <c r="X1184">
        <f>SUMIF(货件明细!J:J,E1184,货件明细!H:H)</f>
        <v>0</v>
      </c>
      <c r="Y1184">
        <f>N1184-X1184</f>
        <v>65.85</v>
      </c>
      <c r="Z1184">
        <f>SUMIF(货件明细!J:J,E1184,货件明细!I:I)</f>
        <v>0</v>
      </c>
      <c r="AA1184">
        <f>IF(S1184=Z1184,0,1)</f>
        <v>1</v>
      </c>
    </row>
    <row r="1185" hidden="1" spans="1:27">
      <c r="A1185">
        <v>2</v>
      </c>
      <c r="B1185">
        <v>9</v>
      </c>
      <c r="C1185" s="3">
        <v>46081</v>
      </c>
      <c r="D1185" t="s">
        <v>27</v>
      </c>
      <c r="E1185" t="s">
        <v>1302</v>
      </c>
      <c r="F1185" t="s">
        <v>250</v>
      </c>
      <c r="G1185" t="s">
        <v>72</v>
      </c>
      <c r="H1185" t="s">
        <v>31</v>
      </c>
      <c r="I1185" t="s">
        <v>92</v>
      </c>
      <c r="J1185" t="s">
        <v>92</v>
      </c>
      <c r="K1185" t="s">
        <v>64</v>
      </c>
      <c r="L1185" t="s">
        <v>65</v>
      </c>
      <c r="M1185" t="s">
        <v>93</v>
      </c>
      <c r="N1185">
        <v>65.85</v>
      </c>
      <c r="O1185">
        <v>8.44444444444444</v>
      </c>
      <c r="P1185">
        <v>248.4</v>
      </c>
      <c r="Q1185">
        <v>256.844444444444</v>
      </c>
      <c r="R1185">
        <v>0</v>
      </c>
      <c r="S1185">
        <v>256.844444444444</v>
      </c>
      <c r="T1185">
        <v>266</v>
      </c>
      <c r="U1185">
        <f>SUMIF(货件明细!J:J,E1185,货件明细!AP:AP)</f>
        <v>0</v>
      </c>
      <c r="V1185">
        <f>IF(U1185=T1185,0,1)</f>
        <v>1</v>
      </c>
      <c r="W1185">
        <f>T1185</f>
        <v>266</v>
      </c>
      <c r="X1185">
        <f>SUMIF(货件明细!J:J,E1185,货件明细!H:H)</f>
        <v>0</v>
      </c>
      <c r="Y1185">
        <f>N1185-X1185</f>
        <v>65.85</v>
      </c>
      <c r="Z1185">
        <f>SUMIF(货件明细!J:J,E1185,货件明细!I:I)</f>
        <v>0</v>
      </c>
      <c r="AA1185">
        <f>IF(S1185=Z1185,0,1)</f>
        <v>1</v>
      </c>
    </row>
    <row r="1186" hidden="1" spans="1:27">
      <c r="A1186">
        <v>2</v>
      </c>
      <c r="B1186">
        <v>9</v>
      </c>
      <c r="C1186" s="3">
        <v>46081</v>
      </c>
      <c r="D1186" t="s">
        <v>27</v>
      </c>
      <c r="E1186" t="s">
        <v>1303</v>
      </c>
      <c r="F1186" t="s">
        <v>548</v>
      </c>
      <c r="G1186" t="s">
        <v>72</v>
      </c>
      <c r="H1186" t="s">
        <v>31</v>
      </c>
      <c r="I1186" t="s">
        <v>92</v>
      </c>
      <c r="J1186" t="s">
        <v>92</v>
      </c>
      <c r="K1186" t="s">
        <v>64</v>
      </c>
      <c r="L1186" t="s">
        <v>65</v>
      </c>
      <c r="M1186" t="s">
        <v>93</v>
      </c>
      <c r="N1186">
        <v>65.85</v>
      </c>
      <c r="O1186">
        <v>8.44444444444444</v>
      </c>
      <c r="P1186">
        <v>284.85</v>
      </c>
      <c r="Q1186">
        <v>293.294444444444</v>
      </c>
      <c r="R1186">
        <v>0</v>
      </c>
      <c r="S1186">
        <v>293.294444444444</v>
      </c>
      <c r="T1186">
        <v>266</v>
      </c>
      <c r="U1186">
        <f>SUMIF(货件明细!J:J,E1186,货件明细!AP:AP)</f>
        <v>0</v>
      </c>
      <c r="V1186">
        <f>IF(U1186=T1186,0,1)</f>
        <v>1</v>
      </c>
      <c r="W1186">
        <f>T1186</f>
        <v>266</v>
      </c>
      <c r="X1186">
        <f>SUMIF(货件明细!J:J,E1186,货件明细!H:H)</f>
        <v>0</v>
      </c>
      <c r="Y1186">
        <f>N1186-X1186</f>
        <v>65.85</v>
      </c>
      <c r="Z1186">
        <f>SUMIF(货件明细!J:J,E1186,货件明细!I:I)</f>
        <v>0</v>
      </c>
      <c r="AA1186">
        <f>IF(S1186=Z1186,0,1)</f>
        <v>1</v>
      </c>
    </row>
    <row r="1187" hidden="1" spans="1:27">
      <c r="A1187">
        <v>2</v>
      </c>
      <c r="B1187">
        <v>9</v>
      </c>
      <c r="C1187" s="3">
        <v>46081</v>
      </c>
      <c r="D1187" t="s">
        <v>27</v>
      </c>
      <c r="E1187" t="s">
        <v>1304</v>
      </c>
      <c r="F1187" t="s">
        <v>187</v>
      </c>
      <c r="G1187" t="s">
        <v>72</v>
      </c>
      <c r="H1187" t="s">
        <v>31</v>
      </c>
      <c r="I1187" t="s">
        <v>92</v>
      </c>
      <c r="J1187" t="s">
        <v>92</v>
      </c>
      <c r="K1187" t="s">
        <v>64</v>
      </c>
      <c r="L1187" t="s">
        <v>65</v>
      </c>
      <c r="M1187" t="s">
        <v>93</v>
      </c>
      <c r="N1187">
        <v>65.85</v>
      </c>
      <c r="O1187">
        <v>8.44444444444444</v>
      </c>
      <c r="P1187">
        <v>284.85</v>
      </c>
      <c r="Q1187">
        <v>293.294444444444</v>
      </c>
      <c r="R1187">
        <v>0</v>
      </c>
      <c r="S1187">
        <v>293.294444444444</v>
      </c>
      <c r="T1187">
        <v>266</v>
      </c>
      <c r="U1187">
        <f>SUMIF(货件明细!J:J,E1187,货件明细!AP:AP)</f>
        <v>0</v>
      </c>
      <c r="V1187">
        <f>IF(U1187=T1187,0,1)</f>
        <v>1</v>
      </c>
      <c r="W1187">
        <f>T1187</f>
        <v>266</v>
      </c>
      <c r="X1187">
        <f>SUMIF(货件明细!J:J,E1187,货件明细!H:H)</f>
        <v>0</v>
      </c>
      <c r="Y1187">
        <f>N1187-X1187</f>
        <v>65.85</v>
      </c>
      <c r="Z1187">
        <f>SUMIF(货件明细!J:J,E1187,货件明细!I:I)</f>
        <v>0</v>
      </c>
      <c r="AA1187">
        <f>IF(S1187=Z1187,0,1)</f>
        <v>1</v>
      </c>
    </row>
    <row r="1188" hidden="1" spans="1:27">
      <c r="A1188">
        <v>2</v>
      </c>
      <c r="B1188">
        <v>9</v>
      </c>
      <c r="C1188" s="3">
        <v>46081</v>
      </c>
      <c r="D1188" t="s">
        <v>27</v>
      </c>
      <c r="E1188" t="s">
        <v>1305</v>
      </c>
      <c r="F1188" t="s">
        <v>200</v>
      </c>
      <c r="G1188" t="s">
        <v>30</v>
      </c>
      <c r="H1188" t="s">
        <v>31</v>
      </c>
      <c r="I1188" t="s">
        <v>92</v>
      </c>
      <c r="J1188" t="s">
        <v>92</v>
      </c>
      <c r="K1188" t="s">
        <v>64</v>
      </c>
      <c r="L1188" t="s">
        <v>65</v>
      </c>
      <c r="M1188" t="s">
        <v>93</v>
      </c>
      <c r="N1188">
        <v>65.85</v>
      </c>
      <c r="O1188">
        <v>8.44444444444444</v>
      </c>
      <c r="P1188">
        <v>455</v>
      </c>
      <c r="Q1188">
        <v>463.444444444445</v>
      </c>
      <c r="R1188">
        <v>0</v>
      </c>
      <c r="S1188">
        <v>463.444444444445</v>
      </c>
      <c r="T1188">
        <v>266</v>
      </c>
      <c r="U1188">
        <f>SUMIF(货件明细!J:J,E1188,货件明细!AP:AP)</f>
        <v>0</v>
      </c>
      <c r="V1188">
        <f>IF(U1188=T1188,0,1)</f>
        <v>1</v>
      </c>
      <c r="W1188">
        <f>T1188</f>
        <v>266</v>
      </c>
      <c r="X1188">
        <f>SUMIF(货件明细!J:J,E1188,货件明细!H:H)</f>
        <v>0</v>
      </c>
      <c r="Y1188">
        <f>N1188-X1188</f>
        <v>65.85</v>
      </c>
      <c r="Z1188">
        <f>SUMIF(货件明细!J:J,E1188,货件明细!I:I)</f>
        <v>0</v>
      </c>
      <c r="AA1188">
        <f>IF(S1188=Z1188,0,1)</f>
        <v>1</v>
      </c>
    </row>
    <row r="1189" hidden="1" spans="1:27">
      <c r="A1189">
        <v>2</v>
      </c>
      <c r="B1189">
        <v>9</v>
      </c>
      <c r="C1189" s="3">
        <v>46081</v>
      </c>
      <c r="D1189" t="s">
        <v>27</v>
      </c>
      <c r="E1189" t="s">
        <v>1306</v>
      </c>
      <c r="F1189" t="s">
        <v>185</v>
      </c>
      <c r="G1189" t="s">
        <v>30</v>
      </c>
      <c r="H1189" t="s">
        <v>39</v>
      </c>
      <c r="I1189" t="s">
        <v>92</v>
      </c>
      <c r="J1189" t="s">
        <v>92</v>
      </c>
      <c r="K1189" t="s">
        <v>64</v>
      </c>
      <c r="L1189" t="s">
        <v>65</v>
      </c>
      <c r="M1189" t="s">
        <v>93</v>
      </c>
      <c r="N1189">
        <v>49.35</v>
      </c>
      <c r="O1189">
        <v>8.44444444444444</v>
      </c>
      <c r="P1189">
        <v>363.5775</v>
      </c>
      <c r="Q1189">
        <v>372.021944444444</v>
      </c>
      <c r="R1189">
        <v>0</v>
      </c>
      <c r="S1189">
        <v>372.021944444444</v>
      </c>
      <c r="T1189">
        <v>103</v>
      </c>
      <c r="U1189">
        <f>SUMIF(货件明细!J:J,E1189,货件明细!AP:AP)</f>
        <v>0</v>
      </c>
      <c r="V1189">
        <f>IF(U1189=T1189,0,1)</f>
        <v>1</v>
      </c>
      <c r="W1189">
        <f>T1189</f>
        <v>103</v>
      </c>
      <c r="X1189">
        <f>SUMIF(货件明细!J:J,E1189,货件明细!H:H)</f>
        <v>0</v>
      </c>
      <c r="Y1189">
        <f>N1189-X1189</f>
        <v>49.35</v>
      </c>
      <c r="Z1189">
        <f>SUMIF(货件明细!J:J,E1189,货件明细!I:I)</f>
        <v>0</v>
      </c>
      <c r="AA1189">
        <f>IF(S1189=Z1189,0,1)</f>
        <v>1</v>
      </c>
    </row>
    <row r="1190" hidden="1" spans="1:27">
      <c r="A1190">
        <v>2</v>
      </c>
      <c r="B1190">
        <v>9</v>
      </c>
      <c r="C1190" s="3">
        <v>46081</v>
      </c>
      <c r="D1190" t="s">
        <v>27</v>
      </c>
      <c r="E1190" t="s">
        <v>1307</v>
      </c>
      <c r="F1190" t="s">
        <v>250</v>
      </c>
      <c r="G1190" t="s">
        <v>72</v>
      </c>
      <c r="H1190" t="s">
        <v>39</v>
      </c>
      <c r="I1190" t="s">
        <v>92</v>
      </c>
      <c r="J1190" t="s">
        <v>92</v>
      </c>
      <c r="K1190" t="s">
        <v>64</v>
      </c>
      <c r="L1190" t="s">
        <v>65</v>
      </c>
      <c r="M1190" t="s">
        <v>93</v>
      </c>
      <c r="N1190">
        <v>49.35</v>
      </c>
      <c r="O1190">
        <v>8.44444444444444</v>
      </c>
      <c r="P1190">
        <v>248.4</v>
      </c>
      <c r="Q1190">
        <v>256.844444444444</v>
      </c>
      <c r="R1190">
        <v>0</v>
      </c>
      <c r="S1190">
        <v>256.844444444444</v>
      </c>
      <c r="T1190">
        <v>103</v>
      </c>
      <c r="U1190">
        <f>SUMIF(货件明细!J:J,E1190,货件明细!AP:AP)</f>
        <v>0</v>
      </c>
      <c r="V1190">
        <f>IF(U1190=T1190,0,1)</f>
        <v>1</v>
      </c>
      <c r="W1190">
        <f>T1190</f>
        <v>103</v>
      </c>
      <c r="X1190">
        <f>SUMIF(货件明细!J:J,E1190,货件明细!H:H)</f>
        <v>0</v>
      </c>
      <c r="Y1190">
        <f>N1190-X1190</f>
        <v>49.35</v>
      </c>
      <c r="Z1190">
        <f>SUMIF(货件明细!J:J,E1190,货件明细!I:I)</f>
        <v>0</v>
      </c>
      <c r="AA1190">
        <f>IF(S1190=Z1190,0,1)</f>
        <v>1</v>
      </c>
    </row>
    <row r="1191" hidden="1" spans="1:27">
      <c r="A1191">
        <v>2</v>
      </c>
      <c r="B1191">
        <v>9</v>
      </c>
      <c r="C1191" s="3">
        <v>46081</v>
      </c>
      <c r="D1191" t="s">
        <v>27</v>
      </c>
      <c r="E1191" t="s">
        <v>1308</v>
      </c>
      <c r="F1191" t="s">
        <v>548</v>
      </c>
      <c r="G1191" t="s">
        <v>72</v>
      </c>
      <c r="H1191" t="s">
        <v>39</v>
      </c>
      <c r="I1191" t="s">
        <v>92</v>
      </c>
      <c r="J1191" t="s">
        <v>92</v>
      </c>
      <c r="K1191" t="s">
        <v>64</v>
      </c>
      <c r="L1191" t="s">
        <v>65</v>
      </c>
      <c r="M1191" t="s">
        <v>93</v>
      </c>
      <c r="N1191">
        <v>49.35</v>
      </c>
      <c r="O1191">
        <v>8.44444444444444</v>
      </c>
      <c r="P1191">
        <v>179.35</v>
      </c>
      <c r="Q1191">
        <v>187.794444444444</v>
      </c>
      <c r="R1191">
        <v>0</v>
      </c>
      <c r="S1191">
        <v>187.794444444444</v>
      </c>
      <c r="T1191">
        <v>103</v>
      </c>
      <c r="U1191">
        <f>SUMIF(货件明细!J:J,E1191,货件明细!AP:AP)</f>
        <v>0</v>
      </c>
      <c r="V1191">
        <f>IF(U1191=T1191,0,1)</f>
        <v>1</v>
      </c>
      <c r="W1191">
        <f>T1191</f>
        <v>103</v>
      </c>
      <c r="X1191">
        <f>SUMIF(货件明细!J:J,E1191,货件明细!H:H)</f>
        <v>0</v>
      </c>
      <c r="Y1191">
        <f>N1191-X1191</f>
        <v>49.35</v>
      </c>
      <c r="Z1191">
        <f>SUMIF(货件明细!J:J,E1191,货件明细!I:I)</f>
        <v>0</v>
      </c>
      <c r="AA1191">
        <f>IF(S1191=Z1191,0,1)</f>
        <v>1</v>
      </c>
    </row>
    <row r="1192" hidden="1" spans="1:27">
      <c r="A1192">
        <v>2</v>
      </c>
      <c r="B1192">
        <v>9</v>
      </c>
      <c r="C1192" s="3">
        <v>46081</v>
      </c>
      <c r="D1192" t="s">
        <v>27</v>
      </c>
      <c r="E1192" t="s">
        <v>1309</v>
      </c>
      <c r="F1192" t="s">
        <v>187</v>
      </c>
      <c r="G1192" t="s">
        <v>72</v>
      </c>
      <c r="H1192" t="s">
        <v>39</v>
      </c>
      <c r="I1192" t="s">
        <v>92</v>
      </c>
      <c r="J1192" t="s">
        <v>92</v>
      </c>
      <c r="K1192" t="s">
        <v>64</v>
      </c>
      <c r="L1192" t="s">
        <v>65</v>
      </c>
      <c r="M1192" t="s">
        <v>93</v>
      </c>
      <c r="N1192">
        <v>49.35</v>
      </c>
      <c r="O1192">
        <v>8.44444444444444</v>
      </c>
      <c r="P1192">
        <v>179.35</v>
      </c>
      <c r="Q1192">
        <v>187.794444444444</v>
      </c>
      <c r="R1192">
        <v>0</v>
      </c>
      <c r="S1192">
        <v>187.794444444444</v>
      </c>
      <c r="T1192">
        <v>103</v>
      </c>
      <c r="U1192">
        <f>SUMIF(货件明细!J:J,E1192,货件明细!AP:AP)</f>
        <v>0</v>
      </c>
      <c r="V1192">
        <f>IF(U1192=T1192,0,1)</f>
        <v>1</v>
      </c>
      <c r="W1192">
        <f>T1192</f>
        <v>103</v>
      </c>
      <c r="X1192">
        <f>SUMIF(货件明细!J:J,E1192,货件明细!H:H)</f>
        <v>0</v>
      </c>
      <c r="Y1192">
        <f>N1192-X1192</f>
        <v>49.35</v>
      </c>
      <c r="Z1192">
        <f>SUMIF(货件明细!J:J,E1192,货件明细!I:I)</f>
        <v>0</v>
      </c>
      <c r="AA1192">
        <f>IF(S1192=Z1192,0,1)</f>
        <v>1</v>
      </c>
    </row>
    <row r="1193" hidden="1" spans="1:27">
      <c r="A1193">
        <v>2</v>
      </c>
      <c r="B1193">
        <v>9</v>
      </c>
      <c r="C1193" s="3">
        <v>46081</v>
      </c>
      <c r="D1193" t="s">
        <v>27</v>
      </c>
      <c r="E1193" t="s">
        <v>1310</v>
      </c>
      <c r="F1193" t="s">
        <v>200</v>
      </c>
      <c r="G1193" t="s">
        <v>30</v>
      </c>
      <c r="H1193" t="s">
        <v>39</v>
      </c>
      <c r="I1193" t="s">
        <v>92</v>
      </c>
      <c r="J1193" t="s">
        <v>92</v>
      </c>
      <c r="K1193" t="s">
        <v>64</v>
      </c>
      <c r="L1193" t="s">
        <v>65</v>
      </c>
      <c r="M1193" t="s">
        <v>93</v>
      </c>
      <c r="N1193">
        <v>49.35</v>
      </c>
      <c r="O1193">
        <v>8.44444444444444</v>
      </c>
      <c r="P1193">
        <v>276.25</v>
      </c>
      <c r="Q1193">
        <v>284.694444444444</v>
      </c>
      <c r="R1193">
        <v>0</v>
      </c>
      <c r="S1193">
        <v>284.694444444444</v>
      </c>
      <c r="T1193">
        <v>103</v>
      </c>
      <c r="U1193">
        <f>SUMIF(货件明细!J:J,E1193,货件明细!AP:AP)</f>
        <v>0</v>
      </c>
      <c r="V1193">
        <f>IF(U1193=T1193,0,1)</f>
        <v>1</v>
      </c>
      <c r="W1193">
        <f>T1193</f>
        <v>103</v>
      </c>
      <c r="X1193">
        <f>SUMIF(货件明细!J:J,E1193,货件明细!H:H)</f>
        <v>0</v>
      </c>
      <c r="Y1193">
        <f>N1193-X1193</f>
        <v>49.35</v>
      </c>
      <c r="Z1193">
        <f>SUMIF(货件明细!J:J,E1193,货件明细!I:I)</f>
        <v>0</v>
      </c>
      <c r="AA1193">
        <f>IF(S1193=Z1193,0,1)</f>
        <v>1</v>
      </c>
    </row>
    <row r="1194" hidden="1" spans="1:27">
      <c r="A1194">
        <v>2</v>
      </c>
      <c r="B1194">
        <v>9</v>
      </c>
      <c r="C1194" s="3">
        <v>46081</v>
      </c>
      <c r="D1194" t="s">
        <v>27</v>
      </c>
      <c r="E1194" t="s">
        <v>1311</v>
      </c>
      <c r="F1194" t="s">
        <v>185</v>
      </c>
      <c r="G1194" t="s">
        <v>30</v>
      </c>
      <c r="H1194" t="s">
        <v>54</v>
      </c>
      <c r="I1194" t="s">
        <v>92</v>
      </c>
      <c r="J1194" t="s">
        <v>92</v>
      </c>
      <c r="K1194" t="s">
        <v>64</v>
      </c>
      <c r="L1194" t="s">
        <v>65</v>
      </c>
      <c r="M1194" t="s">
        <v>93</v>
      </c>
      <c r="N1194">
        <v>35.9</v>
      </c>
      <c r="O1194">
        <v>8.44444444444444</v>
      </c>
      <c r="P1194">
        <v>242.385</v>
      </c>
      <c r="Q1194">
        <v>250.829444444444</v>
      </c>
      <c r="R1194">
        <v>0</v>
      </c>
      <c r="S1194">
        <v>250.829444444444</v>
      </c>
      <c r="T1194">
        <v>174</v>
      </c>
      <c r="U1194">
        <f>SUMIF(货件明细!J:J,E1194,货件明细!AP:AP)</f>
        <v>0</v>
      </c>
      <c r="V1194">
        <f>IF(U1194=T1194,0,1)</f>
        <v>1</v>
      </c>
      <c r="W1194">
        <f>T1194</f>
        <v>174</v>
      </c>
      <c r="X1194">
        <f>SUMIF(货件明细!J:J,E1194,货件明细!H:H)</f>
        <v>0</v>
      </c>
      <c r="Y1194">
        <f>N1194-X1194</f>
        <v>35.9</v>
      </c>
      <c r="Z1194">
        <f>SUMIF(货件明细!J:J,E1194,货件明细!I:I)</f>
        <v>0</v>
      </c>
      <c r="AA1194">
        <f>IF(S1194=Z1194,0,1)</f>
        <v>1</v>
      </c>
    </row>
    <row r="1195" hidden="1" spans="1:27">
      <c r="A1195">
        <v>2</v>
      </c>
      <c r="B1195">
        <v>9</v>
      </c>
      <c r="C1195" s="3">
        <v>46081</v>
      </c>
      <c r="D1195" t="s">
        <v>27</v>
      </c>
      <c r="E1195" t="s">
        <v>1312</v>
      </c>
      <c r="F1195" t="s">
        <v>250</v>
      </c>
      <c r="G1195" t="s">
        <v>72</v>
      </c>
      <c r="H1195" t="s">
        <v>54</v>
      </c>
      <c r="I1195" t="s">
        <v>92</v>
      </c>
      <c r="J1195" t="s">
        <v>92</v>
      </c>
      <c r="K1195" t="s">
        <v>64</v>
      </c>
      <c r="L1195" t="s">
        <v>65</v>
      </c>
      <c r="M1195" t="s">
        <v>93</v>
      </c>
      <c r="N1195">
        <v>35.9</v>
      </c>
      <c r="O1195">
        <v>8.44444444444444</v>
      </c>
      <c r="P1195">
        <v>165.6</v>
      </c>
      <c r="Q1195">
        <v>174.044444444444</v>
      </c>
      <c r="R1195">
        <v>0</v>
      </c>
      <c r="S1195">
        <v>174.044444444444</v>
      </c>
      <c r="T1195">
        <v>174</v>
      </c>
      <c r="U1195">
        <f>SUMIF(货件明细!J:J,E1195,货件明细!AP:AP)</f>
        <v>0</v>
      </c>
      <c r="V1195">
        <f>IF(U1195=T1195,0,1)</f>
        <v>1</v>
      </c>
      <c r="W1195">
        <f>T1195</f>
        <v>174</v>
      </c>
      <c r="X1195">
        <f>SUMIF(货件明细!J:J,E1195,货件明细!H:H)</f>
        <v>0</v>
      </c>
      <c r="Y1195">
        <f>N1195-X1195</f>
        <v>35.9</v>
      </c>
      <c r="Z1195">
        <f>SUMIF(货件明细!J:J,E1195,货件明细!I:I)</f>
        <v>0</v>
      </c>
      <c r="AA1195">
        <f>IF(S1195=Z1195,0,1)</f>
        <v>1</v>
      </c>
    </row>
    <row r="1196" hidden="1" spans="1:27">
      <c r="A1196">
        <v>2</v>
      </c>
      <c r="B1196">
        <v>9</v>
      </c>
      <c r="C1196" s="3">
        <v>46081</v>
      </c>
      <c r="D1196" t="s">
        <v>27</v>
      </c>
      <c r="E1196" t="s">
        <v>1313</v>
      </c>
      <c r="F1196" t="s">
        <v>548</v>
      </c>
      <c r="G1196" t="s">
        <v>72</v>
      </c>
      <c r="H1196" t="s">
        <v>54</v>
      </c>
      <c r="I1196" t="s">
        <v>92</v>
      </c>
      <c r="J1196" t="s">
        <v>92</v>
      </c>
      <c r="K1196" t="s">
        <v>64</v>
      </c>
      <c r="L1196" t="s">
        <v>65</v>
      </c>
      <c r="M1196" t="s">
        <v>93</v>
      </c>
      <c r="N1196">
        <v>35.9</v>
      </c>
      <c r="O1196">
        <v>8.44444444444444</v>
      </c>
      <c r="P1196">
        <v>147.7</v>
      </c>
      <c r="Q1196">
        <v>156.144444444444</v>
      </c>
      <c r="R1196">
        <v>0</v>
      </c>
      <c r="S1196">
        <v>156.144444444444</v>
      </c>
      <c r="T1196">
        <v>174</v>
      </c>
      <c r="U1196">
        <f>SUMIF(货件明细!J:J,E1196,货件明细!AP:AP)</f>
        <v>0</v>
      </c>
      <c r="V1196">
        <f>IF(U1196=T1196,0,1)</f>
        <v>1</v>
      </c>
      <c r="W1196">
        <f>T1196</f>
        <v>174</v>
      </c>
      <c r="X1196">
        <f>SUMIF(货件明细!J:J,E1196,货件明细!H:H)</f>
        <v>0</v>
      </c>
      <c r="Y1196">
        <f>N1196-X1196</f>
        <v>35.9</v>
      </c>
      <c r="Z1196">
        <f>SUMIF(货件明细!J:J,E1196,货件明细!I:I)</f>
        <v>0</v>
      </c>
      <c r="AA1196">
        <f>IF(S1196=Z1196,0,1)</f>
        <v>1</v>
      </c>
    </row>
    <row r="1197" hidden="1" spans="1:27">
      <c r="A1197">
        <v>2</v>
      </c>
      <c r="B1197">
        <v>9</v>
      </c>
      <c r="C1197" s="3">
        <v>46081</v>
      </c>
      <c r="D1197" t="s">
        <v>27</v>
      </c>
      <c r="E1197" t="s">
        <v>1314</v>
      </c>
      <c r="F1197" t="s">
        <v>187</v>
      </c>
      <c r="G1197" t="s">
        <v>72</v>
      </c>
      <c r="H1197" t="s">
        <v>54</v>
      </c>
      <c r="I1197" t="s">
        <v>92</v>
      </c>
      <c r="J1197" t="s">
        <v>92</v>
      </c>
      <c r="K1197" t="s">
        <v>64</v>
      </c>
      <c r="L1197" t="s">
        <v>65</v>
      </c>
      <c r="M1197" t="s">
        <v>93</v>
      </c>
      <c r="N1197">
        <v>35.9</v>
      </c>
      <c r="O1197">
        <v>8.44444444444444</v>
      </c>
      <c r="P1197">
        <v>137.15</v>
      </c>
      <c r="Q1197">
        <v>145.594444444444</v>
      </c>
      <c r="R1197">
        <v>0</v>
      </c>
      <c r="S1197">
        <v>145.594444444444</v>
      </c>
      <c r="T1197">
        <v>174</v>
      </c>
      <c r="U1197">
        <f>SUMIF(货件明细!J:J,E1197,货件明细!AP:AP)</f>
        <v>0</v>
      </c>
      <c r="V1197">
        <f>IF(U1197=T1197,0,1)</f>
        <v>1</v>
      </c>
      <c r="W1197">
        <f>T1197</f>
        <v>174</v>
      </c>
      <c r="X1197">
        <f>SUMIF(货件明细!J:J,E1197,货件明细!H:H)</f>
        <v>0</v>
      </c>
      <c r="Y1197">
        <f>N1197-X1197</f>
        <v>35.9</v>
      </c>
      <c r="Z1197">
        <f>SUMIF(货件明细!J:J,E1197,货件明细!I:I)</f>
        <v>0</v>
      </c>
      <c r="AA1197">
        <f>IF(S1197=Z1197,0,1)</f>
        <v>1</v>
      </c>
    </row>
    <row r="1198" hidden="1" spans="1:27">
      <c r="A1198">
        <v>2</v>
      </c>
      <c r="B1198">
        <v>9</v>
      </c>
      <c r="C1198" s="3">
        <v>46081</v>
      </c>
      <c r="D1198" t="s">
        <v>27</v>
      </c>
      <c r="E1198" t="s">
        <v>1315</v>
      </c>
      <c r="F1198" t="s">
        <v>200</v>
      </c>
      <c r="G1198" t="s">
        <v>30</v>
      </c>
      <c r="H1198" t="s">
        <v>54</v>
      </c>
      <c r="I1198" t="s">
        <v>92</v>
      </c>
      <c r="J1198" t="s">
        <v>92</v>
      </c>
      <c r="K1198" t="s">
        <v>64</v>
      </c>
      <c r="L1198" t="s">
        <v>65</v>
      </c>
      <c r="M1198" t="s">
        <v>93</v>
      </c>
      <c r="N1198">
        <v>35.9</v>
      </c>
      <c r="O1198">
        <v>8.44444444444444</v>
      </c>
      <c r="P1198">
        <v>227.5</v>
      </c>
      <c r="Q1198">
        <v>235.944444444444</v>
      </c>
      <c r="R1198">
        <v>0</v>
      </c>
      <c r="S1198">
        <v>235.944444444444</v>
      </c>
      <c r="T1198">
        <v>174</v>
      </c>
      <c r="U1198">
        <f>SUMIF(货件明细!J:J,E1198,货件明细!AP:AP)</f>
        <v>0</v>
      </c>
      <c r="V1198">
        <f>IF(U1198=T1198,0,1)</f>
        <v>1</v>
      </c>
      <c r="W1198">
        <f>T1198</f>
        <v>174</v>
      </c>
      <c r="X1198">
        <f>SUMIF(货件明细!J:J,E1198,货件明细!H:H)</f>
        <v>0</v>
      </c>
      <c r="Y1198">
        <f>N1198-X1198</f>
        <v>35.9</v>
      </c>
      <c r="Z1198">
        <f>SUMIF(货件明细!J:J,E1198,货件明细!I:I)</f>
        <v>0</v>
      </c>
      <c r="AA1198">
        <f>IF(S1198=Z1198,0,1)</f>
        <v>1</v>
      </c>
    </row>
    <row r="1199" spans="1:27">
      <c r="A1199">
        <v>3</v>
      </c>
      <c r="B1199">
        <v>10</v>
      </c>
      <c r="C1199" s="3">
        <v>46083</v>
      </c>
      <c r="D1199" t="s">
        <v>27</v>
      </c>
      <c r="E1199" t="s">
        <v>1316</v>
      </c>
      <c r="F1199" t="s">
        <v>205</v>
      </c>
      <c r="G1199" t="s">
        <v>30</v>
      </c>
      <c r="H1199" t="s">
        <v>31</v>
      </c>
      <c r="I1199" t="s">
        <v>32</v>
      </c>
      <c r="J1199" t="s">
        <v>32</v>
      </c>
      <c r="K1199" t="s">
        <v>33</v>
      </c>
      <c r="L1199" t="s">
        <v>43</v>
      </c>
      <c r="M1199" t="s">
        <v>47</v>
      </c>
      <c r="N1199">
        <v>165.75</v>
      </c>
      <c r="O1199">
        <v>175</v>
      </c>
      <c r="P1199">
        <v>6391</v>
      </c>
      <c r="Q1199">
        <v>6566</v>
      </c>
      <c r="R1199">
        <v>1735.415</v>
      </c>
      <c r="S1199">
        <v>8301.415</v>
      </c>
      <c r="T1199">
        <v>1135</v>
      </c>
      <c r="U1199">
        <f>SUMIF(货件明细!J:J,E1199,货件明细!AP:AP)</f>
        <v>1135</v>
      </c>
      <c r="V1199">
        <f>IF(U1199=T1199,0,1)</f>
        <v>0</v>
      </c>
      <c r="W1199">
        <f>T1199</f>
        <v>1135</v>
      </c>
      <c r="X1199">
        <f>SUMIF(货件明细!J:J,E1199,货件明细!H:H)</f>
        <v>157.01</v>
      </c>
      <c r="Y1199">
        <f>N1199-X1199</f>
        <v>8.74000000000001</v>
      </c>
      <c r="Z1199">
        <f>SUMIF(货件明细!J:J,E1199,货件明细!I:I)</f>
        <v>8301.415</v>
      </c>
      <c r="AA1199">
        <f>IF(S1199=Z1199,0,1)</f>
        <v>0</v>
      </c>
    </row>
    <row r="1200" spans="1:27">
      <c r="A1200">
        <v>3</v>
      </c>
      <c r="B1200">
        <v>10</v>
      </c>
      <c r="C1200" s="3">
        <v>46083</v>
      </c>
      <c r="D1200" t="s">
        <v>27</v>
      </c>
      <c r="E1200" t="s">
        <v>1317</v>
      </c>
      <c r="F1200" t="s">
        <v>205</v>
      </c>
      <c r="G1200" t="s">
        <v>30</v>
      </c>
      <c r="H1200" t="s">
        <v>56</v>
      </c>
      <c r="I1200" t="s">
        <v>32</v>
      </c>
      <c r="J1200" t="s">
        <v>32</v>
      </c>
      <c r="K1200" t="s">
        <v>33</v>
      </c>
      <c r="L1200" t="s">
        <v>43</v>
      </c>
      <c r="M1200" t="s">
        <v>47</v>
      </c>
      <c r="N1200">
        <v>79.8</v>
      </c>
      <c r="O1200">
        <v>175</v>
      </c>
      <c r="P1200">
        <v>3080</v>
      </c>
      <c r="Q1200">
        <v>3255</v>
      </c>
      <c r="R1200">
        <v>572.68</v>
      </c>
      <c r="S1200">
        <v>3827.68</v>
      </c>
      <c r="T1200">
        <v>320</v>
      </c>
      <c r="U1200">
        <f>SUMIF(货件明细!J:J,E1200,货件明细!AP:AP)</f>
        <v>320</v>
      </c>
      <c r="V1200">
        <f>IF(U1200=T1200,0,1)</f>
        <v>0</v>
      </c>
      <c r="W1200">
        <f>T1200</f>
        <v>320</v>
      </c>
      <c r="X1200">
        <f>SUMIF(货件明细!J:J,E1200,货件明细!H:H)</f>
        <v>75.18</v>
      </c>
      <c r="Y1200">
        <f>N1200-X1200</f>
        <v>4.61999999999999</v>
      </c>
      <c r="Z1200">
        <f>SUMIF(货件明细!J:J,E1200,货件明细!I:I)</f>
        <v>3827.68</v>
      </c>
      <c r="AA1200">
        <f>IF(S1200=Z1200,0,1)</f>
        <v>0</v>
      </c>
    </row>
    <row r="1201" spans="1:27">
      <c r="A1201">
        <v>3</v>
      </c>
      <c r="B1201">
        <v>10</v>
      </c>
      <c r="C1201" s="3">
        <v>46085</v>
      </c>
      <c r="D1201" t="s">
        <v>27</v>
      </c>
      <c r="E1201" t="s">
        <v>1318</v>
      </c>
      <c r="F1201" t="s">
        <v>41</v>
      </c>
      <c r="G1201" t="s">
        <v>30</v>
      </c>
      <c r="H1201" t="s">
        <v>46</v>
      </c>
      <c r="I1201" t="s">
        <v>42</v>
      </c>
      <c r="J1201" t="s">
        <v>42</v>
      </c>
      <c r="K1201" t="s">
        <v>33</v>
      </c>
      <c r="L1201" t="s">
        <v>43</v>
      </c>
      <c r="M1201" t="s">
        <v>44</v>
      </c>
      <c r="N1201">
        <v>9.75</v>
      </c>
      <c r="O1201">
        <v>66.6666666666667</v>
      </c>
      <c r="P1201">
        <v>560</v>
      </c>
      <c r="Q1201">
        <v>626.666666666667</v>
      </c>
      <c r="R1201">
        <v>126.768</v>
      </c>
      <c r="S1201">
        <v>753.434666666667</v>
      </c>
      <c r="T1201">
        <v>114</v>
      </c>
      <c r="U1201">
        <f>SUMIF(货件明细!J:J,E1201,货件明细!AP:AP)</f>
        <v>114</v>
      </c>
      <c r="V1201">
        <f>IF(U1201=T1201,0,1)</f>
        <v>0</v>
      </c>
      <c r="W1201">
        <f>T1201</f>
        <v>114</v>
      </c>
      <c r="X1201">
        <f>SUMIF(货件明细!J:J,E1201,货件明细!H:H)</f>
        <v>8.93</v>
      </c>
      <c r="Y1201">
        <f>N1201-X1201</f>
        <v>0.82</v>
      </c>
      <c r="Z1201">
        <f>SUMIF(货件明细!J:J,E1201,货件明细!I:I)</f>
        <v>753.434666666667</v>
      </c>
      <c r="AA1201">
        <f>IF(S1201=Z1201,0,1)</f>
        <v>0</v>
      </c>
    </row>
    <row r="1202" spans="1:27">
      <c r="A1202">
        <v>3</v>
      </c>
      <c r="B1202">
        <v>10</v>
      </c>
      <c r="C1202" s="3">
        <v>46085</v>
      </c>
      <c r="D1202" t="s">
        <v>27</v>
      </c>
      <c r="E1202" t="s">
        <v>1319</v>
      </c>
      <c r="F1202" t="s">
        <v>41</v>
      </c>
      <c r="G1202" t="s">
        <v>30</v>
      </c>
      <c r="H1202" t="s">
        <v>31</v>
      </c>
      <c r="I1202" t="s">
        <v>42</v>
      </c>
      <c r="J1202" t="s">
        <v>42</v>
      </c>
      <c r="K1202" t="s">
        <v>33</v>
      </c>
      <c r="L1202" t="s">
        <v>43</v>
      </c>
      <c r="M1202" t="s">
        <v>44</v>
      </c>
      <c r="N1202">
        <v>30.45</v>
      </c>
      <c r="O1202">
        <v>66.6666666666667</v>
      </c>
      <c r="P1202">
        <v>1682</v>
      </c>
      <c r="Q1202">
        <v>1748.66666666667</v>
      </c>
      <c r="R1202">
        <v>191.82</v>
      </c>
      <c r="S1202">
        <v>1940.48666666667</v>
      </c>
      <c r="T1202">
        <v>170</v>
      </c>
      <c r="U1202">
        <f>SUMIF(货件明细!J:J,E1202,货件明细!AP:AP)</f>
        <v>170</v>
      </c>
      <c r="V1202">
        <f>IF(U1202=T1202,0,1)</f>
        <v>0</v>
      </c>
      <c r="W1202">
        <f>T1202</f>
        <v>170</v>
      </c>
      <c r="X1202">
        <f>SUMIF(货件明细!J:J,E1202,货件明细!H:H)</f>
        <v>26.363</v>
      </c>
      <c r="Y1202">
        <f>N1202-X1202</f>
        <v>4.087</v>
      </c>
      <c r="Z1202">
        <f>SUMIF(货件明细!J:J,E1202,货件明细!I:I)</f>
        <v>1940.48666666667</v>
      </c>
      <c r="AA1202">
        <f>IF(S1202=Z1202,0,1)</f>
        <v>0</v>
      </c>
    </row>
    <row r="1203" spans="1:27">
      <c r="A1203">
        <v>3</v>
      </c>
      <c r="B1203">
        <v>10</v>
      </c>
      <c r="C1203" s="3">
        <v>46085</v>
      </c>
      <c r="D1203" t="s">
        <v>27</v>
      </c>
      <c r="E1203" t="s">
        <v>1320</v>
      </c>
      <c r="F1203" t="s">
        <v>41</v>
      </c>
      <c r="G1203" t="s">
        <v>30</v>
      </c>
      <c r="H1203" t="s">
        <v>224</v>
      </c>
      <c r="I1203" t="s">
        <v>42</v>
      </c>
      <c r="J1203" t="s">
        <v>42</v>
      </c>
      <c r="K1203" t="s">
        <v>33</v>
      </c>
      <c r="L1203" t="s">
        <v>43</v>
      </c>
      <c r="M1203" t="s">
        <v>44</v>
      </c>
      <c r="N1203">
        <v>11.9</v>
      </c>
      <c r="O1203">
        <v>66.6666666666667</v>
      </c>
      <c r="P1203">
        <v>662</v>
      </c>
      <c r="Q1203">
        <v>728.666666666667</v>
      </c>
      <c r="R1203">
        <v>244.64</v>
      </c>
      <c r="S1203">
        <v>973.306666666667</v>
      </c>
      <c r="T1203">
        <v>220</v>
      </c>
      <c r="U1203">
        <f>SUMIF(货件明细!J:J,E1203,货件明细!AP:AP)</f>
        <v>220</v>
      </c>
      <c r="V1203">
        <f>IF(U1203=T1203,0,1)</f>
        <v>0</v>
      </c>
      <c r="W1203">
        <f>T1203</f>
        <v>220</v>
      </c>
      <c r="X1203">
        <f>SUMIF(货件明细!J:J,E1203,货件明细!H:H)</f>
        <v>11</v>
      </c>
      <c r="Y1203">
        <f>N1203-X1203</f>
        <v>0.9</v>
      </c>
      <c r="Z1203">
        <f>SUMIF(货件明细!J:J,E1203,货件明细!I:I)</f>
        <v>973.306666666667</v>
      </c>
      <c r="AA1203">
        <f>IF(S1203=Z1203,0,1)</f>
        <v>0</v>
      </c>
    </row>
    <row r="1204" spans="1:27">
      <c r="A1204">
        <v>3</v>
      </c>
      <c r="B1204">
        <v>10</v>
      </c>
      <c r="C1204" s="3">
        <v>46085</v>
      </c>
      <c r="D1204" t="s">
        <v>27</v>
      </c>
      <c r="E1204" t="s">
        <v>1321</v>
      </c>
      <c r="F1204" t="s">
        <v>41</v>
      </c>
      <c r="G1204" t="s">
        <v>30</v>
      </c>
      <c r="H1204" t="s">
        <v>56</v>
      </c>
      <c r="I1204" t="s">
        <v>42</v>
      </c>
      <c r="J1204" t="s">
        <v>42</v>
      </c>
      <c r="K1204" t="s">
        <v>33</v>
      </c>
      <c r="L1204" t="s">
        <v>207</v>
      </c>
      <c r="M1204" t="s">
        <v>218</v>
      </c>
      <c r="N1204">
        <v>9.75</v>
      </c>
      <c r="O1204">
        <v>66.6666666666667</v>
      </c>
      <c r="P1204">
        <v>612.8</v>
      </c>
      <c r="Q1204">
        <v>679.466666666667</v>
      </c>
      <c r="R1204">
        <v>48.789</v>
      </c>
      <c r="S1204">
        <v>728.255666666667</v>
      </c>
      <c r="T1204">
        <v>39</v>
      </c>
      <c r="U1204">
        <f>SUMIF(货件明细!J:J,E1204,货件明细!AP:AP)</f>
        <v>39</v>
      </c>
      <c r="V1204">
        <f>IF(U1204=T1204,0,1)</f>
        <v>0</v>
      </c>
      <c r="W1204">
        <f>T1204</f>
        <v>39</v>
      </c>
      <c r="X1204">
        <f>SUMIF(货件明细!J:J,E1204,货件明细!H:H)</f>
        <v>9.204</v>
      </c>
      <c r="Y1204">
        <f>N1204-X1204</f>
        <v>0.545999999999999</v>
      </c>
      <c r="Z1204">
        <f>SUMIF(货件明细!J:J,E1204,货件明细!I:I)</f>
        <v>728.255666666667</v>
      </c>
      <c r="AA1204">
        <f>IF(S1204=Z1204,0,1)</f>
        <v>0</v>
      </c>
    </row>
    <row r="1205" spans="1:27">
      <c r="A1205">
        <v>3</v>
      </c>
      <c r="B1205">
        <v>10</v>
      </c>
      <c r="C1205" s="3">
        <v>46085</v>
      </c>
      <c r="D1205" t="s">
        <v>27</v>
      </c>
      <c r="E1205" t="s">
        <v>1322</v>
      </c>
      <c r="F1205" t="s">
        <v>41</v>
      </c>
      <c r="G1205" t="s">
        <v>30</v>
      </c>
      <c r="H1205" t="s">
        <v>37</v>
      </c>
      <c r="I1205" t="s">
        <v>42</v>
      </c>
      <c r="J1205" t="s">
        <v>42</v>
      </c>
      <c r="K1205" t="s">
        <v>33</v>
      </c>
      <c r="L1205" t="s">
        <v>207</v>
      </c>
      <c r="M1205" t="s">
        <v>218</v>
      </c>
      <c r="N1205">
        <v>18.75</v>
      </c>
      <c r="O1205">
        <v>66.6666666666667</v>
      </c>
      <c r="P1205">
        <v>1143.8</v>
      </c>
      <c r="Q1205">
        <v>1210.46666666667</v>
      </c>
      <c r="R1205">
        <v>155.68</v>
      </c>
      <c r="S1205">
        <v>1366.14666666667</v>
      </c>
      <c r="T1205">
        <v>140</v>
      </c>
      <c r="U1205">
        <f>SUMIF(货件明细!J:J,E1205,货件明细!AP:AP)</f>
        <v>140</v>
      </c>
      <c r="V1205">
        <f>IF(U1205=T1205,0,1)</f>
        <v>0</v>
      </c>
      <c r="W1205">
        <f>T1205</f>
        <v>140</v>
      </c>
      <c r="X1205">
        <f>SUMIF(货件明细!J:J,E1205,货件明细!H:H)</f>
        <v>17.95</v>
      </c>
      <c r="Y1205">
        <f>N1205-X1205</f>
        <v>0.799999999999997</v>
      </c>
      <c r="Z1205">
        <f>SUMIF(货件明细!J:J,E1205,货件明细!I:I)</f>
        <v>1366.14666666667</v>
      </c>
      <c r="AA1205">
        <f>IF(S1205=Z1205,0,1)</f>
        <v>0</v>
      </c>
    </row>
    <row r="1206" spans="1:27">
      <c r="A1206">
        <v>3</v>
      </c>
      <c r="B1206">
        <v>10</v>
      </c>
      <c r="C1206" s="3">
        <v>46085</v>
      </c>
      <c r="D1206" t="s">
        <v>27</v>
      </c>
      <c r="E1206" t="s">
        <v>1323</v>
      </c>
      <c r="F1206" t="s">
        <v>41</v>
      </c>
      <c r="G1206" t="s">
        <v>30</v>
      </c>
      <c r="H1206" t="s">
        <v>37</v>
      </c>
      <c r="I1206" t="s">
        <v>42</v>
      </c>
      <c r="J1206" t="s">
        <v>42</v>
      </c>
      <c r="K1206" t="s">
        <v>33</v>
      </c>
      <c r="L1206" t="s">
        <v>207</v>
      </c>
      <c r="M1206" t="s">
        <v>218</v>
      </c>
      <c r="N1206">
        <v>8.8</v>
      </c>
      <c r="O1206">
        <v>66.6666666666667</v>
      </c>
      <c r="P1206">
        <v>553.8</v>
      </c>
      <c r="Q1206">
        <v>620.466666666667</v>
      </c>
      <c r="R1206">
        <v>72.28</v>
      </c>
      <c r="S1206">
        <v>692.746666666667</v>
      </c>
      <c r="T1206">
        <v>65</v>
      </c>
      <c r="U1206">
        <f>SUMIF(货件明细!J:J,E1206,货件明细!AP:AP)</f>
        <v>65</v>
      </c>
      <c r="V1206">
        <f>IF(U1206=T1206,0,1)</f>
        <v>0</v>
      </c>
      <c r="W1206">
        <f>T1206</f>
        <v>65</v>
      </c>
      <c r="X1206">
        <f>SUMIF(货件明细!J:J,E1206,货件明细!H:H)</f>
        <v>8.02</v>
      </c>
      <c r="Y1206">
        <f>N1206-X1206</f>
        <v>0.780000000000001</v>
      </c>
      <c r="Z1206">
        <f>SUMIF(货件明细!J:J,E1206,货件明细!I:I)</f>
        <v>692.746666666667</v>
      </c>
      <c r="AA1206">
        <f>IF(S1206=Z1206,0,1)</f>
        <v>0</v>
      </c>
    </row>
    <row r="1207" spans="1:27">
      <c r="A1207">
        <v>3</v>
      </c>
      <c r="B1207">
        <v>10</v>
      </c>
      <c r="C1207" s="3">
        <v>46086</v>
      </c>
      <c r="D1207" t="s">
        <v>27</v>
      </c>
      <c r="E1207" t="s">
        <v>1324</v>
      </c>
      <c r="F1207" t="s">
        <v>41</v>
      </c>
      <c r="G1207" t="s">
        <v>30</v>
      </c>
      <c r="H1207" t="s">
        <v>54</v>
      </c>
      <c r="I1207" t="s">
        <v>32</v>
      </c>
      <c r="J1207" t="s">
        <v>32</v>
      </c>
      <c r="K1207" t="s">
        <v>33</v>
      </c>
      <c r="L1207" t="s">
        <v>43</v>
      </c>
      <c r="M1207" t="s">
        <v>47</v>
      </c>
      <c r="N1207">
        <v>40.4</v>
      </c>
      <c r="O1207">
        <v>70</v>
      </c>
      <c r="P1207">
        <v>1540</v>
      </c>
      <c r="Q1207">
        <v>1610</v>
      </c>
      <c r="R1207">
        <v>159.85</v>
      </c>
      <c r="S1207">
        <v>1769.85</v>
      </c>
      <c r="T1207">
        <v>100</v>
      </c>
      <c r="U1207">
        <f>SUMIF(货件明细!J:J,E1207,货件明细!AP:AP)</f>
        <v>100</v>
      </c>
      <c r="V1207">
        <f>IF(U1207=T1207,0,1)</f>
        <v>0</v>
      </c>
      <c r="W1207">
        <f>T1207</f>
        <v>100</v>
      </c>
      <c r="X1207">
        <f>SUMIF(货件明细!J:J,E1207,货件明细!H:H)</f>
        <v>37.67</v>
      </c>
      <c r="Y1207">
        <f>N1207-X1207</f>
        <v>2.73</v>
      </c>
      <c r="Z1207">
        <f>SUMIF(货件明细!J:J,E1207,货件明细!I:I)</f>
        <v>1769.85</v>
      </c>
      <c r="AA1207">
        <f>IF(S1207=Z1207,0,1)</f>
        <v>0</v>
      </c>
    </row>
    <row r="1208" spans="1:27">
      <c r="A1208">
        <v>3</v>
      </c>
      <c r="B1208">
        <v>10</v>
      </c>
      <c r="C1208" s="3">
        <v>46086</v>
      </c>
      <c r="D1208" t="s">
        <v>27</v>
      </c>
      <c r="E1208" t="s">
        <v>1325</v>
      </c>
      <c r="F1208" t="s">
        <v>41</v>
      </c>
      <c r="G1208" t="s">
        <v>30</v>
      </c>
      <c r="H1208" t="s">
        <v>56</v>
      </c>
      <c r="I1208" t="s">
        <v>32</v>
      </c>
      <c r="J1208" t="s">
        <v>32</v>
      </c>
      <c r="K1208" t="s">
        <v>33</v>
      </c>
      <c r="L1208" t="s">
        <v>43</v>
      </c>
      <c r="M1208" t="s">
        <v>47</v>
      </c>
      <c r="N1208">
        <v>12.4</v>
      </c>
      <c r="O1208">
        <v>70</v>
      </c>
      <c r="P1208">
        <v>462</v>
      </c>
      <c r="Q1208">
        <v>532</v>
      </c>
      <c r="R1208">
        <v>83.4</v>
      </c>
      <c r="S1208">
        <v>615.4</v>
      </c>
      <c r="T1208">
        <v>50</v>
      </c>
      <c r="U1208">
        <f>SUMIF(货件明细!J:J,E1208,货件明细!AP:AP)</f>
        <v>50</v>
      </c>
      <c r="V1208">
        <f>IF(U1208=T1208,0,1)</f>
        <v>0</v>
      </c>
      <c r="W1208">
        <f>T1208</f>
        <v>50</v>
      </c>
      <c r="X1208">
        <f>SUMIF(货件明细!J:J,E1208,货件明细!H:H)</f>
        <v>11.5</v>
      </c>
      <c r="Y1208">
        <f>N1208-X1208</f>
        <v>0.9</v>
      </c>
      <c r="Z1208">
        <f>SUMIF(货件明细!J:J,E1208,货件明细!I:I)</f>
        <v>615.4</v>
      </c>
      <c r="AA1208">
        <f>IF(S1208=Z1208,0,1)</f>
        <v>0</v>
      </c>
    </row>
    <row r="1209" spans="1:27">
      <c r="A1209">
        <v>3</v>
      </c>
      <c r="B1209">
        <v>10</v>
      </c>
      <c r="C1209" s="3">
        <v>46086</v>
      </c>
      <c r="D1209" t="s">
        <v>27</v>
      </c>
      <c r="E1209" t="s">
        <v>1326</v>
      </c>
      <c r="F1209" t="s">
        <v>41</v>
      </c>
      <c r="G1209" t="s">
        <v>30</v>
      </c>
      <c r="H1209" t="s">
        <v>39</v>
      </c>
      <c r="I1209" t="s">
        <v>32</v>
      </c>
      <c r="J1209" t="s">
        <v>32</v>
      </c>
      <c r="K1209" t="s">
        <v>33</v>
      </c>
      <c r="L1209" t="s">
        <v>43</v>
      </c>
      <c r="M1209" t="s">
        <v>47</v>
      </c>
      <c r="N1209">
        <v>56.6</v>
      </c>
      <c r="O1209">
        <v>70</v>
      </c>
      <c r="P1209">
        <v>2194.5</v>
      </c>
      <c r="Q1209">
        <v>2264.5</v>
      </c>
      <c r="R1209">
        <v>262.71</v>
      </c>
      <c r="S1209">
        <v>2527.21</v>
      </c>
      <c r="T1209">
        <v>180</v>
      </c>
      <c r="U1209">
        <f>SUMIF(货件明细!J:J,E1209,货件明细!AP:AP)</f>
        <v>180</v>
      </c>
      <c r="V1209">
        <f>IF(U1209=T1209,0,1)</f>
        <v>0</v>
      </c>
      <c r="W1209">
        <f>T1209</f>
        <v>180</v>
      </c>
      <c r="X1209">
        <f>SUMIF(货件明细!J:J,E1209,货件明细!H:H)</f>
        <v>53.55</v>
      </c>
      <c r="Y1209">
        <f>N1209-X1209</f>
        <v>3.05</v>
      </c>
      <c r="Z1209">
        <f>SUMIF(货件明细!J:J,E1209,货件明细!I:I)</f>
        <v>2527.21</v>
      </c>
      <c r="AA1209">
        <f>IF(S1209=Z1209,0,1)</f>
        <v>0</v>
      </c>
    </row>
    <row r="1210" spans="1:27">
      <c r="A1210">
        <v>3</v>
      </c>
      <c r="B1210">
        <v>10</v>
      </c>
      <c r="C1210" s="3">
        <v>46086</v>
      </c>
      <c r="D1210" t="s">
        <v>27</v>
      </c>
      <c r="E1210" t="s">
        <v>1327</v>
      </c>
      <c r="F1210" t="s">
        <v>41</v>
      </c>
      <c r="G1210" t="s">
        <v>30</v>
      </c>
      <c r="H1210" t="s">
        <v>31</v>
      </c>
      <c r="I1210" t="s">
        <v>32</v>
      </c>
      <c r="J1210" t="s">
        <v>32</v>
      </c>
      <c r="K1210" t="s">
        <v>33</v>
      </c>
      <c r="L1210" t="s">
        <v>43</v>
      </c>
      <c r="M1210" t="s">
        <v>47</v>
      </c>
      <c r="N1210">
        <v>150.5</v>
      </c>
      <c r="O1210">
        <v>70</v>
      </c>
      <c r="P1210">
        <v>5813.5</v>
      </c>
      <c r="Q1210">
        <v>5883.5</v>
      </c>
      <c r="R1210">
        <v>1134.24</v>
      </c>
      <c r="S1210">
        <v>7017.74</v>
      </c>
      <c r="T1210">
        <v>1020</v>
      </c>
      <c r="U1210">
        <f>SUMIF(货件明细!J:J,E1210,货件明细!AP:AP)</f>
        <v>1020</v>
      </c>
      <c r="V1210">
        <f>IF(U1210=T1210,0,1)</f>
        <v>0</v>
      </c>
      <c r="W1210">
        <f>T1210</f>
        <v>1020</v>
      </c>
      <c r="X1210">
        <f>SUMIF(货件明细!J:J,E1210,货件明细!H:H)</f>
        <v>143.04</v>
      </c>
      <c r="Y1210">
        <f>N1210-X1210</f>
        <v>7.46000000000001</v>
      </c>
      <c r="Z1210">
        <f>SUMIF(货件明细!J:J,E1210,货件明细!I:I)</f>
        <v>7017.74</v>
      </c>
      <c r="AA1210">
        <f>IF(S1210=Z1210,0,1)</f>
        <v>0</v>
      </c>
    </row>
    <row r="1211" spans="1:27">
      <c r="A1211">
        <v>3</v>
      </c>
      <c r="B1211">
        <v>10</v>
      </c>
      <c r="C1211" s="3">
        <v>46086</v>
      </c>
      <c r="D1211" t="s">
        <v>27</v>
      </c>
      <c r="E1211" t="s">
        <v>1328</v>
      </c>
      <c r="F1211" t="s">
        <v>41</v>
      </c>
      <c r="G1211" t="s">
        <v>30</v>
      </c>
      <c r="H1211" t="s">
        <v>37</v>
      </c>
      <c r="I1211" t="s">
        <v>32</v>
      </c>
      <c r="J1211" t="s">
        <v>32</v>
      </c>
      <c r="K1211" t="s">
        <v>33</v>
      </c>
      <c r="L1211" t="s">
        <v>43</v>
      </c>
      <c r="M1211" t="s">
        <v>47</v>
      </c>
      <c r="N1211">
        <v>40.75</v>
      </c>
      <c r="O1211">
        <v>70</v>
      </c>
      <c r="P1211">
        <v>1578.5</v>
      </c>
      <c r="Q1211">
        <v>1648.5</v>
      </c>
      <c r="R1211">
        <v>372.52</v>
      </c>
      <c r="S1211">
        <v>2021.02</v>
      </c>
      <c r="T1211">
        <v>335</v>
      </c>
      <c r="U1211">
        <f>SUMIF(货件明细!J:J,E1211,货件明细!AP:AP)</f>
        <v>335</v>
      </c>
      <c r="V1211">
        <f>IF(U1211=T1211,0,1)</f>
        <v>0</v>
      </c>
      <c r="W1211">
        <f>T1211</f>
        <v>335</v>
      </c>
      <c r="X1211">
        <f>SUMIF(货件明细!J:J,E1211,货件明细!H:H)</f>
        <v>38.51</v>
      </c>
      <c r="Y1211">
        <f>N1211-X1211</f>
        <v>2.24</v>
      </c>
      <c r="Z1211">
        <f>SUMIF(货件明细!J:J,E1211,货件明细!I:I)</f>
        <v>2021.02</v>
      </c>
      <c r="AA1211">
        <f>IF(S1211=Z1211,0,1)</f>
        <v>0</v>
      </c>
    </row>
    <row r="1212" spans="1:27">
      <c r="A1212">
        <v>3</v>
      </c>
      <c r="B1212">
        <v>10</v>
      </c>
      <c r="C1212" s="3">
        <v>46087</v>
      </c>
      <c r="D1212" t="s">
        <v>27</v>
      </c>
      <c r="E1212" t="s">
        <v>1329</v>
      </c>
      <c r="F1212" t="s">
        <v>41</v>
      </c>
      <c r="G1212" t="s">
        <v>30</v>
      </c>
      <c r="H1212" t="s">
        <v>224</v>
      </c>
      <c r="I1212" t="s">
        <v>42</v>
      </c>
      <c r="J1212" t="s">
        <v>42</v>
      </c>
      <c r="K1212" t="s">
        <v>33</v>
      </c>
      <c r="L1212" t="s">
        <v>207</v>
      </c>
      <c r="M1212" t="s">
        <v>44</v>
      </c>
      <c r="N1212">
        <v>21.1</v>
      </c>
      <c r="O1212">
        <v>200</v>
      </c>
      <c r="P1212">
        <v>1168.4</v>
      </c>
      <c r="Q1212">
        <v>1368.4</v>
      </c>
      <c r="R1212">
        <v>200.16</v>
      </c>
      <c r="S1212">
        <v>1568.56</v>
      </c>
      <c r="T1212">
        <v>120</v>
      </c>
      <c r="U1212">
        <f>SUMIF(货件明细!J:J,E1212,货件明细!AP:AP)</f>
        <v>120</v>
      </c>
      <c r="V1212">
        <f>IF(U1212=T1212,0,1)</f>
        <v>0</v>
      </c>
      <c r="W1212">
        <f>T1212</f>
        <v>120</v>
      </c>
      <c r="X1212">
        <f>SUMIF(货件明细!J:J,E1212,货件明细!H:H)</f>
        <v>25.545</v>
      </c>
      <c r="Y1212">
        <f>N1212-X1212</f>
        <v>-4.445</v>
      </c>
      <c r="Z1212">
        <f>SUMIF(货件明细!J:J,E1212,货件明细!I:I)</f>
        <v>1568.56</v>
      </c>
      <c r="AA1212">
        <f>IF(S1212=Z1212,0,1)</f>
        <v>0</v>
      </c>
    </row>
    <row r="1213" spans="1:27">
      <c r="A1213">
        <v>3</v>
      </c>
      <c r="B1213">
        <v>10</v>
      </c>
      <c r="C1213" s="3">
        <v>46087</v>
      </c>
      <c r="D1213" t="s">
        <v>27</v>
      </c>
      <c r="E1213" t="s">
        <v>1330</v>
      </c>
      <c r="F1213" t="s">
        <v>29</v>
      </c>
      <c r="G1213" t="s">
        <v>30</v>
      </c>
      <c r="H1213" t="s">
        <v>51</v>
      </c>
      <c r="I1213" t="s">
        <v>42</v>
      </c>
      <c r="J1213" t="s">
        <v>42</v>
      </c>
      <c r="K1213" t="s">
        <v>33</v>
      </c>
      <c r="L1213" t="s">
        <v>207</v>
      </c>
      <c r="M1213" t="s">
        <v>218</v>
      </c>
      <c r="N1213">
        <v>21.7</v>
      </c>
      <c r="O1213">
        <v>200</v>
      </c>
      <c r="P1213">
        <v>1366.4</v>
      </c>
      <c r="Q1213">
        <v>1566.4</v>
      </c>
      <c r="R1213">
        <v>145.672</v>
      </c>
      <c r="S1213">
        <v>1712.072</v>
      </c>
      <c r="T1213">
        <v>130</v>
      </c>
      <c r="U1213">
        <f>SUMIF(货件明细!J:J,E1213,货件明细!AP:AP)</f>
        <v>130</v>
      </c>
      <c r="V1213">
        <f>IF(U1213=T1213,0,1)</f>
        <v>0</v>
      </c>
      <c r="W1213">
        <f>T1213</f>
        <v>130</v>
      </c>
      <c r="X1213">
        <f>SUMIF(货件明细!J:J,E1213,货件明细!H:H)</f>
        <v>20.28</v>
      </c>
      <c r="Y1213">
        <f>N1213-X1213</f>
        <v>1.42</v>
      </c>
      <c r="Z1213">
        <f>SUMIF(货件明细!J:J,E1213,货件明细!I:I)</f>
        <v>1712.072</v>
      </c>
      <c r="AA1213">
        <f>IF(S1213=Z1213,0,1)</f>
        <v>0</v>
      </c>
    </row>
    <row r="1214" spans="1:27">
      <c r="A1214">
        <v>3</v>
      </c>
      <c r="B1214">
        <v>10</v>
      </c>
      <c r="C1214" s="3">
        <v>46087</v>
      </c>
      <c r="D1214" t="s">
        <v>27</v>
      </c>
      <c r="E1214" t="s">
        <v>1331</v>
      </c>
      <c r="F1214" t="s">
        <v>29</v>
      </c>
      <c r="G1214" t="s">
        <v>30</v>
      </c>
      <c r="H1214" t="s">
        <v>31</v>
      </c>
      <c r="I1214" t="s">
        <v>32</v>
      </c>
      <c r="J1214" t="s">
        <v>32</v>
      </c>
      <c r="K1214" t="s">
        <v>33</v>
      </c>
      <c r="L1214" t="s">
        <v>43</v>
      </c>
      <c r="M1214" t="s">
        <v>47</v>
      </c>
      <c r="N1214">
        <v>59.3</v>
      </c>
      <c r="O1214">
        <v>58.3333333333333</v>
      </c>
      <c r="P1214">
        <v>2310</v>
      </c>
      <c r="Q1214">
        <v>2368.33333333333</v>
      </c>
      <c r="R1214">
        <v>444.8</v>
      </c>
      <c r="S1214">
        <v>2813.13333333333</v>
      </c>
      <c r="T1214">
        <v>400</v>
      </c>
      <c r="U1214">
        <f>SUMIF(货件明细!J:J,E1214,货件明细!AP:AP)</f>
        <v>400</v>
      </c>
      <c r="V1214">
        <f>IF(U1214=T1214,0,1)</f>
        <v>0</v>
      </c>
      <c r="W1214">
        <f>T1214</f>
        <v>400</v>
      </c>
      <c r="X1214">
        <f>SUMIF(货件明细!J:J,E1214,货件明细!H:H)</f>
        <v>56</v>
      </c>
      <c r="Y1214">
        <f>N1214-X1214</f>
        <v>3.3</v>
      </c>
      <c r="Z1214">
        <f>SUMIF(货件明细!J:J,E1214,货件明细!I:I)</f>
        <v>2813.13333333333</v>
      </c>
      <c r="AA1214">
        <f>IF(S1214=Z1214,0,1)</f>
        <v>0</v>
      </c>
    </row>
    <row r="1215" spans="1:27">
      <c r="A1215">
        <v>3</v>
      </c>
      <c r="B1215">
        <v>10</v>
      </c>
      <c r="C1215" s="3">
        <v>46087</v>
      </c>
      <c r="D1215" t="s">
        <v>27</v>
      </c>
      <c r="E1215" t="s">
        <v>1332</v>
      </c>
      <c r="F1215" t="s">
        <v>29</v>
      </c>
      <c r="G1215" t="s">
        <v>30</v>
      </c>
      <c r="H1215" t="s">
        <v>37</v>
      </c>
      <c r="I1215" t="s">
        <v>32</v>
      </c>
      <c r="J1215" t="s">
        <v>32</v>
      </c>
      <c r="K1215" t="s">
        <v>33</v>
      </c>
      <c r="L1215" t="s">
        <v>43</v>
      </c>
      <c r="M1215" t="s">
        <v>47</v>
      </c>
      <c r="N1215">
        <v>48.4</v>
      </c>
      <c r="O1215">
        <v>58.3333333333333</v>
      </c>
      <c r="P1215">
        <v>1848</v>
      </c>
      <c r="Q1215">
        <v>1906.33333333333</v>
      </c>
      <c r="R1215">
        <v>470.376</v>
      </c>
      <c r="S1215">
        <v>2376.70933333333</v>
      </c>
      <c r="T1215">
        <v>420</v>
      </c>
      <c r="U1215">
        <f>SUMIF(货件明细!J:J,E1215,货件明细!AP:AP)</f>
        <v>420</v>
      </c>
      <c r="V1215">
        <f>IF(U1215=T1215,0,1)</f>
        <v>0</v>
      </c>
      <c r="W1215">
        <f>T1215</f>
        <v>420</v>
      </c>
      <c r="X1215">
        <f>SUMIF(货件明细!J:J,E1215,货件明细!H:H)</f>
        <v>47.16</v>
      </c>
      <c r="Y1215">
        <f>N1215-X1215</f>
        <v>1.24</v>
      </c>
      <c r="Z1215">
        <f>SUMIF(货件明细!J:J,E1215,货件明细!I:I)</f>
        <v>2376.70933333333</v>
      </c>
      <c r="AA1215">
        <f>IF(S1215=Z1215,0,1)</f>
        <v>0</v>
      </c>
    </row>
    <row r="1216" spans="1:27">
      <c r="A1216">
        <v>3</v>
      </c>
      <c r="B1216">
        <v>10</v>
      </c>
      <c r="C1216" s="3">
        <v>46087</v>
      </c>
      <c r="D1216" t="s">
        <v>27</v>
      </c>
      <c r="E1216" t="s">
        <v>1333</v>
      </c>
      <c r="F1216" t="s">
        <v>29</v>
      </c>
      <c r="G1216" t="s">
        <v>30</v>
      </c>
      <c r="H1216" t="s">
        <v>31</v>
      </c>
      <c r="I1216" t="s">
        <v>32</v>
      </c>
      <c r="J1216" t="s">
        <v>32</v>
      </c>
      <c r="K1216" t="s">
        <v>33</v>
      </c>
      <c r="L1216" t="s">
        <v>43</v>
      </c>
      <c r="M1216" t="s">
        <v>47</v>
      </c>
      <c r="N1216">
        <v>30.6</v>
      </c>
      <c r="O1216">
        <v>58.3333333333333</v>
      </c>
      <c r="P1216">
        <v>1193.5</v>
      </c>
      <c r="Q1216">
        <v>1251.83333333333</v>
      </c>
      <c r="R1216">
        <v>102.304</v>
      </c>
      <c r="S1216">
        <v>1354.13733333333</v>
      </c>
      <c r="T1216">
        <v>80</v>
      </c>
      <c r="U1216">
        <f>SUMIF(货件明细!J:J,E1216,货件明细!AP:AP)</f>
        <v>80</v>
      </c>
      <c r="V1216">
        <f>IF(U1216=T1216,0,1)</f>
        <v>0</v>
      </c>
      <c r="W1216">
        <f>T1216</f>
        <v>80</v>
      </c>
      <c r="X1216">
        <f>SUMIF(货件明细!J:J,E1216,货件明细!H:H)</f>
        <v>28.8</v>
      </c>
      <c r="Y1216">
        <f>N1216-X1216</f>
        <v>1.8</v>
      </c>
      <c r="Z1216">
        <f>SUMIF(货件明细!J:J,E1216,货件明细!I:I)</f>
        <v>1354.13733333333</v>
      </c>
      <c r="AA1216">
        <f>IF(S1216=Z1216,0,1)</f>
        <v>0</v>
      </c>
    </row>
    <row r="1217" spans="1:27">
      <c r="A1217">
        <v>3</v>
      </c>
      <c r="B1217">
        <v>10</v>
      </c>
      <c r="C1217" s="3">
        <v>46087</v>
      </c>
      <c r="D1217" t="s">
        <v>27</v>
      </c>
      <c r="E1217" t="s">
        <v>1334</v>
      </c>
      <c r="F1217" t="s">
        <v>29</v>
      </c>
      <c r="G1217" t="s">
        <v>30</v>
      </c>
      <c r="H1217" t="s">
        <v>51</v>
      </c>
      <c r="I1217" t="s">
        <v>32</v>
      </c>
      <c r="J1217" t="s">
        <v>32</v>
      </c>
      <c r="K1217" t="s">
        <v>33</v>
      </c>
      <c r="L1217" t="s">
        <v>43</v>
      </c>
      <c r="M1217" t="s">
        <v>47</v>
      </c>
      <c r="N1217">
        <v>13.4</v>
      </c>
      <c r="O1217">
        <v>58.3333333333333</v>
      </c>
      <c r="P1217">
        <v>500.5</v>
      </c>
      <c r="Q1217">
        <v>558.833333333333</v>
      </c>
      <c r="R1217">
        <v>136.22</v>
      </c>
      <c r="S1217">
        <v>695.053333333333</v>
      </c>
      <c r="T1217">
        <v>110</v>
      </c>
      <c r="U1217">
        <f>SUMIF(货件明细!J:J,E1217,货件明细!AP:AP)</f>
        <v>110</v>
      </c>
      <c r="V1217">
        <f>IF(U1217=T1217,0,1)</f>
        <v>0</v>
      </c>
      <c r="W1217">
        <f>T1217</f>
        <v>110</v>
      </c>
      <c r="X1217">
        <f>SUMIF(货件明细!J:J,E1217,货件明细!H:H)</f>
        <v>12.65</v>
      </c>
      <c r="Y1217">
        <f>N1217-X1217</f>
        <v>0.749999999999998</v>
      </c>
      <c r="Z1217">
        <f>SUMIF(货件明细!J:J,E1217,货件明细!I:I)</f>
        <v>695.053333333333</v>
      </c>
      <c r="AA1217">
        <f>IF(S1217=Z1217,0,1)</f>
        <v>0</v>
      </c>
    </row>
    <row r="1218" spans="1:27">
      <c r="A1218">
        <v>3</v>
      </c>
      <c r="B1218">
        <v>10</v>
      </c>
      <c r="C1218" s="3">
        <v>46087</v>
      </c>
      <c r="D1218" t="s">
        <v>27</v>
      </c>
      <c r="E1218" t="s">
        <v>1335</v>
      </c>
      <c r="F1218" t="s">
        <v>29</v>
      </c>
      <c r="G1218" t="s">
        <v>30</v>
      </c>
      <c r="H1218" t="s">
        <v>59</v>
      </c>
      <c r="I1218" t="s">
        <v>32</v>
      </c>
      <c r="J1218" t="s">
        <v>32</v>
      </c>
      <c r="K1218" t="s">
        <v>33</v>
      </c>
      <c r="L1218" t="s">
        <v>43</v>
      </c>
      <c r="M1218" t="s">
        <v>47</v>
      </c>
      <c r="N1218">
        <v>15.3</v>
      </c>
      <c r="O1218">
        <v>58.3333333333333</v>
      </c>
      <c r="P1218">
        <v>577.5</v>
      </c>
      <c r="Q1218">
        <v>635.833333333333</v>
      </c>
      <c r="R1218">
        <v>89.099</v>
      </c>
      <c r="S1218">
        <v>724.932333333333</v>
      </c>
      <c r="T1218">
        <v>57</v>
      </c>
      <c r="U1218">
        <f>SUMIF(货件明细!J:J,E1218,货件明细!AP:AP)</f>
        <v>57</v>
      </c>
      <c r="V1218">
        <f>IF(U1218=T1218,0,1)</f>
        <v>0</v>
      </c>
      <c r="W1218">
        <f>T1218</f>
        <v>57</v>
      </c>
      <c r="X1218">
        <f>SUMIF(货件明细!J:J,E1218,货件明细!H:H)</f>
        <v>14.442</v>
      </c>
      <c r="Y1218">
        <f>N1218-X1218</f>
        <v>0.858000000000001</v>
      </c>
      <c r="Z1218">
        <f>SUMIF(货件明细!J:J,E1218,货件明细!I:I)</f>
        <v>724.932333333333</v>
      </c>
      <c r="AA1218">
        <f>IF(S1218=Z1218,0,1)</f>
        <v>0</v>
      </c>
    </row>
    <row r="1219" spans="1:27">
      <c r="A1219">
        <v>3</v>
      </c>
      <c r="B1219">
        <v>10</v>
      </c>
      <c r="C1219" s="3">
        <v>46087</v>
      </c>
      <c r="D1219" t="s">
        <v>27</v>
      </c>
      <c r="E1219" t="s">
        <v>1336</v>
      </c>
      <c r="F1219" t="s">
        <v>29</v>
      </c>
      <c r="G1219" t="s">
        <v>30</v>
      </c>
      <c r="H1219" t="s">
        <v>56</v>
      </c>
      <c r="I1219" t="s">
        <v>32</v>
      </c>
      <c r="J1219" t="s">
        <v>32</v>
      </c>
      <c r="K1219" t="s">
        <v>33</v>
      </c>
      <c r="L1219" t="s">
        <v>43</v>
      </c>
      <c r="M1219" t="s">
        <v>47</v>
      </c>
      <c r="N1219">
        <v>48.35</v>
      </c>
      <c r="O1219">
        <v>58.3333333333333</v>
      </c>
      <c r="P1219">
        <v>1886.5</v>
      </c>
      <c r="Q1219">
        <v>1944.83333333333</v>
      </c>
      <c r="R1219">
        <v>400.32</v>
      </c>
      <c r="S1219">
        <v>2345.15333333333</v>
      </c>
      <c r="T1219">
        <v>310</v>
      </c>
      <c r="U1219">
        <f>SUMIF(货件明细!J:J,E1219,货件明细!AP:AP)</f>
        <v>310</v>
      </c>
      <c r="V1219">
        <f>IF(U1219=T1219,0,1)</f>
        <v>0</v>
      </c>
      <c r="W1219">
        <f>T1219</f>
        <v>310</v>
      </c>
      <c r="X1219">
        <f>SUMIF(货件明细!J:J,E1219,货件明细!H:H)</f>
        <v>45.68</v>
      </c>
      <c r="Y1219">
        <f>N1219-X1219</f>
        <v>2.66999999999999</v>
      </c>
      <c r="Z1219">
        <f>SUMIF(货件明细!J:J,E1219,货件明细!I:I)</f>
        <v>2345.15333333333</v>
      </c>
      <c r="AA1219">
        <f>IF(S1219=Z1219,0,1)</f>
        <v>0</v>
      </c>
    </row>
    <row r="1220" hidden="1" spans="1:27">
      <c r="A1220">
        <v>3</v>
      </c>
      <c r="B1220">
        <v>10</v>
      </c>
      <c r="C1220" s="3">
        <v>46087</v>
      </c>
      <c r="D1220" t="s">
        <v>27</v>
      </c>
      <c r="E1220" t="s">
        <v>1337</v>
      </c>
      <c r="F1220" t="s">
        <v>1065</v>
      </c>
      <c r="G1220" t="s">
        <v>72</v>
      </c>
      <c r="H1220" t="s">
        <v>224</v>
      </c>
      <c r="I1220" t="s">
        <v>1140</v>
      </c>
      <c r="J1220" t="s">
        <v>1140</v>
      </c>
      <c r="K1220" t="s">
        <v>64</v>
      </c>
      <c r="L1220" t="s">
        <v>147</v>
      </c>
      <c r="M1220" t="s">
        <v>1142</v>
      </c>
      <c r="N1220">
        <v>61.45</v>
      </c>
      <c r="O1220">
        <v>150</v>
      </c>
      <c r="P1220">
        <v>546</v>
      </c>
      <c r="Q1220">
        <v>696</v>
      </c>
      <c r="R1220">
        <v>875.7</v>
      </c>
      <c r="S1220">
        <v>1571.7</v>
      </c>
      <c r="T1220">
        <v>350</v>
      </c>
      <c r="U1220">
        <f>SUMIF(货件明细!J:J,E1220,货件明细!AP:AP)</f>
        <v>0</v>
      </c>
      <c r="V1220">
        <f>IF(U1220=T1220,0,1)</f>
        <v>1</v>
      </c>
      <c r="W1220">
        <f>T1220</f>
        <v>350</v>
      </c>
      <c r="X1220">
        <f>SUMIF(货件明细!J:J,E1220,货件明细!H:H)</f>
        <v>0</v>
      </c>
      <c r="Y1220">
        <f>N1220-X1220</f>
        <v>61.45</v>
      </c>
      <c r="Z1220">
        <f>SUMIF(货件明细!J:J,E1220,货件明细!I:I)</f>
        <v>0</v>
      </c>
      <c r="AA1220">
        <f>IF(S1220=Z1220,0,1)</f>
        <v>1</v>
      </c>
    </row>
    <row r="1221" hidden="1" spans="1:27">
      <c r="A1221">
        <v>3</v>
      </c>
      <c r="B1221">
        <v>10</v>
      </c>
      <c r="C1221" s="3">
        <v>46087</v>
      </c>
      <c r="D1221" t="s">
        <v>88</v>
      </c>
      <c r="E1221" t="s">
        <v>1338</v>
      </c>
      <c r="F1221" t="s">
        <v>427</v>
      </c>
      <c r="G1221" t="s">
        <v>72</v>
      </c>
      <c r="H1221" t="s">
        <v>224</v>
      </c>
      <c r="I1221" t="s">
        <v>63</v>
      </c>
      <c r="J1221" t="s">
        <v>63</v>
      </c>
      <c r="K1221" t="s">
        <v>64</v>
      </c>
      <c r="L1221" t="s">
        <v>147</v>
      </c>
      <c r="M1221" t="s">
        <v>774</v>
      </c>
      <c r="N1221">
        <v>72.55</v>
      </c>
      <c r="O1221">
        <v>15</v>
      </c>
      <c r="P1221">
        <v>261.8</v>
      </c>
      <c r="Q1221">
        <v>276.8</v>
      </c>
      <c r="R1221">
        <v>0</v>
      </c>
      <c r="S1221">
        <v>276.8</v>
      </c>
      <c r="T1221">
        <v>570</v>
      </c>
      <c r="U1221">
        <f>SUMIF(货件明细!J:J,E1221,货件明细!AP:AP)</f>
        <v>0</v>
      </c>
      <c r="V1221">
        <f>IF(U1221=T1221,0,1)</f>
        <v>1</v>
      </c>
      <c r="W1221">
        <f>T1221</f>
        <v>570</v>
      </c>
      <c r="X1221">
        <f>SUMIF(货件明细!J:J,E1221,货件明细!H:H)</f>
        <v>0</v>
      </c>
      <c r="Y1221">
        <f>N1221-X1221</f>
        <v>72.55</v>
      </c>
      <c r="Z1221">
        <f>SUMIF(货件明细!J:J,E1221,货件明细!I:I)</f>
        <v>0</v>
      </c>
      <c r="AA1221">
        <f>IF(S1221=Z1221,0,1)</f>
        <v>1</v>
      </c>
    </row>
    <row r="1222" hidden="1" spans="1:27">
      <c r="A1222">
        <v>3</v>
      </c>
      <c r="B1222">
        <v>10</v>
      </c>
      <c r="C1222" s="3">
        <v>46087</v>
      </c>
      <c r="D1222" t="s">
        <v>88</v>
      </c>
      <c r="E1222" t="s">
        <v>1339</v>
      </c>
      <c r="F1222" t="s">
        <v>427</v>
      </c>
      <c r="G1222" t="s">
        <v>72</v>
      </c>
      <c r="H1222" t="s">
        <v>31</v>
      </c>
      <c r="I1222" t="s">
        <v>63</v>
      </c>
      <c r="J1222" t="s">
        <v>63</v>
      </c>
      <c r="K1222" t="s">
        <v>64</v>
      </c>
      <c r="L1222" t="s">
        <v>147</v>
      </c>
      <c r="M1222" t="s">
        <v>774</v>
      </c>
      <c r="N1222">
        <v>151.16</v>
      </c>
      <c r="O1222">
        <v>15</v>
      </c>
      <c r="P1222">
        <v>415.8</v>
      </c>
      <c r="Q1222">
        <v>430.8</v>
      </c>
      <c r="R1222">
        <v>0</v>
      </c>
      <c r="S1222">
        <v>430.8</v>
      </c>
      <c r="T1222">
        <v>480</v>
      </c>
      <c r="U1222">
        <f>SUMIF(货件明细!J:J,E1222,货件明细!AP:AP)</f>
        <v>0</v>
      </c>
      <c r="V1222">
        <f>IF(U1222=T1222,0,1)</f>
        <v>1</v>
      </c>
      <c r="W1222">
        <f>T1222</f>
        <v>480</v>
      </c>
      <c r="X1222">
        <f>SUMIF(货件明细!J:J,E1222,货件明细!H:H)</f>
        <v>0</v>
      </c>
      <c r="Y1222">
        <f>N1222-X1222</f>
        <v>151.16</v>
      </c>
      <c r="Z1222">
        <f>SUMIF(货件明细!J:J,E1222,货件明细!I:I)</f>
        <v>0</v>
      </c>
      <c r="AA1222">
        <f>IF(S1222=Z1222,0,1)</f>
        <v>1</v>
      </c>
    </row>
    <row r="1223" hidden="1" spans="1:27">
      <c r="A1223">
        <v>3</v>
      </c>
      <c r="B1223">
        <v>10</v>
      </c>
      <c r="C1223" s="3">
        <v>46087</v>
      </c>
      <c r="D1223" t="s">
        <v>88</v>
      </c>
      <c r="E1223" t="s">
        <v>1340</v>
      </c>
      <c r="F1223" t="s">
        <v>427</v>
      </c>
      <c r="G1223" t="s">
        <v>72</v>
      </c>
      <c r="H1223" t="s">
        <v>37</v>
      </c>
      <c r="I1223" t="s">
        <v>63</v>
      </c>
      <c r="J1223" t="s">
        <v>63</v>
      </c>
      <c r="K1223" t="s">
        <v>64</v>
      </c>
      <c r="L1223" t="s">
        <v>147</v>
      </c>
      <c r="M1223" t="s">
        <v>774</v>
      </c>
      <c r="N1223">
        <v>211.55</v>
      </c>
      <c r="O1223">
        <v>15</v>
      </c>
      <c r="P1223">
        <v>577.5</v>
      </c>
      <c r="Q1223">
        <v>592.5</v>
      </c>
      <c r="R1223">
        <v>0</v>
      </c>
      <c r="S1223">
        <v>592.5</v>
      </c>
      <c r="T1223">
        <v>1367</v>
      </c>
      <c r="U1223">
        <f>SUMIF(货件明细!J:J,E1223,货件明细!AP:AP)</f>
        <v>0</v>
      </c>
      <c r="V1223">
        <f>IF(U1223=T1223,0,1)</f>
        <v>1</v>
      </c>
      <c r="W1223">
        <f>T1223</f>
        <v>1367</v>
      </c>
      <c r="X1223">
        <f>SUMIF(货件明细!J:J,E1223,货件明细!H:H)</f>
        <v>0</v>
      </c>
      <c r="Y1223">
        <f>N1223-X1223</f>
        <v>211.55</v>
      </c>
      <c r="Z1223">
        <f>SUMIF(货件明细!J:J,E1223,货件明细!I:I)</f>
        <v>0</v>
      </c>
      <c r="AA1223">
        <f>IF(S1223=Z1223,0,1)</f>
        <v>1</v>
      </c>
    </row>
    <row r="1224" hidden="1" spans="1:27">
      <c r="A1224">
        <v>3</v>
      </c>
      <c r="B1224">
        <v>10</v>
      </c>
      <c r="C1224" s="3">
        <v>46087</v>
      </c>
      <c r="D1224" t="s">
        <v>88</v>
      </c>
      <c r="E1224" t="s">
        <v>1341</v>
      </c>
      <c r="F1224" t="s">
        <v>427</v>
      </c>
      <c r="G1224" t="s">
        <v>72</v>
      </c>
      <c r="H1224" t="s">
        <v>37</v>
      </c>
      <c r="I1224" t="s">
        <v>63</v>
      </c>
      <c r="J1224" t="s">
        <v>63</v>
      </c>
      <c r="K1224" t="s">
        <v>64</v>
      </c>
      <c r="L1224" t="s">
        <v>147</v>
      </c>
      <c r="M1224" t="s">
        <v>774</v>
      </c>
      <c r="N1224">
        <v>92.25</v>
      </c>
      <c r="O1224">
        <v>15</v>
      </c>
      <c r="P1224">
        <v>261.8</v>
      </c>
      <c r="Q1224">
        <v>276.8</v>
      </c>
      <c r="R1224">
        <v>0</v>
      </c>
      <c r="S1224">
        <v>276.8</v>
      </c>
      <c r="T1224">
        <v>764</v>
      </c>
      <c r="U1224">
        <f>SUMIF(货件明细!J:J,E1224,货件明细!AP:AP)</f>
        <v>0</v>
      </c>
      <c r="V1224">
        <f>IF(U1224=T1224,0,1)</f>
        <v>1</v>
      </c>
      <c r="W1224">
        <f>T1224</f>
        <v>764</v>
      </c>
      <c r="X1224">
        <f>SUMIF(货件明细!J:J,E1224,货件明细!H:H)</f>
        <v>0</v>
      </c>
      <c r="Y1224">
        <f>N1224-X1224</f>
        <v>92.25</v>
      </c>
      <c r="Z1224">
        <f>SUMIF(货件明细!J:J,E1224,货件明细!I:I)</f>
        <v>0</v>
      </c>
      <c r="AA1224">
        <f>IF(S1224=Z1224,0,1)</f>
        <v>1</v>
      </c>
    </row>
    <row r="1225" hidden="1" spans="1:27">
      <c r="A1225">
        <v>3</v>
      </c>
      <c r="B1225">
        <v>10</v>
      </c>
      <c r="C1225" s="3">
        <v>46087</v>
      </c>
      <c r="D1225" t="s">
        <v>88</v>
      </c>
      <c r="E1225" t="s">
        <v>1342</v>
      </c>
      <c r="F1225" t="s">
        <v>427</v>
      </c>
      <c r="G1225" t="s">
        <v>72</v>
      </c>
      <c r="H1225" t="s">
        <v>51</v>
      </c>
      <c r="I1225" t="s">
        <v>63</v>
      </c>
      <c r="J1225" t="s">
        <v>63</v>
      </c>
      <c r="K1225" t="s">
        <v>64</v>
      </c>
      <c r="L1225" t="s">
        <v>147</v>
      </c>
      <c r="M1225" t="s">
        <v>774</v>
      </c>
      <c r="N1225">
        <v>662.3</v>
      </c>
      <c r="O1225">
        <v>15</v>
      </c>
      <c r="P1225">
        <v>2656.5</v>
      </c>
      <c r="Q1225">
        <v>2671.5</v>
      </c>
      <c r="R1225">
        <v>0</v>
      </c>
      <c r="S1225">
        <v>2671.5</v>
      </c>
      <c r="T1225">
        <v>2190</v>
      </c>
      <c r="U1225">
        <f>SUMIF(货件明细!J:J,E1225,货件明细!AP:AP)</f>
        <v>0</v>
      </c>
      <c r="V1225">
        <f>IF(U1225=T1225,0,1)</f>
        <v>1</v>
      </c>
      <c r="W1225">
        <f>T1225</f>
        <v>2190</v>
      </c>
      <c r="X1225">
        <f>SUMIF(货件明细!J:J,E1225,货件明细!H:H)</f>
        <v>0</v>
      </c>
      <c r="Y1225">
        <f>N1225-X1225</f>
        <v>662.3</v>
      </c>
      <c r="Z1225">
        <f>SUMIF(货件明细!J:J,E1225,货件明细!I:I)</f>
        <v>0</v>
      </c>
      <c r="AA1225">
        <f>IF(S1225=Z1225,0,1)</f>
        <v>1</v>
      </c>
    </row>
    <row r="1226" hidden="1" spans="1:27">
      <c r="A1226">
        <v>3</v>
      </c>
      <c r="B1226">
        <v>10</v>
      </c>
      <c r="C1226" s="3">
        <v>46087</v>
      </c>
      <c r="D1226" t="s">
        <v>88</v>
      </c>
      <c r="E1226" t="s">
        <v>1343</v>
      </c>
      <c r="F1226" t="s">
        <v>427</v>
      </c>
      <c r="G1226" t="s">
        <v>72</v>
      </c>
      <c r="H1226" t="s">
        <v>54</v>
      </c>
      <c r="I1226" t="s">
        <v>63</v>
      </c>
      <c r="J1226" t="s">
        <v>63</v>
      </c>
      <c r="K1226" t="s">
        <v>64</v>
      </c>
      <c r="L1226" t="s">
        <v>147</v>
      </c>
      <c r="M1226" t="s">
        <v>774</v>
      </c>
      <c r="N1226">
        <v>126.6</v>
      </c>
      <c r="O1226">
        <v>15</v>
      </c>
      <c r="P1226">
        <v>462</v>
      </c>
      <c r="Q1226">
        <v>477</v>
      </c>
      <c r="R1226">
        <v>0</v>
      </c>
      <c r="S1226">
        <v>477</v>
      </c>
      <c r="T1226">
        <v>726</v>
      </c>
      <c r="U1226">
        <f>SUMIF(货件明细!J:J,E1226,货件明细!AP:AP)</f>
        <v>0</v>
      </c>
      <c r="V1226">
        <f>IF(U1226=T1226,0,1)</f>
        <v>1</v>
      </c>
      <c r="W1226">
        <f>T1226</f>
        <v>726</v>
      </c>
      <c r="X1226">
        <f>SUMIF(货件明细!J:J,E1226,货件明细!H:H)</f>
        <v>0</v>
      </c>
      <c r="Y1226">
        <f>N1226-X1226</f>
        <v>126.6</v>
      </c>
      <c r="Z1226">
        <f>SUMIF(货件明细!J:J,E1226,货件明细!I:I)</f>
        <v>0</v>
      </c>
      <c r="AA1226">
        <f>IF(S1226=Z1226,0,1)</f>
        <v>1</v>
      </c>
    </row>
    <row r="1227" hidden="1" spans="1:27">
      <c r="A1227">
        <v>3</v>
      </c>
      <c r="B1227">
        <v>10</v>
      </c>
      <c r="C1227" s="3">
        <v>46087</v>
      </c>
      <c r="D1227" t="s">
        <v>88</v>
      </c>
      <c r="E1227" t="s">
        <v>1344</v>
      </c>
      <c r="F1227" t="s">
        <v>427</v>
      </c>
      <c r="G1227" t="s">
        <v>72</v>
      </c>
      <c r="H1227" t="s">
        <v>78</v>
      </c>
      <c r="I1227" t="s">
        <v>63</v>
      </c>
      <c r="J1227" t="s">
        <v>63</v>
      </c>
      <c r="K1227" t="s">
        <v>64</v>
      </c>
      <c r="L1227" t="s">
        <v>147</v>
      </c>
      <c r="M1227" t="s">
        <v>774</v>
      </c>
      <c r="N1227">
        <v>145.2</v>
      </c>
      <c r="O1227">
        <v>15</v>
      </c>
      <c r="P1227">
        <v>354.2</v>
      </c>
      <c r="Q1227">
        <v>369.2</v>
      </c>
      <c r="R1227">
        <v>0</v>
      </c>
      <c r="S1227">
        <v>369.2</v>
      </c>
      <c r="T1227">
        <v>670</v>
      </c>
      <c r="U1227">
        <f>SUMIF(货件明细!J:J,E1227,货件明细!AP:AP)</f>
        <v>0</v>
      </c>
      <c r="V1227">
        <f>IF(U1227=T1227,0,1)</f>
        <v>1</v>
      </c>
      <c r="W1227">
        <f>T1227</f>
        <v>670</v>
      </c>
      <c r="X1227">
        <f>SUMIF(货件明细!J:J,E1227,货件明细!H:H)</f>
        <v>0</v>
      </c>
      <c r="Y1227">
        <f>N1227-X1227</f>
        <v>145.2</v>
      </c>
      <c r="Z1227">
        <f>SUMIF(货件明细!J:J,E1227,货件明细!I:I)</f>
        <v>0</v>
      </c>
      <c r="AA1227">
        <f>IF(S1227=Z1227,0,1)</f>
        <v>1</v>
      </c>
    </row>
    <row r="1228" hidden="1" spans="1:27">
      <c r="A1228">
        <v>3</v>
      </c>
      <c r="B1228">
        <v>10</v>
      </c>
      <c r="C1228" s="3">
        <v>46087</v>
      </c>
      <c r="D1228" t="s">
        <v>88</v>
      </c>
      <c r="E1228" t="s">
        <v>1345</v>
      </c>
      <c r="F1228" t="s">
        <v>427</v>
      </c>
      <c r="G1228" t="s">
        <v>72</v>
      </c>
      <c r="H1228" t="s">
        <v>59</v>
      </c>
      <c r="I1228" t="s">
        <v>63</v>
      </c>
      <c r="J1228" t="s">
        <v>63</v>
      </c>
      <c r="K1228" t="s">
        <v>64</v>
      </c>
      <c r="L1228" t="s">
        <v>147</v>
      </c>
      <c r="M1228" t="s">
        <v>774</v>
      </c>
      <c r="N1228">
        <v>86.45</v>
      </c>
      <c r="O1228">
        <v>15</v>
      </c>
      <c r="P1228">
        <v>231</v>
      </c>
      <c r="Q1228">
        <v>246</v>
      </c>
      <c r="R1228">
        <v>0</v>
      </c>
      <c r="S1228">
        <v>246</v>
      </c>
      <c r="T1228">
        <v>510</v>
      </c>
      <c r="U1228">
        <f>SUMIF(货件明细!J:J,E1228,货件明细!AP:AP)</f>
        <v>0</v>
      </c>
      <c r="V1228">
        <f>IF(U1228=T1228,0,1)</f>
        <v>1</v>
      </c>
      <c r="W1228">
        <f>T1228</f>
        <v>510</v>
      </c>
      <c r="X1228">
        <f>SUMIF(货件明细!J:J,E1228,货件明细!H:H)</f>
        <v>0</v>
      </c>
      <c r="Y1228">
        <f>N1228-X1228</f>
        <v>86.45</v>
      </c>
      <c r="Z1228">
        <f>SUMIF(货件明细!J:J,E1228,货件明细!I:I)</f>
        <v>0</v>
      </c>
      <c r="AA1228">
        <f>IF(S1228=Z1228,0,1)</f>
        <v>1</v>
      </c>
    </row>
    <row r="1229" hidden="1" spans="1:27">
      <c r="A1229">
        <v>3</v>
      </c>
      <c r="B1229">
        <v>10</v>
      </c>
      <c r="C1229" s="3">
        <v>46087</v>
      </c>
      <c r="D1229" t="s">
        <v>88</v>
      </c>
      <c r="E1229" t="s">
        <v>1346</v>
      </c>
      <c r="F1229" t="s">
        <v>427</v>
      </c>
      <c r="G1229" t="s">
        <v>72</v>
      </c>
      <c r="H1229" t="s">
        <v>39</v>
      </c>
      <c r="I1229" t="s">
        <v>63</v>
      </c>
      <c r="J1229" t="s">
        <v>63</v>
      </c>
      <c r="K1229" t="s">
        <v>64</v>
      </c>
      <c r="L1229" t="s">
        <v>147</v>
      </c>
      <c r="M1229" t="s">
        <v>774</v>
      </c>
      <c r="N1229">
        <v>97.9</v>
      </c>
      <c r="O1229">
        <v>15</v>
      </c>
      <c r="P1229">
        <v>261.8</v>
      </c>
      <c r="Q1229">
        <v>276.8</v>
      </c>
      <c r="R1229">
        <v>0</v>
      </c>
      <c r="S1229">
        <v>276.8</v>
      </c>
      <c r="T1229">
        <v>200</v>
      </c>
      <c r="U1229">
        <f>SUMIF(货件明细!J:J,E1229,货件明细!AP:AP)</f>
        <v>0</v>
      </c>
      <c r="V1229">
        <f>IF(U1229=T1229,0,1)</f>
        <v>1</v>
      </c>
      <c r="W1229">
        <f>T1229</f>
        <v>200</v>
      </c>
      <c r="X1229">
        <f>SUMIF(货件明细!J:J,E1229,货件明细!H:H)</f>
        <v>0</v>
      </c>
      <c r="Y1229">
        <f>N1229-X1229</f>
        <v>97.9</v>
      </c>
      <c r="Z1229">
        <f>SUMIF(货件明细!J:J,E1229,货件明细!I:I)</f>
        <v>0</v>
      </c>
      <c r="AA1229">
        <f>IF(S1229=Z1229,0,1)</f>
        <v>1</v>
      </c>
    </row>
    <row r="1230" hidden="1" spans="1:27">
      <c r="A1230">
        <v>3</v>
      </c>
      <c r="B1230">
        <v>10</v>
      </c>
      <c r="C1230" s="3">
        <v>46087</v>
      </c>
      <c r="D1230" t="s">
        <v>88</v>
      </c>
      <c r="E1230" t="s">
        <v>1347</v>
      </c>
      <c r="F1230" t="s">
        <v>427</v>
      </c>
      <c r="G1230" t="s">
        <v>72</v>
      </c>
      <c r="H1230" t="s">
        <v>39</v>
      </c>
      <c r="I1230" t="s">
        <v>63</v>
      </c>
      <c r="J1230" t="s">
        <v>63</v>
      </c>
      <c r="K1230" t="s">
        <v>64</v>
      </c>
      <c r="L1230" t="s">
        <v>147</v>
      </c>
      <c r="M1230" t="s">
        <v>774</v>
      </c>
      <c r="N1230">
        <v>55.65</v>
      </c>
      <c r="O1230">
        <v>15</v>
      </c>
      <c r="P1230">
        <v>146.3</v>
      </c>
      <c r="Q1230">
        <v>161.3</v>
      </c>
      <c r="R1230">
        <v>0</v>
      </c>
      <c r="S1230">
        <v>161.3</v>
      </c>
      <c r="T1230">
        <v>351</v>
      </c>
      <c r="U1230">
        <f>SUMIF(货件明细!J:J,E1230,货件明细!AP:AP)</f>
        <v>0</v>
      </c>
      <c r="V1230">
        <f>IF(U1230=T1230,0,1)</f>
        <v>1</v>
      </c>
      <c r="W1230">
        <f>T1230</f>
        <v>351</v>
      </c>
      <c r="X1230">
        <f>SUMIF(货件明细!J:J,E1230,货件明细!H:H)</f>
        <v>0</v>
      </c>
      <c r="Y1230">
        <f>N1230-X1230</f>
        <v>55.65</v>
      </c>
      <c r="Z1230">
        <f>SUMIF(货件明细!J:J,E1230,货件明细!I:I)</f>
        <v>0</v>
      </c>
      <c r="AA1230">
        <f>IF(S1230=Z1230,0,1)</f>
        <v>1</v>
      </c>
    </row>
    <row r="1231" hidden="1" spans="1:27">
      <c r="A1231">
        <v>3</v>
      </c>
      <c r="B1231">
        <v>10</v>
      </c>
      <c r="C1231" s="3">
        <v>46087</v>
      </c>
      <c r="D1231" t="s">
        <v>27</v>
      </c>
      <c r="E1231" t="s">
        <v>1348</v>
      </c>
      <c r="F1231" t="s">
        <v>185</v>
      </c>
      <c r="G1231" t="s">
        <v>30</v>
      </c>
      <c r="H1231" t="s">
        <v>39</v>
      </c>
      <c r="I1231" t="s">
        <v>63</v>
      </c>
      <c r="J1231" t="s">
        <v>63</v>
      </c>
      <c r="K1231" t="s">
        <v>64</v>
      </c>
      <c r="L1231" t="s">
        <v>65</v>
      </c>
      <c r="M1231" t="s">
        <v>1235</v>
      </c>
      <c r="N1231">
        <v>29.7</v>
      </c>
      <c r="O1231">
        <v>15.7142857142857</v>
      </c>
      <c r="P1231">
        <v>172.7</v>
      </c>
      <c r="Q1231">
        <v>188.414285714286</v>
      </c>
      <c r="R1231">
        <v>0</v>
      </c>
      <c r="S1231">
        <v>188.414285714286</v>
      </c>
      <c r="T1231">
        <v>126</v>
      </c>
      <c r="U1231">
        <f>SUMIF(货件明细!J:J,E1231,货件明细!AP:AP)</f>
        <v>0</v>
      </c>
      <c r="V1231">
        <f>IF(U1231=T1231,0,1)</f>
        <v>1</v>
      </c>
      <c r="W1231">
        <f>T1231</f>
        <v>126</v>
      </c>
      <c r="X1231">
        <f>SUMIF(货件明细!J:J,E1231,货件明细!H:H)</f>
        <v>0</v>
      </c>
      <c r="Y1231">
        <f>N1231-X1231</f>
        <v>29.7</v>
      </c>
      <c r="Z1231">
        <f>SUMIF(货件明细!J:J,E1231,货件明细!I:I)</f>
        <v>0</v>
      </c>
      <c r="AA1231">
        <f>IF(S1231=Z1231,0,1)</f>
        <v>1</v>
      </c>
    </row>
    <row r="1232" hidden="1" spans="1:27">
      <c r="A1232">
        <v>3</v>
      </c>
      <c r="B1232">
        <v>10</v>
      </c>
      <c r="C1232" s="3">
        <v>46087</v>
      </c>
      <c r="D1232" t="s">
        <v>27</v>
      </c>
      <c r="E1232" t="s">
        <v>1349</v>
      </c>
      <c r="F1232" t="s">
        <v>141</v>
      </c>
      <c r="G1232" t="s">
        <v>69</v>
      </c>
      <c r="H1232" t="s">
        <v>39</v>
      </c>
      <c r="I1232" t="s">
        <v>63</v>
      </c>
      <c r="J1232" t="s">
        <v>63</v>
      </c>
      <c r="K1232" t="s">
        <v>64</v>
      </c>
      <c r="L1232" t="s">
        <v>65</v>
      </c>
      <c r="M1232" t="s">
        <v>1235</v>
      </c>
      <c r="N1232">
        <v>29.7</v>
      </c>
      <c r="O1232">
        <v>15.7142857142857</v>
      </c>
      <c r="P1232">
        <v>163.9</v>
      </c>
      <c r="Q1232">
        <v>179.614285714286</v>
      </c>
      <c r="R1232">
        <v>0</v>
      </c>
      <c r="S1232">
        <v>179.614285714286</v>
      </c>
      <c r="T1232">
        <v>126</v>
      </c>
      <c r="U1232">
        <f>SUMIF(货件明细!J:J,E1232,货件明细!AP:AP)</f>
        <v>0</v>
      </c>
      <c r="V1232">
        <f>IF(U1232=T1232,0,1)</f>
        <v>1</v>
      </c>
      <c r="W1232">
        <f>T1232</f>
        <v>126</v>
      </c>
      <c r="X1232">
        <f>SUMIF(货件明细!J:J,E1232,货件明细!H:H)</f>
        <v>0</v>
      </c>
      <c r="Y1232">
        <f>N1232-X1232</f>
        <v>29.7</v>
      </c>
      <c r="Z1232">
        <f>SUMIF(货件明细!J:J,E1232,货件明细!I:I)</f>
        <v>0</v>
      </c>
      <c r="AA1232">
        <f>IF(S1232=Z1232,0,1)</f>
        <v>1</v>
      </c>
    </row>
    <row r="1233" hidden="1" spans="1:27">
      <c r="A1233">
        <v>3</v>
      </c>
      <c r="B1233">
        <v>10</v>
      </c>
      <c r="C1233" s="3">
        <v>46087</v>
      </c>
      <c r="D1233" t="s">
        <v>27</v>
      </c>
      <c r="E1233" t="s">
        <v>1350</v>
      </c>
      <c r="F1233" t="s">
        <v>250</v>
      </c>
      <c r="G1233" t="s">
        <v>72</v>
      </c>
      <c r="H1233" t="s">
        <v>39</v>
      </c>
      <c r="I1233" t="s">
        <v>63</v>
      </c>
      <c r="J1233" t="s">
        <v>63</v>
      </c>
      <c r="K1233" t="s">
        <v>64</v>
      </c>
      <c r="L1233" t="s">
        <v>147</v>
      </c>
      <c r="M1233" t="s">
        <v>425</v>
      </c>
      <c r="N1233">
        <v>29.7</v>
      </c>
      <c r="O1233">
        <v>10.7142857142857</v>
      </c>
      <c r="P1233">
        <v>99</v>
      </c>
      <c r="Q1233">
        <v>109.714285714286</v>
      </c>
      <c r="R1233">
        <v>0</v>
      </c>
      <c r="S1233">
        <v>109.714285714286</v>
      </c>
      <c r="T1233">
        <v>126</v>
      </c>
      <c r="U1233">
        <f>SUMIF(货件明细!J:J,E1233,货件明细!AP:AP)</f>
        <v>0</v>
      </c>
      <c r="V1233">
        <f>IF(U1233=T1233,0,1)</f>
        <v>1</v>
      </c>
      <c r="W1233">
        <f>T1233</f>
        <v>126</v>
      </c>
      <c r="X1233">
        <f>SUMIF(货件明细!J:J,E1233,货件明细!H:H)</f>
        <v>0</v>
      </c>
      <c r="Y1233">
        <f>N1233-X1233</f>
        <v>29.7</v>
      </c>
      <c r="Z1233">
        <f>SUMIF(货件明细!J:J,E1233,货件明细!I:I)</f>
        <v>0</v>
      </c>
      <c r="AA1233">
        <f>IF(S1233=Z1233,0,1)</f>
        <v>1</v>
      </c>
    </row>
    <row r="1234" hidden="1" spans="1:27">
      <c r="A1234">
        <v>3</v>
      </c>
      <c r="B1234">
        <v>10</v>
      </c>
      <c r="C1234" s="3">
        <v>46087</v>
      </c>
      <c r="D1234" t="s">
        <v>27</v>
      </c>
      <c r="E1234" t="s">
        <v>1351</v>
      </c>
      <c r="F1234" t="s">
        <v>187</v>
      </c>
      <c r="G1234" t="s">
        <v>72</v>
      </c>
      <c r="H1234" t="s">
        <v>39</v>
      </c>
      <c r="I1234" t="s">
        <v>63</v>
      </c>
      <c r="J1234" t="s">
        <v>63</v>
      </c>
      <c r="K1234" t="s">
        <v>64</v>
      </c>
      <c r="L1234" t="s">
        <v>147</v>
      </c>
      <c r="M1234" t="s">
        <v>425</v>
      </c>
      <c r="N1234">
        <v>29.7</v>
      </c>
      <c r="O1234">
        <v>10.7142857142857</v>
      </c>
      <c r="P1234">
        <v>85.8</v>
      </c>
      <c r="Q1234">
        <v>96.5142857142857</v>
      </c>
      <c r="R1234">
        <v>0</v>
      </c>
      <c r="S1234">
        <v>96.5142857142857</v>
      </c>
      <c r="T1234">
        <v>126</v>
      </c>
      <c r="U1234">
        <f>SUMIF(货件明细!J:J,E1234,货件明细!AP:AP)</f>
        <v>0</v>
      </c>
      <c r="V1234">
        <f>IF(U1234=T1234,0,1)</f>
        <v>1</v>
      </c>
      <c r="W1234">
        <f>T1234</f>
        <v>126</v>
      </c>
      <c r="X1234">
        <f>SUMIF(货件明细!J:J,E1234,货件明细!H:H)</f>
        <v>0</v>
      </c>
      <c r="Y1234">
        <f>N1234-X1234</f>
        <v>29.7</v>
      </c>
      <c r="Z1234">
        <f>SUMIF(货件明细!J:J,E1234,货件明细!I:I)</f>
        <v>0</v>
      </c>
      <c r="AA1234">
        <f>IF(S1234=Z1234,0,1)</f>
        <v>1</v>
      </c>
    </row>
    <row r="1235" hidden="1" spans="1:27">
      <c r="A1235">
        <v>3</v>
      </c>
      <c r="B1235">
        <v>10</v>
      </c>
      <c r="C1235" s="3">
        <v>46087</v>
      </c>
      <c r="D1235" t="s">
        <v>27</v>
      </c>
      <c r="E1235" t="s">
        <v>1352</v>
      </c>
      <c r="F1235" t="s">
        <v>200</v>
      </c>
      <c r="G1235" t="s">
        <v>30</v>
      </c>
      <c r="H1235" t="s">
        <v>39</v>
      </c>
      <c r="I1235" t="s">
        <v>63</v>
      </c>
      <c r="J1235" t="s">
        <v>63</v>
      </c>
      <c r="K1235" t="s">
        <v>64</v>
      </c>
      <c r="L1235" t="s">
        <v>65</v>
      </c>
      <c r="M1235" t="s">
        <v>1235</v>
      </c>
      <c r="N1235">
        <v>29.7</v>
      </c>
      <c r="O1235">
        <v>15.7142857142857</v>
      </c>
      <c r="P1235">
        <v>168.3</v>
      </c>
      <c r="Q1235">
        <v>184.014285714286</v>
      </c>
      <c r="R1235">
        <v>0</v>
      </c>
      <c r="S1235">
        <v>184.014285714286</v>
      </c>
      <c r="T1235">
        <v>126</v>
      </c>
      <c r="U1235">
        <f>SUMIF(货件明细!J:J,E1235,货件明细!AP:AP)</f>
        <v>0</v>
      </c>
      <c r="V1235">
        <f>IF(U1235=T1235,0,1)</f>
        <v>1</v>
      </c>
      <c r="W1235">
        <f>T1235</f>
        <v>126</v>
      </c>
      <c r="X1235">
        <f>SUMIF(货件明细!J:J,E1235,货件明细!H:H)</f>
        <v>0</v>
      </c>
      <c r="Y1235">
        <f>N1235-X1235</f>
        <v>29.7</v>
      </c>
      <c r="Z1235">
        <f>SUMIF(货件明细!J:J,E1235,货件明细!I:I)</f>
        <v>0</v>
      </c>
      <c r="AA1235">
        <f>IF(S1235=Z1235,0,1)</f>
        <v>1</v>
      </c>
    </row>
    <row r="1236" hidden="1" spans="1:27">
      <c r="A1236">
        <v>3</v>
      </c>
      <c r="B1236">
        <v>10</v>
      </c>
      <c r="C1236" s="3">
        <v>46087</v>
      </c>
      <c r="D1236" t="s">
        <v>27</v>
      </c>
      <c r="E1236" t="s">
        <v>1353</v>
      </c>
      <c r="F1236" t="s">
        <v>185</v>
      </c>
      <c r="G1236" t="s">
        <v>30</v>
      </c>
      <c r="H1236" t="s">
        <v>37</v>
      </c>
      <c r="I1236" t="s">
        <v>63</v>
      </c>
      <c r="J1236" t="s">
        <v>63</v>
      </c>
      <c r="K1236" t="s">
        <v>64</v>
      </c>
      <c r="L1236" t="s">
        <v>65</v>
      </c>
      <c r="M1236" t="s">
        <v>1235</v>
      </c>
      <c r="N1236">
        <v>12.4</v>
      </c>
      <c r="O1236">
        <v>15.7142857142857</v>
      </c>
      <c r="P1236">
        <v>62.8</v>
      </c>
      <c r="Q1236">
        <v>78.5142857142857</v>
      </c>
      <c r="R1236">
        <v>0</v>
      </c>
      <c r="S1236">
        <v>78.5142857142857</v>
      </c>
      <c r="T1236">
        <v>104</v>
      </c>
      <c r="U1236">
        <f>SUMIF(货件明细!J:J,E1236,货件明细!AP:AP)</f>
        <v>0</v>
      </c>
      <c r="V1236">
        <f>IF(U1236=T1236,0,1)</f>
        <v>1</v>
      </c>
      <c r="W1236">
        <f>T1236</f>
        <v>104</v>
      </c>
      <c r="X1236">
        <f>SUMIF(货件明细!J:J,E1236,货件明细!H:H)</f>
        <v>0</v>
      </c>
      <c r="Y1236">
        <f>N1236-X1236</f>
        <v>12.4</v>
      </c>
      <c r="Z1236">
        <f>SUMIF(货件明细!J:J,E1236,货件明细!I:I)</f>
        <v>0</v>
      </c>
      <c r="AA1236">
        <f>IF(S1236=Z1236,0,1)</f>
        <v>1</v>
      </c>
    </row>
    <row r="1237" hidden="1" spans="1:27">
      <c r="A1237">
        <v>3</v>
      </c>
      <c r="B1237">
        <v>10</v>
      </c>
      <c r="C1237" s="3">
        <v>46087</v>
      </c>
      <c r="D1237" t="s">
        <v>27</v>
      </c>
      <c r="E1237" t="s">
        <v>1354</v>
      </c>
      <c r="F1237" t="s">
        <v>141</v>
      </c>
      <c r="G1237" t="s">
        <v>69</v>
      </c>
      <c r="H1237" t="s">
        <v>37</v>
      </c>
      <c r="I1237" t="s">
        <v>63</v>
      </c>
      <c r="J1237" t="s">
        <v>63</v>
      </c>
      <c r="K1237" t="s">
        <v>64</v>
      </c>
      <c r="L1237" t="s">
        <v>65</v>
      </c>
      <c r="M1237" t="s">
        <v>1235</v>
      </c>
      <c r="N1237">
        <v>12.4</v>
      </c>
      <c r="O1237">
        <v>15.7142857142857</v>
      </c>
      <c r="P1237">
        <v>59.6</v>
      </c>
      <c r="Q1237">
        <v>75.3142857142857</v>
      </c>
      <c r="R1237">
        <v>0</v>
      </c>
      <c r="S1237">
        <v>75.3142857142857</v>
      </c>
      <c r="T1237">
        <v>104</v>
      </c>
      <c r="U1237">
        <f>SUMIF(货件明细!J:J,E1237,货件明细!AP:AP)</f>
        <v>0</v>
      </c>
      <c r="V1237">
        <f>IF(U1237=T1237,0,1)</f>
        <v>1</v>
      </c>
      <c r="W1237">
        <f>T1237</f>
        <v>104</v>
      </c>
      <c r="X1237">
        <f>SUMIF(货件明细!J:J,E1237,货件明细!H:H)</f>
        <v>0</v>
      </c>
      <c r="Y1237">
        <f>N1237-X1237</f>
        <v>12.4</v>
      </c>
      <c r="Z1237">
        <f>SUMIF(货件明细!J:J,E1237,货件明细!I:I)</f>
        <v>0</v>
      </c>
      <c r="AA1237">
        <f>IF(S1237=Z1237,0,1)</f>
        <v>1</v>
      </c>
    </row>
    <row r="1238" hidden="1" spans="1:27">
      <c r="A1238">
        <v>3</v>
      </c>
      <c r="B1238">
        <v>10</v>
      </c>
      <c r="C1238" s="3">
        <v>46087</v>
      </c>
      <c r="D1238" t="s">
        <v>27</v>
      </c>
      <c r="E1238" t="s">
        <v>1355</v>
      </c>
      <c r="F1238" t="s">
        <v>250</v>
      </c>
      <c r="G1238" t="s">
        <v>72</v>
      </c>
      <c r="H1238" t="s">
        <v>37</v>
      </c>
      <c r="I1238" t="s">
        <v>63</v>
      </c>
      <c r="J1238" t="s">
        <v>63</v>
      </c>
      <c r="K1238" t="s">
        <v>64</v>
      </c>
      <c r="L1238" t="s">
        <v>147</v>
      </c>
      <c r="M1238" t="s">
        <v>425</v>
      </c>
      <c r="N1238">
        <v>12.4</v>
      </c>
      <c r="O1238">
        <v>10.7142857142857</v>
      </c>
      <c r="P1238">
        <v>36</v>
      </c>
      <c r="Q1238">
        <v>46.7142857142857</v>
      </c>
      <c r="R1238">
        <v>0</v>
      </c>
      <c r="S1238">
        <v>46.7142857142857</v>
      </c>
      <c r="T1238">
        <v>104</v>
      </c>
      <c r="U1238">
        <f>SUMIF(货件明细!J:J,E1238,货件明细!AP:AP)</f>
        <v>0</v>
      </c>
      <c r="V1238">
        <f>IF(U1238=T1238,0,1)</f>
        <v>1</v>
      </c>
      <c r="W1238">
        <f>T1238</f>
        <v>104</v>
      </c>
      <c r="X1238">
        <f>SUMIF(货件明细!J:J,E1238,货件明细!H:H)</f>
        <v>0</v>
      </c>
      <c r="Y1238">
        <f>N1238-X1238</f>
        <v>12.4</v>
      </c>
      <c r="Z1238">
        <f>SUMIF(货件明细!J:J,E1238,货件明细!I:I)</f>
        <v>0</v>
      </c>
      <c r="AA1238">
        <f>IF(S1238=Z1238,0,1)</f>
        <v>1</v>
      </c>
    </row>
    <row r="1239" hidden="1" spans="1:27">
      <c r="A1239">
        <v>3</v>
      </c>
      <c r="B1239">
        <v>10</v>
      </c>
      <c r="C1239" s="3">
        <v>46087</v>
      </c>
      <c r="D1239" t="s">
        <v>27</v>
      </c>
      <c r="E1239" t="s">
        <v>1356</v>
      </c>
      <c r="F1239" t="s">
        <v>187</v>
      </c>
      <c r="G1239" t="s">
        <v>72</v>
      </c>
      <c r="H1239" t="s">
        <v>37</v>
      </c>
      <c r="I1239" t="s">
        <v>63</v>
      </c>
      <c r="J1239" t="s">
        <v>63</v>
      </c>
      <c r="K1239" t="s">
        <v>64</v>
      </c>
      <c r="L1239" t="s">
        <v>147</v>
      </c>
      <c r="M1239" t="s">
        <v>425</v>
      </c>
      <c r="N1239">
        <v>12.4</v>
      </c>
      <c r="O1239">
        <v>10.7142857142857</v>
      </c>
      <c r="P1239">
        <v>31.2</v>
      </c>
      <c r="Q1239">
        <v>41.9142857142857</v>
      </c>
      <c r="R1239">
        <v>0</v>
      </c>
      <c r="S1239">
        <v>41.9142857142857</v>
      </c>
      <c r="T1239">
        <v>104</v>
      </c>
      <c r="U1239">
        <f>SUMIF(货件明细!J:J,E1239,货件明细!AP:AP)</f>
        <v>0</v>
      </c>
      <c r="V1239">
        <f>IF(U1239=T1239,0,1)</f>
        <v>1</v>
      </c>
      <c r="W1239">
        <f>T1239</f>
        <v>104</v>
      </c>
      <c r="X1239">
        <f>SUMIF(货件明细!J:J,E1239,货件明细!H:H)</f>
        <v>0</v>
      </c>
      <c r="Y1239">
        <f>N1239-X1239</f>
        <v>12.4</v>
      </c>
      <c r="Z1239">
        <f>SUMIF(货件明细!J:J,E1239,货件明细!I:I)</f>
        <v>0</v>
      </c>
      <c r="AA1239">
        <f>IF(S1239=Z1239,0,1)</f>
        <v>1</v>
      </c>
    </row>
    <row r="1240" hidden="1" spans="1:27">
      <c r="A1240">
        <v>3</v>
      </c>
      <c r="B1240">
        <v>10</v>
      </c>
      <c r="C1240" s="3">
        <v>46087</v>
      </c>
      <c r="D1240" t="s">
        <v>27</v>
      </c>
      <c r="E1240" t="s">
        <v>1357</v>
      </c>
      <c r="F1240" t="s">
        <v>200</v>
      </c>
      <c r="G1240" t="s">
        <v>30</v>
      </c>
      <c r="H1240" t="s">
        <v>37</v>
      </c>
      <c r="I1240" t="s">
        <v>63</v>
      </c>
      <c r="J1240" t="s">
        <v>63</v>
      </c>
      <c r="K1240" t="s">
        <v>64</v>
      </c>
      <c r="L1240" t="s">
        <v>65</v>
      </c>
      <c r="M1240" t="s">
        <v>1235</v>
      </c>
      <c r="N1240">
        <v>12.4</v>
      </c>
      <c r="O1240">
        <v>15.7142857142857</v>
      </c>
      <c r="P1240">
        <v>61.2</v>
      </c>
      <c r="Q1240">
        <v>76.9142857142857</v>
      </c>
      <c r="R1240">
        <v>0</v>
      </c>
      <c r="S1240">
        <v>76.9142857142857</v>
      </c>
      <c r="T1240">
        <v>104</v>
      </c>
      <c r="U1240">
        <f>SUMIF(货件明细!J:J,E1240,货件明细!AP:AP)</f>
        <v>0</v>
      </c>
      <c r="V1240">
        <f>IF(U1240=T1240,0,1)</f>
        <v>1</v>
      </c>
      <c r="W1240">
        <f>T1240</f>
        <v>104</v>
      </c>
      <c r="X1240">
        <f>SUMIF(货件明细!J:J,E1240,货件明细!H:H)</f>
        <v>0</v>
      </c>
      <c r="Y1240">
        <f>N1240-X1240</f>
        <v>12.4</v>
      </c>
      <c r="Z1240">
        <f>SUMIF(货件明细!J:J,E1240,货件明细!I:I)</f>
        <v>0</v>
      </c>
      <c r="AA1240">
        <f>IF(S1240=Z1240,0,1)</f>
        <v>1</v>
      </c>
    </row>
    <row r="1241" hidden="1" spans="1:27">
      <c r="A1241">
        <v>3</v>
      </c>
      <c r="B1241">
        <v>10</v>
      </c>
      <c r="C1241" s="3">
        <v>46087</v>
      </c>
      <c r="D1241" t="s">
        <v>27</v>
      </c>
      <c r="E1241" t="s">
        <v>1358</v>
      </c>
      <c r="F1241" t="s">
        <v>185</v>
      </c>
      <c r="G1241" t="s">
        <v>30</v>
      </c>
      <c r="H1241" t="s">
        <v>78</v>
      </c>
      <c r="I1241" t="s">
        <v>63</v>
      </c>
      <c r="J1241" t="s">
        <v>63</v>
      </c>
      <c r="K1241" t="s">
        <v>64</v>
      </c>
      <c r="L1241" t="s">
        <v>65</v>
      </c>
      <c r="M1241" t="s">
        <v>1235</v>
      </c>
      <c r="N1241">
        <v>37.35</v>
      </c>
      <c r="O1241">
        <v>15.7142857142857</v>
      </c>
      <c r="P1241">
        <v>188.4</v>
      </c>
      <c r="Q1241">
        <v>204.114285714286</v>
      </c>
      <c r="R1241">
        <v>0</v>
      </c>
      <c r="S1241">
        <v>204.114285714286</v>
      </c>
      <c r="T1241">
        <v>160</v>
      </c>
      <c r="U1241">
        <f>SUMIF(货件明细!J:J,E1241,货件明细!AP:AP)</f>
        <v>0</v>
      </c>
      <c r="V1241">
        <f>IF(U1241=T1241,0,1)</f>
        <v>1</v>
      </c>
      <c r="W1241">
        <f>T1241</f>
        <v>160</v>
      </c>
      <c r="X1241">
        <f>SUMIF(货件明细!J:J,E1241,货件明细!H:H)</f>
        <v>0</v>
      </c>
      <c r="Y1241">
        <f>N1241-X1241</f>
        <v>37.35</v>
      </c>
      <c r="Z1241">
        <f>SUMIF(货件明细!J:J,E1241,货件明细!I:I)</f>
        <v>0</v>
      </c>
      <c r="AA1241">
        <f>IF(S1241=Z1241,0,1)</f>
        <v>1</v>
      </c>
    </row>
    <row r="1242" hidden="1" spans="1:27">
      <c r="A1242">
        <v>3</v>
      </c>
      <c r="B1242">
        <v>10</v>
      </c>
      <c r="C1242" s="3">
        <v>46087</v>
      </c>
      <c r="D1242" t="s">
        <v>27</v>
      </c>
      <c r="E1242" t="s">
        <v>1359</v>
      </c>
      <c r="F1242" t="s">
        <v>141</v>
      </c>
      <c r="G1242" t="s">
        <v>69</v>
      </c>
      <c r="H1242" t="s">
        <v>78</v>
      </c>
      <c r="I1242" t="s">
        <v>63</v>
      </c>
      <c r="J1242" t="s">
        <v>63</v>
      </c>
      <c r="K1242" t="s">
        <v>64</v>
      </c>
      <c r="L1242" t="s">
        <v>65</v>
      </c>
      <c r="M1242" t="s">
        <v>1235</v>
      </c>
      <c r="N1242">
        <v>37.35</v>
      </c>
      <c r="O1242">
        <v>15.7142857142857</v>
      </c>
      <c r="P1242">
        <v>178.8</v>
      </c>
      <c r="Q1242">
        <v>194.514285714286</v>
      </c>
      <c r="R1242">
        <v>0</v>
      </c>
      <c r="S1242">
        <v>194.514285714286</v>
      </c>
      <c r="T1242">
        <v>160</v>
      </c>
      <c r="U1242">
        <f>SUMIF(货件明细!J:J,E1242,货件明细!AP:AP)</f>
        <v>0</v>
      </c>
      <c r="V1242">
        <f>IF(U1242=T1242,0,1)</f>
        <v>1</v>
      </c>
      <c r="W1242">
        <f>T1242</f>
        <v>160</v>
      </c>
      <c r="X1242">
        <f>SUMIF(货件明细!J:J,E1242,货件明细!H:H)</f>
        <v>0</v>
      </c>
      <c r="Y1242">
        <f>N1242-X1242</f>
        <v>37.35</v>
      </c>
      <c r="Z1242">
        <f>SUMIF(货件明细!J:J,E1242,货件明细!I:I)</f>
        <v>0</v>
      </c>
      <c r="AA1242">
        <f>IF(S1242=Z1242,0,1)</f>
        <v>1</v>
      </c>
    </row>
    <row r="1243" hidden="1" spans="1:27">
      <c r="A1243">
        <v>3</v>
      </c>
      <c r="B1243">
        <v>10</v>
      </c>
      <c r="C1243" s="3">
        <v>46087</v>
      </c>
      <c r="D1243" t="s">
        <v>27</v>
      </c>
      <c r="E1243" t="s">
        <v>1360</v>
      </c>
      <c r="F1243" t="s">
        <v>250</v>
      </c>
      <c r="G1243" t="s">
        <v>72</v>
      </c>
      <c r="H1243" t="s">
        <v>78</v>
      </c>
      <c r="I1243" t="s">
        <v>63</v>
      </c>
      <c r="J1243" t="s">
        <v>63</v>
      </c>
      <c r="K1243" t="s">
        <v>64</v>
      </c>
      <c r="L1243" t="s">
        <v>147</v>
      </c>
      <c r="M1243" t="s">
        <v>425</v>
      </c>
      <c r="N1243">
        <v>37.35</v>
      </c>
      <c r="O1243">
        <v>10.7142857142857</v>
      </c>
      <c r="P1243">
        <v>108</v>
      </c>
      <c r="Q1243">
        <v>118.714285714286</v>
      </c>
      <c r="R1243">
        <v>0</v>
      </c>
      <c r="S1243">
        <v>118.714285714286</v>
      </c>
      <c r="T1243">
        <v>160</v>
      </c>
      <c r="U1243">
        <f>SUMIF(货件明细!J:J,E1243,货件明细!AP:AP)</f>
        <v>0</v>
      </c>
      <c r="V1243">
        <f>IF(U1243=T1243,0,1)</f>
        <v>1</v>
      </c>
      <c r="W1243">
        <f>T1243</f>
        <v>160</v>
      </c>
      <c r="X1243">
        <f>SUMIF(货件明细!J:J,E1243,货件明细!H:H)</f>
        <v>0</v>
      </c>
      <c r="Y1243">
        <f>N1243-X1243</f>
        <v>37.35</v>
      </c>
      <c r="Z1243">
        <f>SUMIF(货件明细!J:J,E1243,货件明细!I:I)</f>
        <v>0</v>
      </c>
      <c r="AA1243">
        <f>IF(S1243=Z1243,0,1)</f>
        <v>1</v>
      </c>
    </row>
    <row r="1244" hidden="1" spans="1:27">
      <c r="A1244">
        <v>3</v>
      </c>
      <c r="B1244">
        <v>10</v>
      </c>
      <c r="C1244" s="3">
        <v>46087</v>
      </c>
      <c r="D1244" t="s">
        <v>27</v>
      </c>
      <c r="E1244" t="s">
        <v>1361</v>
      </c>
      <c r="F1244" t="s">
        <v>187</v>
      </c>
      <c r="G1244" t="s">
        <v>72</v>
      </c>
      <c r="H1244" t="s">
        <v>78</v>
      </c>
      <c r="I1244" t="s">
        <v>63</v>
      </c>
      <c r="J1244" t="s">
        <v>63</v>
      </c>
      <c r="K1244" t="s">
        <v>64</v>
      </c>
      <c r="L1244" t="s">
        <v>147</v>
      </c>
      <c r="M1244" t="s">
        <v>425</v>
      </c>
      <c r="N1244">
        <v>37.35</v>
      </c>
      <c r="O1244">
        <v>10.7142857142857</v>
      </c>
      <c r="P1244">
        <v>93.6</v>
      </c>
      <c r="Q1244">
        <v>104.314285714286</v>
      </c>
      <c r="R1244">
        <v>0</v>
      </c>
      <c r="S1244">
        <v>104.314285714286</v>
      </c>
      <c r="T1244">
        <v>160</v>
      </c>
      <c r="U1244">
        <f>SUMIF(货件明细!J:J,E1244,货件明细!AP:AP)</f>
        <v>0</v>
      </c>
      <c r="V1244">
        <f>IF(U1244=T1244,0,1)</f>
        <v>1</v>
      </c>
      <c r="W1244">
        <f>T1244</f>
        <v>160</v>
      </c>
      <c r="X1244">
        <f>SUMIF(货件明细!J:J,E1244,货件明细!H:H)</f>
        <v>0</v>
      </c>
      <c r="Y1244">
        <f>N1244-X1244</f>
        <v>37.35</v>
      </c>
      <c r="Z1244">
        <f>SUMIF(货件明细!J:J,E1244,货件明细!I:I)</f>
        <v>0</v>
      </c>
      <c r="AA1244">
        <f>IF(S1244=Z1244,0,1)</f>
        <v>1</v>
      </c>
    </row>
    <row r="1245" hidden="1" spans="1:27">
      <c r="A1245">
        <v>3</v>
      </c>
      <c r="B1245">
        <v>10</v>
      </c>
      <c r="C1245" s="3">
        <v>46087</v>
      </c>
      <c r="D1245" t="s">
        <v>27</v>
      </c>
      <c r="E1245" t="s">
        <v>1362</v>
      </c>
      <c r="F1245" t="s">
        <v>200</v>
      </c>
      <c r="G1245" t="s">
        <v>30</v>
      </c>
      <c r="H1245" t="s">
        <v>78</v>
      </c>
      <c r="I1245" t="s">
        <v>63</v>
      </c>
      <c r="J1245" t="s">
        <v>63</v>
      </c>
      <c r="K1245" t="s">
        <v>64</v>
      </c>
      <c r="L1245" t="s">
        <v>65</v>
      </c>
      <c r="M1245" t="s">
        <v>1235</v>
      </c>
      <c r="N1245">
        <v>37.35</v>
      </c>
      <c r="O1245">
        <v>15.7142857142857</v>
      </c>
      <c r="P1245">
        <v>183.6</v>
      </c>
      <c r="Q1245">
        <v>199.314285714286</v>
      </c>
      <c r="R1245">
        <v>0</v>
      </c>
      <c r="S1245">
        <v>199.314285714286</v>
      </c>
      <c r="T1245">
        <v>160</v>
      </c>
      <c r="U1245">
        <f>SUMIF(货件明细!J:J,E1245,货件明细!AP:AP)</f>
        <v>0</v>
      </c>
      <c r="V1245">
        <f>IF(U1245=T1245,0,1)</f>
        <v>1</v>
      </c>
      <c r="W1245">
        <f>T1245</f>
        <v>160</v>
      </c>
      <c r="X1245">
        <f>SUMIF(货件明细!J:J,E1245,货件明细!H:H)</f>
        <v>0</v>
      </c>
      <c r="Y1245">
        <f>N1245-X1245</f>
        <v>37.35</v>
      </c>
      <c r="Z1245">
        <f>SUMIF(货件明细!J:J,E1245,货件明细!I:I)</f>
        <v>0</v>
      </c>
      <c r="AA1245">
        <f>IF(S1245=Z1245,0,1)</f>
        <v>1</v>
      </c>
    </row>
    <row r="1246" hidden="1" spans="1:27">
      <c r="A1246">
        <v>3</v>
      </c>
      <c r="B1246">
        <v>10</v>
      </c>
      <c r="C1246" s="3">
        <v>46087</v>
      </c>
      <c r="D1246" t="s">
        <v>27</v>
      </c>
      <c r="E1246" t="s">
        <v>1363</v>
      </c>
      <c r="F1246" t="s">
        <v>185</v>
      </c>
      <c r="G1246" t="s">
        <v>30</v>
      </c>
      <c r="H1246" t="s">
        <v>56</v>
      </c>
      <c r="I1246" t="s">
        <v>63</v>
      </c>
      <c r="J1246" t="s">
        <v>63</v>
      </c>
      <c r="K1246" t="s">
        <v>64</v>
      </c>
      <c r="L1246" t="s">
        <v>65</v>
      </c>
      <c r="M1246" t="s">
        <v>1235</v>
      </c>
      <c r="N1246">
        <v>39.9</v>
      </c>
      <c r="O1246">
        <v>15.7142857142857</v>
      </c>
      <c r="P1246">
        <v>282.6</v>
      </c>
      <c r="Q1246">
        <v>298.314285714286</v>
      </c>
      <c r="R1246">
        <v>0</v>
      </c>
      <c r="S1246">
        <v>298.314285714286</v>
      </c>
      <c r="T1246">
        <v>204</v>
      </c>
      <c r="U1246">
        <f>SUMIF(货件明细!J:J,E1246,货件明细!AP:AP)</f>
        <v>0</v>
      </c>
      <c r="V1246">
        <f>IF(U1246=T1246,0,1)</f>
        <v>1</v>
      </c>
      <c r="W1246">
        <f>T1246</f>
        <v>204</v>
      </c>
      <c r="X1246">
        <f>SUMIF(货件明细!J:J,E1246,货件明细!H:H)</f>
        <v>0</v>
      </c>
      <c r="Y1246">
        <f>N1246-X1246</f>
        <v>39.9</v>
      </c>
      <c r="Z1246">
        <f>SUMIF(货件明细!J:J,E1246,货件明细!I:I)</f>
        <v>0</v>
      </c>
      <c r="AA1246">
        <f>IF(S1246=Z1246,0,1)</f>
        <v>1</v>
      </c>
    </row>
    <row r="1247" hidden="1" spans="1:27">
      <c r="A1247">
        <v>3</v>
      </c>
      <c r="B1247">
        <v>10</v>
      </c>
      <c r="C1247" s="3">
        <v>46087</v>
      </c>
      <c r="D1247" t="s">
        <v>27</v>
      </c>
      <c r="E1247" t="s">
        <v>1364</v>
      </c>
      <c r="F1247" t="s">
        <v>141</v>
      </c>
      <c r="G1247" t="s">
        <v>69</v>
      </c>
      <c r="H1247" t="s">
        <v>56</v>
      </c>
      <c r="I1247" t="s">
        <v>63</v>
      </c>
      <c r="J1247" t="s">
        <v>63</v>
      </c>
      <c r="K1247" t="s">
        <v>64</v>
      </c>
      <c r="L1247" t="s">
        <v>65</v>
      </c>
      <c r="M1247" t="s">
        <v>1235</v>
      </c>
      <c r="N1247">
        <v>39.9</v>
      </c>
      <c r="O1247">
        <v>15.7142857142857</v>
      </c>
      <c r="P1247">
        <v>268.2</v>
      </c>
      <c r="Q1247">
        <v>283.914285714286</v>
      </c>
      <c r="R1247">
        <v>0</v>
      </c>
      <c r="S1247">
        <v>283.914285714286</v>
      </c>
      <c r="T1247">
        <v>204</v>
      </c>
      <c r="U1247">
        <f>SUMIF(货件明细!J:J,E1247,货件明细!AP:AP)</f>
        <v>0</v>
      </c>
      <c r="V1247">
        <f>IF(U1247=T1247,0,1)</f>
        <v>1</v>
      </c>
      <c r="W1247">
        <f>T1247</f>
        <v>204</v>
      </c>
      <c r="X1247">
        <f>SUMIF(货件明细!J:J,E1247,货件明细!H:H)</f>
        <v>0</v>
      </c>
      <c r="Y1247">
        <f>N1247-X1247</f>
        <v>39.9</v>
      </c>
      <c r="Z1247">
        <f>SUMIF(货件明细!J:J,E1247,货件明细!I:I)</f>
        <v>0</v>
      </c>
      <c r="AA1247">
        <f>IF(S1247=Z1247,0,1)</f>
        <v>1</v>
      </c>
    </row>
    <row r="1248" hidden="1" spans="1:27">
      <c r="A1248">
        <v>3</v>
      </c>
      <c r="B1248">
        <v>10</v>
      </c>
      <c r="C1248" s="3">
        <v>46087</v>
      </c>
      <c r="D1248" t="s">
        <v>27</v>
      </c>
      <c r="E1248" t="s">
        <v>1365</v>
      </c>
      <c r="F1248" t="s">
        <v>250</v>
      </c>
      <c r="G1248" t="s">
        <v>72</v>
      </c>
      <c r="H1248" t="s">
        <v>56</v>
      </c>
      <c r="I1248" t="s">
        <v>63</v>
      </c>
      <c r="J1248" t="s">
        <v>63</v>
      </c>
      <c r="K1248" t="s">
        <v>64</v>
      </c>
      <c r="L1248" t="s">
        <v>147</v>
      </c>
      <c r="M1248" t="s">
        <v>425</v>
      </c>
      <c r="N1248">
        <v>39.9</v>
      </c>
      <c r="O1248">
        <v>10.7142857142857</v>
      </c>
      <c r="P1248">
        <v>144</v>
      </c>
      <c r="Q1248">
        <v>154.714285714286</v>
      </c>
      <c r="R1248">
        <v>0</v>
      </c>
      <c r="S1248">
        <v>154.714285714286</v>
      </c>
      <c r="T1248">
        <v>204</v>
      </c>
      <c r="U1248">
        <f>SUMIF(货件明细!J:J,E1248,货件明细!AP:AP)</f>
        <v>0</v>
      </c>
      <c r="V1248">
        <f>IF(U1248=T1248,0,1)</f>
        <v>1</v>
      </c>
      <c r="W1248">
        <f>T1248</f>
        <v>204</v>
      </c>
      <c r="X1248">
        <f>SUMIF(货件明细!J:J,E1248,货件明细!H:H)</f>
        <v>0</v>
      </c>
      <c r="Y1248">
        <f>N1248-X1248</f>
        <v>39.9</v>
      </c>
      <c r="Z1248">
        <f>SUMIF(货件明细!J:J,E1248,货件明细!I:I)</f>
        <v>0</v>
      </c>
      <c r="AA1248">
        <f>IF(S1248=Z1248,0,1)</f>
        <v>1</v>
      </c>
    </row>
    <row r="1249" hidden="1" spans="1:27">
      <c r="A1249">
        <v>3</v>
      </c>
      <c r="B1249">
        <v>10</v>
      </c>
      <c r="C1249" s="3">
        <v>46087</v>
      </c>
      <c r="D1249" t="s">
        <v>27</v>
      </c>
      <c r="E1249" t="s">
        <v>1366</v>
      </c>
      <c r="F1249" t="s">
        <v>187</v>
      </c>
      <c r="G1249" t="s">
        <v>72</v>
      </c>
      <c r="H1249" t="s">
        <v>56</v>
      </c>
      <c r="I1249" t="s">
        <v>63</v>
      </c>
      <c r="J1249" t="s">
        <v>63</v>
      </c>
      <c r="K1249" t="s">
        <v>64</v>
      </c>
      <c r="L1249" t="s">
        <v>147</v>
      </c>
      <c r="M1249" t="s">
        <v>425</v>
      </c>
      <c r="N1249">
        <v>39.9</v>
      </c>
      <c r="O1249">
        <v>10.7142857142857</v>
      </c>
      <c r="P1249">
        <v>124.8</v>
      </c>
      <c r="Q1249">
        <v>135.514285714286</v>
      </c>
      <c r="R1249">
        <v>0</v>
      </c>
      <c r="S1249">
        <v>135.514285714286</v>
      </c>
      <c r="T1249">
        <v>204</v>
      </c>
      <c r="U1249">
        <f>SUMIF(货件明细!J:J,E1249,货件明细!AP:AP)</f>
        <v>0</v>
      </c>
      <c r="V1249">
        <f>IF(U1249=T1249,0,1)</f>
        <v>1</v>
      </c>
      <c r="W1249">
        <f>T1249</f>
        <v>204</v>
      </c>
      <c r="X1249">
        <f>SUMIF(货件明细!J:J,E1249,货件明细!H:H)</f>
        <v>0</v>
      </c>
      <c r="Y1249">
        <f>N1249-X1249</f>
        <v>39.9</v>
      </c>
      <c r="Z1249">
        <f>SUMIF(货件明细!J:J,E1249,货件明细!I:I)</f>
        <v>0</v>
      </c>
      <c r="AA1249">
        <f>IF(S1249=Z1249,0,1)</f>
        <v>1</v>
      </c>
    </row>
    <row r="1250" hidden="1" spans="1:27">
      <c r="A1250">
        <v>3</v>
      </c>
      <c r="B1250">
        <v>10</v>
      </c>
      <c r="C1250" s="3">
        <v>46087</v>
      </c>
      <c r="D1250" t="s">
        <v>27</v>
      </c>
      <c r="E1250" t="s">
        <v>1367</v>
      </c>
      <c r="F1250" t="s">
        <v>200</v>
      </c>
      <c r="G1250" t="s">
        <v>30</v>
      </c>
      <c r="H1250" t="s">
        <v>56</v>
      </c>
      <c r="I1250" t="s">
        <v>63</v>
      </c>
      <c r="J1250" t="s">
        <v>63</v>
      </c>
      <c r="K1250" t="s">
        <v>64</v>
      </c>
      <c r="L1250" t="s">
        <v>65</v>
      </c>
      <c r="M1250" t="s">
        <v>1235</v>
      </c>
      <c r="N1250">
        <v>39.9</v>
      </c>
      <c r="O1250">
        <v>15.7142857142857</v>
      </c>
      <c r="P1250">
        <v>275.4</v>
      </c>
      <c r="Q1250">
        <v>291.114285714286</v>
      </c>
      <c r="R1250">
        <v>0</v>
      </c>
      <c r="S1250">
        <v>291.114285714286</v>
      </c>
      <c r="T1250">
        <v>204</v>
      </c>
      <c r="U1250">
        <f>SUMIF(货件明细!J:J,E1250,货件明细!AP:AP)</f>
        <v>0</v>
      </c>
      <c r="V1250">
        <f>IF(U1250=T1250,0,1)</f>
        <v>1</v>
      </c>
      <c r="W1250">
        <f>T1250</f>
        <v>204</v>
      </c>
      <c r="X1250">
        <f>SUMIF(货件明细!J:J,E1250,货件明细!H:H)</f>
        <v>0</v>
      </c>
      <c r="Y1250">
        <f>N1250-X1250</f>
        <v>39.9</v>
      </c>
      <c r="Z1250">
        <f>SUMIF(货件明细!J:J,E1250,货件明细!I:I)</f>
        <v>0</v>
      </c>
      <c r="AA1250">
        <f>IF(S1250=Z1250,0,1)</f>
        <v>1</v>
      </c>
    </row>
    <row r="1251" hidden="1" spans="1:27">
      <c r="A1251">
        <v>3</v>
      </c>
      <c r="B1251">
        <v>10</v>
      </c>
      <c r="C1251" s="3">
        <v>46087</v>
      </c>
      <c r="D1251" t="s">
        <v>27</v>
      </c>
      <c r="E1251" t="s">
        <v>1368</v>
      </c>
      <c r="F1251" t="s">
        <v>185</v>
      </c>
      <c r="G1251" t="s">
        <v>30</v>
      </c>
      <c r="H1251" t="s">
        <v>51</v>
      </c>
      <c r="I1251" t="s">
        <v>63</v>
      </c>
      <c r="J1251" t="s">
        <v>63</v>
      </c>
      <c r="K1251" t="s">
        <v>64</v>
      </c>
      <c r="L1251" t="s">
        <v>65</v>
      </c>
      <c r="M1251" t="s">
        <v>1235</v>
      </c>
      <c r="N1251">
        <v>15.95</v>
      </c>
      <c r="O1251">
        <v>15.7142857142857</v>
      </c>
      <c r="P1251">
        <v>251.2</v>
      </c>
      <c r="Q1251">
        <v>266.914285714286</v>
      </c>
      <c r="R1251">
        <v>0</v>
      </c>
      <c r="S1251">
        <v>266.914285714286</v>
      </c>
      <c r="T1251">
        <v>102</v>
      </c>
      <c r="U1251">
        <f>SUMIF(货件明细!J:J,E1251,货件明细!AP:AP)</f>
        <v>0</v>
      </c>
      <c r="V1251">
        <f>IF(U1251=T1251,0,1)</f>
        <v>1</v>
      </c>
      <c r="W1251">
        <f>T1251</f>
        <v>102</v>
      </c>
      <c r="X1251">
        <f>SUMIF(货件明细!J:J,E1251,货件明细!H:H)</f>
        <v>0</v>
      </c>
      <c r="Y1251">
        <f>N1251-X1251</f>
        <v>15.95</v>
      </c>
      <c r="Z1251">
        <f>SUMIF(货件明细!J:J,E1251,货件明细!I:I)</f>
        <v>0</v>
      </c>
      <c r="AA1251">
        <f>IF(S1251=Z1251,0,1)</f>
        <v>1</v>
      </c>
    </row>
    <row r="1252" hidden="1" spans="1:27">
      <c r="A1252">
        <v>3</v>
      </c>
      <c r="B1252">
        <v>10</v>
      </c>
      <c r="C1252" s="3">
        <v>46087</v>
      </c>
      <c r="D1252" t="s">
        <v>27</v>
      </c>
      <c r="E1252" t="s">
        <v>1369</v>
      </c>
      <c r="F1252" t="s">
        <v>141</v>
      </c>
      <c r="G1252" t="s">
        <v>69</v>
      </c>
      <c r="H1252" t="s">
        <v>51</v>
      </c>
      <c r="I1252" t="s">
        <v>63</v>
      </c>
      <c r="J1252" t="s">
        <v>63</v>
      </c>
      <c r="K1252" t="s">
        <v>64</v>
      </c>
      <c r="L1252" t="s">
        <v>65</v>
      </c>
      <c r="M1252" t="s">
        <v>1235</v>
      </c>
      <c r="N1252">
        <v>15.95</v>
      </c>
      <c r="O1252">
        <v>15.7142857142857</v>
      </c>
      <c r="P1252">
        <v>238.4</v>
      </c>
      <c r="Q1252">
        <v>254.114285714286</v>
      </c>
      <c r="R1252">
        <v>0</v>
      </c>
      <c r="S1252">
        <v>254.114285714286</v>
      </c>
      <c r="T1252">
        <v>102</v>
      </c>
      <c r="U1252">
        <f>SUMIF(货件明细!J:J,E1252,货件明细!AP:AP)</f>
        <v>0</v>
      </c>
      <c r="V1252">
        <f>IF(U1252=T1252,0,1)</f>
        <v>1</v>
      </c>
      <c r="W1252">
        <f>T1252</f>
        <v>102</v>
      </c>
      <c r="X1252">
        <f>SUMIF(货件明细!J:J,E1252,货件明细!H:H)</f>
        <v>0</v>
      </c>
      <c r="Y1252">
        <f>N1252-X1252</f>
        <v>15.95</v>
      </c>
      <c r="Z1252">
        <f>SUMIF(货件明细!J:J,E1252,货件明细!I:I)</f>
        <v>0</v>
      </c>
      <c r="AA1252">
        <f>IF(S1252=Z1252,0,1)</f>
        <v>1</v>
      </c>
    </row>
    <row r="1253" hidden="1" spans="1:27">
      <c r="A1253">
        <v>3</v>
      </c>
      <c r="B1253">
        <v>10</v>
      </c>
      <c r="C1253" s="3">
        <v>46087</v>
      </c>
      <c r="D1253" t="s">
        <v>27</v>
      </c>
      <c r="E1253" t="s">
        <v>1370</v>
      </c>
      <c r="F1253" t="s">
        <v>250</v>
      </c>
      <c r="G1253" t="s">
        <v>72</v>
      </c>
      <c r="H1253" t="s">
        <v>51</v>
      </c>
      <c r="I1253" t="s">
        <v>63</v>
      </c>
      <c r="J1253" t="s">
        <v>63</v>
      </c>
      <c r="K1253" t="s">
        <v>64</v>
      </c>
      <c r="L1253" t="s">
        <v>147</v>
      </c>
      <c r="M1253" t="s">
        <v>425</v>
      </c>
      <c r="N1253">
        <v>15.95</v>
      </c>
      <c r="O1253">
        <v>10.7142857142857</v>
      </c>
      <c r="P1253">
        <v>135</v>
      </c>
      <c r="Q1253">
        <v>145.714285714286</v>
      </c>
      <c r="R1253">
        <v>0</v>
      </c>
      <c r="S1253">
        <v>145.714285714286</v>
      </c>
      <c r="T1253">
        <v>102</v>
      </c>
      <c r="U1253">
        <f>SUMIF(货件明细!J:J,E1253,货件明细!AP:AP)</f>
        <v>0</v>
      </c>
      <c r="V1253">
        <f>IF(U1253=T1253,0,1)</f>
        <v>1</v>
      </c>
      <c r="W1253">
        <f>T1253</f>
        <v>102</v>
      </c>
      <c r="X1253">
        <f>SUMIF(货件明细!J:J,E1253,货件明细!H:H)</f>
        <v>0</v>
      </c>
      <c r="Y1253">
        <f>N1253-X1253</f>
        <v>15.95</v>
      </c>
      <c r="Z1253">
        <f>SUMIF(货件明细!J:J,E1253,货件明细!I:I)</f>
        <v>0</v>
      </c>
      <c r="AA1253">
        <f>IF(S1253=Z1253,0,1)</f>
        <v>1</v>
      </c>
    </row>
    <row r="1254" hidden="1" spans="1:27">
      <c r="A1254">
        <v>3</v>
      </c>
      <c r="B1254">
        <v>10</v>
      </c>
      <c r="C1254" s="3">
        <v>46087</v>
      </c>
      <c r="D1254" t="s">
        <v>27</v>
      </c>
      <c r="E1254" t="s">
        <v>1371</v>
      </c>
      <c r="F1254" t="s">
        <v>187</v>
      </c>
      <c r="G1254" t="s">
        <v>72</v>
      </c>
      <c r="H1254" t="s">
        <v>51</v>
      </c>
      <c r="I1254" t="s">
        <v>63</v>
      </c>
      <c r="J1254" t="s">
        <v>63</v>
      </c>
      <c r="K1254" t="s">
        <v>64</v>
      </c>
      <c r="L1254" t="s">
        <v>147</v>
      </c>
      <c r="M1254" t="s">
        <v>425</v>
      </c>
      <c r="N1254">
        <v>15.95</v>
      </c>
      <c r="O1254">
        <v>10.7142857142857</v>
      </c>
      <c r="P1254">
        <v>117</v>
      </c>
      <c r="Q1254">
        <v>127.714285714286</v>
      </c>
      <c r="R1254">
        <v>0</v>
      </c>
      <c r="S1254">
        <v>127.714285714286</v>
      </c>
      <c r="T1254">
        <v>102</v>
      </c>
      <c r="U1254">
        <f>SUMIF(货件明细!J:J,E1254,货件明细!AP:AP)</f>
        <v>0</v>
      </c>
      <c r="V1254">
        <f>IF(U1254=T1254,0,1)</f>
        <v>1</v>
      </c>
      <c r="W1254">
        <f>T1254</f>
        <v>102</v>
      </c>
      <c r="X1254">
        <f>SUMIF(货件明细!J:J,E1254,货件明细!H:H)</f>
        <v>0</v>
      </c>
      <c r="Y1254">
        <f>N1254-X1254</f>
        <v>15.95</v>
      </c>
      <c r="Z1254">
        <f>SUMIF(货件明细!J:J,E1254,货件明细!I:I)</f>
        <v>0</v>
      </c>
      <c r="AA1254">
        <f>IF(S1254=Z1254,0,1)</f>
        <v>1</v>
      </c>
    </row>
    <row r="1255" hidden="1" spans="1:27">
      <c r="A1255">
        <v>3</v>
      </c>
      <c r="B1255">
        <v>10</v>
      </c>
      <c r="C1255" s="3">
        <v>46087</v>
      </c>
      <c r="D1255" t="s">
        <v>27</v>
      </c>
      <c r="E1255" t="s">
        <v>1372</v>
      </c>
      <c r="F1255" t="s">
        <v>200</v>
      </c>
      <c r="G1255" t="s">
        <v>30</v>
      </c>
      <c r="H1255" t="s">
        <v>51</v>
      </c>
      <c r="I1255" t="s">
        <v>63</v>
      </c>
      <c r="J1255" t="s">
        <v>63</v>
      </c>
      <c r="K1255" t="s">
        <v>64</v>
      </c>
      <c r="L1255" t="s">
        <v>65</v>
      </c>
      <c r="M1255" t="s">
        <v>1235</v>
      </c>
      <c r="N1255">
        <v>15.95</v>
      </c>
      <c r="O1255">
        <v>15.7142857142857</v>
      </c>
      <c r="P1255">
        <v>229.5</v>
      </c>
      <c r="Q1255">
        <v>245.214285714286</v>
      </c>
      <c r="R1255">
        <v>0</v>
      </c>
      <c r="S1255">
        <v>245.214285714286</v>
      </c>
      <c r="T1255">
        <v>102</v>
      </c>
      <c r="U1255">
        <f>SUMIF(货件明细!J:J,E1255,货件明细!AP:AP)</f>
        <v>0</v>
      </c>
      <c r="V1255">
        <f>IF(U1255=T1255,0,1)</f>
        <v>1</v>
      </c>
      <c r="W1255">
        <f>T1255</f>
        <v>102</v>
      </c>
      <c r="X1255">
        <f>SUMIF(货件明细!J:J,E1255,货件明细!H:H)</f>
        <v>0</v>
      </c>
      <c r="Y1255">
        <f>N1255-X1255</f>
        <v>15.95</v>
      </c>
      <c r="Z1255">
        <f>SUMIF(货件明细!J:J,E1255,货件明细!I:I)</f>
        <v>0</v>
      </c>
      <c r="AA1255">
        <f>IF(S1255=Z1255,0,1)</f>
        <v>1</v>
      </c>
    </row>
    <row r="1256" hidden="1" spans="1:27">
      <c r="A1256">
        <v>3</v>
      </c>
      <c r="B1256">
        <v>10</v>
      </c>
      <c r="C1256" s="3">
        <v>46087</v>
      </c>
      <c r="D1256" t="s">
        <v>27</v>
      </c>
      <c r="E1256" t="s">
        <v>1373</v>
      </c>
      <c r="F1256" t="s">
        <v>185</v>
      </c>
      <c r="G1256" t="s">
        <v>30</v>
      </c>
      <c r="H1256" t="s">
        <v>31</v>
      </c>
      <c r="I1256" t="s">
        <v>63</v>
      </c>
      <c r="J1256" t="s">
        <v>63</v>
      </c>
      <c r="K1256" t="s">
        <v>64</v>
      </c>
      <c r="L1256" t="s">
        <v>65</v>
      </c>
      <c r="M1256" t="s">
        <v>1235</v>
      </c>
      <c r="N1256">
        <v>11.05</v>
      </c>
      <c r="O1256">
        <v>15.7142857142857</v>
      </c>
      <c r="P1256">
        <v>78.5</v>
      </c>
      <c r="Q1256">
        <v>94.2142857142857</v>
      </c>
      <c r="R1256">
        <v>0</v>
      </c>
      <c r="S1256">
        <v>94.2142857142857</v>
      </c>
      <c r="T1256">
        <v>59</v>
      </c>
      <c r="U1256">
        <f>SUMIF(货件明细!J:J,E1256,货件明细!AP:AP)</f>
        <v>0</v>
      </c>
      <c r="V1256">
        <f>IF(U1256=T1256,0,1)</f>
        <v>1</v>
      </c>
      <c r="W1256">
        <f>T1256</f>
        <v>59</v>
      </c>
      <c r="X1256">
        <f>SUMIF(货件明细!J:J,E1256,货件明细!H:H)</f>
        <v>0</v>
      </c>
      <c r="Y1256">
        <f>N1256-X1256</f>
        <v>11.05</v>
      </c>
      <c r="Z1256">
        <f>SUMIF(货件明细!J:J,E1256,货件明细!I:I)</f>
        <v>0</v>
      </c>
      <c r="AA1256">
        <f>IF(S1256=Z1256,0,1)</f>
        <v>1</v>
      </c>
    </row>
    <row r="1257" hidden="1" spans="1:27">
      <c r="A1257">
        <v>3</v>
      </c>
      <c r="B1257">
        <v>10</v>
      </c>
      <c r="C1257" s="3">
        <v>46087</v>
      </c>
      <c r="D1257" t="s">
        <v>27</v>
      </c>
      <c r="E1257" t="s">
        <v>1374</v>
      </c>
      <c r="F1257" t="s">
        <v>141</v>
      </c>
      <c r="G1257" t="s">
        <v>69</v>
      </c>
      <c r="H1257" t="s">
        <v>31</v>
      </c>
      <c r="I1257" t="s">
        <v>63</v>
      </c>
      <c r="J1257" t="s">
        <v>63</v>
      </c>
      <c r="K1257" t="s">
        <v>64</v>
      </c>
      <c r="L1257" t="s">
        <v>65</v>
      </c>
      <c r="M1257" t="s">
        <v>1235</v>
      </c>
      <c r="N1257">
        <v>11.05</v>
      </c>
      <c r="O1257">
        <v>15.7142857142857</v>
      </c>
      <c r="P1257">
        <v>74.5</v>
      </c>
      <c r="Q1257">
        <v>90.2142857142857</v>
      </c>
      <c r="R1257">
        <v>0</v>
      </c>
      <c r="S1257">
        <v>90.2142857142857</v>
      </c>
      <c r="T1257">
        <v>59</v>
      </c>
      <c r="U1257">
        <f>SUMIF(货件明细!J:J,E1257,货件明细!AP:AP)</f>
        <v>0</v>
      </c>
      <c r="V1257">
        <f>IF(U1257=T1257,0,1)</f>
        <v>1</v>
      </c>
      <c r="W1257">
        <f>T1257</f>
        <v>59</v>
      </c>
      <c r="X1257">
        <f>SUMIF(货件明细!J:J,E1257,货件明细!H:H)</f>
        <v>0</v>
      </c>
      <c r="Y1257">
        <f>N1257-X1257</f>
        <v>11.05</v>
      </c>
      <c r="Z1257">
        <f>SUMIF(货件明细!J:J,E1257,货件明细!I:I)</f>
        <v>0</v>
      </c>
      <c r="AA1257">
        <f>IF(S1257=Z1257,0,1)</f>
        <v>1</v>
      </c>
    </row>
    <row r="1258" hidden="1" spans="1:27">
      <c r="A1258">
        <v>3</v>
      </c>
      <c r="B1258">
        <v>10</v>
      </c>
      <c r="C1258" s="3">
        <v>46087</v>
      </c>
      <c r="D1258" t="s">
        <v>27</v>
      </c>
      <c r="E1258" t="s">
        <v>1375</v>
      </c>
      <c r="F1258" t="s">
        <v>250</v>
      </c>
      <c r="G1258" t="s">
        <v>72</v>
      </c>
      <c r="H1258" t="s">
        <v>31</v>
      </c>
      <c r="I1258" t="s">
        <v>63</v>
      </c>
      <c r="J1258" t="s">
        <v>63</v>
      </c>
      <c r="K1258" t="s">
        <v>64</v>
      </c>
      <c r="L1258" t="s">
        <v>147</v>
      </c>
      <c r="M1258" t="s">
        <v>425</v>
      </c>
      <c r="N1258">
        <v>11.05</v>
      </c>
      <c r="O1258">
        <v>10.7142857142857</v>
      </c>
      <c r="P1258">
        <v>45</v>
      </c>
      <c r="Q1258">
        <v>55.7142857142857</v>
      </c>
      <c r="R1258">
        <v>0</v>
      </c>
      <c r="S1258">
        <v>55.7142857142857</v>
      </c>
      <c r="T1258">
        <v>59</v>
      </c>
      <c r="U1258">
        <f>SUMIF(货件明细!J:J,E1258,货件明细!AP:AP)</f>
        <v>0</v>
      </c>
      <c r="V1258">
        <f>IF(U1258=T1258,0,1)</f>
        <v>1</v>
      </c>
      <c r="W1258">
        <f>T1258</f>
        <v>59</v>
      </c>
      <c r="X1258">
        <f>SUMIF(货件明细!J:J,E1258,货件明细!H:H)</f>
        <v>0</v>
      </c>
      <c r="Y1258">
        <f>N1258-X1258</f>
        <v>11.05</v>
      </c>
      <c r="Z1258">
        <f>SUMIF(货件明细!J:J,E1258,货件明细!I:I)</f>
        <v>0</v>
      </c>
      <c r="AA1258">
        <f>IF(S1258=Z1258,0,1)</f>
        <v>1</v>
      </c>
    </row>
    <row r="1259" hidden="1" spans="1:27">
      <c r="A1259">
        <v>3</v>
      </c>
      <c r="B1259">
        <v>10</v>
      </c>
      <c r="C1259" s="3">
        <v>46087</v>
      </c>
      <c r="D1259" t="s">
        <v>27</v>
      </c>
      <c r="E1259" t="s">
        <v>1376</v>
      </c>
      <c r="F1259" t="s">
        <v>187</v>
      </c>
      <c r="G1259" t="s">
        <v>72</v>
      </c>
      <c r="H1259" t="s">
        <v>31</v>
      </c>
      <c r="I1259" t="s">
        <v>63</v>
      </c>
      <c r="J1259" t="s">
        <v>63</v>
      </c>
      <c r="K1259" t="s">
        <v>64</v>
      </c>
      <c r="L1259" t="s">
        <v>147</v>
      </c>
      <c r="M1259" t="s">
        <v>425</v>
      </c>
      <c r="N1259">
        <v>11.05</v>
      </c>
      <c r="O1259">
        <v>10.7142857142857</v>
      </c>
      <c r="P1259">
        <v>39</v>
      </c>
      <c r="Q1259">
        <v>49.7142857142857</v>
      </c>
      <c r="R1259">
        <v>0</v>
      </c>
      <c r="S1259">
        <v>49.7142857142857</v>
      </c>
      <c r="T1259">
        <v>59</v>
      </c>
      <c r="U1259">
        <f>SUMIF(货件明细!J:J,E1259,货件明细!AP:AP)</f>
        <v>0</v>
      </c>
      <c r="V1259">
        <f>IF(U1259=T1259,0,1)</f>
        <v>1</v>
      </c>
      <c r="W1259">
        <f>T1259</f>
        <v>59</v>
      </c>
      <c r="X1259">
        <f>SUMIF(货件明细!J:J,E1259,货件明细!H:H)</f>
        <v>0</v>
      </c>
      <c r="Y1259">
        <f>N1259-X1259</f>
        <v>11.05</v>
      </c>
      <c r="Z1259">
        <f>SUMIF(货件明细!J:J,E1259,货件明细!I:I)</f>
        <v>0</v>
      </c>
      <c r="AA1259">
        <f>IF(S1259=Z1259,0,1)</f>
        <v>1</v>
      </c>
    </row>
    <row r="1260" hidden="1" spans="1:27">
      <c r="A1260">
        <v>3</v>
      </c>
      <c r="B1260">
        <v>10</v>
      </c>
      <c r="C1260" s="3">
        <v>46087</v>
      </c>
      <c r="D1260" t="s">
        <v>27</v>
      </c>
      <c r="E1260" t="s">
        <v>1377</v>
      </c>
      <c r="F1260" t="s">
        <v>200</v>
      </c>
      <c r="G1260" t="s">
        <v>30</v>
      </c>
      <c r="H1260" t="s">
        <v>31</v>
      </c>
      <c r="I1260" t="s">
        <v>63</v>
      </c>
      <c r="J1260" t="s">
        <v>63</v>
      </c>
      <c r="K1260" t="s">
        <v>64</v>
      </c>
      <c r="L1260" t="s">
        <v>65</v>
      </c>
      <c r="M1260" t="s">
        <v>1235</v>
      </c>
      <c r="N1260">
        <v>11.05</v>
      </c>
      <c r="O1260">
        <v>15.7142857142857</v>
      </c>
      <c r="P1260">
        <v>76.5</v>
      </c>
      <c r="Q1260">
        <v>92.2142857142857</v>
      </c>
      <c r="R1260">
        <v>0</v>
      </c>
      <c r="S1260">
        <v>92.2142857142857</v>
      </c>
      <c r="T1260">
        <v>59</v>
      </c>
      <c r="U1260">
        <f>SUMIF(货件明细!J:J,E1260,货件明细!AP:AP)</f>
        <v>0</v>
      </c>
      <c r="V1260">
        <f>IF(U1260=T1260,0,1)</f>
        <v>1</v>
      </c>
      <c r="W1260">
        <f>T1260</f>
        <v>59</v>
      </c>
      <c r="X1260">
        <f>SUMIF(货件明细!J:J,E1260,货件明细!H:H)</f>
        <v>0</v>
      </c>
      <c r="Y1260">
        <f>N1260-X1260</f>
        <v>11.05</v>
      </c>
      <c r="Z1260">
        <f>SUMIF(货件明细!J:J,E1260,货件明细!I:I)</f>
        <v>0</v>
      </c>
      <c r="AA1260">
        <f>IF(S1260=Z1260,0,1)</f>
        <v>1</v>
      </c>
    </row>
    <row r="1261" hidden="1" spans="1:27">
      <c r="A1261">
        <v>3</v>
      </c>
      <c r="B1261">
        <v>10</v>
      </c>
      <c r="C1261" s="3">
        <v>46087</v>
      </c>
      <c r="D1261" t="s">
        <v>27</v>
      </c>
      <c r="E1261" t="s">
        <v>1378</v>
      </c>
      <c r="F1261" t="s">
        <v>185</v>
      </c>
      <c r="G1261" t="s">
        <v>30</v>
      </c>
      <c r="H1261" t="s">
        <v>54</v>
      </c>
      <c r="I1261" t="s">
        <v>63</v>
      </c>
      <c r="J1261" t="s">
        <v>63</v>
      </c>
      <c r="K1261" t="s">
        <v>64</v>
      </c>
      <c r="L1261" t="s">
        <v>65</v>
      </c>
      <c r="M1261" t="s">
        <v>1235</v>
      </c>
      <c r="N1261">
        <v>20.9</v>
      </c>
      <c r="O1261">
        <v>15.7142857142857</v>
      </c>
      <c r="P1261">
        <v>141.3</v>
      </c>
      <c r="Q1261">
        <v>157.014285714286</v>
      </c>
      <c r="R1261">
        <v>0</v>
      </c>
      <c r="S1261">
        <v>157.014285714286</v>
      </c>
      <c r="T1261">
        <v>138</v>
      </c>
      <c r="U1261">
        <f>SUMIF(货件明细!J:J,E1261,货件明细!AP:AP)</f>
        <v>0</v>
      </c>
      <c r="V1261">
        <f>IF(U1261=T1261,0,1)</f>
        <v>1</v>
      </c>
      <c r="W1261">
        <f>T1261</f>
        <v>138</v>
      </c>
      <c r="X1261">
        <f>SUMIF(货件明细!J:J,E1261,货件明细!H:H)</f>
        <v>0</v>
      </c>
      <c r="Y1261">
        <f>N1261-X1261</f>
        <v>20.9</v>
      </c>
      <c r="Z1261">
        <f>SUMIF(货件明细!J:J,E1261,货件明细!I:I)</f>
        <v>0</v>
      </c>
      <c r="AA1261">
        <f>IF(S1261=Z1261,0,1)</f>
        <v>1</v>
      </c>
    </row>
    <row r="1262" hidden="1" spans="1:27">
      <c r="A1262">
        <v>3</v>
      </c>
      <c r="B1262">
        <v>10</v>
      </c>
      <c r="C1262" s="3">
        <v>46087</v>
      </c>
      <c r="D1262" t="s">
        <v>27</v>
      </c>
      <c r="E1262" t="s">
        <v>1379</v>
      </c>
      <c r="F1262" t="s">
        <v>141</v>
      </c>
      <c r="G1262" t="s">
        <v>69</v>
      </c>
      <c r="H1262" t="s">
        <v>54</v>
      </c>
      <c r="I1262" t="s">
        <v>63</v>
      </c>
      <c r="J1262" t="s">
        <v>63</v>
      </c>
      <c r="K1262" t="s">
        <v>64</v>
      </c>
      <c r="L1262" t="s">
        <v>65</v>
      </c>
      <c r="M1262" t="s">
        <v>1235</v>
      </c>
      <c r="N1262">
        <v>20.9</v>
      </c>
      <c r="O1262">
        <v>15.7142857142857</v>
      </c>
      <c r="P1262">
        <v>134.1</v>
      </c>
      <c r="Q1262">
        <v>149.814285714286</v>
      </c>
      <c r="R1262">
        <v>0</v>
      </c>
      <c r="S1262">
        <v>149.814285714286</v>
      </c>
      <c r="T1262">
        <v>138</v>
      </c>
      <c r="U1262">
        <f>SUMIF(货件明细!J:J,E1262,货件明细!AP:AP)</f>
        <v>0</v>
      </c>
      <c r="V1262">
        <f>IF(U1262=T1262,0,1)</f>
        <v>1</v>
      </c>
      <c r="W1262">
        <f>T1262</f>
        <v>138</v>
      </c>
      <c r="X1262">
        <f>SUMIF(货件明细!J:J,E1262,货件明细!H:H)</f>
        <v>0</v>
      </c>
      <c r="Y1262">
        <f>N1262-X1262</f>
        <v>20.9</v>
      </c>
      <c r="Z1262">
        <f>SUMIF(货件明细!J:J,E1262,货件明细!I:I)</f>
        <v>0</v>
      </c>
      <c r="AA1262">
        <f>IF(S1262=Z1262,0,1)</f>
        <v>1</v>
      </c>
    </row>
    <row r="1263" hidden="1" spans="1:27">
      <c r="A1263">
        <v>3</v>
      </c>
      <c r="B1263">
        <v>10</v>
      </c>
      <c r="C1263" s="3">
        <v>46087</v>
      </c>
      <c r="D1263" t="s">
        <v>27</v>
      </c>
      <c r="E1263" t="s">
        <v>1380</v>
      </c>
      <c r="F1263" t="s">
        <v>250</v>
      </c>
      <c r="G1263" t="s">
        <v>72</v>
      </c>
      <c r="H1263" t="s">
        <v>54</v>
      </c>
      <c r="I1263" t="s">
        <v>63</v>
      </c>
      <c r="J1263" t="s">
        <v>63</v>
      </c>
      <c r="K1263" t="s">
        <v>64</v>
      </c>
      <c r="L1263" t="s">
        <v>147</v>
      </c>
      <c r="M1263" t="s">
        <v>425</v>
      </c>
      <c r="N1263">
        <v>20.9</v>
      </c>
      <c r="O1263">
        <v>10.7142857142857</v>
      </c>
      <c r="P1263">
        <v>81</v>
      </c>
      <c r="Q1263">
        <v>91.7142857142857</v>
      </c>
      <c r="R1263">
        <v>0</v>
      </c>
      <c r="S1263">
        <v>91.7142857142857</v>
      </c>
      <c r="T1263">
        <v>138</v>
      </c>
      <c r="U1263">
        <f>SUMIF(货件明细!J:J,E1263,货件明细!AP:AP)</f>
        <v>0</v>
      </c>
      <c r="V1263">
        <f>IF(U1263=T1263,0,1)</f>
        <v>1</v>
      </c>
      <c r="W1263">
        <f>T1263</f>
        <v>138</v>
      </c>
      <c r="X1263">
        <f>SUMIF(货件明细!J:J,E1263,货件明细!H:H)</f>
        <v>0</v>
      </c>
      <c r="Y1263">
        <f>N1263-X1263</f>
        <v>20.9</v>
      </c>
      <c r="Z1263">
        <f>SUMIF(货件明细!J:J,E1263,货件明细!I:I)</f>
        <v>0</v>
      </c>
      <c r="AA1263">
        <f>IF(S1263=Z1263,0,1)</f>
        <v>1</v>
      </c>
    </row>
    <row r="1264" hidden="1" spans="1:27">
      <c r="A1264">
        <v>3</v>
      </c>
      <c r="B1264">
        <v>10</v>
      </c>
      <c r="C1264" s="3">
        <v>46087</v>
      </c>
      <c r="D1264" t="s">
        <v>27</v>
      </c>
      <c r="E1264" t="s">
        <v>1381</v>
      </c>
      <c r="F1264" t="s">
        <v>187</v>
      </c>
      <c r="G1264" t="s">
        <v>72</v>
      </c>
      <c r="H1264" t="s">
        <v>54</v>
      </c>
      <c r="I1264" t="s">
        <v>63</v>
      </c>
      <c r="J1264" t="s">
        <v>63</v>
      </c>
      <c r="K1264" t="s">
        <v>64</v>
      </c>
      <c r="L1264" t="s">
        <v>147</v>
      </c>
      <c r="M1264" t="s">
        <v>425</v>
      </c>
      <c r="N1264">
        <v>20.9</v>
      </c>
      <c r="O1264">
        <v>10.7142857142857</v>
      </c>
      <c r="P1264">
        <v>70.2</v>
      </c>
      <c r="Q1264">
        <v>80.9142857142857</v>
      </c>
      <c r="R1264">
        <v>0</v>
      </c>
      <c r="S1264">
        <v>80.9142857142857</v>
      </c>
      <c r="T1264">
        <v>138</v>
      </c>
      <c r="U1264">
        <f>SUMIF(货件明细!J:J,E1264,货件明细!AP:AP)</f>
        <v>0</v>
      </c>
      <c r="V1264">
        <f>IF(U1264=T1264,0,1)</f>
        <v>1</v>
      </c>
      <c r="W1264">
        <f>T1264</f>
        <v>138</v>
      </c>
      <c r="X1264">
        <f>SUMIF(货件明细!J:J,E1264,货件明细!H:H)</f>
        <v>0</v>
      </c>
      <c r="Y1264">
        <f>N1264-X1264</f>
        <v>20.9</v>
      </c>
      <c r="Z1264">
        <f>SUMIF(货件明细!J:J,E1264,货件明细!I:I)</f>
        <v>0</v>
      </c>
      <c r="AA1264">
        <f>IF(S1264=Z1264,0,1)</f>
        <v>1</v>
      </c>
    </row>
    <row r="1265" hidden="1" spans="1:27">
      <c r="A1265">
        <v>3</v>
      </c>
      <c r="B1265">
        <v>10</v>
      </c>
      <c r="C1265" s="3">
        <v>46087</v>
      </c>
      <c r="D1265" t="s">
        <v>27</v>
      </c>
      <c r="E1265" t="s">
        <v>1382</v>
      </c>
      <c r="F1265" t="s">
        <v>200</v>
      </c>
      <c r="G1265" t="s">
        <v>30</v>
      </c>
      <c r="H1265" t="s">
        <v>54</v>
      </c>
      <c r="I1265" t="s">
        <v>63</v>
      </c>
      <c r="J1265" t="s">
        <v>63</v>
      </c>
      <c r="K1265" t="s">
        <v>64</v>
      </c>
      <c r="L1265" t="s">
        <v>65</v>
      </c>
      <c r="M1265" t="s">
        <v>1235</v>
      </c>
      <c r="N1265">
        <v>20.9</v>
      </c>
      <c r="O1265">
        <v>15.7142857142857</v>
      </c>
      <c r="P1265">
        <v>137.7</v>
      </c>
      <c r="Q1265">
        <v>153.414285714286</v>
      </c>
      <c r="R1265">
        <v>0</v>
      </c>
      <c r="S1265">
        <v>153.414285714286</v>
      </c>
      <c r="T1265">
        <v>138</v>
      </c>
      <c r="U1265">
        <f>SUMIF(货件明细!J:J,E1265,货件明细!AP:AP)</f>
        <v>0</v>
      </c>
      <c r="V1265">
        <f>IF(U1265=T1265,0,1)</f>
        <v>1</v>
      </c>
      <c r="W1265">
        <f>T1265</f>
        <v>138</v>
      </c>
      <c r="X1265">
        <f>SUMIF(货件明细!J:J,E1265,货件明细!H:H)</f>
        <v>0</v>
      </c>
      <c r="Y1265">
        <f>N1265-X1265</f>
        <v>20.9</v>
      </c>
      <c r="Z1265">
        <f>SUMIF(货件明细!J:J,E1265,货件明细!I:I)</f>
        <v>0</v>
      </c>
      <c r="AA1265">
        <f>IF(S1265=Z1265,0,1)</f>
        <v>1</v>
      </c>
    </row>
    <row r="1266" hidden="1" spans="1:27">
      <c r="A1266">
        <v>3</v>
      </c>
      <c r="B1266">
        <v>10</v>
      </c>
      <c r="C1266" s="3">
        <v>46087</v>
      </c>
      <c r="D1266" t="s">
        <v>27</v>
      </c>
      <c r="E1266" t="s">
        <v>1383</v>
      </c>
      <c r="F1266" t="s">
        <v>250</v>
      </c>
      <c r="G1266" t="s">
        <v>72</v>
      </c>
      <c r="H1266" t="s">
        <v>31</v>
      </c>
      <c r="I1266" t="s">
        <v>92</v>
      </c>
      <c r="J1266" t="s">
        <v>92</v>
      </c>
      <c r="K1266" t="s">
        <v>64</v>
      </c>
      <c r="L1266" t="s">
        <v>65</v>
      </c>
      <c r="M1266" t="s">
        <v>93</v>
      </c>
      <c r="N1266">
        <v>29.85</v>
      </c>
      <c r="O1266">
        <v>11.2</v>
      </c>
      <c r="P1266">
        <v>154</v>
      </c>
      <c r="Q1266">
        <v>165.2</v>
      </c>
      <c r="R1266">
        <v>0</v>
      </c>
      <c r="S1266">
        <v>165.2</v>
      </c>
      <c r="T1266">
        <v>134</v>
      </c>
      <c r="U1266">
        <f>SUMIF(货件明细!J:J,E1266,货件明细!AP:AP)</f>
        <v>0</v>
      </c>
      <c r="V1266">
        <f>IF(U1266=T1266,0,1)</f>
        <v>1</v>
      </c>
      <c r="W1266">
        <f>T1266</f>
        <v>134</v>
      </c>
      <c r="X1266">
        <f>SUMIF(货件明细!J:J,E1266,货件明细!H:H)</f>
        <v>0</v>
      </c>
      <c r="Y1266">
        <f>N1266-X1266</f>
        <v>29.85</v>
      </c>
      <c r="Z1266">
        <f>SUMIF(货件明细!J:J,E1266,货件明细!I:I)</f>
        <v>0</v>
      </c>
      <c r="AA1266">
        <f>IF(S1266=Z1266,0,1)</f>
        <v>1</v>
      </c>
    </row>
    <row r="1267" hidden="1" spans="1:27">
      <c r="A1267">
        <v>3</v>
      </c>
      <c r="B1267">
        <v>10</v>
      </c>
      <c r="C1267" s="3">
        <v>46087</v>
      </c>
      <c r="D1267" t="s">
        <v>27</v>
      </c>
      <c r="E1267" t="s">
        <v>1384</v>
      </c>
      <c r="F1267" t="s">
        <v>185</v>
      </c>
      <c r="G1267" t="s">
        <v>30</v>
      </c>
      <c r="H1267" t="s">
        <v>31</v>
      </c>
      <c r="I1267" t="s">
        <v>92</v>
      </c>
      <c r="J1267" t="s">
        <v>92</v>
      </c>
      <c r="K1267" t="s">
        <v>64</v>
      </c>
      <c r="L1267" t="s">
        <v>65</v>
      </c>
      <c r="M1267" t="s">
        <v>93</v>
      </c>
      <c r="N1267">
        <v>29.85</v>
      </c>
      <c r="O1267">
        <v>11.2</v>
      </c>
      <c r="P1267">
        <v>241.266666666667</v>
      </c>
      <c r="Q1267">
        <v>252.466666666667</v>
      </c>
      <c r="R1267">
        <v>0</v>
      </c>
      <c r="S1267">
        <v>252.466666666667</v>
      </c>
      <c r="T1267">
        <v>134</v>
      </c>
      <c r="U1267">
        <f>SUMIF(货件明细!J:J,E1267,货件明细!AP:AP)</f>
        <v>0</v>
      </c>
      <c r="V1267">
        <f>IF(U1267=T1267,0,1)</f>
        <v>1</v>
      </c>
      <c r="W1267">
        <f>T1267</f>
        <v>134</v>
      </c>
      <c r="X1267">
        <f>SUMIF(货件明细!J:J,E1267,货件明细!H:H)</f>
        <v>0</v>
      </c>
      <c r="Y1267">
        <f>N1267-X1267</f>
        <v>29.85</v>
      </c>
      <c r="Z1267">
        <f>SUMIF(货件明细!J:J,E1267,货件明细!I:I)</f>
        <v>0</v>
      </c>
      <c r="AA1267">
        <f>IF(S1267=Z1267,0,1)</f>
        <v>1</v>
      </c>
    </row>
    <row r="1268" hidden="1" spans="1:27">
      <c r="A1268">
        <v>3</v>
      </c>
      <c r="B1268">
        <v>10</v>
      </c>
      <c r="C1268" s="3">
        <v>46087</v>
      </c>
      <c r="D1268" t="s">
        <v>27</v>
      </c>
      <c r="E1268" t="s">
        <v>1385</v>
      </c>
      <c r="F1268" t="s">
        <v>141</v>
      </c>
      <c r="G1268" t="s">
        <v>69</v>
      </c>
      <c r="H1268" t="s">
        <v>31</v>
      </c>
      <c r="I1268" t="s">
        <v>92</v>
      </c>
      <c r="J1268" t="s">
        <v>92</v>
      </c>
      <c r="K1268" t="s">
        <v>64</v>
      </c>
      <c r="L1268" t="s">
        <v>65</v>
      </c>
      <c r="M1268" t="s">
        <v>93</v>
      </c>
      <c r="N1268">
        <v>29.85</v>
      </c>
      <c r="O1268">
        <v>11.2</v>
      </c>
      <c r="P1268">
        <v>192.5</v>
      </c>
      <c r="Q1268">
        <v>203.7</v>
      </c>
      <c r="R1268">
        <v>0</v>
      </c>
      <c r="S1268">
        <v>203.7</v>
      </c>
      <c r="T1268">
        <v>134</v>
      </c>
      <c r="U1268">
        <f>SUMIF(货件明细!J:J,E1268,货件明细!AP:AP)</f>
        <v>0</v>
      </c>
      <c r="V1268">
        <f>IF(U1268=T1268,0,1)</f>
        <v>1</v>
      </c>
      <c r="W1268">
        <f>T1268</f>
        <v>134</v>
      </c>
      <c r="X1268">
        <f>SUMIF(货件明细!J:J,E1268,货件明细!H:H)</f>
        <v>0</v>
      </c>
      <c r="Y1268">
        <f>N1268-X1268</f>
        <v>29.85</v>
      </c>
      <c r="Z1268">
        <f>SUMIF(货件明细!J:J,E1268,货件明细!I:I)</f>
        <v>0</v>
      </c>
      <c r="AA1268">
        <f>IF(S1268=Z1268,0,1)</f>
        <v>1</v>
      </c>
    </row>
    <row r="1269" hidden="1" spans="1:27">
      <c r="A1269">
        <v>3</v>
      </c>
      <c r="B1269">
        <v>10</v>
      </c>
      <c r="C1269" s="3">
        <v>46087</v>
      </c>
      <c r="D1269" t="s">
        <v>27</v>
      </c>
      <c r="E1269" t="s">
        <v>1386</v>
      </c>
      <c r="F1269" t="s">
        <v>187</v>
      </c>
      <c r="G1269" t="s">
        <v>72</v>
      </c>
      <c r="H1269" t="s">
        <v>31</v>
      </c>
      <c r="I1269" t="s">
        <v>92</v>
      </c>
      <c r="J1269" t="s">
        <v>92</v>
      </c>
      <c r="K1269" t="s">
        <v>64</v>
      </c>
      <c r="L1269" t="s">
        <v>65</v>
      </c>
      <c r="M1269" t="s">
        <v>93</v>
      </c>
      <c r="N1269">
        <v>29.85</v>
      </c>
      <c r="O1269">
        <v>11.2</v>
      </c>
      <c r="P1269">
        <v>140.7</v>
      </c>
      <c r="Q1269">
        <v>151.9</v>
      </c>
      <c r="R1269">
        <v>0</v>
      </c>
      <c r="S1269">
        <v>151.9</v>
      </c>
      <c r="T1269">
        <v>134</v>
      </c>
      <c r="U1269">
        <f>SUMIF(货件明细!J:J,E1269,货件明细!AP:AP)</f>
        <v>0</v>
      </c>
      <c r="V1269">
        <f>IF(U1269=T1269,0,1)</f>
        <v>1</v>
      </c>
      <c r="W1269">
        <f>T1269</f>
        <v>134</v>
      </c>
      <c r="X1269">
        <f>SUMIF(货件明细!J:J,E1269,货件明细!H:H)</f>
        <v>0</v>
      </c>
      <c r="Y1269">
        <f>N1269-X1269</f>
        <v>29.85</v>
      </c>
      <c r="Z1269">
        <f>SUMIF(货件明细!J:J,E1269,货件明细!I:I)</f>
        <v>0</v>
      </c>
      <c r="AA1269">
        <f>IF(S1269=Z1269,0,1)</f>
        <v>1</v>
      </c>
    </row>
    <row r="1270" hidden="1" spans="1:27">
      <c r="A1270">
        <v>3</v>
      </c>
      <c r="B1270">
        <v>10</v>
      </c>
      <c r="C1270" s="3">
        <v>46087</v>
      </c>
      <c r="D1270" t="s">
        <v>27</v>
      </c>
      <c r="E1270" t="s">
        <v>1387</v>
      </c>
      <c r="F1270" t="s">
        <v>200</v>
      </c>
      <c r="G1270" t="s">
        <v>30</v>
      </c>
      <c r="H1270" t="s">
        <v>31</v>
      </c>
      <c r="I1270" t="s">
        <v>92</v>
      </c>
      <c r="J1270" t="s">
        <v>92</v>
      </c>
      <c r="K1270" t="s">
        <v>64</v>
      </c>
      <c r="L1270" t="s">
        <v>65</v>
      </c>
      <c r="M1270" t="s">
        <v>93</v>
      </c>
      <c r="N1270">
        <v>29.85</v>
      </c>
      <c r="O1270">
        <v>11.2</v>
      </c>
      <c r="P1270">
        <v>220.5</v>
      </c>
      <c r="Q1270">
        <v>231.7</v>
      </c>
      <c r="R1270">
        <v>0</v>
      </c>
      <c r="S1270">
        <v>231.7</v>
      </c>
      <c r="T1270">
        <v>134</v>
      </c>
      <c r="U1270">
        <f>SUMIF(货件明细!J:J,E1270,货件明细!AP:AP)</f>
        <v>0</v>
      </c>
      <c r="V1270">
        <f>IF(U1270=T1270,0,1)</f>
        <v>1</v>
      </c>
      <c r="W1270">
        <f>T1270</f>
        <v>134</v>
      </c>
      <c r="X1270">
        <f>SUMIF(货件明细!J:J,E1270,货件明细!H:H)</f>
        <v>0</v>
      </c>
      <c r="Y1270">
        <f>N1270-X1270</f>
        <v>29.85</v>
      </c>
      <c r="Z1270">
        <f>SUMIF(货件明细!J:J,E1270,货件明细!I:I)</f>
        <v>0</v>
      </c>
      <c r="AA1270">
        <f>IF(S1270=Z1270,0,1)</f>
        <v>1</v>
      </c>
    </row>
    <row r="1271" hidden="1" spans="1:27">
      <c r="A1271">
        <v>3</v>
      </c>
      <c r="B1271">
        <v>10</v>
      </c>
      <c r="C1271" s="3">
        <v>46087</v>
      </c>
      <c r="D1271" t="s">
        <v>27</v>
      </c>
      <c r="E1271" t="s">
        <v>1388</v>
      </c>
      <c r="F1271" t="s">
        <v>185</v>
      </c>
      <c r="G1271" t="s">
        <v>30</v>
      </c>
      <c r="H1271" t="s">
        <v>37</v>
      </c>
      <c r="I1271" t="s">
        <v>92</v>
      </c>
      <c r="J1271" t="s">
        <v>92</v>
      </c>
      <c r="K1271" t="s">
        <v>64</v>
      </c>
      <c r="L1271" t="s">
        <v>65</v>
      </c>
      <c r="M1271" t="s">
        <v>93</v>
      </c>
      <c r="N1271">
        <v>2</v>
      </c>
      <c r="O1271">
        <v>8.75</v>
      </c>
      <c r="P1271">
        <v>197.4</v>
      </c>
      <c r="Q1271">
        <v>206.15</v>
      </c>
      <c r="R1271">
        <v>0</v>
      </c>
      <c r="S1271">
        <v>206.15</v>
      </c>
      <c r="T1271">
        <v>256</v>
      </c>
      <c r="U1271">
        <f>SUMIF(货件明细!J:J,E1271,货件明细!AP:AP)</f>
        <v>0</v>
      </c>
      <c r="V1271">
        <f>IF(U1271=T1271,0,1)</f>
        <v>1</v>
      </c>
      <c r="W1271">
        <f>T1271</f>
        <v>256</v>
      </c>
      <c r="X1271">
        <f>SUMIF(货件明细!J:J,E1271,货件明细!H:H)</f>
        <v>0</v>
      </c>
      <c r="Y1271">
        <f>N1271-X1271</f>
        <v>2</v>
      </c>
      <c r="Z1271">
        <f>SUMIF(货件明细!J:J,E1271,货件明细!I:I)</f>
        <v>0</v>
      </c>
      <c r="AA1271">
        <f>IF(S1271=Z1271,0,1)</f>
        <v>1</v>
      </c>
    </row>
    <row r="1272" hidden="1" spans="1:27">
      <c r="A1272">
        <v>3</v>
      </c>
      <c r="B1272">
        <v>10</v>
      </c>
      <c r="C1272" s="3">
        <v>46087</v>
      </c>
      <c r="D1272" t="s">
        <v>27</v>
      </c>
      <c r="E1272" t="s">
        <v>1389</v>
      </c>
      <c r="F1272" t="s">
        <v>141</v>
      </c>
      <c r="G1272" t="s">
        <v>69</v>
      </c>
      <c r="H1272" t="s">
        <v>37</v>
      </c>
      <c r="I1272" t="s">
        <v>92</v>
      </c>
      <c r="J1272" t="s">
        <v>92</v>
      </c>
      <c r="K1272" t="s">
        <v>64</v>
      </c>
      <c r="L1272" t="s">
        <v>65</v>
      </c>
      <c r="M1272" t="s">
        <v>93</v>
      </c>
      <c r="N1272">
        <v>32.5</v>
      </c>
      <c r="O1272">
        <v>8.75</v>
      </c>
      <c r="P1272">
        <v>182.1875</v>
      </c>
      <c r="Q1272">
        <v>190.9375</v>
      </c>
      <c r="R1272">
        <v>0</v>
      </c>
      <c r="S1272">
        <v>190.9375</v>
      </c>
      <c r="T1272">
        <v>256</v>
      </c>
      <c r="U1272">
        <f>SUMIF(货件明细!J:J,E1272,货件明细!AP:AP)</f>
        <v>0</v>
      </c>
      <c r="V1272">
        <f>IF(U1272=T1272,0,1)</f>
        <v>1</v>
      </c>
      <c r="W1272">
        <f>T1272</f>
        <v>256</v>
      </c>
      <c r="X1272">
        <f>SUMIF(货件明细!J:J,E1272,货件明细!H:H)</f>
        <v>0</v>
      </c>
      <c r="Y1272">
        <f>N1272-X1272</f>
        <v>32.5</v>
      </c>
      <c r="Z1272">
        <f>SUMIF(货件明细!J:J,E1272,货件明细!I:I)</f>
        <v>0</v>
      </c>
      <c r="AA1272">
        <f>IF(S1272=Z1272,0,1)</f>
        <v>1</v>
      </c>
    </row>
    <row r="1273" hidden="1" spans="1:27">
      <c r="A1273">
        <v>3</v>
      </c>
      <c r="B1273">
        <v>10</v>
      </c>
      <c r="C1273" s="3">
        <v>46087</v>
      </c>
      <c r="D1273" t="s">
        <v>27</v>
      </c>
      <c r="E1273" t="s">
        <v>1390</v>
      </c>
      <c r="F1273" t="s">
        <v>250</v>
      </c>
      <c r="G1273" t="s">
        <v>72</v>
      </c>
      <c r="H1273" t="s">
        <v>37</v>
      </c>
      <c r="I1273" t="s">
        <v>92</v>
      </c>
      <c r="J1273" t="s">
        <v>92</v>
      </c>
      <c r="K1273" t="s">
        <v>64</v>
      </c>
      <c r="L1273" t="s">
        <v>65</v>
      </c>
      <c r="M1273" t="s">
        <v>93</v>
      </c>
      <c r="N1273">
        <v>32.5</v>
      </c>
      <c r="O1273">
        <v>8.75</v>
      </c>
      <c r="P1273">
        <v>138.6</v>
      </c>
      <c r="Q1273">
        <v>147.35</v>
      </c>
      <c r="R1273">
        <v>0</v>
      </c>
      <c r="S1273">
        <v>147.35</v>
      </c>
      <c r="T1273">
        <v>256</v>
      </c>
      <c r="U1273">
        <f>SUMIF(货件明细!J:J,E1273,货件明细!AP:AP)</f>
        <v>0</v>
      </c>
      <c r="V1273">
        <f>IF(U1273=T1273,0,1)</f>
        <v>1</v>
      </c>
      <c r="W1273">
        <f>T1273</f>
        <v>256</v>
      </c>
      <c r="X1273">
        <f>SUMIF(货件明细!J:J,E1273,货件明细!H:H)</f>
        <v>0</v>
      </c>
      <c r="Y1273">
        <f>N1273-X1273</f>
        <v>32.5</v>
      </c>
      <c r="Z1273">
        <f>SUMIF(货件明细!J:J,E1273,货件明细!I:I)</f>
        <v>0</v>
      </c>
      <c r="AA1273">
        <f>IF(S1273=Z1273,0,1)</f>
        <v>1</v>
      </c>
    </row>
    <row r="1274" hidden="1" spans="1:27">
      <c r="A1274">
        <v>3</v>
      </c>
      <c r="B1274">
        <v>10</v>
      </c>
      <c r="C1274" s="3">
        <v>46087</v>
      </c>
      <c r="D1274" t="s">
        <v>27</v>
      </c>
      <c r="E1274" t="s">
        <v>1391</v>
      </c>
      <c r="F1274" t="s">
        <v>187</v>
      </c>
      <c r="G1274" t="s">
        <v>72</v>
      </c>
      <c r="H1274" t="s">
        <v>37</v>
      </c>
      <c r="I1274" t="s">
        <v>92</v>
      </c>
      <c r="J1274" t="s">
        <v>92</v>
      </c>
      <c r="K1274" t="s">
        <v>64</v>
      </c>
      <c r="L1274" t="s">
        <v>65</v>
      </c>
      <c r="M1274" t="s">
        <v>93</v>
      </c>
      <c r="N1274">
        <v>32.5</v>
      </c>
      <c r="O1274">
        <v>8.75</v>
      </c>
      <c r="P1274">
        <v>120.6</v>
      </c>
      <c r="Q1274">
        <v>129.35</v>
      </c>
      <c r="R1274">
        <v>0</v>
      </c>
      <c r="S1274">
        <v>129.35</v>
      </c>
      <c r="T1274">
        <v>256</v>
      </c>
      <c r="U1274">
        <f>SUMIF(货件明细!J:J,E1274,货件明细!AP:AP)</f>
        <v>0</v>
      </c>
      <c r="V1274">
        <f>IF(U1274=T1274,0,1)</f>
        <v>1</v>
      </c>
      <c r="W1274">
        <f>T1274</f>
        <v>256</v>
      </c>
      <c r="X1274">
        <f>SUMIF(货件明细!J:J,E1274,货件明细!H:H)</f>
        <v>0</v>
      </c>
      <c r="Y1274">
        <f>N1274-X1274</f>
        <v>32.5</v>
      </c>
      <c r="Z1274">
        <f>SUMIF(货件明细!J:J,E1274,货件明细!I:I)</f>
        <v>0</v>
      </c>
      <c r="AA1274">
        <f>IF(S1274=Z1274,0,1)</f>
        <v>1</v>
      </c>
    </row>
    <row r="1275" hidden="1" spans="1:27">
      <c r="A1275">
        <v>3</v>
      </c>
      <c r="B1275">
        <v>10</v>
      </c>
      <c r="C1275" s="3">
        <v>46087</v>
      </c>
      <c r="D1275" t="s">
        <v>27</v>
      </c>
      <c r="E1275" t="s">
        <v>1392</v>
      </c>
      <c r="F1275" t="s">
        <v>200</v>
      </c>
      <c r="G1275" t="s">
        <v>30</v>
      </c>
      <c r="H1275" t="s">
        <v>37</v>
      </c>
      <c r="I1275" t="s">
        <v>92</v>
      </c>
      <c r="J1275" t="s">
        <v>92</v>
      </c>
      <c r="K1275" t="s">
        <v>64</v>
      </c>
      <c r="L1275" t="s">
        <v>65</v>
      </c>
      <c r="M1275" t="s">
        <v>93</v>
      </c>
      <c r="N1275">
        <v>32.5</v>
      </c>
      <c r="O1275">
        <v>8.75</v>
      </c>
      <c r="P1275">
        <v>204.75</v>
      </c>
      <c r="Q1275">
        <v>213.5</v>
      </c>
      <c r="R1275">
        <v>0</v>
      </c>
      <c r="S1275">
        <v>213.5</v>
      </c>
      <c r="T1275">
        <v>256</v>
      </c>
      <c r="U1275">
        <f>SUMIF(货件明细!J:J,E1275,货件明细!AP:AP)</f>
        <v>0</v>
      </c>
      <c r="V1275">
        <f>IF(U1275=T1275,0,1)</f>
        <v>1</v>
      </c>
      <c r="W1275">
        <f>T1275</f>
        <v>256</v>
      </c>
      <c r="X1275">
        <f>SUMIF(货件明细!J:J,E1275,货件明细!H:H)</f>
        <v>0</v>
      </c>
      <c r="Y1275">
        <f>N1275-X1275</f>
        <v>32.5</v>
      </c>
      <c r="Z1275">
        <f>SUMIF(货件明细!J:J,E1275,货件明细!I:I)</f>
        <v>0</v>
      </c>
      <c r="AA1275">
        <f>IF(S1275=Z1275,0,1)</f>
        <v>1</v>
      </c>
    </row>
    <row r="1276" hidden="1" spans="1:27">
      <c r="A1276">
        <v>3</v>
      </c>
      <c r="B1276">
        <v>10</v>
      </c>
      <c r="C1276" s="3">
        <v>46087</v>
      </c>
      <c r="D1276" t="s">
        <v>27</v>
      </c>
      <c r="E1276" t="s">
        <v>1393</v>
      </c>
      <c r="F1276" t="s">
        <v>185</v>
      </c>
      <c r="G1276" t="s">
        <v>30</v>
      </c>
      <c r="H1276" t="s">
        <v>39</v>
      </c>
      <c r="I1276" t="s">
        <v>92</v>
      </c>
      <c r="J1276" t="s">
        <v>92</v>
      </c>
      <c r="K1276" t="s">
        <v>64</v>
      </c>
      <c r="L1276" t="s">
        <v>65</v>
      </c>
      <c r="M1276" t="s">
        <v>93</v>
      </c>
      <c r="N1276">
        <v>191.85</v>
      </c>
      <c r="O1276">
        <v>11.2</v>
      </c>
      <c r="P1276">
        <v>1085.7</v>
      </c>
      <c r="Q1276">
        <v>1096.9</v>
      </c>
      <c r="R1276">
        <v>0</v>
      </c>
      <c r="S1276">
        <v>1096.9</v>
      </c>
      <c r="T1276">
        <v>418</v>
      </c>
      <c r="U1276">
        <f>SUMIF(货件明细!J:J,E1276,货件明细!AP:AP)</f>
        <v>0</v>
      </c>
      <c r="V1276">
        <f>IF(U1276=T1276,0,1)</f>
        <v>1</v>
      </c>
      <c r="W1276">
        <f>T1276</f>
        <v>418</v>
      </c>
      <c r="X1276">
        <f>SUMIF(货件明细!J:J,E1276,货件明细!H:H)</f>
        <v>0</v>
      </c>
      <c r="Y1276">
        <f>N1276-X1276</f>
        <v>191.85</v>
      </c>
      <c r="Z1276">
        <f>SUMIF(货件明细!J:J,E1276,货件明细!I:I)</f>
        <v>0</v>
      </c>
      <c r="AA1276">
        <f>IF(S1276=Z1276,0,1)</f>
        <v>1</v>
      </c>
    </row>
    <row r="1277" hidden="1" spans="1:27">
      <c r="A1277">
        <v>3</v>
      </c>
      <c r="B1277">
        <v>10</v>
      </c>
      <c r="C1277" s="3">
        <v>46087</v>
      </c>
      <c r="D1277" t="s">
        <v>27</v>
      </c>
      <c r="E1277" t="s">
        <v>1394</v>
      </c>
      <c r="F1277" t="s">
        <v>141</v>
      </c>
      <c r="G1277" t="s">
        <v>69</v>
      </c>
      <c r="H1277" t="s">
        <v>39</v>
      </c>
      <c r="I1277" t="s">
        <v>92</v>
      </c>
      <c r="J1277" t="s">
        <v>92</v>
      </c>
      <c r="K1277" t="s">
        <v>64</v>
      </c>
      <c r="L1277" t="s">
        <v>65</v>
      </c>
      <c r="M1277" t="s">
        <v>93</v>
      </c>
      <c r="N1277">
        <v>191.85</v>
      </c>
      <c r="O1277">
        <v>11.2</v>
      </c>
      <c r="P1277">
        <v>893.75</v>
      </c>
      <c r="Q1277">
        <v>904.95</v>
      </c>
      <c r="R1277">
        <v>0</v>
      </c>
      <c r="S1277">
        <v>904.95</v>
      </c>
      <c r="T1277">
        <v>418</v>
      </c>
      <c r="U1277">
        <f>SUMIF(货件明细!J:J,E1277,货件明细!AP:AP)</f>
        <v>0</v>
      </c>
      <c r="V1277">
        <f>IF(U1277=T1277,0,1)</f>
        <v>1</v>
      </c>
      <c r="W1277">
        <f>T1277</f>
        <v>418</v>
      </c>
      <c r="X1277">
        <f>SUMIF(货件明细!J:J,E1277,货件明细!H:H)</f>
        <v>0</v>
      </c>
      <c r="Y1277">
        <f>N1277-X1277</f>
        <v>191.85</v>
      </c>
      <c r="Z1277">
        <f>SUMIF(货件明细!J:J,E1277,货件明细!I:I)</f>
        <v>0</v>
      </c>
      <c r="AA1277">
        <f>IF(S1277=Z1277,0,1)</f>
        <v>1</v>
      </c>
    </row>
    <row r="1278" hidden="1" spans="1:27">
      <c r="A1278">
        <v>3</v>
      </c>
      <c r="B1278">
        <v>10</v>
      </c>
      <c r="C1278" s="3">
        <v>46087</v>
      </c>
      <c r="D1278" t="s">
        <v>27</v>
      </c>
      <c r="E1278" t="s">
        <v>1395</v>
      </c>
      <c r="F1278" t="s">
        <v>250</v>
      </c>
      <c r="G1278" t="s">
        <v>72</v>
      </c>
      <c r="H1278" t="s">
        <v>39</v>
      </c>
      <c r="I1278" t="s">
        <v>92</v>
      </c>
      <c r="J1278" t="s">
        <v>92</v>
      </c>
      <c r="K1278" t="s">
        <v>64</v>
      </c>
      <c r="L1278" t="s">
        <v>65</v>
      </c>
      <c r="M1278" t="s">
        <v>93</v>
      </c>
      <c r="N1278">
        <v>191.85</v>
      </c>
      <c r="O1278">
        <v>11.2</v>
      </c>
      <c r="P1278">
        <v>693</v>
      </c>
      <c r="Q1278">
        <v>704.2</v>
      </c>
      <c r="R1278">
        <v>0</v>
      </c>
      <c r="S1278">
        <v>704.2</v>
      </c>
      <c r="T1278">
        <v>418</v>
      </c>
      <c r="U1278">
        <f>SUMIF(货件明细!J:J,E1278,货件明细!AP:AP)</f>
        <v>0</v>
      </c>
      <c r="V1278">
        <f>IF(U1278=T1278,0,1)</f>
        <v>1</v>
      </c>
      <c r="W1278">
        <f>T1278</f>
        <v>418</v>
      </c>
      <c r="X1278">
        <f>SUMIF(货件明细!J:J,E1278,货件明细!H:H)</f>
        <v>0</v>
      </c>
      <c r="Y1278">
        <f>N1278-X1278</f>
        <v>191.85</v>
      </c>
      <c r="Z1278">
        <f>SUMIF(货件明细!J:J,E1278,货件明细!I:I)</f>
        <v>0</v>
      </c>
      <c r="AA1278">
        <f>IF(S1278=Z1278,0,1)</f>
        <v>1</v>
      </c>
    </row>
    <row r="1279" hidden="1" spans="1:27">
      <c r="A1279">
        <v>3</v>
      </c>
      <c r="B1279">
        <v>10</v>
      </c>
      <c r="C1279" s="3">
        <v>46087</v>
      </c>
      <c r="D1279" t="s">
        <v>27</v>
      </c>
      <c r="E1279" t="s">
        <v>1396</v>
      </c>
      <c r="F1279" t="s">
        <v>187</v>
      </c>
      <c r="G1279" t="s">
        <v>72</v>
      </c>
      <c r="H1279" t="s">
        <v>39</v>
      </c>
      <c r="I1279" t="s">
        <v>92</v>
      </c>
      <c r="J1279" t="s">
        <v>92</v>
      </c>
      <c r="K1279" t="s">
        <v>64</v>
      </c>
      <c r="L1279" t="s">
        <v>65</v>
      </c>
      <c r="M1279" t="s">
        <v>93</v>
      </c>
      <c r="N1279">
        <v>191.85</v>
      </c>
      <c r="O1279">
        <v>11.2</v>
      </c>
      <c r="P1279">
        <v>633.15</v>
      </c>
      <c r="Q1279">
        <v>644.35</v>
      </c>
      <c r="R1279">
        <v>0</v>
      </c>
      <c r="S1279">
        <v>644.35</v>
      </c>
      <c r="T1279">
        <v>418</v>
      </c>
      <c r="U1279">
        <f>SUMIF(货件明细!J:J,E1279,货件明细!AP:AP)</f>
        <v>0</v>
      </c>
      <c r="V1279">
        <f>IF(U1279=T1279,0,1)</f>
        <v>1</v>
      </c>
      <c r="W1279">
        <f>T1279</f>
        <v>418</v>
      </c>
      <c r="X1279">
        <f>SUMIF(货件明细!J:J,E1279,货件明细!H:H)</f>
        <v>0</v>
      </c>
      <c r="Y1279">
        <f>N1279-X1279</f>
        <v>191.85</v>
      </c>
      <c r="Z1279">
        <f>SUMIF(货件明细!J:J,E1279,货件明细!I:I)</f>
        <v>0</v>
      </c>
      <c r="AA1279">
        <f>IF(S1279=Z1279,0,1)</f>
        <v>1</v>
      </c>
    </row>
    <row r="1280" hidden="1" spans="1:27">
      <c r="A1280">
        <v>3</v>
      </c>
      <c r="B1280">
        <v>10</v>
      </c>
      <c r="C1280" s="3">
        <v>46087</v>
      </c>
      <c r="D1280" t="s">
        <v>27</v>
      </c>
      <c r="E1280" t="s">
        <v>1397</v>
      </c>
      <c r="F1280" t="s">
        <v>200</v>
      </c>
      <c r="G1280" t="s">
        <v>30</v>
      </c>
      <c r="H1280" t="s">
        <v>39</v>
      </c>
      <c r="I1280" t="s">
        <v>92</v>
      </c>
      <c r="J1280" t="s">
        <v>92</v>
      </c>
      <c r="K1280" t="s">
        <v>64</v>
      </c>
      <c r="L1280" t="s">
        <v>65</v>
      </c>
      <c r="M1280" t="s">
        <v>93</v>
      </c>
      <c r="N1280">
        <v>191.85</v>
      </c>
      <c r="O1280">
        <v>11.2</v>
      </c>
      <c r="P1280">
        <v>1008</v>
      </c>
      <c r="Q1280">
        <v>1019.2</v>
      </c>
      <c r="R1280">
        <v>0</v>
      </c>
      <c r="S1280">
        <v>1019.2</v>
      </c>
      <c r="T1280">
        <v>418</v>
      </c>
      <c r="U1280">
        <f>SUMIF(货件明细!J:J,E1280,货件明细!AP:AP)</f>
        <v>0</v>
      </c>
      <c r="V1280">
        <f>IF(U1280=T1280,0,1)</f>
        <v>1</v>
      </c>
      <c r="W1280">
        <f>T1280</f>
        <v>418</v>
      </c>
      <c r="X1280">
        <f>SUMIF(货件明细!J:J,E1280,货件明细!H:H)</f>
        <v>0</v>
      </c>
      <c r="Y1280">
        <f>N1280-X1280</f>
        <v>191.85</v>
      </c>
      <c r="Z1280">
        <f>SUMIF(货件明细!J:J,E1280,货件明细!I:I)</f>
        <v>0</v>
      </c>
      <c r="AA1280">
        <f>IF(S1280=Z1280,0,1)</f>
        <v>1</v>
      </c>
    </row>
    <row r="1281" hidden="1" spans="1:27">
      <c r="A1281">
        <v>3</v>
      </c>
      <c r="B1281">
        <v>10</v>
      </c>
      <c r="C1281" s="3">
        <v>46087</v>
      </c>
      <c r="D1281" t="s">
        <v>27</v>
      </c>
      <c r="E1281" t="s">
        <v>1398</v>
      </c>
      <c r="F1281" t="s">
        <v>185</v>
      </c>
      <c r="G1281" t="s">
        <v>30</v>
      </c>
      <c r="H1281" t="s">
        <v>51</v>
      </c>
      <c r="I1281" t="s">
        <v>92</v>
      </c>
      <c r="J1281" t="s">
        <v>92</v>
      </c>
      <c r="K1281" t="s">
        <v>64</v>
      </c>
      <c r="L1281" t="s">
        <v>65</v>
      </c>
      <c r="M1281" t="s">
        <v>93</v>
      </c>
      <c r="N1281">
        <v>48.35</v>
      </c>
      <c r="O1281">
        <v>11.2</v>
      </c>
      <c r="P1281">
        <v>361.9</v>
      </c>
      <c r="Q1281">
        <v>373.1</v>
      </c>
      <c r="R1281">
        <v>0</v>
      </c>
      <c r="S1281">
        <v>373.1</v>
      </c>
      <c r="T1281">
        <v>245</v>
      </c>
      <c r="U1281">
        <f>SUMIF(货件明细!J:J,E1281,货件明细!AP:AP)</f>
        <v>0</v>
      </c>
      <c r="V1281">
        <f>IF(U1281=T1281,0,1)</f>
        <v>1</v>
      </c>
      <c r="W1281">
        <f>T1281</f>
        <v>245</v>
      </c>
      <c r="X1281">
        <f>SUMIF(货件明细!J:J,E1281,货件明细!H:H)</f>
        <v>0</v>
      </c>
      <c r="Y1281">
        <f>N1281-X1281</f>
        <v>48.35</v>
      </c>
      <c r="Z1281">
        <f>SUMIF(货件明细!J:J,E1281,货件明细!I:I)</f>
        <v>0</v>
      </c>
      <c r="AA1281">
        <f>IF(S1281=Z1281,0,1)</f>
        <v>1</v>
      </c>
    </row>
    <row r="1282" hidden="1" spans="1:27">
      <c r="A1282">
        <v>3</v>
      </c>
      <c r="B1282">
        <v>10</v>
      </c>
      <c r="C1282" s="3">
        <v>46087</v>
      </c>
      <c r="D1282" t="s">
        <v>27</v>
      </c>
      <c r="E1282" t="s">
        <v>1399</v>
      </c>
      <c r="F1282" t="s">
        <v>141</v>
      </c>
      <c r="G1282" t="s">
        <v>69</v>
      </c>
      <c r="H1282" t="s">
        <v>51</v>
      </c>
      <c r="I1282" t="s">
        <v>92</v>
      </c>
      <c r="J1282" t="s">
        <v>92</v>
      </c>
      <c r="K1282" t="s">
        <v>64</v>
      </c>
      <c r="L1282" t="s">
        <v>65</v>
      </c>
      <c r="M1282" t="s">
        <v>93</v>
      </c>
      <c r="N1282">
        <v>48.35</v>
      </c>
      <c r="O1282">
        <v>11.2</v>
      </c>
      <c r="P1282">
        <v>343.75</v>
      </c>
      <c r="Q1282">
        <v>354.95</v>
      </c>
      <c r="R1282">
        <v>0</v>
      </c>
      <c r="S1282">
        <v>354.95</v>
      </c>
      <c r="T1282">
        <v>245</v>
      </c>
      <c r="U1282">
        <f>SUMIF(货件明细!J:J,E1282,货件明细!AP:AP)</f>
        <v>0</v>
      </c>
      <c r="V1282">
        <f>IF(U1282=T1282,0,1)</f>
        <v>1</v>
      </c>
      <c r="W1282">
        <f>T1282</f>
        <v>245</v>
      </c>
      <c r="X1282">
        <f>SUMIF(货件明细!J:J,E1282,货件明细!H:H)</f>
        <v>0</v>
      </c>
      <c r="Y1282">
        <f>N1282-X1282</f>
        <v>48.35</v>
      </c>
      <c r="Z1282">
        <f>SUMIF(货件明细!J:J,E1282,货件明细!I:I)</f>
        <v>0</v>
      </c>
      <c r="AA1282">
        <f>IF(S1282=Z1282,0,1)</f>
        <v>1</v>
      </c>
    </row>
    <row r="1283" hidden="1" spans="1:27">
      <c r="A1283">
        <v>3</v>
      </c>
      <c r="B1283">
        <v>10</v>
      </c>
      <c r="C1283" s="3">
        <v>46087</v>
      </c>
      <c r="D1283" t="s">
        <v>27</v>
      </c>
      <c r="E1283" t="s">
        <v>1400</v>
      </c>
      <c r="F1283" t="s">
        <v>250</v>
      </c>
      <c r="G1283" t="s">
        <v>72</v>
      </c>
      <c r="H1283" t="s">
        <v>51</v>
      </c>
      <c r="I1283" t="s">
        <v>92</v>
      </c>
      <c r="J1283" t="s">
        <v>92</v>
      </c>
      <c r="K1283" t="s">
        <v>64</v>
      </c>
      <c r="L1283" t="s">
        <v>65</v>
      </c>
      <c r="M1283" t="s">
        <v>93</v>
      </c>
      <c r="N1283">
        <v>48.35</v>
      </c>
      <c r="O1283">
        <v>11.2</v>
      </c>
      <c r="P1283">
        <v>275</v>
      </c>
      <c r="Q1283">
        <v>286.2</v>
      </c>
      <c r="R1283">
        <v>0</v>
      </c>
      <c r="S1283">
        <v>286.2</v>
      </c>
      <c r="T1283">
        <v>245</v>
      </c>
      <c r="U1283">
        <f>SUMIF(货件明细!J:J,E1283,货件明细!AP:AP)</f>
        <v>0</v>
      </c>
      <c r="V1283">
        <f>IF(U1283=T1283,0,1)</f>
        <v>1</v>
      </c>
      <c r="W1283">
        <f>T1283</f>
        <v>245</v>
      </c>
      <c r="X1283">
        <f>SUMIF(货件明细!J:J,E1283,货件明细!H:H)</f>
        <v>0</v>
      </c>
      <c r="Y1283">
        <f>N1283-X1283</f>
        <v>48.35</v>
      </c>
      <c r="Z1283">
        <f>SUMIF(货件明细!J:J,E1283,货件明细!I:I)</f>
        <v>0</v>
      </c>
      <c r="AA1283">
        <f>IF(S1283=Z1283,0,1)</f>
        <v>1</v>
      </c>
    </row>
    <row r="1284" hidden="1" spans="1:27">
      <c r="A1284">
        <v>3</v>
      </c>
      <c r="B1284">
        <v>10</v>
      </c>
      <c r="C1284" s="3">
        <v>46087</v>
      </c>
      <c r="D1284" t="s">
        <v>27</v>
      </c>
      <c r="E1284" t="s">
        <v>1401</v>
      </c>
      <c r="F1284" t="s">
        <v>187</v>
      </c>
      <c r="G1284" t="s">
        <v>72</v>
      </c>
      <c r="H1284" t="s">
        <v>51</v>
      </c>
      <c r="I1284" t="s">
        <v>92</v>
      </c>
      <c r="J1284" t="s">
        <v>92</v>
      </c>
      <c r="K1284" t="s">
        <v>64</v>
      </c>
      <c r="L1284" t="s">
        <v>65</v>
      </c>
      <c r="M1284" t="s">
        <v>93</v>
      </c>
      <c r="N1284">
        <v>48.35</v>
      </c>
      <c r="O1284">
        <v>11.2</v>
      </c>
      <c r="P1284">
        <v>251.25</v>
      </c>
      <c r="Q1284">
        <v>262.45</v>
      </c>
      <c r="R1284">
        <v>0</v>
      </c>
      <c r="S1284">
        <v>262.45</v>
      </c>
      <c r="T1284">
        <v>245</v>
      </c>
      <c r="U1284">
        <f>SUMIF(货件明细!J:J,E1284,货件明细!AP:AP)</f>
        <v>0</v>
      </c>
      <c r="V1284">
        <f>IF(U1284=T1284,0,1)</f>
        <v>1</v>
      </c>
      <c r="W1284">
        <f>T1284</f>
        <v>245</v>
      </c>
      <c r="X1284">
        <f>SUMIF(货件明细!J:J,E1284,货件明细!H:H)</f>
        <v>0</v>
      </c>
      <c r="Y1284">
        <f>N1284-X1284</f>
        <v>48.35</v>
      </c>
      <c r="Z1284">
        <f>SUMIF(货件明细!J:J,E1284,货件明细!I:I)</f>
        <v>0</v>
      </c>
      <c r="AA1284">
        <f>IF(S1284=Z1284,0,1)</f>
        <v>1</v>
      </c>
    </row>
    <row r="1285" hidden="1" spans="1:27">
      <c r="A1285">
        <v>3</v>
      </c>
      <c r="B1285">
        <v>10</v>
      </c>
      <c r="C1285" s="3">
        <v>46087</v>
      </c>
      <c r="D1285" t="s">
        <v>27</v>
      </c>
      <c r="E1285" t="s">
        <v>1402</v>
      </c>
      <c r="F1285" t="s">
        <v>200</v>
      </c>
      <c r="G1285" t="s">
        <v>30</v>
      </c>
      <c r="H1285" t="s">
        <v>51</v>
      </c>
      <c r="I1285" t="s">
        <v>92</v>
      </c>
      <c r="J1285" t="s">
        <v>92</v>
      </c>
      <c r="K1285" t="s">
        <v>64</v>
      </c>
      <c r="L1285" t="s">
        <v>65</v>
      </c>
      <c r="M1285" t="s">
        <v>93</v>
      </c>
      <c r="N1285">
        <v>48.35</v>
      </c>
      <c r="O1285">
        <v>11.2</v>
      </c>
      <c r="P1285">
        <v>393.75</v>
      </c>
      <c r="Q1285">
        <v>404.95</v>
      </c>
      <c r="R1285">
        <v>0</v>
      </c>
      <c r="S1285">
        <v>404.95</v>
      </c>
      <c r="T1285">
        <v>245</v>
      </c>
      <c r="U1285">
        <f>SUMIF(货件明细!J:J,E1285,货件明细!AP:AP)</f>
        <v>0</v>
      </c>
      <c r="V1285">
        <f>IF(U1285=T1285,0,1)</f>
        <v>1</v>
      </c>
      <c r="W1285">
        <f>T1285</f>
        <v>245</v>
      </c>
      <c r="X1285">
        <f>SUMIF(货件明细!J:J,E1285,货件明细!H:H)</f>
        <v>0</v>
      </c>
      <c r="Y1285">
        <f>N1285-X1285</f>
        <v>48.35</v>
      </c>
      <c r="Z1285">
        <f>SUMIF(货件明细!J:J,E1285,货件明细!I:I)</f>
        <v>0</v>
      </c>
      <c r="AA1285">
        <f>IF(S1285=Z1285,0,1)</f>
        <v>1</v>
      </c>
    </row>
    <row r="1286" hidden="1" spans="1:27">
      <c r="A1286">
        <v>3</v>
      </c>
      <c r="B1286">
        <v>10</v>
      </c>
      <c r="C1286" s="3">
        <v>46087</v>
      </c>
      <c r="D1286" t="s">
        <v>27</v>
      </c>
      <c r="E1286" t="s">
        <v>1403</v>
      </c>
      <c r="F1286" t="s">
        <v>185</v>
      </c>
      <c r="G1286" t="s">
        <v>30</v>
      </c>
      <c r="H1286" t="s">
        <v>224</v>
      </c>
      <c r="I1286" t="s">
        <v>92</v>
      </c>
      <c r="J1286" t="s">
        <v>92</v>
      </c>
      <c r="K1286" t="s">
        <v>64</v>
      </c>
      <c r="L1286" t="s">
        <v>65</v>
      </c>
      <c r="M1286" t="s">
        <v>93</v>
      </c>
      <c r="N1286">
        <v>13.3</v>
      </c>
      <c r="O1286">
        <v>8.75</v>
      </c>
      <c r="P1286">
        <v>82.25</v>
      </c>
      <c r="Q1286">
        <v>91</v>
      </c>
      <c r="R1286">
        <v>0</v>
      </c>
      <c r="S1286">
        <v>91</v>
      </c>
      <c r="T1286">
        <v>139</v>
      </c>
      <c r="U1286">
        <f>SUMIF(货件明细!J:J,E1286,货件明细!AP:AP)</f>
        <v>0</v>
      </c>
      <c r="V1286">
        <f>IF(U1286=T1286,0,1)</f>
        <v>1</v>
      </c>
      <c r="W1286">
        <f>T1286</f>
        <v>139</v>
      </c>
      <c r="X1286">
        <f>SUMIF(货件明细!J:J,E1286,货件明细!H:H)</f>
        <v>0</v>
      </c>
      <c r="Y1286">
        <f>N1286-X1286</f>
        <v>13.3</v>
      </c>
      <c r="Z1286">
        <f>SUMIF(货件明细!J:J,E1286,货件明细!I:I)</f>
        <v>0</v>
      </c>
      <c r="AA1286">
        <f>IF(S1286=Z1286,0,1)</f>
        <v>1</v>
      </c>
    </row>
    <row r="1287" hidden="1" spans="1:27">
      <c r="A1287">
        <v>3</v>
      </c>
      <c r="B1287">
        <v>10</v>
      </c>
      <c r="C1287" s="3">
        <v>46087</v>
      </c>
      <c r="D1287" t="s">
        <v>27</v>
      </c>
      <c r="E1287" t="s">
        <v>1404</v>
      </c>
      <c r="F1287" t="s">
        <v>243</v>
      </c>
      <c r="G1287" t="s">
        <v>72</v>
      </c>
      <c r="H1287" t="s">
        <v>224</v>
      </c>
      <c r="I1287" t="s">
        <v>92</v>
      </c>
      <c r="J1287" t="s">
        <v>92</v>
      </c>
      <c r="K1287" t="s">
        <v>64</v>
      </c>
      <c r="L1287" t="s">
        <v>65</v>
      </c>
      <c r="M1287" t="s">
        <v>93</v>
      </c>
      <c r="N1287">
        <v>13.3</v>
      </c>
      <c r="O1287">
        <v>8.75</v>
      </c>
      <c r="P1287">
        <v>55</v>
      </c>
      <c r="Q1287">
        <v>63.75</v>
      </c>
      <c r="R1287">
        <v>0</v>
      </c>
      <c r="S1287">
        <v>63.75</v>
      </c>
      <c r="T1287">
        <v>139</v>
      </c>
      <c r="U1287">
        <f>SUMIF(货件明细!J:J,E1287,货件明细!AP:AP)</f>
        <v>0</v>
      </c>
      <c r="V1287">
        <f>IF(U1287=T1287,0,1)</f>
        <v>1</v>
      </c>
      <c r="W1287">
        <f>T1287</f>
        <v>139</v>
      </c>
      <c r="X1287">
        <f>SUMIF(货件明细!J:J,E1287,货件明细!H:H)</f>
        <v>0</v>
      </c>
      <c r="Y1287">
        <f>N1287-X1287</f>
        <v>13.3</v>
      </c>
      <c r="Z1287">
        <f>SUMIF(货件明细!J:J,E1287,货件明细!I:I)</f>
        <v>0</v>
      </c>
      <c r="AA1287">
        <f>IF(S1287=Z1287,0,1)</f>
        <v>1</v>
      </c>
    </row>
    <row r="1288" hidden="1" spans="1:27">
      <c r="A1288">
        <v>3</v>
      </c>
      <c r="B1288">
        <v>10</v>
      </c>
      <c r="C1288" s="3">
        <v>46087</v>
      </c>
      <c r="D1288" t="s">
        <v>27</v>
      </c>
      <c r="E1288" t="s">
        <v>1405</v>
      </c>
      <c r="F1288" t="s">
        <v>250</v>
      </c>
      <c r="G1288" t="s">
        <v>72</v>
      </c>
      <c r="H1288" t="s">
        <v>224</v>
      </c>
      <c r="I1288" t="s">
        <v>92</v>
      </c>
      <c r="J1288" t="s">
        <v>92</v>
      </c>
      <c r="K1288" t="s">
        <v>64</v>
      </c>
      <c r="L1288" t="s">
        <v>65</v>
      </c>
      <c r="M1288" t="s">
        <v>93</v>
      </c>
      <c r="N1288">
        <v>13.3</v>
      </c>
      <c r="O1288">
        <v>8.75</v>
      </c>
      <c r="P1288">
        <v>69.3</v>
      </c>
      <c r="Q1288">
        <v>78.05</v>
      </c>
      <c r="R1288">
        <v>0</v>
      </c>
      <c r="S1288">
        <v>78.05</v>
      </c>
      <c r="T1288">
        <v>139</v>
      </c>
      <c r="U1288">
        <f>SUMIF(货件明细!J:J,E1288,货件明细!AP:AP)</f>
        <v>0</v>
      </c>
      <c r="V1288">
        <f>IF(U1288=T1288,0,1)</f>
        <v>1</v>
      </c>
      <c r="W1288">
        <f>T1288</f>
        <v>139</v>
      </c>
      <c r="X1288">
        <f>SUMIF(货件明细!J:J,E1288,货件明细!H:H)</f>
        <v>0</v>
      </c>
      <c r="Y1288">
        <f>N1288-X1288</f>
        <v>13.3</v>
      </c>
      <c r="Z1288">
        <f>SUMIF(货件明细!J:J,E1288,货件明细!I:I)</f>
        <v>0</v>
      </c>
      <c r="AA1288">
        <f>IF(S1288=Z1288,0,1)</f>
        <v>1</v>
      </c>
    </row>
    <row r="1289" hidden="1" spans="1:27">
      <c r="A1289">
        <v>3</v>
      </c>
      <c r="B1289">
        <v>10</v>
      </c>
      <c r="C1289" s="3">
        <v>46087</v>
      </c>
      <c r="D1289" t="s">
        <v>27</v>
      </c>
      <c r="E1289" t="s">
        <v>1406</v>
      </c>
      <c r="F1289" t="s">
        <v>187</v>
      </c>
      <c r="G1289" t="s">
        <v>72</v>
      </c>
      <c r="H1289" t="s">
        <v>224</v>
      </c>
      <c r="I1289" t="s">
        <v>92</v>
      </c>
      <c r="J1289" t="s">
        <v>92</v>
      </c>
      <c r="K1289" t="s">
        <v>64</v>
      </c>
      <c r="L1289" t="s">
        <v>65</v>
      </c>
      <c r="M1289" t="s">
        <v>93</v>
      </c>
      <c r="N1289">
        <v>13.3</v>
      </c>
      <c r="O1289">
        <v>8.75</v>
      </c>
      <c r="P1289">
        <v>50.25</v>
      </c>
      <c r="Q1289">
        <v>59</v>
      </c>
      <c r="R1289">
        <v>0</v>
      </c>
      <c r="S1289">
        <v>59</v>
      </c>
      <c r="T1289">
        <v>139</v>
      </c>
      <c r="U1289">
        <f>SUMIF(货件明细!J:J,E1289,货件明细!AP:AP)</f>
        <v>0</v>
      </c>
      <c r="V1289">
        <f>IF(U1289=T1289,0,1)</f>
        <v>1</v>
      </c>
      <c r="W1289">
        <f>T1289</f>
        <v>139</v>
      </c>
      <c r="X1289">
        <f>SUMIF(货件明细!J:J,E1289,货件明细!H:H)</f>
        <v>0</v>
      </c>
      <c r="Y1289">
        <f>N1289-X1289</f>
        <v>13.3</v>
      </c>
      <c r="Z1289">
        <f>SUMIF(货件明细!J:J,E1289,货件明细!I:I)</f>
        <v>0</v>
      </c>
      <c r="AA1289">
        <f>IF(S1289=Z1289,0,1)</f>
        <v>1</v>
      </c>
    </row>
    <row r="1290" hidden="1" spans="1:27">
      <c r="A1290">
        <v>3</v>
      </c>
      <c r="B1290">
        <v>10</v>
      </c>
      <c r="C1290" s="3">
        <v>46087</v>
      </c>
      <c r="D1290" t="s">
        <v>27</v>
      </c>
      <c r="E1290" t="s">
        <v>1407</v>
      </c>
      <c r="F1290" t="s">
        <v>200</v>
      </c>
      <c r="G1290" t="s">
        <v>30</v>
      </c>
      <c r="H1290" t="s">
        <v>224</v>
      </c>
      <c r="I1290" t="s">
        <v>92</v>
      </c>
      <c r="J1290" t="s">
        <v>92</v>
      </c>
      <c r="K1290" t="s">
        <v>64</v>
      </c>
      <c r="L1290" t="s">
        <v>65</v>
      </c>
      <c r="M1290" t="s">
        <v>93</v>
      </c>
      <c r="N1290">
        <v>13.3</v>
      </c>
      <c r="O1290">
        <v>8.75</v>
      </c>
      <c r="P1290">
        <v>102.375</v>
      </c>
      <c r="Q1290">
        <v>111.125</v>
      </c>
      <c r="R1290">
        <v>0</v>
      </c>
      <c r="S1290">
        <v>111.125</v>
      </c>
      <c r="T1290">
        <v>139</v>
      </c>
      <c r="U1290">
        <f>SUMIF(货件明细!J:J,E1290,货件明细!AP:AP)</f>
        <v>0</v>
      </c>
      <c r="V1290">
        <f>IF(U1290=T1290,0,1)</f>
        <v>1</v>
      </c>
      <c r="W1290">
        <f>T1290</f>
        <v>139</v>
      </c>
      <c r="X1290">
        <f>SUMIF(货件明细!J:J,E1290,货件明细!H:H)</f>
        <v>0</v>
      </c>
      <c r="Y1290">
        <f>N1290-X1290</f>
        <v>13.3</v>
      </c>
      <c r="Z1290">
        <f>SUMIF(货件明细!J:J,E1290,货件明细!I:I)</f>
        <v>0</v>
      </c>
      <c r="AA1290">
        <f>IF(S1290=Z1290,0,1)</f>
        <v>1</v>
      </c>
    </row>
    <row r="1291" hidden="1" spans="1:27">
      <c r="A1291">
        <v>3</v>
      </c>
      <c r="B1291">
        <v>10</v>
      </c>
      <c r="C1291" s="3">
        <v>46087</v>
      </c>
      <c r="D1291" t="s">
        <v>27</v>
      </c>
      <c r="E1291" t="s">
        <v>1408</v>
      </c>
      <c r="F1291" t="s">
        <v>185</v>
      </c>
      <c r="G1291" t="s">
        <v>30</v>
      </c>
      <c r="H1291" t="s">
        <v>56</v>
      </c>
      <c r="I1291" t="s">
        <v>92</v>
      </c>
      <c r="J1291" t="s">
        <v>92</v>
      </c>
      <c r="K1291" t="s">
        <v>64</v>
      </c>
      <c r="L1291" t="s">
        <v>65</v>
      </c>
      <c r="M1291" t="s">
        <v>93</v>
      </c>
      <c r="N1291">
        <v>58.8</v>
      </c>
      <c r="O1291">
        <v>8.75</v>
      </c>
      <c r="P1291">
        <v>444.15</v>
      </c>
      <c r="Q1291">
        <v>452.9</v>
      </c>
      <c r="R1291">
        <v>0</v>
      </c>
      <c r="S1291">
        <v>452.9</v>
      </c>
      <c r="T1291">
        <v>275</v>
      </c>
      <c r="U1291">
        <f>SUMIF(货件明细!J:J,E1291,货件明细!AP:AP)</f>
        <v>0</v>
      </c>
      <c r="V1291">
        <f>IF(U1291=T1291,0,1)</f>
        <v>1</v>
      </c>
      <c r="W1291">
        <f>T1291</f>
        <v>275</v>
      </c>
      <c r="X1291">
        <f>SUMIF(货件明细!J:J,E1291,货件明细!H:H)</f>
        <v>0</v>
      </c>
      <c r="Y1291">
        <f>N1291-X1291</f>
        <v>58.8</v>
      </c>
      <c r="Z1291">
        <f>SUMIF(货件明细!J:J,E1291,货件明细!I:I)</f>
        <v>0</v>
      </c>
      <c r="AA1291">
        <f>IF(S1291=Z1291,0,1)</f>
        <v>1</v>
      </c>
    </row>
    <row r="1292" hidden="1" spans="1:27">
      <c r="A1292">
        <v>3</v>
      </c>
      <c r="B1292">
        <v>10</v>
      </c>
      <c r="C1292" s="3">
        <v>46087</v>
      </c>
      <c r="D1292" t="s">
        <v>27</v>
      </c>
      <c r="E1292" t="s">
        <v>1409</v>
      </c>
      <c r="F1292" t="s">
        <v>141</v>
      </c>
      <c r="G1292" t="s">
        <v>69</v>
      </c>
      <c r="H1292" t="s">
        <v>56</v>
      </c>
      <c r="I1292" t="s">
        <v>92</v>
      </c>
      <c r="J1292" t="s">
        <v>92</v>
      </c>
      <c r="K1292" t="s">
        <v>64</v>
      </c>
      <c r="L1292" t="s">
        <v>65</v>
      </c>
      <c r="M1292" t="s">
        <v>93</v>
      </c>
      <c r="N1292">
        <v>58.8</v>
      </c>
      <c r="O1292">
        <v>8.75</v>
      </c>
      <c r="P1292">
        <v>273.28125</v>
      </c>
      <c r="Q1292">
        <v>282.03125</v>
      </c>
      <c r="R1292">
        <v>0</v>
      </c>
      <c r="S1292">
        <v>282.03125</v>
      </c>
      <c r="T1292">
        <v>275</v>
      </c>
      <c r="U1292">
        <f>SUMIF(货件明细!J:J,E1292,货件明细!AP:AP)</f>
        <v>0</v>
      </c>
      <c r="V1292">
        <f>IF(U1292=T1292,0,1)</f>
        <v>1</v>
      </c>
      <c r="W1292">
        <f>T1292</f>
        <v>275</v>
      </c>
      <c r="X1292">
        <f>SUMIF(货件明细!J:J,E1292,货件明细!H:H)</f>
        <v>0</v>
      </c>
      <c r="Y1292">
        <f>N1292-X1292</f>
        <v>58.8</v>
      </c>
      <c r="Z1292">
        <f>SUMIF(货件明细!J:J,E1292,货件明细!I:I)</f>
        <v>0</v>
      </c>
      <c r="AA1292">
        <f>IF(S1292=Z1292,0,1)</f>
        <v>1</v>
      </c>
    </row>
    <row r="1293" hidden="1" spans="1:27">
      <c r="A1293">
        <v>3</v>
      </c>
      <c r="B1293">
        <v>10</v>
      </c>
      <c r="C1293" s="3">
        <v>46087</v>
      </c>
      <c r="D1293" t="s">
        <v>27</v>
      </c>
      <c r="E1293" t="s">
        <v>1410</v>
      </c>
      <c r="F1293" t="s">
        <v>250</v>
      </c>
      <c r="G1293" t="s">
        <v>72</v>
      </c>
      <c r="H1293" t="s">
        <v>56</v>
      </c>
      <c r="I1293" t="s">
        <v>92</v>
      </c>
      <c r="J1293" t="s">
        <v>92</v>
      </c>
      <c r="K1293" t="s">
        <v>64</v>
      </c>
      <c r="L1293" t="s">
        <v>65</v>
      </c>
      <c r="M1293" t="s">
        <v>93</v>
      </c>
      <c r="N1293">
        <v>58.8</v>
      </c>
      <c r="O1293">
        <v>8.75</v>
      </c>
      <c r="P1293">
        <v>207.9</v>
      </c>
      <c r="Q1293">
        <v>216.65</v>
      </c>
      <c r="R1293">
        <v>0</v>
      </c>
      <c r="S1293">
        <v>216.65</v>
      </c>
      <c r="T1293">
        <v>275</v>
      </c>
      <c r="U1293">
        <f>SUMIF(货件明细!J:J,E1293,货件明细!AP:AP)</f>
        <v>0</v>
      </c>
      <c r="V1293">
        <f>IF(U1293=T1293,0,1)</f>
        <v>1</v>
      </c>
      <c r="W1293">
        <f>T1293</f>
        <v>275</v>
      </c>
      <c r="X1293">
        <f>SUMIF(货件明细!J:J,E1293,货件明细!H:H)</f>
        <v>0</v>
      </c>
      <c r="Y1293">
        <f>N1293-X1293</f>
        <v>58.8</v>
      </c>
      <c r="Z1293">
        <f>SUMIF(货件明细!J:J,E1293,货件明细!I:I)</f>
        <v>0</v>
      </c>
      <c r="AA1293">
        <f>IF(S1293=Z1293,0,1)</f>
        <v>1</v>
      </c>
    </row>
    <row r="1294" hidden="1" spans="1:27">
      <c r="A1294">
        <v>3</v>
      </c>
      <c r="B1294">
        <v>10</v>
      </c>
      <c r="C1294" s="3">
        <v>46087</v>
      </c>
      <c r="D1294" t="s">
        <v>27</v>
      </c>
      <c r="E1294" t="s">
        <v>1411</v>
      </c>
      <c r="F1294" t="s">
        <v>187</v>
      </c>
      <c r="G1294" t="s">
        <v>72</v>
      </c>
      <c r="H1294" t="s">
        <v>56</v>
      </c>
      <c r="I1294" t="s">
        <v>92</v>
      </c>
      <c r="J1294" t="s">
        <v>92</v>
      </c>
      <c r="K1294" t="s">
        <v>64</v>
      </c>
      <c r="L1294" t="s">
        <v>65</v>
      </c>
      <c r="M1294" t="s">
        <v>93</v>
      </c>
      <c r="N1294">
        <v>58.8</v>
      </c>
      <c r="O1294">
        <v>8.75</v>
      </c>
      <c r="P1294">
        <v>271.35</v>
      </c>
      <c r="Q1294">
        <v>280.1</v>
      </c>
      <c r="R1294">
        <v>0</v>
      </c>
      <c r="S1294">
        <v>280.1</v>
      </c>
      <c r="T1294">
        <v>275</v>
      </c>
      <c r="U1294">
        <f>SUMIF(货件明细!J:J,E1294,货件明细!AP:AP)</f>
        <v>0</v>
      </c>
      <c r="V1294">
        <f>IF(U1294=T1294,0,1)</f>
        <v>1</v>
      </c>
      <c r="W1294">
        <f>T1294</f>
        <v>275</v>
      </c>
      <c r="X1294">
        <f>SUMIF(货件明细!J:J,E1294,货件明细!H:H)</f>
        <v>0</v>
      </c>
      <c r="Y1294">
        <f>N1294-X1294</f>
        <v>58.8</v>
      </c>
      <c r="Z1294">
        <f>SUMIF(货件明细!J:J,E1294,货件明细!I:I)</f>
        <v>0</v>
      </c>
      <c r="AA1294">
        <f>IF(S1294=Z1294,0,1)</f>
        <v>1</v>
      </c>
    </row>
    <row r="1295" hidden="1" spans="1:27">
      <c r="A1295">
        <v>3</v>
      </c>
      <c r="B1295">
        <v>10</v>
      </c>
      <c r="C1295" s="3">
        <v>46087</v>
      </c>
      <c r="D1295" t="s">
        <v>27</v>
      </c>
      <c r="E1295" t="s">
        <v>1412</v>
      </c>
      <c r="F1295" t="s">
        <v>200</v>
      </c>
      <c r="G1295" t="s">
        <v>30</v>
      </c>
      <c r="H1295" t="s">
        <v>56</v>
      </c>
      <c r="I1295" t="s">
        <v>92</v>
      </c>
      <c r="J1295" t="s">
        <v>92</v>
      </c>
      <c r="K1295" t="s">
        <v>64</v>
      </c>
      <c r="L1295" t="s">
        <v>65</v>
      </c>
      <c r="M1295" t="s">
        <v>93</v>
      </c>
      <c r="N1295">
        <v>58.8</v>
      </c>
      <c r="O1295">
        <v>8.75</v>
      </c>
      <c r="P1295">
        <v>307.125</v>
      </c>
      <c r="Q1295">
        <v>315.875</v>
      </c>
      <c r="R1295">
        <v>0</v>
      </c>
      <c r="S1295">
        <v>315.875</v>
      </c>
      <c r="T1295">
        <v>275</v>
      </c>
      <c r="U1295">
        <f>SUMIF(货件明细!J:J,E1295,货件明细!AP:AP)</f>
        <v>0</v>
      </c>
      <c r="V1295">
        <f>IF(U1295=T1295,0,1)</f>
        <v>1</v>
      </c>
      <c r="W1295">
        <f>T1295</f>
        <v>275</v>
      </c>
      <c r="X1295">
        <f>SUMIF(货件明细!J:J,E1295,货件明细!H:H)</f>
        <v>0</v>
      </c>
      <c r="Y1295">
        <f>N1295-X1295</f>
        <v>58.8</v>
      </c>
      <c r="Z1295">
        <f>SUMIF(货件明细!J:J,E1295,货件明细!I:I)</f>
        <v>0</v>
      </c>
      <c r="AA1295">
        <f>IF(S1295=Z1295,0,1)</f>
        <v>1</v>
      </c>
    </row>
    <row r="1296" hidden="1" spans="1:27">
      <c r="A1296">
        <v>3</v>
      </c>
      <c r="B1296">
        <v>10</v>
      </c>
      <c r="C1296" s="3">
        <v>46087</v>
      </c>
      <c r="D1296" t="s">
        <v>27</v>
      </c>
      <c r="E1296" t="s">
        <v>1413</v>
      </c>
      <c r="F1296" t="s">
        <v>203</v>
      </c>
      <c r="G1296" t="s">
        <v>72</v>
      </c>
      <c r="H1296" t="s">
        <v>56</v>
      </c>
      <c r="I1296" t="s">
        <v>92</v>
      </c>
      <c r="J1296" t="s">
        <v>92</v>
      </c>
      <c r="K1296" t="s">
        <v>64</v>
      </c>
      <c r="L1296" t="s">
        <v>65</v>
      </c>
      <c r="M1296" t="s">
        <v>93</v>
      </c>
      <c r="N1296">
        <v>33.9</v>
      </c>
      <c r="O1296">
        <v>8.75</v>
      </c>
      <c r="P1296">
        <v>115.575</v>
      </c>
      <c r="Q1296">
        <v>124.325</v>
      </c>
      <c r="R1296">
        <v>625.5</v>
      </c>
      <c r="S1296">
        <v>749.825</v>
      </c>
      <c r="T1296">
        <v>300</v>
      </c>
      <c r="U1296">
        <f>SUMIF(货件明细!J:J,E1296,货件明细!AP:AP)</f>
        <v>0</v>
      </c>
      <c r="V1296">
        <f>IF(U1296=T1296,0,1)</f>
        <v>1</v>
      </c>
      <c r="W1296">
        <f>T1296</f>
        <v>300</v>
      </c>
      <c r="X1296">
        <f>SUMIF(货件明细!J:J,E1296,货件明细!H:H)</f>
        <v>0</v>
      </c>
      <c r="Y1296">
        <f>N1296-X1296</f>
        <v>33.9</v>
      </c>
      <c r="Z1296">
        <f>SUMIF(货件明细!J:J,E1296,货件明细!I:I)</f>
        <v>0</v>
      </c>
      <c r="AA1296">
        <f>IF(S1296=Z1296,0,1)</f>
        <v>1</v>
      </c>
    </row>
    <row r="1297" hidden="1" spans="1:27">
      <c r="A1297">
        <v>3</v>
      </c>
      <c r="B1297">
        <v>10</v>
      </c>
      <c r="C1297" s="3">
        <v>46087</v>
      </c>
      <c r="D1297" t="s">
        <v>27</v>
      </c>
      <c r="E1297" t="s">
        <v>1414</v>
      </c>
      <c r="F1297" t="s">
        <v>185</v>
      </c>
      <c r="G1297" t="s">
        <v>30</v>
      </c>
      <c r="H1297" t="s">
        <v>54</v>
      </c>
      <c r="I1297" t="s">
        <v>92</v>
      </c>
      <c r="J1297" t="s">
        <v>92</v>
      </c>
      <c r="K1297" t="s">
        <v>64</v>
      </c>
      <c r="L1297" t="s">
        <v>65</v>
      </c>
      <c r="M1297" t="s">
        <v>93</v>
      </c>
      <c r="N1297">
        <v>48.35</v>
      </c>
      <c r="O1297">
        <v>11.2</v>
      </c>
      <c r="P1297">
        <v>361.9</v>
      </c>
      <c r="Q1297">
        <v>373.1</v>
      </c>
      <c r="R1297">
        <v>0</v>
      </c>
      <c r="S1297">
        <v>373.1</v>
      </c>
      <c r="T1297">
        <v>273</v>
      </c>
      <c r="U1297">
        <f>SUMIF(货件明细!J:J,E1297,货件明细!AP:AP)</f>
        <v>0</v>
      </c>
      <c r="V1297">
        <f>IF(U1297=T1297,0,1)</f>
        <v>1</v>
      </c>
      <c r="W1297">
        <f>T1297</f>
        <v>273</v>
      </c>
      <c r="X1297">
        <f>SUMIF(货件明细!J:J,E1297,货件明细!H:H)</f>
        <v>0</v>
      </c>
      <c r="Y1297">
        <f>N1297-X1297</f>
        <v>48.35</v>
      </c>
      <c r="Z1297">
        <f>SUMIF(货件明细!J:J,E1297,货件明细!I:I)</f>
        <v>0</v>
      </c>
      <c r="AA1297">
        <f>IF(S1297=Z1297,0,1)</f>
        <v>1</v>
      </c>
    </row>
    <row r="1298" hidden="1" spans="1:27">
      <c r="A1298">
        <v>3</v>
      </c>
      <c r="B1298">
        <v>10</v>
      </c>
      <c r="C1298" s="3">
        <v>46087</v>
      </c>
      <c r="D1298" t="s">
        <v>27</v>
      </c>
      <c r="E1298" t="s">
        <v>1415</v>
      </c>
      <c r="F1298" t="s">
        <v>141</v>
      </c>
      <c r="G1298" t="s">
        <v>69</v>
      </c>
      <c r="H1298" t="s">
        <v>54</v>
      </c>
      <c r="I1298" t="s">
        <v>92</v>
      </c>
      <c r="J1298" t="s">
        <v>92</v>
      </c>
      <c r="K1298" t="s">
        <v>64</v>
      </c>
      <c r="L1298" t="s">
        <v>65</v>
      </c>
      <c r="M1298" t="s">
        <v>93</v>
      </c>
      <c r="N1298">
        <v>48.35</v>
      </c>
      <c r="O1298">
        <v>11.2</v>
      </c>
      <c r="P1298">
        <v>316.25</v>
      </c>
      <c r="Q1298">
        <v>327.45</v>
      </c>
      <c r="R1298">
        <v>0</v>
      </c>
      <c r="S1298">
        <v>327.45</v>
      </c>
      <c r="T1298">
        <v>273</v>
      </c>
      <c r="U1298">
        <f>SUMIF(货件明细!J:J,E1298,货件明细!AP:AP)</f>
        <v>0</v>
      </c>
      <c r="V1298">
        <f>IF(U1298=T1298,0,1)</f>
        <v>1</v>
      </c>
      <c r="W1298">
        <f>T1298</f>
        <v>273</v>
      </c>
      <c r="X1298">
        <f>SUMIF(货件明细!J:J,E1298,货件明细!H:H)</f>
        <v>0</v>
      </c>
      <c r="Y1298">
        <f>N1298-X1298</f>
        <v>48.35</v>
      </c>
      <c r="Z1298">
        <f>SUMIF(货件明细!J:J,E1298,货件明细!I:I)</f>
        <v>0</v>
      </c>
      <c r="AA1298">
        <f>IF(S1298=Z1298,0,1)</f>
        <v>1</v>
      </c>
    </row>
    <row r="1299" hidden="1" spans="1:27">
      <c r="A1299">
        <v>3</v>
      </c>
      <c r="B1299">
        <v>10</v>
      </c>
      <c r="C1299" s="3">
        <v>46087</v>
      </c>
      <c r="D1299" t="s">
        <v>27</v>
      </c>
      <c r="E1299" t="s">
        <v>1416</v>
      </c>
      <c r="F1299" t="s">
        <v>250</v>
      </c>
      <c r="G1299" t="s">
        <v>72</v>
      </c>
      <c r="H1299" t="s">
        <v>54</v>
      </c>
      <c r="I1299" t="s">
        <v>92</v>
      </c>
      <c r="J1299" t="s">
        <v>92</v>
      </c>
      <c r="K1299" t="s">
        <v>64</v>
      </c>
      <c r="L1299" t="s">
        <v>65</v>
      </c>
      <c r="M1299" t="s">
        <v>93</v>
      </c>
      <c r="N1299">
        <v>48.35</v>
      </c>
      <c r="O1299">
        <v>11.2</v>
      </c>
      <c r="P1299">
        <v>253</v>
      </c>
      <c r="Q1299">
        <v>264.2</v>
      </c>
      <c r="R1299">
        <v>0</v>
      </c>
      <c r="S1299">
        <v>264.2</v>
      </c>
      <c r="T1299">
        <v>273</v>
      </c>
      <c r="U1299">
        <f>SUMIF(货件明细!J:J,E1299,货件明细!AP:AP)</f>
        <v>0</v>
      </c>
      <c r="V1299">
        <f>IF(U1299=T1299,0,1)</f>
        <v>1</v>
      </c>
      <c r="W1299">
        <f>T1299</f>
        <v>273</v>
      </c>
      <c r="X1299">
        <f>SUMIF(货件明细!J:J,E1299,货件明细!H:H)</f>
        <v>0</v>
      </c>
      <c r="Y1299">
        <f>N1299-X1299</f>
        <v>48.35</v>
      </c>
      <c r="Z1299">
        <f>SUMIF(货件明细!J:J,E1299,货件明细!I:I)</f>
        <v>0</v>
      </c>
      <c r="AA1299">
        <f>IF(S1299=Z1299,0,1)</f>
        <v>1</v>
      </c>
    </row>
    <row r="1300" hidden="1" spans="1:27">
      <c r="A1300">
        <v>3</v>
      </c>
      <c r="B1300">
        <v>10</v>
      </c>
      <c r="C1300" s="3">
        <v>46087</v>
      </c>
      <c r="D1300" t="s">
        <v>27</v>
      </c>
      <c r="E1300" t="s">
        <v>1417</v>
      </c>
      <c r="F1300" t="s">
        <v>187</v>
      </c>
      <c r="G1300" t="s">
        <v>72</v>
      </c>
      <c r="H1300" t="s">
        <v>54</v>
      </c>
      <c r="I1300" t="s">
        <v>92</v>
      </c>
      <c r="J1300" t="s">
        <v>92</v>
      </c>
      <c r="K1300" t="s">
        <v>64</v>
      </c>
      <c r="L1300" t="s">
        <v>65</v>
      </c>
      <c r="M1300" t="s">
        <v>93</v>
      </c>
      <c r="N1300">
        <v>48.35</v>
      </c>
      <c r="O1300">
        <v>11.2</v>
      </c>
      <c r="P1300">
        <v>231.15</v>
      </c>
      <c r="Q1300">
        <v>242.35</v>
      </c>
      <c r="R1300">
        <v>0</v>
      </c>
      <c r="S1300">
        <v>242.35</v>
      </c>
      <c r="T1300">
        <v>273</v>
      </c>
      <c r="U1300">
        <f>SUMIF(货件明细!J:J,E1300,货件明细!AP:AP)</f>
        <v>0</v>
      </c>
      <c r="V1300">
        <f>IF(U1300=T1300,0,1)</f>
        <v>1</v>
      </c>
      <c r="W1300">
        <f>T1300</f>
        <v>273</v>
      </c>
      <c r="X1300">
        <f>SUMIF(货件明细!J:J,E1300,货件明细!H:H)</f>
        <v>0</v>
      </c>
      <c r="Y1300">
        <f>N1300-X1300</f>
        <v>48.35</v>
      </c>
      <c r="Z1300">
        <f>SUMIF(货件明细!J:J,E1300,货件明细!I:I)</f>
        <v>0</v>
      </c>
      <c r="AA1300">
        <f>IF(S1300=Z1300,0,1)</f>
        <v>1</v>
      </c>
    </row>
    <row r="1301" hidden="1" spans="1:27">
      <c r="A1301">
        <v>3</v>
      </c>
      <c r="B1301">
        <v>10</v>
      </c>
      <c r="C1301" s="3">
        <v>46087</v>
      </c>
      <c r="D1301" t="s">
        <v>27</v>
      </c>
      <c r="E1301" t="s">
        <v>1418</v>
      </c>
      <c r="F1301" t="s">
        <v>200</v>
      </c>
      <c r="G1301" t="s">
        <v>30</v>
      </c>
      <c r="H1301" t="s">
        <v>54</v>
      </c>
      <c r="I1301" t="s">
        <v>92</v>
      </c>
      <c r="J1301" t="s">
        <v>92</v>
      </c>
      <c r="K1301" t="s">
        <v>64</v>
      </c>
      <c r="L1301" t="s">
        <v>65</v>
      </c>
      <c r="M1301" t="s">
        <v>93</v>
      </c>
      <c r="N1301">
        <v>48.35</v>
      </c>
      <c r="O1301">
        <v>11.2</v>
      </c>
      <c r="P1301">
        <v>362.25</v>
      </c>
      <c r="Q1301">
        <v>373.45</v>
      </c>
      <c r="R1301">
        <v>0</v>
      </c>
      <c r="S1301">
        <v>373.45</v>
      </c>
      <c r="T1301">
        <v>273</v>
      </c>
      <c r="U1301">
        <f>SUMIF(货件明细!J:J,E1301,货件明细!AP:AP)</f>
        <v>0</v>
      </c>
      <c r="V1301">
        <f>IF(U1301=T1301,0,1)</f>
        <v>1</v>
      </c>
      <c r="W1301">
        <f>T1301</f>
        <v>273</v>
      </c>
      <c r="X1301">
        <f>SUMIF(货件明细!J:J,E1301,货件明细!H:H)</f>
        <v>0</v>
      </c>
      <c r="Y1301">
        <f>N1301-X1301</f>
        <v>48.35</v>
      </c>
      <c r="Z1301">
        <f>SUMIF(货件明细!J:J,E1301,货件明细!I:I)</f>
        <v>0</v>
      </c>
      <c r="AA1301">
        <f>IF(S1301=Z1301,0,1)</f>
        <v>1</v>
      </c>
    </row>
    <row r="1302" hidden="1" spans="1:27">
      <c r="A1302">
        <v>3</v>
      </c>
      <c r="B1302">
        <v>10</v>
      </c>
      <c r="C1302" s="3">
        <v>46087</v>
      </c>
      <c r="D1302" t="s">
        <v>27</v>
      </c>
      <c r="E1302" t="s">
        <v>1419</v>
      </c>
      <c r="F1302" t="s">
        <v>185</v>
      </c>
      <c r="G1302" t="s">
        <v>30</v>
      </c>
      <c r="H1302" t="s">
        <v>224</v>
      </c>
      <c r="I1302" t="s">
        <v>92</v>
      </c>
      <c r="J1302" t="s">
        <v>92</v>
      </c>
      <c r="K1302" t="s">
        <v>64</v>
      </c>
      <c r="L1302" t="s">
        <v>65</v>
      </c>
      <c r="M1302" t="s">
        <v>93</v>
      </c>
      <c r="N1302">
        <v>10.65</v>
      </c>
      <c r="O1302">
        <v>8.75</v>
      </c>
      <c r="P1302">
        <v>82.25</v>
      </c>
      <c r="Q1302">
        <v>91</v>
      </c>
      <c r="R1302">
        <v>0</v>
      </c>
      <c r="S1302">
        <v>91</v>
      </c>
      <c r="T1302">
        <v>90</v>
      </c>
      <c r="U1302">
        <f>SUMIF(货件明细!J:J,E1302,货件明细!AP:AP)</f>
        <v>0</v>
      </c>
      <c r="V1302">
        <f>IF(U1302=T1302,0,1)</f>
        <v>1</v>
      </c>
      <c r="W1302">
        <f>T1302</f>
        <v>90</v>
      </c>
      <c r="X1302">
        <f>SUMIF(货件明细!J:J,E1302,货件明细!H:H)</f>
        <v>0</v>
      </c>
      <c r="Y1302">
        <f>N1302-X1302</f>
        <v>10.65</v>
      </c>
      <c r="Z1302">
        <f>SUMIF(货件明细!J:J,E1302,货件明细!I:I)</f>
        <v>0</v>
      </c>
      <c r="AA1302">
        <f>IF(S1302=Z1302,0,1)</f>
        <v>1</v>
      </c>
    </row>
    <row r="1303" hidden="1" spans="1:27">
      <c r="A1303">
        <v>3</v>
      </c>
      <c r="B1303">
        <v>10</v>
      </c>
      <c r="C1303" s="3">
        <v>46087</v>
      </c>
      <c r="D1303" t="s">
        <v>27</v>
      </c>
      <c r="E1303" t="s">
        <v>1420</v>
      </c>
      <c r="F1303" t="s">
        <v>243</v>
      </c>
      <c r="G1303" t="s">
        <v>72</v>
      </c>
      <c r="H1303" t="s">
        <v>224</v>
      </c>
      <c r="I1303" t="s">
        <v>92</v>
      </c>
      <c r="J1303" t="s">
        <v>92</v>
      </c>
      <c r="K1303" t="s">
        <v>64</v>
      </c>
      <c r="L1303" t="s">
        <v>65</v>
      </c>
      <c r="M1303" t="s">
        <v>93</v>
      </c>
      <c r="N1303">
        <v>10.65</v>
      </c>
      <c r="O1303">
        <v>8.75</v>
      </c>
      <c r="P1303">
        <v>55</v>
      </c>
      <c r="Q1303">
        <v>63.75</v>
      </c>
      <c r="R1303">
        <v>0</v>
      </c>
      <c r="S1303">
        <v>63.75</v>
      </c>
      <c r="T1303">
        <v>90</v>
      </c>
      <c r="U1303">
        <f>SUMIF(货件明细!J:J,E1303,货件明细!AP:AP)</f>
        <v>0</v>
      </c>
      <c r="V1303">
        <f>IF(U1303=T1303,0,1)</f>
        <v>1</v>
      </c>
      <c r="W1303">
        <f>T1303</f>
        <v>90</v>
      </c>
      <c r="X1303">
        <f>SUMIF(货件明细!J:J,E1303,货件明细!H:H)</f>
        <v>0</v>
      </c>
      <c r="Y1303">
        <f>N1303-X1303</f>
        <v>10.65</v>
      </c>
      <c r="Z1303">
        <f>SUMIF(货件明细!J:J,E1303,货件明细!I:I)</f>
        <v>0</v>
      </c>
      <c r="AA1303">
        <f>IF(S1303=Z1303,0,1)</f>
        <v>1</v>
      </c>
    </row>
    <row r="1304" hidden="1" spans="1:27">
      <c r="A1304">
        <v>3</v>
      </c>
      <c r="B1304">
        <v>10</v>
      </c>
      <c r="C1304" s="3">
        <v>46087</v>
      </c>
      <c r="D1304" t="s">
        <v>27</v>
      </c>
      <c r="E1304" t="s">
        <v>1421</v>
      </c>
      <c r="F1304" t="s">
        <v>250</v>
      </c>
      <c r="G1304" t="s">
        <v>72</v>
      </c>
      <c r="H1304" t="s">
        <v>224</v>
      </c>
      <c r="I1304" t="s">
        <v>92</v>
      </c>
      <c r="J1304" t="s">
        <v>92</v>
      </c>
      <c r="K1304" t="s">
        <v>64</v>
      </c>
      <c r="L1304" t="s">
        <v>65</v>
      </c>
      <c r="M1304" t="s">
        <v>93</v>
      </c>
      <c r="N1304">
        <v>10.65</v>
      </c>
      <c r="O1304">
        <v>8.75</v>
      </c>
      <c r="P1304">
        <v>69.3</v>
      </c>
      <c r="Q1304">
        <v>78.05</v>
      </c>
      <c r="R1304">
        <v>0</v>
      </c>
      <c r="S1304">
        <v>78.05</v>
      </c>
      <c r="T1304">
        <v>90</v>
      </c>
      <c r="U1304">
        <f>SUMIF(货件明细!J:J,E1304,货件明细!AP:AP)</f>
        <v>0</v>
      </c>
      <c r="V1304">
        <f>IF(U1304=T1304,0,1)</f>
        <v>1</v>
      </c>
      <c r="W1304">
        <f>T1304</f>
        <v>90</v>
      </c>
      <c r="X1304">
        <f>SUMIF(货件明细!J:J,E1304,货件明细!H:H)</f>
        <v>0</v>
      </c>
      <c r="Y1304">
        <f>N1304-X1304</f>
        <v>10.65</v>
      </c>
      <c r="Z1304">
        <f>SUMIF(货件明细!J:J,E1304,货件明细!I:I)</f>
        <v>0</v>
      </c>
      <c r="AA1304">
        <f>IF(S1304=Z1304,0,1)</f>
        <v>1</v>
      </c>
    </row>
    <row r="1305" hidden="1" spans="1:27">
      <c r="A1305">
        <v>3</v>
      </c>
      <c r="B1305">
        <v>10</v>
      </c>
      <c r="C1305" s="3">
        <v>46087</v>
      </c>
      <c r="D1305" t="s">
        <v>27</v>
      </c>
      <c r="E1305" t="s">
        <v>1422</v>
      </c>
      <c r="F1305" t="s">
        <v>187</v>
      </c>
      <c r="G1305" t="s">
        <v>72</v>
      </c>
      <c r="H1305" t="s">
        <v>224</v>
      </c>
      <c r="I1305" t="s">
        <v>92</v>
      </c>
      <c r="J1305" t="s">
        <v>92</v>
      </c>
      <c r="K1305" t="s">
        <v>64</v>
      </c>
      <c r="L1305" t="s">
        <v>65</v>
      </c>
      <c r="M1305" t="s">
        <v>93</v>
      </c>
      <c r="N1305">
        <v>10.65</v>
      </c>
      <c r="O1305">
        <v>8.75</v>
      </c>
      <c r="P1305">
        <v>50.25</v>
      </c>
      <c r="Q1305">
        <v>59</v>
      </c>
      <c r="R1305">
        <v>0</v>
      </c>
      <c r="S1305">
        <v>59</v>
      </c>
      <c r="T1305">
        <v>90</v>
      </c>
      <c r="U1305">
        <f>SUMIF(货件明细!J:J,E1305,货件明细!AP:AP)</f>
        <v>0</v>
      </c>
      <c r="V1305">
        <f>IF(U1305=T1305,0,1)</f>
        <v>1</v>
      </c>
      <c r="W1305">
        <f>T1305</f>
        <v>90</v>
      </c>
      <c r="X1305">
        <f>SUMIF(货件明细!J:J,E1305,货件明细!H:H)</f>
        <v>0</v>
      </c>
      <c r="Y1305">
        <f>N1305-X1305</f>
        <v>10.65</v>
      </c>
      <c r="Z1305">
        <f>SUMIF(货件明细!J:J,E1305,货件明细!I:I)</f>
        <v>0</v>
      </c>
      <c r="AA1305">
        <f>IF(S1305=Z1305,0,1)</f>
        <v>1</v>
      </c>
    </row>
    <row r="1306" hidden="1" spans="1:27">
      <c r="A1306">
        <v>3</v>
      </c>
      <c r="B1306">
        <v>10</v>
      </c>
      <c r="C1306" s="3">
        <v>46087</v>
      </c>
      <c r="D1306" t="s">
        <v>27</v>
      </c>
      <c r="E1306" t="s">
        <v>1423</v>
      </c>
      <c r="F1306" t="s">
        <v>200</v>
      </c>
      <c r="G1306" t="s">
        <v>30</v>
      </c>
      <c r="H1306" t="s">
        <v>224</v>
      </c>
      <c r="I1306" t="s">
        <v>92</v>
      </c>
      <c r="J1306" t="s">
        <v>92</v>
      </c>
      <c r="K1306" t="s">
        <v>64</v>
      </c>
      <c r="L1306" t="s">
        <v>65</v>
      </c>
      <c r="M1306" t="s">
        <v>93</v>
      </c>
      <c r="N1306">
        <v>10.65</v>
      </c>
      <c r="O1306">
        <v>8.75</v>
      </c>
      <c r="P1306">
        <v>102.375</v>
      </c>
      <c r="Q1306">
        <v>111.125</v>
      </c>
      <c r="R1306">
        <v>0</v>
      </c>
      <c r="S1306">
        <v>111.125</v>
      </c>
      <c r="T1306">
        <v>90</v>
      </c>
      <c r="U1306">
        <f>SUMIF(货件明细!J:J,E1306,货件明细!AP:AP)</f>
        <v>0</v>
      </c>
      <c r="V1306">
        <f>IF(U1306=T1306,0,1)</f>
        <v>1</v>
      </c>
      <c r="W1306">
        <f>T1306</f>
        <v>90</v>
      </c>
      <c r="X1306">
        <f>SUMIF(货件明细!J:J,E1306,货件明细!H:H)</f>
        <v>0</v>
      </c>
      <c r="Y1306">
        <f>N1306-X1306</f>
        <v>10.65</v>
      </c>
      <c r="Z1306">
        <f>SUMIF(货件明细!J:J,E1306,货件明细!I:I)</f>
        <v>0</v>
      </c>
      <c r="AA1306">
        <f>IF(S1306=Z1306,0,1)</f>
        <v>1</v>
      </c>
    </row>
    <row r="1307" hidden="1" spans="1:27">
      <c r="A1307">
        <v>3</v>
      </c>
      <c r="B1307">
        <v>10</v>
      </c>
      <c r="C1307" s="3">
        <v>46087</v>
      </c>
      <c r="D1307" t="s">
        <v>27</v>
      </c>
      <c r="E1307" t="s">
        <v>1424</v>
      </c>
      <c r="F1307" t="s">
        <v>203</v>
      </c>
      <c r="G1307" t="s">
        <v>72</v>
      </c>
      <c r="H1307" t="s">
        <v>59</v>
      </c>
      <c r="I1307" t="s">
        <v>92</v>
      </c>
      <c r="J1307" t="s">
        <v>92</v>
      </c>
      <c r="K1307" t="s">
        <v>64</v>
      </c>
      <c r="L1307" t="s">
        <v>65</v>
      </c>
      <c r="M1307" t="s">
        <v>93</v>
      </c>
      <c r="N1307">
        <v>35.8</v>
      </c>
      <c r="O1307">
        <v>8.75</v>
      </c>
      <c r="P1307">
        <v>115.575</v>
      </c>
      <c r="Q1307">
        <v>124.325</v>
      </c>
      <c r="R1307">
        <v>604.65</v>
      </c>
      <c r="S1307">
        <v>728.975</v>
      </c>
      <c r="T1307">
        <v>290</v>
      </c>
      <c r="U1307">
        <f>SUMIF(货件明细!J:J,E1307,货件明细!AP:AP)</f>
        <v>0</v>
      </c>
      <c r="V1307">
        <f>IF(U1307=T1307,0,1)</f>
        <v>1</v>
      </c>
      <c r="W1307">
        <f>T1307</f>
        <v>290</v>
      </c>
      <c r="X1307">
        <f>SUMIF(货件明细!J:J,E1307,货件明细!H:H)</f>
        <v>0</v>
      </c>
      <c r="Y1307">
        <f>N1307-X1307</f>
        <v>35.8</v>
      </c>
      <c r="Z1307">
        <f>SUMIF(货件明细!J:J,E1307,货件明细!I:I)</f>
        <v>0</v>
      </c>
      <c r="AA1307">
        <f>IF(S1307=Z1307,0,1)</f>
        <v>1</v>
      </c>
    </row>
    <row r="1308" hidden="1" spans="1:27">
      <c r="A1308">
        <v>3</v>
      </c>
      <c r="B1308">
        <v>10</v>
      </c>
      <c r="C1308" s="3">
        <v>46087</v>
      </c>
      <c r="D1308" t="s">
        <v>27</v>
      </c>
      <c r="E1308" t="s">
        <v>1425</v>
      </c>
      <c r="F1308" t="s">
        <v>185</v>
      </c>
      <c r="G1308" t="s">
        <v>30</v>
      </c>
      <c r="H1308" t="s">
        <v>46</v>
      </c>
      <c r="I1308" t="s">
        <v>92</v>
      </c>
      <c r="J1308" t="s">
        <v>92</v>
      </c>
      <c r="K1308" t="s">
        <v>64</v>
      </c>
      <c r="L1308" t="s">
        <v>65</v>
      </c>
      <c r="M1308" t="s">
        <v>93</v>
      </c>
      <c r="N1308">
        <v>10.9</v>
      </c>
      <c r="O1308">
        <v>8.75</v>
      </c>
      <c r="P1308">
        <v>82.25</v>
      </c>
      <c r="Q1308">
        <v>91</v>
      </c>
      <c r="R1308">
        <v>0</v>
      </c>
      <c r="S1308">
        <v>91</v>
      </c>
      <c r="T1308">
        <v>40</v>
      </c>
      <c r="U1308">
        <f>SUMIF(货件明细!J:J,E1308,货件明细!AP:AP)</f>
        <v>0</v>
      </c>
      <c r="V1308">
        <f>IF(U1308=T1308,0,1)</f>
        <v>1</v>
      </c>
      <c r="W1308">
        <f>T1308</f>
        <v>40</v>
      </c>
      <c r="X1308">
        <f>SUMIF(货件明细!J:J,E1308,货件明细!H:H)</f>
        <v>0</v>
      </c>
      <c r="Y1308">
        <f>N1308-X1308</f>
        <v>10.9</v>
      </c>
      <c r="Z1308">
        <f>SUMIF(货件明细!J:J,E1308,货件明细!I:I)</f>
        <v>0</v>
      </c>
      <c r="AA1308">
        <f>IF(S1308=Z1308,0,1)</f>
        <v>1</v>
      </c>
    </row>
    <row r="1309" hidden="1" spans="1:27">
      <c r="A1309">
        <v>3</v>
      </c>
      <c r="B1309">
        <v>10</v>
      </c>
      <c r="C1309" s="3">
        <v>46087</v>
      </c>
      <c r="D1309" t="s">
        <v>27</v>
      </c>
      <c r="E1309" t="s">
        <v>1426</v>
      </c>
      <c r="F1309" t="s">
        <v>141</v>
      </c>
      <c r="G1309" t="s">
        <v>69</v>
      </c>
      <c r="H1309" t="s">
        <v>46</v>
      </c>
      <c r="I1309" t="s">
        <v>92</v>
      </c>
      <c r="J1309" t="s">
        <v>92</v>
      </c>
      <c r="K1309" t="s">
        <v>64</v>
      </c>
      <c r="L1309" t="s">
        <v>65</v>
      </c>
      <c r="M1309" t="s">
        <v>93</v>
      </c>
      <c r="N1309">
        <v>10.9</v>
      </c>
      <c r="O1309">
        <v>8.75</v>
      </c>
      <c r="P1309">
        <v>91.09375</v>
      </c>
      <c r="Q1309">
        <v>99.84375</v>
      </c>
      <c r="R1309">
        <v>0</v>
      </c>
      <c r="S1309">
        <v>99.84375</v>
      </c>
      <c r="T1309">
        <v>40</v>
      </c>
      <c r="U1309">
        <f>SUMIF(货件明细!J:J,E1309,货件明细!AP:AP)</f>
        <v>0</v>
      </c>
      <c r="V1309">
        <f>IF(U1309=T1309,0,1)</f>
        <v>1</v>
      </c>
      <c r="W1309">
        <f>T1309</f>
        <v>40</v>
      </c>
      <c r="X1309">
        <f>SUMIF(货件明细!J:J,E1309,货件明细!H:H)</f>
        <v>0</v>
      </c>
      <c r="Y1309">
        <f>N1309-X1309</f>
        <v>10.9</v>
      </c>
      <c r="Z1309">
        <f>SUMIF(货件明细!J:J,E1309,货件明细!I:I)</f>
        <v>0</v>
      </c>
      <c r="AA1309">
        <f>IF(S1309=Z1309,0,1)</f>
        <v>1</v>
      </c>
    </row>
    <row r="1310" hidden="1" spans="1:27">
      <c r="A1310">
        <v>3</v>
      </c>
      <c r="B1310">
        <v>10</v>
      </c>
      <c r="C1310" s="3">
        <v>46087</v>
      </c>
      <c r="D1310" t="s">
        <v>27</v>
      </c>
      <c r="E1310" t="s">
        <v>1427</v>
      </c>
      <c r="F1310" t="s">
        <v>250</v>
      </c>
      <c r="G1310" t="s">
        <v>72</v>
      </c>
      <c r="H1310" t="s">
        <v>46</v>
      </c>
      <c r="I1310" t="s">
        <v>92</v>
      </c>
      <c r="J1310" t="s">
        <v>92</v>
      </c>
      <c r="K1310" t="s">
        <v>64</v>
      </c>
      <c r="L1310" t="s">
        <v>65</v>
      </c>
      <c r="M1310" t="s">
        <v>93</v>
      </c>
      <c r="N1310">
        <v>10.9</v>
      </c>
      <c r="O1310">
        <v>8.75</v>
      </c>
      <c r="P1310">
        <v>69.3</v>
      </c>
      <c r="Q1310">
        <v>78.05</v>
      </c>
      <c r="R1310">
        <v>0</v>
      </c>
      <c r="S1310">
        <v>78.05</v>
      </c>
      <c r="T1310">
        <v>40</v>
      </c>
      <c r="U1310">
        <f>SUMIF(货件明细!J:J,E1310,货件明细!AP:AP)</f>
        <v>0</v>
      </c>
      <c r="V1310">
        <f>IF(U1310=T1310,0,1)</f>
        <v>1</v>
      </c>
      <c r="W1310">
        <f>T1310</f>
        <v>40</v>
      </c>
      <c r="X1310">
        <f>SUMIF(货件明细!J:J,E1310,货件明细!H:H)</f>
        <v>0</v>
      </c>
      <c r="Y1310">
        <f>N1310-X1310</f>
        <v>10.9</v>
      </c>
      <c r="Z1310">
        <f>SUMIF(货件明细!J:J,E1310,货件明细!I:I)</f>
        <v>0</v>
      </c>
      <c r="AA1310">
        <f>IF(S1310=Z1310,0,1)</f>
        <v>1</v>
      </c>
    </row>
    <row r="1311" hidden="1" spans="1:27">
      <c r="A1311">
        <v>3</v>
      </c>
      <c r="B1311">
        <v>10</v>
      </c>
      <c r="C1311" s="3">
        <v>46087</v>
      </c>
      <c r="D1311" t="s">
        <v>27</v>
      </c>
      <c r="E1311" t="s">
        <v>1428</v>
      </c>
      <c r="F1311" t="s">
        <v>187</v>
      </c>
      <c r="G1311" t="s">
        <v>72</v>
      </c>
      <c r="H1311" t="s">
        <v>46</v>
      </c>
      <c r="I1311" t="s">
        <v>92</v>
      </c>
      <c r="J1311" t="s">
        <v>92</v>
      </c>
      <c r="K1311" t="s">
        <v>64</v>
      </c>
      <c r="L1311" t="s">
        <v>65</v>
      </c>
      <c r="M1311" t="s">
        <v>93</v>
      </c>
      <c r="N1311">
        <v>10.9</v>
      </c>
      <c r="O1311">
        <v>8.75</v>
      </c>
      <c r="P1311">
        <v>50.25</v>
      </c>
      <c r="Q1311">
        <v>59</v>
      </c>
      <c r="R1311">
        <v>0</v>
      </c>
      <c r="S1311">
        <v>59</v>
      </c>
      <c r="T1311">
        <v>40</v>
      </c>
      <c r="U1311">
        <f>SUMIF(货件明细!J:J,E1311,货件明细!AP:AP)</f>
        <v>0</v>
      </c>
      <c r="V1311">
        <f>IF(U1311=T1311,0,1)</f>
        <v>1</v>
      </c>
      <c r="W1311">
        <f>T1311</f>
        <v>40</v>
      </c>
      <c r="X1311">
        <f>SUMIF(货件明细!J:J,E1311,货件明细!H:H)</f>
        <v>0</v>
      </c>
      <c r="Y1311">
        <f>N1311-X1311</f>
        <v>10.9</v>
      </c>
      <c r="Z1311">
        <f>SUMIF(货件明细!J:J,E1311,货件明细!I:I)</f>
        <v>0</v>
      </c>
      <c r="AA1311">
        <f>IF(S1311=Z1311,0,1)</f>
        <v>1</v>
      </c>
    </row>
    <row r="1312" hidden="1" spans="1:27">
      <c r="A1312">
        <v>3</v>
      </c>
      <c r="B1312">
        <v>10</v>
      </c>
      <c r="C1312" s="3">
        <v>46087</v>
      </c>
      <c r="D1312" t="s">
        <v>27</v>
      </c>
      <c r="E1312" t="s">
        <v>1429</v>
      </c>
      <c r="F1312" t="s">
        <v>200</v>
      </c>
      <c r="G1312" t="s">
        <v>30</v>
      </c>
      <c r="H1312" t="s">
        <v>46</v>
      </c>
      <c r="I1312" t="s">
        <v>92</v>
      </c>
      <c r="J1312" t="s">
        <v>92</v>
      </c>
      <c r="K1312" t="s">
        <v>64</v>
      </c>
      <c r="L1312" t="s">
        <v>65</v>
      </c>
      <c r="M1312" t="s">
        <v>93</v>
      </c>
      <c r="N1312">
        <v>10.9</v>
      </c>
      <c r="O1312">
        <v>8.75</v>
      </c>
      <c r="P1312">
        <v>102.375</v>
      </c>
      <c r="Q1312">
        <v>111.125</v>
      </c>
      <c r="R1312">
        <v>0</v>
      </c>
      <c r="S1312">
        <v>111.125</v>
      </c>
      <c r="T1312">
        <v>40</v>
      </c>
      <c r="U1312">
        <f>SUMIF(货件明细!J:J,E1312,货件明细!AP:AP)</f>
        <v>0</v>
      </c>
      <c r="V1312">
        <f>IF(U1312=T1312,0,1)</f>
        <v>1</v>
      </c>
      <c r="W1312">
        <f>T1312</f>
        <v>40</v>
      </c>
      <c r="X1312">
        <f>SUMIF(货件明细!J:J,E1312,货件明细!H:H)</f>
        <v>0</v>
      </c>
      <c r="Y1312">
        <f>N1312-X1312</f>
        <v>10.9</v>
      </c>
      <c r="Z1312">
        <f>SUMIF(货件明细!J:J,E1312,货件明细!I:I)</f>
        <v>0</v>
      </c>
      <c r="AA1312">
        <f>IF(S1312=Z1312,0,1)</f>
        <v>1</v>
      </c>
    </row>
    <row r="1313" hidden="1" spans="1:27">
      <c r="A1313">
        <v>3</v>
      </c>
      <c r="B1313">
        <v>10</v>
      </c>
      <c r="C1313" s="3">
        <v>46087</v>
      </c>
      <c r="D1313" t="s">
        <v>27</v>
      </c>
      <c r="E1313" t="s">
        <v>1430</v>
      </c>
      <c r="F1313" t="s">
        <v>185</v>
      </c>
      <c r="G1313" t="s">
        <v>30</v>
      </c>
      <c r="H1313" t="s">
        <v>37</v>
      </c>
      <c r="I1313" t="s">
        <v>92</v>
      </c>
      <c r="J1313" t="s">
        <v>92</v>
      </c>
      <c r="K1313" t="s">
        <v>64</v>
      </c>
      <c r="L1313" t="s">
        <v>65</v>
      </c>
      <c r="M1313" t="s">
        <v>93</v>
      </c>
      <c r="N1313">
        <v>30.9</v>
      </c>
      <c r="O1313">
        <v>8.75</v>
      </c>
      <c r="P1313">
        <v>164.5</v>
      </c>
      <c r="Q1313">
        <v>173.25</v>
      </c>
      <c r="R1313">
        <v>0</v>
      </c>
      <c r="S1313">
        <v>173.25</v>
      </c>
      <c r="T1313">
        <v>262</v>
      </c>
      <c r="U1313">
        <f>SUMIF(货件明细!J:J,E1313,货件明细!AP:AP)</f>
        <v>0</v>
      </c>
      <c r="V1313">
        <f>IF(U1313=T1313,0,1)</f>
        <v>1</v>
      </c>
      <c r="W1313">
        <f>T1313</f>
        <v>262</v>
      </c>
      <c r="X1313">
        <f>SUMIF(货件明细!J:J,E1313,货件明细!H:H)</f>
        <v>0</v>
      </c>
      <c r="Y1313">
        <f>N1313-X1313</f>
        <v>30.9</v>
      </c>
      <c r="Z1313">
        <f>SUMIF(货件明细!J:J,E1313,货件明细!I:I)</f>
        <v>0</v>
      </c>
      <c r="AA1313">
        <f>IF(S1313=Z1313,0,1)</f>
        <v>1</v>
      </c>
    </row>
    <row r="1314" hidden="1" spans="1:27">
      <c r="A1314">
        <v>3</v>
      </c>
      <c r="B1314">
        <v>10</v>
      </c>
      <c r="C1314" s="3">
        <v>46087</v>
      </c>
      <c r="D1314" t="s">
        <v>27</v>
      </c>
      <c r="E1314" t="s">
        <v>1431</v>
      </c>
      <c r="F1314" t="s">
        <v>141</v>
      </c>
      <c r="G1314" t="s">
        <v>69</v>
      </c>
      <c r="H1314" t="s">
        <v>37</v>
      </c>
      <c r="I1314" t="s">
        <v>92</v>
      </c>
      <c r="J1314" t="s">
        <v>92</v>
      </c>
      <c r="K1314" t="s">
        <v>64</v>
      </c>
      <c r="L1314" t="s">
        <v>65</v>
      </c>
      <c r="M1314" t="s">
        <v>93</v>
      </c>
      <c r="N1314">
        <v>30.9</v>
      </c>
      <c r="O1314">
        <v>8.75</v>
      </c>
      <c r="P1314">
        <v>182.1875</v>
      </c>
      <c r="Q1314">
        <v>190.9375</v>
      </c>
      <c r="R1314">
        <v>0</v>
      </c>
      <c r="S1314">
        <v>190.9375</v>
      </c>
      <c r="T1314">
        <v>262</v>
      </c>
      <c r="U1314">
        <f>SUMIF(货件明细!J:J,E1314,货件明细!AP:AP)</f>
        <v>0</v>
      </c>
      <c r="V1314">
        <f>IF(U1314=T1314,0,1)</f>
        <v>1</v>
      </c>
      <c r="W1314">
        <f>T1314</f>
        <v>262</v>
      </c>
      <c r="X1314">
        <f>SUMIF(货件明细!J:J,E1314,货件明细!H:H)</f>
        <v>0</v>
      </c>
      <c r="Y1314">
        <f>N1314-X1314</f>
        <v>30.9</v>
      </c>
      <c r="Z1314">
        <f>SUMIF(货件明细!J:J,E1314,货件明细!I:I)</f>
        <v>0</v>
      </c>
      <c r="AA1314">
        <f>IF(S1314=Z1314,0,1)</f>
        <v>1</v>
      </c>
    </row>
    <row r="1315" hidden="1" spans="1:27">
      <c r="A1315">
        <v>3</v>
      </c>
      <c r="B1315">
        <v>10</v>
      </c>
      <c r="C1315" s="3">
        <v>46087</v>
      </c>
      <c r="D1315" t="s">
        <v>27</v>
      </c>
      <c r="E1315" t="s">
        <v>1432</v>
      </c>
      <c r="F1315" t="s">
        <v>250</v>
      </c>
      <c r="G1315" t="s">
        <v>72</v>
      </c>
      <c r="H1315" t="s">
        <v>37</v>
      </c>
      <c r="I1315" t="s">
        <v>92</v>
      </c>
      <c r="J1315" t="s">
        <v>92</v>
      </c>
      <c r="K1315" t="s">
        <v>64</v>
      </c>
      <c r="L1315" t="s">
        <v>65</v>
      </c>
      <c r="M1315" t="s">
        <v>93</v>
      </c>
      <c r="N1315">
        <v>30.9</v>
      </c>
      <c r="O1315">
        <v>8.75</v>
      </c>
      <c r="P1315">
        <v>138.6</v>
      </c>
      <c r="Q1315">
        <v>147.35</v>
      </c>
      <c r="R1315">
        <v>0</v>
      </c>
      <c r="S1315">
        <v>147.35</v>
      </c>
      <c r="T1315">
        <v>262</v>
      </c>
      <c r="U1315">
        <f>SUMIF(货件明细!J:J,E1315,货件明细!AP:AP)</f>
        <v>0</v>
      </c>
      <c r="V1315">
        <f>IF(U1315=T1315,0,1)</f>
        <v>1</v>
      </c>
      <c r="W1315">
        <f>T1315</f>
        <v>262</v>
      </c>
      <c r="X1315">
        <f>SUMIF(货件明细!J:J,E1315,货件明细!H:H)</f>
        <v>0</v>
      </c>
      <c r="Y1315">
        <f>N1315-X1315</f>
        <v>30.9</v>
      </c>
      <c r="Z1315">
        <f>SUMIF(货件明细!J:J,E1315,货件明细!I:I)</f>
        <v>0</v>
      </c>
      <c r="AA1315">
        <f>IF(S1315=Z1315,0,1)</f>
        <v>1</v>
      </c>
    </row>
    <row r="1316" hidden="1" spans="1:27">
      <c r="A1316">
        <v>3</v>
      </c>
      <c r="B1316">
        <v>10</v>
      </c>
      <c r="C1316" s="3">
        <v>46087</v>
      </c>
      <c r="D1316" t="s">
        <v>27</v>
      </c>
      <c r="E1316" t="s">
        <v>1433</v>
      </c>
      <c r="F1316" t="s">
        <v>187</v>
      </c>
      <c r="G1316" t="s">
        <v>72</v>
      </c>
      <c r="H1316" t="s">
        <v>37</v>
      </c>
      <c r="I1316" t="s">
        <v>92</v>
      </c>
      <c r="J1316" t="s">
        <v>92</v>
      </c>
      <c r="K1316" t="s">
        <v>64</v>
      </c>
      <c r="L1316" t="s">
        <v>65</v>
      </c>
      <c r="M1316" t="s">
        <v>93</v>
      </c>
      <c r="N1316">
        <v>30.9</v>
      </c>
      <c r="O1316">
        <v>8.75</v>
      </c>
      <c r="P1316">
        <v>100.5</v>
      </c>
      <c r="Q1316">
        <v>109.25</v>
      </c>
      <c r="R1316">
        <v>0</v>
      </c>
      <c r="S1316">
        <v>109.25</v>
      </c>
      <c r="T1316">
        <v>262</v>
      </c>
      <c r="U1316">
        <f>SUMIF(货件明细!J:J,E1316,货件明细!AP:AP)</f>
        <v>0</v>
      </c>
      <c r="V1316">
        <f>IF(U1316=T1316,0,1)</f>
        <v>1</v>
      </c>
      <c r="W1316">
        <f>T1316</f>
        <v>262</v>
      </c>
      <c r="X1316">
        <f>SUMIF(货件明细!J:J,E1316,货件明细!H:H)</f>
        <v>0</v>
      </c>
      <c r="Y1316">
        <f>N1316-X1316</f>
        <v>30.9</v>
      </c>
      <c r="Z1316">
        <f>SUMIF(货件明细!J:J,E1316,货件明细!I:I)</f>
        <v>0</v>
      </c>
      <c r="AA1316">
        <f>IF(S1316=Z1316,0,1)</f>
        <v>1</v>
      </c>
    </row>
    <row r="1317" hidden="1" spans="1:27">
      <c r="A1317">
        <v>3</v>
      </c>
      <c r="B1317">
        <v>10</v>
      </c>
      <c r="C1317" s="3">
        <v>46087</v>
      </c>
      <c r="D1317" t="s">
        <v>27</v>
      </c>
      <c r="E1317" t="s">
        <v>1434</v>
      </c>
      <c r="F1317" t="s">
        <v>200</v>
      </c>
      <c r="G1317" t="s">
        <v>30</v>
      </c>
      <c r="H1317" t="s">
        <v>37</v>
      </c>
      <c r="I1317" t="s">
        <v>92</v>
      </c>
      <c r="J1317" t="s">
        <v>92</v>
      </c>
      <c r="K1317" t="s">
        <v>64</v>
      </c>
      <c r="L1317" t="s">
        <v>65</v>
      </c>
      <c r="M1317" t="s">
        <v>93</v>
      </c>
      <c r="N1317">
        <v>30.9</v>
      </c>
      <c r="O1317">
        <v>8.75</v>
      </c>
      <c r="P1317">
        <v>204.75</v>
      </c>
      <c r="Q1317">
        <v>213.5</v>
      </c>
      <c r="R1317">
        <v>0</v>
      </c>
      <c r="S1317">
        <v>213.5</v>
      </c>
      <c r="T1317">
        <v>262</v>
      </c>
      <c r="U1317">
        <f>SUMIF(货件明细!J:J,E1317,货件明细!AP:AP)</f>
        <v>0</v>
      </c>
      <c r="V1317">
        <f>IF(U1317=T1317,0,1)</f>
        <v>1</v>
      </c>
      <c r="W1317">
        <f>T1317</f>
        <v>262</v>
      </c>
      <c r="X1317">
        <f>SUMIF(货件明细!J:J,E1317,货件明细!H:H)</f>
        <v>0</v>
      </c>
      <c r="Y1317">
        <f>N1317-X1317</f>
        <v>30.9</v>
      </c>
      <c r="Z1317">
        <f>SUMIF(货件明细!J:J,E1317,货件明细!I:I)</f>
        <v>0</v>
      </c>
      <c r="AA1317">
        <f>IF(S1317=Z1317,0,1)</f>
        <v>1</v>
      </c>
    </row>
    <row r="1318" hidden="1" spans="1:27">
      <c r="A1318">
        <v>3</v>
      </c>
      <c r="B1318">
        <v>10</v>
      </c>
      <c r="C1318" s="3">
        <v>46087</v>
      </c>
      <c r="D1318" t="s">
        <v>27</v>
      </c>
      <c r="E1318" t="s">
        <v>1435</v>
      </c>
      <c r="F1318" t="s">
        <v>185</v>
      </c>
      <c r="G1318" t="s">
        <v>30</v>
      </c>
      <c r="H1318" t="s">
        <v>31</v>
      </c>
      <c r="I1318" t="s">
        <v>92</v>
      </c>
      <c r="J1318" t="s">
        <v>92</v>
      </c>
      <c r="K1318" t="s">
        <v>64</v>
      </c>
      <c r="L1318" t="s">
        <v>65</v>
      </c>
      <c r="M1318" t="s">
        <v>93</v>
      </c>
      <c r="N1318">
        <v>71.45</v>
      </c>
      <c r="O1318">
        <v>11.2</v>
      </c>
      <c r="P1318">
        <v>482.533333333333</v>
      </c>
      <c r="Q1318">
        <v>493.733333333333</v>
      </c>
      <c r="R1318">
        <v>0</v>
      </c>
      <c r="S1318">
        <v>493.733333333333</v>
      </c>
      <c r="T1318">
        <v>448</v>
      </c>
      <c r="U1318">
        <f>SUMIF(货件明细!J:J,E1318,货件明细!AP:AP)</f>
        <v>0</v>
      </c>
      <c r="V1318">
        <f>IF(U1318=T1318,0,1)</f>
        <v>1</v>
      </c>
      <c r="W1318">
        <f>T1318</f>
        <v>448</v>
      </c>
      <c r="X1318">
        <f>SUMIF(货件明细!J:J,E1318,货件明细!H:H)</f>
        <v>0</v>
      </c>
      <c r="Y1318">
        <f>N1318-X1318</f>
        <v>71.45</v>
      </c>
      <c r="Z1318">
        <f>SUMIF(货件明细!J:J,E1318,货件明细!I:I)</f>
        <v>0</v>
      </c>
      <c r="AA1318">
        <f>IF(S1318=Z1318,0,1)</f>
        <v>1</v>
      </c>
    </row>
    <row r="1319" hidden="1" spans="1:27">
      <c r="A1319">
        <v>3</v>
      </c>
      <c r="B1319">
        <v>10</v>
      </c>
      <c r="C1319" s="3">
        <v>46087</v>
      </c>
      <c r="D1319" t="s">
        <v>27</v>
      </c>
      <c r="E1319" t="s">
        <v>1436</v>
      </c>
      <c r="F1319" t="s">
        <v>141</v>
      </c>
      <c r="G1319" t="s">
        <v>69</v>
      </c>
      <c r="H1319" t="s">
        <v>31</v>
      </c>
      <c r="I1319" t="s">
        <v>92</v>
      </c>
      <c r="J1319" t="s">
        <v>92</v>
      </c>
      <c r="K1319" t="s">
        <v>64</v>
      </c>
      <c r="L1319" t="s">
        <v>65</v>
      </c>
      <c r="M1319" t="s">
        <v>93</v>
      </c>
      <c r="N1319">
        <v>71.45</v>
      </c>
      <c r="O1319">
        <v>11.2</v>
      </c>
      <c r="P1319">
        <v>385</v>
      </c>
      <c r="Q1319">
        <v>396.2</v>
      </c>
      <c r="R1319">
        <v>0</v>
      </c>
      <c r="S1319">
        <v>396.2</v>
      </c>
      <c r="T1319">
        <v>448</v>
      </c>
      <c r="U1319">
        <f>SUMIF(货件明细!J:J,E1319,货件明细!AP:AP)</f>
        <v>0</v>
      </c>
      <c r="V1319">
        <f>IF(U1319=T1319,0,1)</f>
        <v>1</v>
      </c>
      <c r="W1319">
        <f>T1319</f>
        <v>448</v>
      </c>
      <c r="X1319">
        <f>SUMIF(货件明细!J:J,E1319,货件明细!H:H)</f>
        <v>0</v>
      </c>
      <c r="Y1319">
        <f>N1319-X1319</f>
        <v>71.45</v>
      </c>
      <c r="Z1319">
        <f>SUMIF(货件明细!J:J,E1319,货件明细!I:I)</f>
        <v>0</v>
      </c>
      <c r="AA1319">
        <f>IF(S1319=Z1319,0,1)</f>
        <v>1</v>
      </c>
    </row>
    <row r="1320" hidden="1" spans="1:27">
      <c r="A1320">
        <v>3</v>
      </c>
      <c r="B1320">
        <v>10</v>
      </c>
      <c r="C1320" s="3">
        <v>46087</v>
      </c>
      <c r="D1320" t="s">
        <v>27</v>
      </c>
      <c r="E1320" t="s">
        <v>1437</v>
      </c>
      <c r="F1320" t="s">
        <v>250</v>
      </c>
      <c r="G1320" t="s">
        <v>72</v>
      </c>
      <c r="H1320" t="s">
        <v>31</v>
      </c>
      <c r="I1320" t="s">
        <v>92</v>
      </c>
      <c r="J1320" t="s">
        <v>92</v>
      </c>
      <c r="K1320" t="s">
        <v>64</v>
      </c>
      <c r="L1320" t="s">
        <v>65</v>
      </c>
      <c r="M1320" t="s">
        <v>93</v>
      </c>
      <c r="N1320">
        <v>71.45</v>
      </c>
      <c r="O1320">
        <v>11.2</v>
      </c>
      <c r="P1320">
        <v>308</v>
      </c>
      <c r="Q1320">
        <v>319.2</v>
      </c>
      <c r="R1320">
        <v>0</v>
      </c>
      <c r="S1320">
        <v>319.2</v>
      </c>
      <c r="T1320">
        <v>448</v>
      </c>
      <c r="U1320">
        <f>SUMIF(货件明细!J:J,E1320,货件明细!AP:AP)</f>
        <v>0</v>
      </c>
      <c r="V1320">
        <f>IF(U1320=T1320,0,1)</f>
        <v>1</v>
      </c>
      <c r="W1320">
        <f>T1320</f>
        <v>448</v>
      </c>
      <c r="X1320">
        <f>SUMIF(货件明细!J:J,E1320,货件明细!H:H)</f>
        <v>0</v>
      </c>
      <c r="Y1320">
        <f>N1320-X1320</f>
        <v>71.45</v>
      </c>
      <c r="Z1320">
        <f>SUMIF(货件明细!J:J,E1320,货件明细!I:I)</f>
        <v>0</v>
      </c>
      <c r="AA1320">
        <f>IF(S1320=Z1320,0,1)</f>
        <v>1</v>
      </c>
    </row>
    <row r="1321" hidden="1" spans="1:27">
      <c r="A1321">
        <v>3</v>
      </c>
      <c r="B1321">
        <v>10</v>
      </c>
      <c r="C1321" s="3">
        <v>46087</v>
      </c>
      <c r="D1321" t="s">
        <v>27</v>
      </c>
      <c r="E1321" t="s">
        <v>1438</v>
      </c>
      <c r="F1321" t="s">
        <v>187</v>
      </c>
      <c r="G1321" t="s">
        <v>72</v>
      </c>
      <c r="H1321" t="s">
        <v>31</v>
      </c>
      <c r="I1321" t="s">
        <v>92</v>
      </c>
      <c r="J1321" t="s">
        <v>92</v>
      </c>
      <c r="K1321" t="s">
        <v>64</v>
      </c>
      <c r="L1321" t="s">
        <v>65</v>
      </c>
      <c r="M1321" t="s">
        <v>93</v>
      </c>
      <c r="N1321">
        <v>71.45</v>
      </c>
      <c r="O1321">
        <v>11.2</v>
      </c>
      <c r="P1321">
        <v>281.4</v>
      </c>
      <c r="Q1321">
        <v>292.6</v>
      </c>
      <c r="R1321">
        <v>0</v>
      </c>
      <c r="S1321">
        <v>292.6</v>
      </c>
      <c r="T1321">
        <v>447</v>
      </c>
      <c r="U1321">
        <f>SUMIF(货件明细!J:J,E1321,货件明细!AP:AP)</f>
        <v>0</v>
      </c>
      <c r="V1321">
        <f>IF(U1321=T1321,0,1)</f>
        <v>1</v>
      </c>
      <c r="W1321">
        <f>T1321</f>
        <v>447</v>
      </c>
      <c r="X1321">
        <f>SUMIF(货件明细!J:J,E1321,货件明细!H:H)</f>
        <v>0</v>
      </c>
      <c r="Y1321">
        <f>N1321-X1321</f>
        <v>71.45</v>
      </c>
      <c r="Z1321">
        <f>SUMIF(货件明细!J:J,E1321,货件明细!I:I)</f>
        <v>0</v>
      </c>
      <c r="AA1321">
        <f>IF(S1321=Z1321,0,1)</f>
        <v>1</v>
      </c>
    </row>
    <row r="1322" hidden="1" spans="1:27">
      <c r="A1322">
        <v>3</v>
      </c>
      <c r="B1322">
        <v>10</v>
      </c>
      <c r="C1322" s="3">
        <v>46087</v>
      </c>
      <c r="D1322" t="s">
        <v>27</v>
      </c>
      <c r="E1322" t="s">
        <v>1439</v>
      </c>
      <c r="F1322" t="s">
        <v>200</v>
      </c>
      <c r="G1322" t="s">
        <v>30</v>
      </c>
      <c r="H1322" t="s">
        <v>31</v>
      </c>
      <c r="I1322" t="s">
        <v>92</v>
      </c>
      <c r="J1322" t="s">
        <v>92</v>
      </c>
      <c r="K1322" t="s">
        <v>64</v>
      </c>
      <c r="L1322" t="s">
        <v>65</v>
      </c>
      <c r="M1322" t="s">
        <v>93</v>
      </c>
      <c r="N1322">
        <v>71.45</v>
      </c>
      <c r="O1322">
        <v>11.2</v>
      </c>
      <c r="P1322">
        <v>441</v>
      </c>
      <c r="Q1322">
        <v>452.2</v>
      </c>
      <c r="R1322">
        <v>0</v>
      </c>
      <c r="S1322">
        <v>452.2</v>
      </c>
      <c r="T1322">
        <v>447</v>
      </c>
      <c r="U1322">
        <f>SUMIF(货件明细!J:J,E1322,货件明细!AP:AP)</f>
        <v>0</v>
      </c>
      <c r="V1322">
        <f>IF(U1322=T1322,0,1)</f>
        <v>1</v>
      </c>
      <c r="W1322">
        <f>T1322</f>
        <v>447</v>
      </c>
      <c r="X1322">
        <f>SUMIF(货件明细!J:J,E1322,货件明细!H:H)</f>
        <v>0</v>
      </c>
      <c r="Y1322">
        <f>N1322-X1322</f>
        <v>71.45</v>
      </c>
      <c r="Z1322">
        <f>SUMIF(货件明细!J:J,E1322,货件明细!I:I)</f>
        <v>0</v>
      </c>
      <c r="AA1322">
        <f>IF(S1322=Z1322,0,1)</f>
        <v>1</v>
      </c>
    </row>
    <row r="1323" spans="1:27">
      <c r="A1323">
        <v>3</v>
      </c>
      <c r="B1323">
        <v>11</v>
      </c>
      <c r="C1323" s="3">
        <v>46091</v>
      </c>
      <c r="D1323" t="s">
        <v>27</v>
      </c>
      <c r="E1323" t="s">
        <v>1440</v>
      </c>
      <c r="F1323" t="s">
        <v>41</v>
      </c>
      <c r="G1323" t="s">
        <v>30</v>
      </c>
      <c r="H1323" t="s">
        <v>78</v>
      </c>
      <c r="I1323" t="s">
        <v>42</v>
      </c>
      <c r="J1323" t="s">
        <v>42</v>
      </c>
      <c r="K1323" t="s">
        <v>33</v>
      </c>
      <c r="L1323" t="s">
        <v>43</v>
      </c>
      <c r="M1323" t="s">
        <v>44</v>
      </c>
      <c r="N1323">
        <v>12.85</v>
      </c>
      <c r="O1323">
        <v>66.6666666666667</v>
      </c>
      <c r="P1323">
        <v>677.666666666667</v>
      </c>
      <c r="Q1323">
        <v>744.333333333333</v>
      </c>
      <c r="R1323">
        <v>112.312</v>
      </c>
      <c r="S1323">
        <v>856.645333333333</v>
      </c>
      <c r="T1323">
        <v>100</v>
      </c>
      <c r="U1323">
        <f>SUMIF(货件明细!J:J,E1323,货件明细!AP:AP)</f>
        <v>100</v>
      </c>
      <c r="V1323">
        <f>IF(U1323=T1323,0,1)</f>
        <v>0</v>
      </c>
      <c r="W1323">
        <f>T1323</f>
        <v>100</v>
      </c>
      <c r="X1323">
        <f>SUMIF(货件明细!J:J,E1323,货件明细!H:H)</f>
        <v>12</v>
      </c>
      <c r="Y1323">
        <f>N1323-X1323</f>
        <v>0.85</v>
      </c>
      <c r="Z1323">
        <f>SUMIF(货件明细!J:J,E1323,货件明细!I:I)</f>
        <v>856.645333333333</v>
      </c>
      <c r="AA1323">
        <f>IF(S1323=Z1323,0,1)</f>
        <v>0</v>
      </c>
    </row>
    <row r="1324" spans="1:27">
      <c r="A1324">
        <v>3</v>
      </c>
      <c r="B1324">
        <v>11</v>
      </c>
      <c r="C1324" s="3">
        <v>46091</v>
      </c>
      <c r="D1324" t="s">
        <v>27</v>
      </c>
      <c r="E1324" t="s">
        <v>1441</v>
      </c>
      <c r="F1324" t="s">
        <v>41</v>
      </c>
      <c r="G1324" t="s">
        <v>30</v>
      </c>
      <c r="H1324" t="s">
        <v>59</v>
      </c>
      <c r="I1324" t="s">
        <v>42</v>
      </c>
      <c r="J1324" t="s">
        <v>42</v>
      </c>
      <c r="K1324" t="s">
        <v>33</v>
      </c>
      <c r="L1324" t="s">
        <v>43</v>
      </c>
      <c r="M1324" t="s">
        <v>44</v>
      </c>
      <c r="N1324">
        <v>17.85</v>
      </c>
      <c r="O1324">
        <v>66.6666666666667</v>
      </c>
      <c r="P1324">
        <v>912.666666666667</v>
      </c>
      <c r="Q1324">
        <v>979.333333333333</v>
      </c>
      <c r="R1324">
        <v>250.2</v>
      </c>
      <c r="S1324">
        <v>1229.53333333333</v>
      </c>
      <c r="T1324">
        <v>225</v>
      </c>
      <c r="U1324">
        <f>SUMIF(货件明细!J:J,E1324,货件明细!AP:AP)</f>
        <v>225</v>
      </c>
      <c r="V1324">
        <f>IF(U1324=T1324,0,1)</f>
        <v>0</v>
      </c>
      <c r="W1324">
        <f>T1324</f>
        <v>225</v>
      </c>
      <c r="X1324">
        <f>SUMIF(货件明细!J:J,E1324,货件明细!H:H)</f>
        <v>16.74</v>
      </c>
      <c r="Y1324">
        <f>N1324-X1324</f>
        <v>1.11</v>
      </c>
      <c r="Z1324">
        <f>SUMIF(货件明细!J:J,E1324,货件明细!I:I)</f>
        <v>1229.53333333333</v>
      </c>
      <c r="AA1324">
        <f>IF(S1324=Z1324,0,1)</f>
        <v>0</v>
      </c>
    </row>
    <row r="1325" spans="1:27">
      <c r="A1325">
        <v>3</v>
      </c>
      <c r="B1325">
        <v>11</v>
      </c>
      <c r="C1325" s="3">
        <v>46091</v>
      </c>
      <c r="D1325" t="s">
        <v>27</v>
      </c>
      <c r="E1325" t="s">
        <v>1442</v>
      </c>
      <c r="F1325" t="s">
        <v>41</v>
      </c>
      <c r="G1325" t="s">
        <v>30</v>
      </c>
      <c r="H1325" t="s">
        <v>37</v>
      </c>
      <c r="I1325" t="s">
        <v>42</v>
      </c>
      <c r="J1325" t="s">
        <v>42</v>
      </c>
      <c r="K1325" t="s">
        <v>33</v>
      </c>
      <c r="L1325" t="s">
        <v>43</v>
      </c>
      <c r="M1325" t="s">
        <v>44</v>
      </c>
      <c r="N1325">
        <v>9.8</v>
      </c>
      <c r="O1325">
        <v>66.6666666666667</v>
      </c>
      <c r="P1325">
        <v>536.666666666667</v>
      </c>
      <c r="Q1325">
        <v>603.333333333333</v>
      </c>
      <c r="R1325">
        <v>94.52</v>
      </c>
      <c r="S1325">
        <v>697.853333333333</v>
      </c>
      <c r="T1325">
        <v>85</v>
      </c>
      <c r="U1325">
        <f>SUMIF(货件明细!J:J,E1325,货件明细!AP:AP)</f>
        <v>85</v>
      </c>
      <c r="V1325">
        <f>IF(U1325=T1325,0,1)</f>
        <v>0</v>
      </c>
      <c r="W1325">
        <f>T1325</f>
        <v>85</v>
      </c>
      <c r="X1325">
        <f>SUMIF(货件明细!J:J,E1325,货件明细!H:H)</f>
        <v>9.285</v>
      </c>
      <c r="Y1325">
        <f>N1325-X1325</f>
        <v>0.515000000000001</v>
      </c>
      <c r="Z1325">
        <f>SUMIF(货件明细!J:J,E1325,货件明细!I:I)</f>
        <v>697.853333333333</v>
      </c>
      <c r="AA1325">
        <f>IF(S1325=Z1325,0,1)</f>
        <v>0</v>
      </c>
    </row>
    <row r="1326" spans="1:27">
      <c r="A1326">
        <v>3</v>
      </c>
      <c r="B1326">
        <v>11</v>
      </c>
      <c r="C1326" s="3">
        <v>46091</v>
      </c>
      <c r="D1326" t="s">
        <v>27</v>
      </c>
      <c r="E1326" t="s">
        <v>1443</v>
      </c>
      <c r="F1326" t="s">
        <v>29</v>
      </c>
      <c r="G1326" t="s">
        <v>30</v>
      </c>
      <c r="H1326" t="s">
        <v>56</v>
      </c>
      <c r="I1326" t="s">
        <v>32</v>
      </c>
      <c r="J1326" t="s">
        <v>32</v>
      </c>
      <c r="K1326" t="s">
        <v>33</v>
      </c>
      <c r="L1326" t="s">
        <v>43</v>
      </c>
      <c r="M1326" t="s">
        <v>47</v>
      </c>
      <c r="N1326">
        <v>60.7</v>
      </c>
      <c r="O1326">
        <v>116.666666666667</v>
      </c>
      <c r="P1326">
        <v>2531.5</v>
      </c>
      <c r="Q1326">
        <v>2648.16666666667</v>
      </c>
      <c r="R1326">
        <v>309.136</v>
      </c>
      <c r="S1326">
        <v>2957.30266666667</v>
      </c>
      <c r="T1326">
        <v>250</v>
      </c>
      <c r="U1326">
        <f>SUMIF(货件明细!J:J,E1326,货件明细!AP:AP)</f>
        <v>250</v>
      </c>
      <c r="V1326">
        <f>IF(U1326=T1326,0,1)</f>
        <v>0</v>
      </c>
      <c r="W1326">
        <f>T1326</f>
        <v>250</v>
      </c>
      <c r="X1326">
        <f>SUMIF(货件明细!J:J,E1326,货件明细!H:H)</f>
        <v>58.1</v>
      </c>
      <c r="Y1326">
        <f>N1326-X1326</f>
        <v>2.6</v>
      </c>
      <c r="Z1326">
        <f>SUMIF(货件明细!J:J,E1326,货件明细!I:I)</f>
        <v>2957.30266666667</v>
      </c>
      <c r="AA1326">
        <f>IF(S1326=Z1326,0,1)</f>
        <v>0</v>
      </c>
    </row>
    <row r="1327" spans="1:27">
      <c r="A1327">
        <v>3</v>
      </c>
      <c r="B1327">
        <v>11</v>
      </c>
      <c r="C1327" s="3">
        <v>46091</v>
      </c>
      <c r="D1327" t="s">
        <v>27</v>
      </c>
      <c r="E1327" t="s">
        <v>1444</v>
      </c>
      <c r="F1327" t="s">
        <v>29</v>
      </c>
      <c r="G1327" t="s">
        <v>30</v>
      </c>
      <c r="H1327" t="s">
        <v>31</v>
      </c>
      <c r="I1327" t="s">
        <v>32</v>
      </c>
      <c r="J1327" t="s">
        <v>32</v>
      </c>
      <c r="K1327" t="s">
        <v>33</v>
      </c>
      <c r="L1327" t="s">
        <v>43</v>
      </c>
      <c r="M1327" t="s">
        <v>47</v>
      </c>
      <c r="N1327">
        <v>30</v>
      </c>
      <c r="O1327">
        <v>116.666666666667</v>
      </c>
      <c r="P1327">
        <v>1245</v>
      </c>
      <c r="Q1327">
        <v>1361.66666666667</v>
      </c>
      <c r="R1327">
        <v>224.624</v>
      </c>
      <c r="S1327">
        <v>1586.29066666667</v>
      </c>
      <c r="T1327">
        <v>200</v>
      </c>
      <c r="U1327">
        <f>SUMIF(货件明细!J:J,E1327,货件明细!AP:AP)</f>
        <v>200</v>
      </c>
      <c r="V1327">
        <f>IF(U1327=T1327,0,1)</f>
        <v>0</v>
      </c>
      <c r="W1327">
        <f>T1327</f>
        <v>200</v>
      </c>
      <c r="X1327">
        <f>SUMIF(货件明细!J:J,E1327,货件明细!H:H)</f>
        <v>30.9</v>
      </c>
      <c r="Y1327">
        <f>N1327-X1327</f>
        <v>-0.899999999999999</v>
      </c>
      <c r="Z1327">
        <f>SUMIF(货件明细!J:J,E1327,货件明细!I:I)</f>
        <v>1586.29066666667</v>
      </c>
      <c r="AA1327">
        <f>IF(S1327=Z1327,0,1)</f>
        <v>0</v>
      </c>
    </row>
    <row r="1328" spans="1:27">
      <c r="A1328">
        <v>3</v>
      </c>
      <c r="B1328">
        <v>11</v>
      </c>
      <c r="C1328" s="3">
        <v>46091</v>
      </c>
      <c r="D1328" t="s">
        <v>27</v>
      </c>
      <c r="E1328" t="s">
        <v>1445</v>
      </c>
      <c r="F1328" t="s">
        <v>29</v>
      </c>
      <c r="G1328" t="s">
        <v>30</v>
      </c>
      <c r="H1328" t="s">
        <v>54</v>
      </c>
      <c r="I1328" t="s">
        <v>32</v>
      </c>
      <c r="J1328" t="s">
        <v>32</v>
      </c>
      <c r="K1328" t="s">
        <v>33</v>
      </c>
      <c r="L1328" t="s">
        <v>43</v>
      </c>
      <c r="M1328" t="s">
        <v>47</v>
      </c>
      <c r="N1328">
        <v>33.95</v>
      </c>
      <c r="O1328">
        <v>116.666666666667</v>
      </c>
      <c r="P1328">
        <v>1411</v>
      </c>
      <c r="Q1328">
        <v>1527.66666666667</v>
      </c>
      <c r="R1328">
        <v>334.712</v>
      </c>
      <c r="S1328">
        <v>1862.37866666667</v>
      </c>
      <c r="T1328">
        <v>301</v>
      </c>
      <c r="U1328">
        <f>SUMIF(货件明细!J:J,E1328,货件明细!AP:AP)</f>
        <v>301</v>
      </c>
      <c r="V1328">
        <f>IF(U1328=T1328,0,1)</f>
        <v>0</v>
      </c>
      <c r="W1328">
        <f>T1328</f>
        <v>301</v>
      </c>
      <c r="X1328">
        <f>SUMIF(货件明细!J:J,E1328,货件明细!H:H)</f>
        <v>32.557</v>
      </c>
      <c r="Y1328">
        <f>N1328-X1328</f>
        <v>1.393</v>
      </c>
      <c r="Z1328">
        <f>SUMIF(货件明细!J:J,E1328,货件明细!I:I)</f>
        <v>1862.37866666667</v>
      </c>
      <c r="AA1328">
        <f>IF(S1328=Z1328,0,1)</f>
        <v>0</v>
      </c>
    </row>
    <row r="1329" spans="1:27">
      <c r="A1329">
        <v>3</v>
      </c>
      <c r="B1329">
        <v>11</v>
      </c>
      <c r="C1329" s="3">
        <v>46092</v>
      </c>
      <c r="D1329" t="s">
        <v>27</v>
      </c>
      <c r="E1329" t="s">
        <v>1446</v>
      </c>
      <c r="F1329" t="s">
        <v>41</v>
      </c>
      <c r="G1329" t="s">
        <v>30</v>
      </c>
      <c r="H1329" t="s">
        <v>31</v>
      </c>
      <c r="I1329" t="s">
        <v>32</v>
      </c>
      <c r="J1329" t="s">
        <v>32</v>
      </c>
      <c r="K1329" t="s">
        <v>33</v>
      </c>
      <c r="L1329" t="s">
        <v>43</v>
      </c>
      <c r="M1329" t="s">
        <v>47</v>
      </c>
      <c r="N1329">
        <v>39.5</v>
      </c>
      <c r="O1329">
        <v>87.5</v>
      </c>
      <c r="P1329">
        <v>1580</v>
      </c>
      <c r="Q1329">
        <v>1667.5</v>
      </c>
      <c r="R1329">
        <v>234.91</v>
      </c>
      <c r="S1329">
        <v>1902.41</v>
      </c>
      <c r="T1329">
        <v>210</v>
      </c>
      <c r="U1329">
        <f>SUMIF(货件明细!J:J,E1329,货件明细!AP:AP)</f>
        <v>210</v>
      </c>
      <c r="V1329">
        <f>IF(U1329=T1329,0,1)</f>
        <v>0</v>
      </c>
      <c r="W1329">
        <f>T1329</f>
        <v>210</v>
      </c>
      <c r="X1329">
        <f>SUMIF(货件明细!J:J,E1329,货件明细!H:H)</f>
        <v>37.55</v>
      </c>
      <c r="Y1329">
        <f>N1329-X1329</f>
        <v>1.95</v>
      </c>
      <c r="Z1329">
        <f>SUMIF(货件明细!J:J,E1329,货件明细!I:I)</f>
        <v>1902.41</v>
      </c>
      <c r="AA1329">
        <f>IF(S1329=Z1329,0,1)</f>
        <v>0</v>
      </c>
    </row>
    <row r="1330" spans="1:27">
      <c r="A1330">
        <v>3</v>
      </c>
      <c r="B1330">
        <v>11</v>
      </c>
      <c r="C1330" s="3">
        <v>46092</v>
      </c>
      <c r="D1330" t="s">
        <v>27</v>
      </c>
      <c r="E1330" t="s">
        <v>1447</v>
      </c>
      <c r="F1330" t="s">
        <v>41</v>
      </c>
      <c r="G1330" t="s">
        <v>30</v>
      </c>
      <c r="H1330" t="s">
        <v>59</v>
      </c>
      <c r="I1330" t="s">
        <v>32</v>
      </c>
      <c r="J1330" t="s">
        <v>32</v>
      </c>
      <c r="K1330" t="s">
        <v>33</v>
      </c>
      <c r="L1330" t="s">
        <v>43</v>
      </c>
      <c r="M1330" t="s">
        <v>47</v>
      </c>
      <c r="N1330">
        <v>12.85</v>
      </c>
      <c r="O1330">
        <v>87.5</v>
      </c>
      <c r="P1330">
        <v>513.5</v>
      </c>
      <c r="Q1330">
        <v>601</v>
      </c>
      <c r="R1330">
        <v>177.92</v>
      </c>
      <c r="S1330">
        <v>778.92</v>
      </c>
      <c r="T1330">
        <v>160</v>
      </c>
      <c r="U1330">
        <f>SUMIF(货件明细!J:J,E1330,货件明细!AP:AP)</f>
        <v>160</v>
      </c>
      <c r="V1330">
        <f>IF(U1330=T1330,0,1)</f>
        <v>0</v>
      </c>
      <c r="W1330">
        <f>T1330</f>
        <v>160</v>
      </c>
      <c r="X1330">
        <f>SUMIF(货件明细!J:J,E1330,货件明细!H:H)</f>
        <v>12</v>
      </c>
      <c r="Y1330">
        <f>N1330-X1330</f>
        <v>0.85</v>
      </c>
      <c r="Z1330">
        <f>SUMIF(货件明细!J:J,E1330,货件明细!I:I)</f>
        <v>778.92</v>
      </c>
      <c r="AA1330">
        <f>IF(S1330=Z1330,0,1)</f>
        <v>0</v>
      </c>
    </row>
    <row r="1331" spans="1:27">
      <c r="A1331">
        <v>3</v>
      </c>
      <c r="B1331">
        <v>11</v>
      </c>
      <c r="C1331" s="3">
        <v>46092</v>
      </c>
      <c r="D1331" t="s">
        <v>27</v>
      </c>
      <c r="E1331" t="s">
        <v>1448</v>
      </c>
      <c r="F1331" t="s">
        <v>41</v>
      </c>
      <c r="G1331" t="s">
        <v>30</v>
      </c>
      <c r="H1331" t="s">
        <v>56</v>
      </c>
      <c r="I1331" t="s">
        <v>32</v>
      </c>
      <c r="J1331" t="s">
        <v>32</v>
      </c>
      <c r="K1331" t="s">
        <v>33</v>
      </c>
      <c r="L1331" t="s">
        <v>43</v>
      </c>
      <c r="M1331" t="s">
        <v>47</v>
      </c>
      <c r="N1331">
        <v>91.5</v>
      </c>
      <c r="O1331">
        <v>87.5</v>
      </c>
      <c r="P1331">
        <v>3594.5</v>
      </c>
      <c r="Q1331">
        <v>3682</v>
      </c>
      <c r="R1331">
        <v>474.268</v>
      </c>
      <c r="S1331">
        <v>4156.268</v>
      </c>
      <c r="T1331">
        <v>389</v>
      </c>
      <c r="U1331">
        <f>SUMIF(货件明细!J:J,E1331,货件明细!AP:AP)</f>
        <v>389</v>
      </c>
      <c r="V1331">
        <f>IF(U1331=T1331,0,1)</f>
        <v>0</v>
      </c>
      <c r="W1331">
        <f>T1331</f>
        <v>389</v>
      </c>
      <c r="X1331">
        <f>SUMIF(货件明细!J:J,E1331,货件明细!H:H)</f>
        <v>85.396</v>
      </c>
      <c r="Y1331">
        <f>N1331-X1331</f>
        <v>6.104</v>
      </c>
      <c r="Z1331">
        <f>SUMIF(货件明细!J:J,E1331,货件明细!I:I)</f>
        <v>4156.268</v>
      </c>
      <c r="AA1331">
        <f>IF(S1331=Z1331,0,1)</f>
        <v>0</v>
      </c>
    </row>
    <row r="1332" spans="1:27">
      <c r="A1332">
        <v>3</v>
      </c>
      <c r="B1332">
        <v>11</v>
      </c>
      <c r="C1332" s="3">
        <v>46092</v>
      </c>
      <c r="D1332" t="s">
        <v>27</v>
      </c>
      <c r="E1332" t="s">
        <v>1449</v>
      </c>
      <c r="F1332" t="s">
        <v>41</v>
      </c>
      <c r="G1332" t="s">
        <v>30</v>
      </c>
      <c r="H1332" t="s">
        <v>78</v>
      </c>
      <c r="I1332" t="s">
        <v>32</v>
      </c>
      <c r="J1332" t="s">
        <v>32</v>
      </c>
      <c r="K1332" t="s">
        <v>33</v>
      </c>
      <c r="L1332" t="s">
        <v>43</v>
      </c>
      <c r="M1332" t="s">
        <v>47</v>
      </c>
      <c r="N1332">
        <v>25.9</v>
      </c>
      <c r="O1332">
        <v>87.5</v>
      </c>
      <c r="P1332">
        <v>1027</v>
      </c>
      <c r="Q1332">
        <v>1114.5</v>
      </c>
      <c r="R1332">
        <v>222.4</v>
      </c>
      <c r="S1332">
        <v>1336.9</v>
      </c>
      <c r="T1332">
        <v>200</v>
      </c>
      <c r="U1332">
        <f>SUMIF(货件明细!J:J,E1332,货件明细!AP:AP)</f>
        <v>200</v>
      </c>
      <c r="V1332">
        <f>IF(U1332=T1332,0,1)</f>
        <v>0</v>
      </c>
      <c r="W1332">
        <f>T1332</f>
        <v>200</v>
      </c>
      <c r="X1332">
        <f>SUMIF(货件明细!J:J,E1332,货件明细!H:H)</f>
        <v>24</v>
      </c>
      <c r="Y1332">
        <f>N1332-X1332</f>
        <v>1.9</v>
      </c>
      <c r="Z1332">
        <f>SUMIF(货件明细!J:J,E1332,货件明细!I:I)</f>
        <v>1336.9</v>
      </c>
      <c r="AA1332">
        <f>IF(S1332=Z1332,0,1)</f>
        <v>0</v>
      </c>
    </row>
    <row r="1333" hidden="1" spans="1:27">
      <c r="A1333">
        <v>3</v>
      </c>
      <c r="B1333">
        <v>11</v>
      </c>
      <c r="C1333" s="3">
        <v>46094</v>
      </c>
      <c r="D1333" t="s">
        <v>27</v>
      </c>
      <c r="E1333" t="s">
        <v>1450</v>
      </c>
      <c r="F1333" t="s">
        <v>138</v>
      </c>
      <c r="G1333" t="s">
        <v>69</v>
      </c>
      <c r="H1333" t="s">
        <v>78</v>
      </c>
      <c r="I1333" t="s">
        <v>92</v>
      </c>
      <c r="J1333" t="s">
        <v>92</v>
      </c>
      <c r="K1333" t="s">
        <v>64</v>
      </c>
      <c r="L1333" t="s">
        <v>65</v>
      </c>
      <c r="M1333" t="s">
        <v>93</v>
      </c>
      <c r="N1333">
        <v>13.55</v>
      </c>
      <c r="O1333">
        <v>6.6</v>
      </c>
      <c r="P1333">
        <v>71</v>
      </c>
      <c r="Q1333">
        <v>77.6</v>
      </c>
      <c r="R1333">
        <v>0</v>
      </c>
      <c r="S1333">
        <v>77.6</v>
      </c>
      <c r="T1333">
        <v>94</v>
      </c>
      <c r="U1333">
        <f>SUMIF(货件明细!J:J,E1333,货件明细!AP:AP)</f>
        <v>0</v>
      </c>
      <c r="V1333">
        <f>IF(U1333=T1333,0,1)</f>
        <v>1</v>
      </c>
      <c r="W1333">
        <f>T1333</f>
        <v>94</v>
      </c>
      <c r="X1333">
        <f>SUMIF(货件明细!J:J,E1333,货件明细!H:H)</f>
        <v>0</v>
      </c>
      <c r="Y1333">
        <f>N1333-X1333</f>
        <v>13.55</v>
      </c>
      <c r="Z1333">
        <f>SUMIF(货件明细!J:J,E1333,货件明细!I:I)</f>
        <v>0</v>
      </c>
      <c r="AA1333">
        <f>IF(S1333=Z1333,0,1)</f>
        <v>1</v>
      </c>
    </row>
    <row r="1334" hidden="1" spans="1:27">
      <c r="A1334">
        <v>3</v>
      </c>
      <c r="B1334">
        <v>11</v>
      </c>
      <c r="C1334" s="3">
        <v>46094</v>
      </c>
      <c r="D1334" t="s">
        <v>27</v>
      </c>
      <c r="E1334" t="s">
        <v>1451</v>
      </c>
      <c r="F1334" t="s">
        <v>200</v>
      </c>
      <c r="G1334" t="s">
        <v>30</v>
      </c>
      <c r="H1334" t="s">
        <v>78</v>
      </c>
      <c r="I1334" t="s">
        <v>92</v>
      </c>
      <c r="J1334" t="s">
        <v>92</v>
      </c>
      <c r="K1334" t="s">
        <v>64</v>
      </c>
      <c r="L1334" t="s">
        <v>65</v>
      </c>
      <c r="M1334" t="s">
        <v>93</v>
      </c>
      <c r="N1334">
        <v>13.55</v>
      </c>
      <c r="O1334">
        <v>6.6</v>
      </c>
      <c r="P1334">
        <v>81</v>
      </c>
      <c r="Q1334">
        <v>87.6</v>
      </c>
      <c r="R1334">
        <v>0</v>
      </c>
      <c r="S1334">
        <v>87.6</v>
      </c>
      <c r="T1334">
        <v>94</v>
      </c>
      <c r="U1334">
        <f>SUMIF(货件明细!J:J,E1334,货件明细!AP:AP)</f>
        <v>0</v>
      </c>
      <c r="V1334">
        <f>IF(U1334=T1334,0,1)</f>
        <v>1</v>
      </c>
      <c r="W1334">
        <f>T1334</f>
        <v>94</v>
      </c>
      <c r="X1334">
        <f>SUMIF(货件明细!J:J,E1334,货件明细!H:H)</f>
        <v>0</v>
      </c>
      <c r="Y1334">
        <f>N1334-X1334</f>
        <v>13.55</v>
      </c>
      <c r="Z1334">
        <f>SUMIF(货件明细!J:J,E1334,货件明细!I:I)</f>
        <v>0</v>
      </c>
      <c r="AA1334">
        <f>IF(S1334=Z1334,0,1)</f>
        <v>1</v>
      </c>
    </row>
    <row r="1335" hidden="1" spans="1:27">
      <c r="A1335">
        <v>3</v>
      </c>
      <c r="B1335">
        <v>11</v>
      </c>
      <c r="C1335" s="3">
        <v>46094</v>
      </c>
      <c r="D1335" t="s">
        <v>27</v>
      </c>
      <c r="E1335" t="s">
        <v>1452</v>
      </c>
      <c r="F1335" t="s">
        <v>74</v>
      </c>
      <c r="G1335" t="s">
        <v>30</v>
      </c>
      <c r="H1335" t="s">
        <v>78</v>
      </c>
      <c r="I1335" t="s">
        <v>92</v>
      </c>
      <c r="J1335" t="s">
        <v>92</v>
      </c>
      <c r="K1335" t="s">
        <v>64</v>
      </c>
      <c r="L1335" t="s">
        <v>65</v>
      </c>
      <c r="M1335" t="s">
        <v>93</v>
      </c>
      <c r="N1335">
        <v>13.55</v>
      </c>
      <c r="O1335">
        <v>6.6</v>
      </c>
      <c r="P1335">
        <v>84.5</v>
      </c>
      <c r="Q1335">
        <v>91.1</v>
      </c>
      <c r="R1335">
        <v>0</v>
      </c>
      <c r="S1335">
        <v>91.1</v>
      </c>
      <c r="T1335">
        <v>94</v>
      </c>
      <c r="U1335">
        <f>SUMIF(货件明细!J:J,E1335,货件明细!AP:AP)</f>
        <v>0</v>
      </c>
      <c r="V1335">
        <f>IF(U1335=T1335,0,1)</f>
        <v>1</v>
      </c>
      <c r="W1335">
        <f>T1335</f>
        <v>94</v>
      </c>
      <c r="X1335">
        <f>SUMIF(货件明细!J:J,E1335,货件明细!H:H)</f>
        <v>0</v>
      </c>
      <c r="Y1335">
        <f>N1335-X1335</f>
        <v>13.55</v>
      </c>
      <c r="Z1335">
        <f>SUMIF(货件明细!J:J,E1335,货件明细!I:I)</f>
        <v>0</v>
      </c>
      <c r="AA1335">
        <f>IF(S1335=Z1335,0,1)</f>
        <v>1</v>
      </c>
    </row>
    <row r="1336" hidden="1" spans="1:27">
      <c r="A1336">
        <v>3</v>
      </c>
      <c r="B1336">
        <v>11</v>
      </c>
      <c r="C1336" s="3">
        <v>46094</v>
      </c>
      <c r="D1336" t="s">
        <v>27</v>
      </c>
      <c r="E1336" t="s">
        <v>1453</v>
      </c>
      <c r="F1336" t="s">
        <v>76</v>
      </c>
      <c r="G1336" t="s">
        <v>72</v>
      </c>
      <c r="H1336" t="s">
        <v>78</v>
      </c>
      <c r="I1336" t="s">
        <v>92</v>
      </c>
      <c r="J1336" t="s">
        <v>92</v>
      </c>
      <c r="K1336" t="s">
        <v>64</v>
      </c>
      <c r="L1336" t="s">
        <v>65</v>
      </c>
      <c r="M1336" t="s">
        <v>93</v>
      </c>
      <c r="N1336">
        <v>13.55</v>
      </c>
      <c r="O1336">
        <v>6.6</v>
      </c>
      <c r="P1336">
        <v>52.5</v>
      </c>
      <c r="Q1336">
        <v>59.1</v>
      </c>
      <c r="R1336">
        <v>0</v>
      </c>
      <c r="S1336">
        <v>59.1</v>
      </c>
      <c r="T1336">
        <v>94</v>
      </c>
      <c r="U1336">
        <f>SUMIF(货件明细!J:J,E1336,货件明细!AP:AP)</f>
        <v>0</v>
      </c>
      <c r="V1336">
        <f>IF(U1336=T1336,0,1)</f>
        <v>1</v>
      </c>
      <c r="W1336">
        <f>T1336</f>
        <v>94</v>
      </c>
      <c r="X1336">
        <f>SUMIF(货件明细!J:J,E1336,货件明细!H:H)</f>
        <v>0</v>
      </c>
      <c r="Y1336">
        <f>N1336-X1336</f>
        <v>13.55</v>
      </c>
      <c r="Z1336">
        <f>SUMIF(货件明细!J:J,E1336,货件明细!I:I)</f>
        <v>0</v>
      </c>
      <c r="AA1336">
        <f>IF(S1336=Z1336,0,1)</f>
        <v>1</v>
      </c>
    </row>
    <row r="1337" hidden="1" spans="1:27">
      <c r="A1337">
        <v>3</v>
      </c>
      <c r="B1337">
        <v>11</v>
      </c>
      <c r="C1337" s="3">
        <v>46094</v>
      </c>
      <c r="D1337" t="s">
        <v>27</v>
      </c>
      <c r="E1337" t="s">
        <v>1454</v>
      </c>
      <c r="F1337" t="s">
        <v>239</v>
      </c>
      <c r="G1337" t="s">
        <v>72</v>
      </c>
      <c r="H1337" t="s">
        <v>78</v>
      </c>
      <c r="I1337" t="s">
        <v>92</v>
      </c>
      <c r="J1337" t="s">
        <v>92</v>
      </c>
      <c r="K1337" t="s">
        <v>64</v>
      </c>
      <c r="L1337" t="s">
        <v>65</v>
      </c>
      <c r="M1337" t="s">
        <v>93</v>
      </c>
      <c r="N1337">
        <v>13.55</v>
      </c>
      <c r="O1337">
        <v>6.6</v>
      </c>
      <c r="P1337">
        <v>57.25</v>
      </c>
      <c r="Q1337">
        <v>63.85</v>
      </c>
      <c r="R1337">
        <v>0</v>
      </c>
      <c r="S1337">
        <v>63.85</v>
      </c>
      <c r="T1337">
        <v>94</v>
      </c>
      <c r="U1337">
        <f>SUMIF(货件明细!J:J,E1337,货件明细!AP:AP)</f>
        <v>0</v>
      </c>
      <c r="V1337">
        <f>IF(U1337=T1337,0,1)</f>
        <v>1</v>
      </c>
      <c r="W1337">
        <f>T1337</f>
        <v>94</v>
      </c>
      <c r="X1337">
        <f>SUMIF(货件明细!J:J,E1337,货件明细!H:H)</f>
        <v>0</v>
      </c>
      <c r="Y1337">
        <f>N1337-X1337</f>
        <v>13.55</v>
      </c>
      <c r="Z1337">
        <f>SUMIF(货件明细!J:J,E1337,货件明细!I:I)</f>
        <v>0</v>
      </c>
      <c r="AA1337">
        <f>IF(S1337=Z1337,0,1)</f>
        <v>1</v>
      </c>
    </row>
    <row r="1338" hidden="1" spans="1:27">
      <c r="A1338">
        <v>3</v>
      </c>
      <c r="B1338">
        <v>11</v>
      </c>
      <c r="C1338" s="3">
        <v>46094</v>
      </c>
      <c r="D1338" t="s">
        <v>27</v>
      </c>
      <c r="E1338" t="s">
        <v>1455</v>
      </c>
      <c r="F1338" t="s">
        <v>138</v>
      </c>
      <c r="G1338" t="s">
        <v>69</v>
      </c>
      <c r="H1338" t="s">
        <v>51</v>
      </c>
      <c r="I1338" t="s">
        <v>63</v>
      </c>
      <c r="J1338" t="s">
        <v>63</v>
      </c>
      <c r="K1338" t="s">
        <v>64</v>
      </c>
      <c r="L1338" t="s">
        <v>65</v>
      </c>
      <c r="M1338" t="s">
        <v>1456</v>
      </c>
      <c r="N1338">
        <v>14.5</v>
      </c>
      <c r="O1338">
        <v>25.5555555555556</v>
      </c>
      <c r="P1338">
        <v>183</v>
      </c>
      <c r="Q1338">
        <v>208.555555555556</v>
      </c>
      <c r="R1338">
        <v>0</v>
      </c>
      <c r="S1338">
        <v>208.555555555556</v>
      </c>
      <c r="T1338">
        <v>78</v>
      </c>
      <c r="U1338">
        <f>SUMIF(货件明细!J:J,E1338,货件明细!AP:AP)</f>
        <v>0</v>
      </c>
      <c r="V1338">
        <f>IF(U1338=T1338,0,1)</f>
        <v>1</v>
      </c>
      <c r="W1338">
        <f>T1338</f>
        <v>78</v>
      </c>
      <c r="X1338">
        <f>SUMIF(货件明细!J:J,E1338,货件明细!H:H)</f>
        <v>0</v>
      </c>
      <c r="Y1338">
        <f>N1338-X1338</f>
        <v>14.5</v>
      </c>
      <c r="Z1338">
        <f>SUMIF(货件明细!J:J,E1338,货件明细!I:I)</f>
        <v>0</v>
      </c>
      <c r="AA1338">
        <f>IF(S1338=Z1338,0,1)</f>
        <v>1</v>
      </c>
    </row>
    <row r="1339" hidden="1" spans="1:27">
      <c r="A1339">
        <v>3</v>
      </c>
      <c r="B1339">
        <v>11</v>
      </c>
      <c r="C1339" s="3">
        <v>46094</v>
      </c>
      <c r="D1339" t="s">
        <v>27</v>
      </c>
      <c r="E1339" t="s">
        <v>1457</v>
      </c>
      <c r="F1339" t="s">
        <v>200</v>
      </c>
      <c r="G1339" t="s">
        <v>30</v>
      </c>
      <c r="H1339" t="s">
        <v>51</v>
      </c>
      <c r="I1339" t="s">
        <v>63</v>
      </c>
      <c r="J1339" t="s">
        <v>63</v>
      </c>
      <c r="K1339" t="s">
        <v>64</v>
      </c>
      <c r="L1339" t="s">
        <v>65</v>
      </c>
      <c r="M1339" t="s">
        <v>1456</v>
      </c>
      <c r="N1339">
        <v>14.5</v>
      </c>
      <c r="O1339">
        <v>25.5555555555556</v>
      </c>
      <c r="P1339">
        <v>214.5</v>
      </c>
      <c r="Q1339">
        <v>240.055555555556</v>
      </c>
      <c r="R1339">
        <v>0</v>
      </c>
      <c r="S1339">
        <v>240.055555555556</v>
      </c>
      <c r="T1339">
        <v>78</v>
      </c>
      <c r="U1339">
        <f>SUMIF(货件明细!J:J,E1339,货件明细!AP:AP)</f>
        <v>0</v>
      </c>
      <c r="V1339">
        <f>IF(U1339=T1339,0,1)</f>
        <v>1</v>
      </c>
      <c r="W1339">
        <f>T1339</f>
        <v>78</v>
      </c>
      <c r="X1339">
        <f>SUMIF(货件明细!J:J,E1339,货件明细!H:H)</f>
        <v>0</v>
      </c>
      <c r="Y1339">
        <f>N1339-X1339</f>
        <v>14.5</v>
      </c>
      <c r="Z1339">
        <f>SUMIF(货件明细!J:J,E1339,货件明细!I:I)</f>
        <v>0</v>
      </c>
      <c r="AA1339">
        <f>IF(S1339=Z1339,0,1)</f>
        <v>1</v>
      </c>
    </row>
    <row r="1340" hidden="1" spans="1:27">
      <c r="A1340">
        <v>3</v>
      </c>
      <c r="B1340">
        <v>11</v>
      </c>
      <c r="C1340" s="3">
        <v>46094</v>
      </c>
      <c r="D1340" t="s">
        <v>27</v>
      </c>
      <c r="E1340" t="s">
        <v>1458</v>
      </c>
      <c r="F1340" t="s">
        <v>74</v>
      </c>
      <c r="G1340" t="s">
        <v>30</v>
      </c>
      <c r="H1340" t="s">
        <v>51</v>
      </c>
      <c r="I1340" t="s">
        <v>63</v>
      </c>
      <c r="J1340" t="s">
        <v>63</v>
      </c>
      <c r="K1340" t="s">
        <v>64</v>
      </c>
      <c r="L1340" t="s">
        <v>65</v>
      </c>
      <c r="M1340" t="s">
        <v>1456</v>
      </c>
      <c r="N1340">
        <v>14.5</v>
      </c>
      <c r="O1340">
        <v>25.5555555555556</v>
      </c>
      <c r="P1340">
        <v>220.5</v>
      </c>
      <c r="Q1340">
        <v>246.055555555556</v>
      </c>
      <c r="R1340">
        <v>0</v>
      </c>
      <c r="S1340">
        <v>246.055555555556</v>
      </c>
      <c r="T1340">
        <v>78</v>
      </c>
      <c r="U1340">
        <f>SUMIF(货件明细!J:J,E1340,货件明细!AP:AP)</f>
        <v>0</v>
      </c>
      <c r="V1340">
        <f>IF(U1340=T1340,0,1)</f>
        <v>1</v>
      </c>
      <c r="W1340">
        <f>T1340</f>
        <v>78</v>
      </c>
      <c r="X1340">
        <f>SUMIF(货件明细!J:J,E1340,货件明细!H:H)</f>
        <v>0</v>
      </c>
      <c r="Y1340">
        <f>N1340-X1340</f>
        <v>14.5</v>
      </c>
      <c r="Z1340">
        <f>SUMIF(货件明细!J:J,E1340,货件明细!I:I)</f>
        <v>0</v>
      </c>
      <c r="AA1340">
        <f>IF(S1340=Z1340,0,1)</f>
        <v>1</v>
      </c>
    </row>
    <row r="1341" hidden="1" spans="1:27">
      <c r="A1341">
        <v>3</v>
      </c>
      <c r="B1341">
        <v>11</v>
      </c>
      <c r="C1341" s="3">
        <v>46094</v>
      </c>
      <c r="D1341" t="s">
        <v>27</v>
      </c>
      <c r="E1341" t="s">
        <v>1459</v>
      </c>
      <c r="F1341" t="s">
        <v>76</v>
      </c>
      <c r="G1341" t="s">
        <v>72</v>
      </c>
      <c r="H1341" t="s">
        <v>51</v>
      </c>
      <c r="I1341" t="s">
        <v>63</v>
      </c>
      <c r="J1341" t="s">
        <v>63</v>
      </c>
      <c r="K1341" t="s">
        <v>64</v>
      </c>
      <c r="L1341" t="s">
        <v>147</v>
      </c>
      <c r="M1341" t="s">
        <v>425</v>
      </c>
      <c r="N1341">
        <v>14.5</v>
      </c>
      <c r="O1341">
        <v>25</v>
      </c>
      <c r="P1341">
        <v>117</v>
      </c>
      <c r="Q1341">
        <v>142</v>
      </c>
      <c r="R1341">
        <v>0</v>
      </c>
      <c r="S1341">
        <v>142</v>
      </c>
      <c r="T1341">
        <v>78</v>
      </c>
      <c r="U1341">
        <f>SUMIF(货件明细!J:J,E1341,货件明细!AP:AP)</f>
        <v>0</v>
      </c>
      <c r="V1341">
        <f>IF(U1341=T1341,0,1)</f>
        <v>1</v>
      </c>
      <c r="W1341">
        <f>T1341</f>
        <v>78</v>
      </c>
      <c r="X1341">
        <f>SUMIF(货件明细!J:J,E1341,货件明细!H:H)</f>
        <v>0</v>
      </c>
      <c r="Y1341">
        <f>N1341-X1341</f>
        <v>14.5</v>
      </c>
      <c r="Z1341">
        <f>SUMIF(货件明细!J:J,E1341,货件明细!I:I)</f>
        <v>0</v>
      </c>
      <c r="AA1341">
        <f>IF(S1341=Z1341,0,1)</f>
        <v>1</v>
      </c>
    </row>
    <row r="1342" hidden="1" spans="1:27">
      <c r="A1342">
        <v>3</v>
      </c>
      <c r="B1342">
        <v>11</v>
      </c>
      <c r="C1342" s="3">
        <v>46094</v>
      </c>
      <c r="D1342" t="s">
        <v>27</v>
      </c>
      <c r="E1342" t="s">
        <v>1460</v>
      </c>
      <c r="F1342" t="s">
        <v>239</v>
      </c>
      <c r="G1342" t="s">
        <v>72</v>
      </c>
      <c r="H1342" t="s">
        <v>51</v>
      </c>
      <c r="I1342" t="s">
        <v>63</v>
      </c>
      <c r="J1342" t="s">
        <v>63</v>
      </c>
      <c r="K1342" t="s">
        <v>64</v>
      </c>
      <c r="L1342" t="s">
        <v>147</v>
      </c>
      <c r="M1342" t="s">
        <v>425</v>
      </c>
      <c r="N1342">
        <v>14.5</v>
      </c>
      <c r="O1342">
        <v>25</v>
      </c>
      <c r="P1342">
        <v>135</v>
      </c>
      <c r="Q1342">
        <v>160</v>
      </c>
      <c r="R1342">
        <v>0</v>
      </c>
      <c r="S1342">
        <v>160</v>
      </c>
      <c r="T1342">
        <v>78</v>
      </c>
      <c r="U1342">
        <f>SUMIF(货件明细!J:J,E1342,货件明细!AP:AP)</f>
        <v>0</v>
      </c>
      <c r="V1342">
        <f>IF(U1342=T1342,0,1)</f>
        <v>1</v>
      </c>
      <c r="W1342">
        <f>T1342</f>
        <v>78</v>
      </c>
      <c r="X1342">
        <f>SUMIF(货件明细!J:J,E1342,货件明细!H:H)</f>
        <v>0</v>
      </c>
      <c r="Y1342">
        <f>N1342-X1342</f>
        <v>14.5</v>
      </c>
      <c r="Z1342">
        <f>SUMIF(货件明细!J:J,E1342,货件明细!I:I)</f>
        <v>0</v>
      </c>
      <c r="AA1342">
        <f>IF(S1342=Z1342,0,1)</f>
        <v>1</v>
      </c>
    </row>
    <row r="1343" hidden="1" spans="1:27">
      <c r="A1343">
        <v>3</v>
      </c>
      <c r="B1343">
        <v>11</v>
      </c>
      <c r="C1343" s="3">
        <v>46094</v>
      </c>
      <c r="D1343" t="s">
        <v>27</v>
      </c>
      <c r="E1343" t="s">
        <v>1461</v>
      </c>
      <c r="F1343" t="s">
        <v>138</v>
      </c>
      <c r="G1343" t="s">
        <v>69</v>
      </c>
      <c r="H1343" t="s">
        <v>37</v>
      </c>
      <c r="I1343" t="s">
        <v>92</v>
      </c>
      <c r="J1343" t="s">
        <v>92</v>
      </c>
      <c r="K1343" t="s">
        <v>64</v>
      </c>
      <c r="L1343" t="s">
        <v>65</v>
      </c>
      <c r="M1343" t="s">
        <v>93</v>
      </c>
      <c r="N1343">
        <v>36.7</v>
      </c>
      <c r="O1343">
        <v>6.6</v>
      </c>
      <c r="P1343">
        <v>156.2</v>
      </c>
      <c r="Q1343">
        <v>162.8</v>
      </c>
      <c r="R1343">
        <v>0</v>
      </c>
      <c r="S1343">
        <v>162.8</v>
      </c>
      <c r="T1343">
        <v>330</v>
      </c>
      <c r="U1343">
        <f>SUMIF(货件明细!J:J,E1343,货件明细!AP:AP)</f>
        <v>0</v>
      </c>
      <c r="V1343">
        <f>IF(U1343=T1343,0,1)</f>
        <v>1</v>
      </c>
      <c r="W1343">
        <f>T1343</f>
        <v>330</v>
      </c>
      <c r="X1343">
        <f>SUMIF(货件明细!J:J,E1343,货件明细!H:H)</f>
        <v>0</v>
      </c>
      <c r="Y1343">
        <f>N1343-X1343</f>
        <v>36.7</v>
      </c>
      <c r="Z1343">
        <f>SUMIF(货件明细!J:J,E1343,货件明细!I:I)</f>
        <v>0</v>
      </c>
      <c r="AA1343">
        <f>IF(S1343=Z1343,0,1)</f>
        <v>1</v>
      </c>
    </row>
    <row r="1344" hidden="1" spans="1:27">
      <c r="A1344">
        <v>3</v>
      </c>
      <c r="B1344">
        <v>11</v>
      </c>
      <c r="C1344" s="3">
        <v>46094</v>
      </c>
      <c r="D1344" t="s">
        <v>27</v>
      </c>
      <c r="E1344" t="s">
        <v>1462</v>
      </c>
      <c r="F1344" t="s">
        <v>200</v>
      </c>
      <c r="G1344" t="s">
        <v>30</v>
      </c>
      <c r="H1344" t="s">
        <v>37</v>
      </c>
      <c r="I1344" t="s">
        <v>92</v>
      </c>
      <c r="J1344" t="s">
        <v>92</v>
      </c>
      <c r="K1344" t="s">
        <v>64</v>
      </c>
      <c r="L1344" t="s">
        <v>65</v>
      </c>
      <c r="M1344" t="s">
        <v>93</v>
      </c>
      <c r="N1344">
        <v>36.7</v>
      </c>
      <c r="O1344">
        <v>6.6</v>
      </c>
      <c r="P1344">
        <v>178.2</v>
      </c>
      <c r="Q1344">
        <v>184.8</v>
      </c>
      <c r="R1344">
        <v>0</v>
      </c>
      <c r="S1344">
        <v>184.8</v>
      </c>
      <c r="T1344">
        <v>330</v>
      </c>
      <c r="U1344">
        <f>SUMIF(货件明细!J:J,E1344,货件明细!AP:AP)</f>
        <v>0</v>
      </c>
      <c r="V1344">
        <f>IF(U1344=T1344,0,1)</f>
        <v>1</v>
      </c>
      <c r="W1344">
        <f>T1344</f>
        <v>330</v>
      </c>
      <c r="X1344">
        <f>SUMIF(货件明细!J:J,E1344,货件明细!H:H)</f>
        <v>0</v>
      </c>
      <c r="Y1344">
        <f>N1344-X1344</f>
        <v>36.7</v>
      </c>
      <c r="Z1344">
        <f>SUMIF(货件明细!J:J,E1344,货件明细!I:I)</f>
        <v>0</v>
      </c>
      <c r="AA1344">
        <f>IF(S1344=Z1344,0,1)</f>
        <v>1</v>
      </c>
    </row>
    <row r="1345" hidden="1" spans="1:27">
      <c r="A1345">
        <v>3</v>
      </c>
      <c r="B1345">
        <v>11</v>
      </c>
      <c r="C1345" s="3">
        <v>46094</v>
      </c>
      <c r="D1345" t="s">
        <v>27</v>
      </c>
      <c r="E1345" t="s">
        <v>1463</v>
      </c>
      <c r="F1345" t="s">
        <v>74</v>
      </c>
      <c r="G1345" t="s">
        <v>30</v>
      </c>
      <c r="H1345" t="s">
        <v>37</v>
      </c>
      <c r="I1345" t="s">
        <v>92</v>
      </c>
      <c r="J1345" t="s">
        <v>92</v>
      </c>
      <c r="K1345" t="s">
        <v>64</v>
      </c>
      <c r="L1345" t="s">
        <v>65</v>
      </c>
      <c r="M1345" t="s">
        <v>93</v>
      </c>
      <c r="N1345">
        <v>36.7</v>
      </c>
      <c r="O1345">
        <v>6.6</v>
      </c>
      <c r="P1345">
        <v>185.9</v>
      </c>
      <c r="Q1345">
        <v>192.5</v>
      </c>
      <c r="R1345">
        <v>0</v>
      </c>
      <c r="S1345">
        <v>192.5</v>
      </c>
      <c r="T1345">
        <v>330</v>
      </c>
      <c r="U1345">
        <f>SUMIF(货件明细!J:J,E1345,货件明细!AP:AP)</f>
        <v>0</v>
      </c>
      <c r="V1345">
        <f>IF(U1345=T1345,0,1)</f>
        <v>1</v>
      </c>
      <c r="W1345">
        <f>T1345</f>
        <v>330</v>
      </c>
      <c r="X1345">
        <f>SUMIF(货件明细!J:J,E1345,货件明细!H:H)</f>
        <v>0</v>
      </c>
      <c r="Y1345">
        <f>N1345-X1345</f>
        <v>36.7</v>
      </c>
      <c r="Z1345">
        <f>SUMIF(货件明细!J:J,E1345,货件明细!I:I)</f>
        <v>0</v>
      </c>
      <c r="AA1345">
        <f>IF(S1345=Z1345,0,1)</f>
        <v>1</v>
      </c>
    </row>
    <row r="1346" hidden="1" spans="1:27">
      <c r="A1346">
        <v>3</v>
      </c>
      <c r="B1346">
        <v>11</v>
      </c>
      <c r="C1346" s="3">
        <v>46094</v>
      </c>
      <c r="D1346" t="s">
        <v>27</v>
      </c>
      <c r="E1346" t="s">
        <v>1464</v>
      </c>
      <c r="F1346" t="s">
        <v>76</v>
      </c>
      <c r="G1346" t="s">
        <v>72</v>
      </c>
      <c r="H1346" t="s">
        <v>37</v>
      </c>
      <c r="I1346" t="s">
        <v>92</v>
      </c>
      <c r="J1346" t="s">
        <v>92</v>
      </c>
      <c r="K1346" t="s">
        <v>64</v>
      </c>
      <c r="L1346" t="s">
        <v>65</v>
      </c>
      <c r="M1346" t="s">
        <v>93</v>
      </c>
      <c r="N1346">
        <v>36.7</v>
      </c>
      <c r="O1346">
        <v>6.6</v>
      </c>
      <c r="P1346">
        <v>115.5</v>
      </c>
      <c r="Q1346">
        <v>122.1</v>
      </c>
      <c r="R1346">
        <v>0</v>
      </c>
      <c r="S1346">
        <v>122.1</v>
      </c>
      <c r="T1346">
        <v>330</v>
      </c>
      <c r="U1346">
        <f>SUMIF(货件明细!J:J,E1346,货件明细!AP:AP)</f>
        <v>0</v>
      </c>
      <c r="V1346">
        <f>IF(U1346=T1346,0,1)</f>
        <v>1</v>
      </c>
      <c r="W1346">
        <f>T1346</f>
        <v>330</v>
      </c>
      <c r="X1346">
        <f>SUMIF(货件明细!J:J,E1346,货件明细!H:H)</f>
        <v>0</v>
      </c>
      <c r="Y1346">
        <f>N1346-X1346</f>
        <v>36.7</v>
      </c>
      <c r="Z1346">
        <f>SUMIF(货件明细!J:J,E1346,货件明细!I:I)</f>
        <v>0</v>
      </c>
      <c r="AA1346">
        <f>IF(S1346=Z1346,0,1)</f>
        <v>1</v>
      </c>
    </row>
    <row r="1347" hidden="1" spans="1:27">
      <c r="A1347">
        <v>3</v>
      </c>
      <c r="B1347">
        <v>11</v>
      </c>
      <c r="C1347" s="3">
        <v>46094</v>
      </c>
      <c r="D1347" t="s">
        <v>27</v>
      </c>
      <c r="E1347" t="s">
        <v>1465</v>
      </c>
      <c r="F1347" t="s">
        <v>239</v>
      </c>
      <c r="G1347" t="s">
        <v>72</v>
      </c>
      <c r="H1347" t="s">
        <v>37</v>
      </c>
      <c r="I1347" t="s">
        <v>92</v>
      </c>
      <c r="J1347" t="s">
        <v>92</v>
      </c>
      <c r="K1347" t="s">
        <v>64</v>
      </c>
      <c r="L1347" t="s">
        <v>65</v>
      </c>
      <c r="M1347" t="s">
        <v>93</v>
      </c>
      <c r="N1347">
        <v>36.7</v>
      </c>
      <c r="O1347">
        <v>6.6</v>
      </c>
      <c r="P1347">
        <v>125.95</v>
      </c>
      <c r="Q1347">
        <v>132.55</v>
      </c>
      <c r="R1347">
        <v>0</v>
      </c>
      <c r="S1347">
        <v>132.55</v>
      </c>
      <c r="T1347">
        <v>330</v>
      </c>
      <c r="U1347">
        <f>SUMIF(货件明细!J:J,E1347,货件明细!AP:AP)</f>
        <v>0</v>
      </c>
      <c r="V1347">
        <f>IF(U1347=T1347,0,1)</f>
        <v>1</v>
      </c>
      <c r="W1347">
        <f>T1347</f>
        <v>330</v>
      </c>
      <c r="X1347">
        <f>SUMIF(货件明细!J:J,E1347,货件明细!H:H)</f>
        <v>0</v>
      </c>
      <c r="Y1347">
        <f>N1347-X1347</f>
        <v>36.7</v>
      </c>
      <c r="Z1347">
        <f>SUMIF(货件明细!J:J,E1347,货件明细!I:I)</f>
        <v>0</v>
      </c>
      <c r="AA1347">
        <f>IF(S1347=Z1347,0,1)</f>
        <v>1</v>
      </c>
    </row>
    <row r="1348" hidden="1" spans="1:27">
      <c r="A1348">
        <v>3</v>
      </c>
      <c r="B1348">
        <v>11</v>
      </c>
      <c r="C1348" s="3">
        <v>46094</v>
      </c>
      <c r="D1348" t="s">
        <v>27</v>
      </c>
      <c r="E1348" t="s">
        <v>1466</v>
      </c>
      <c r="F1348" t="s">
        <v>138</v>
      </c>
      <c r="G1348" t="s">
        <v>69</v>
      </c>
      <c r="H1348" t="s">
        <v>54</v>
      </c>
      <c r="I1348" t="s">
        <v>92</v>
      </c>
      <c r="J1348" t="s">
        <v>92</v>
      </c>
      <c r="K1348" t="s">
        <v>64</v>
      </c>
      <c r="L1348" t="s">
        <v>65</v>
      </c>
      <c r="M1348" t="s">
        <v>93</v>
      </c>
      <c r="N1348">
        <v>32.05</v>
      </c>
      <c r="O1348">
        <v>6.6</v>
      </c>
      <c r="P1348">
        <v>198.8</v>
      </c>
      <c r="Q1348">
        <v>205.4</v>
      </c>
      <c r="R1348">
        <v>0</v>
      </c>
      <c r="S1348">
        <v>205.4</v>
      </c>
      <c r="T1348">
        <v>267</v>
      </c>
      <c r="U1348">
        <f>SUMIF(货件明细!J:J,E1348,货件明细!AP:AP)</f>
        <v>0</v>
      </c>
      <c r="V1348">
        <f>IF(U1348=T1348,0,1)</f>
        <v>1</v>
      </c>
      <c r="W1348">
        <f>T1348</f>
        <v>267</v>
      </c>
      <c r="X1348">
        <f>SUMIF(货件明细!J:J,E1348,货件明细!H:H)</f>
        <v>0</v>
      </c>
      <c r="Y1348">
        <f>N1348-X1348</f>
        <v>32.05</v>
      </c>
      <c r="Z1348">
        <f>SUMIF(货件明细!J:J,E1348,货件明细!I:I)</f>
        <v>0</v>
      </c>
      <c r="AA1348">
        <f>IF(S1348=Z1348,0,1)</f>
        <v>1</v>
      </c>
    </row>
    <row r="1349" hidden="1" spans="1:27">
      <c r="A1349">
        <v>3</v>
      </c>
      <c r="B1349">
        <v>11</v>
      </c>
      <c r="C1349" s="3">
        <v>46094</v>
      </c>
      <c r="D1349" t="s">
        <v>27</v>
      </c>
      <c r="E1349" t="s">
        <v>1467</v>
      </c>
      <c r="F1349" t="s">
        <v>200</v>
      </c>
      <c r="G1349" t="s">
        <v>30</v>
      </c>
      <c r="H1349" t="s">
        <v>54</v>
      </c>
      <c r="I1349" t="s">
        <v>92</v>
      </c>
      <c r="J1349" t="s">
        <v>92</v>
      </c>
      <c r="K1349" t="s">
        <v>64</v>
      </c>
      <c r="L1349" t="s">
        <v>65</v>
      </c>
      <c r="M1349" t="s">
        <v>93</v>
      </c>
      <c r="N1349">
        <v>32.05</v>
      </c>
      <c r="O1349">
        <v>6.6</v>
      </c>
      <c r="P1349">
        <v>226.8</v>
      </c>
      <c r="Q1349">
        <v>233.4</v>
      </c>
      <c r="R1349">
        <v>0</v>
      </c>
      <c r="S1349">
        <v>233.4</v>
      </c>
      <c r="T1349">
        <v>267</v>
      </c>
      <c r="U1349">
        <f>SUMIF(货件明细!J:J,E1349,货件明细!AP:AP)</f>
        <v>0</v>
      </c>
      <c r="V1349">
        <f>IF(U1349=T1349,0,1)</f>
        <v>1</v>
      </c>
      <c r="W1349">
        <f>T1349</f>
        <v>267</v>
      </c>
      <c r="X1349">
        <f>SUMIF(货件明细!J:J,E1349,货件明细!H:H)</f>
        <v>0</v>
      </c>
      <c r="Y1349">
        <f>N1349-X1349</f>
        <v>32.05</v>
      </c>
      <c r="Z1349">
        <f>SUMIF(货件明细!J:J,E1349,货件明细!I:I)</f>
        <v>0</v>
      </c>
      <c r="AA1349">
        <f>IF(S1349=Z1349,0,1)</f>
        <v>1</v>
      </c>
    </row>
    <row r="1350" hidden="1" spans="1:27">
      <c r="A1350">
        <v>3</v>
      </c>
      <c r="B1350">
        <v>11</v>
      </c>
      <c r="C1350" s="3">
        <v>46094</v>
      </c>
      <c r="D1350" t="s">
        <v>27</v>
      </c>
      <c r="E1350" t="s">
        <v>1468</v>
      </c>
      <c r="F1350" t="s">
        <v>74</v>
      </c>
      <c r="G1350" t="s">
        <v>30</v>
      </c>
      <c r="H1350" t="s">
        <v>54</v>
      </c>
      <c r="I1350" t="s">
        <v>92</v>
      </c>
      <c r="J1350" t="s">
        <v>92</v>
      </c>
      <c r="K1350" t="s">
        <v>64</v>
      </c>
      <c r="L1350" t="s">
        <v>65</v>
      </c>
      <c r="M1350" t="s">
        <v>93</v>
      </c>
      <c r="N1350">
        <v>32.05</v>
      </c>
      <c r="O1350">
        <v>6.6</v>
      </c>
      <c r="P1350">
        <v>236.6</v>
      </c>
      <c r="Q1350">
        <v>243.2</v>
      </c>
      <c r="R1350">
        <v>0</v>
      </c>
      <c r="S1350">
        <v>243.2</v>
      </c>
      <c r="T1350">
        <v>267</v>
      </c>
      <c r="U1350">
        <f>SUMIF(货件明细!J:J,E1350,货件明细!AP:AP)</f>
        <v>0</v>
      </c>
      <c r="V1350">
        <f>IF(U1350=T1350,0,1)</f>
        <v>1</v>
      </c>
      <c r="W1350">
        <f>T1350</f>
        <v>267</v>
      </c>
      <c r="X1350">
        <f>SUMIF(货件明细!J:J,E1350,货件明细!H:H)</f>
        <v>0</v>
      </c>
      <c r="Y1350">
        <f>N1350-X1350</f>
        <v>32.05</v>
      </c>
      <c r="Z1350">
        <f>SUMIF(货件明细!J:J,E1350,货件明细!I:I)</f>
        <v>0</v>
      </c>
      <c r="AA1350">
        <f>IF(S1350=Z1350,0,1)</f>
        <v>1</v>
      </c>
    </row>
    <row r="1351" hidden="1" spans="1:27">
      <c r="A1351">
        <v>3</v>
      </c>
      <c r="B1351">
        <v>11</v>
      </c>
      <c r="C1351" s="3">
        <v>46094</v>
      </c>
      <c r="D1351" t="s">
        <v>27</v>
      </c>
      <c r="E1351" t="s">
        <v>1469</v>
      </c>
      <c r="F1351" t="s">
        <v>76</v>
      </c>
      <c r="G1351" t="s">
        <v>72</v>
      </c>
      <c r="H1351" t="s">
        <v>54</v>
      </c>
      <c r="I1351" t="s">
        <v>92</v>
      </c>
      <c r="J1351" t="s">
        <v>92</v>
      </c>
      <c r="K1351" t="s">
        <v>64</v>
      </c>
      <c r="L1351" t="s">
        <v>65</v>
      </c>
      <c r="M1351" t="s">
        <v>93</v>
      </c>
      <c r="N1351">
        <v>32.05</v>
      </c>
      <c r="O1351">
        <v>6.6</v>
      </c>
      <c r="P1351">
        <v>147</v>
      </c>
      <c r="Q1351">
        <v>153.6</v>
      </c>
      <c r="R1351">
        <v>0</v>
      </c>
      <c r="S1351">
        <v>153.6</v>
      </c>
      <c r="T1351">
        <v>267</v>
      </c>
      <c r="U1351">
        <f>SUMIF(货件明细!J:J,E1351,货件明细!AP:AP)</f>
        <v>0</v>
      </c>
      <c r="V1351">
        <f>IF(U1351=T1351,0,1)</f>
        <v>1</v>
      </c>
      <c r="W1351">
        <f>T1351</f>
        <v>267</v>
      </c>
      <c r="X1351">
        <f>SUMIF(货件明细!J:J,E1351,货件明细!H:H)</f>
        <v>0</v>
      </c>
      <c r="Y1351">
        <f>N1351-X1351</f>
        <v>32.05</v>
      </c>
      <c r="Z1351">
        <f>SUMIF(货件明细!J:J,E1351,货件明细!I:I)</f>
        <v>0</v>
      </c>
      <c r="AA1351">
        <f>IF(S1351=Z1351,0,1)</f>
        <v>1</v>
      </c>
    </row>
    <row r="1352" hidden="1" spans="1:27">
      <c r="A1352">
        <v>3</v>
      </c>
      <c r="B1352">
        <v>11</v>
      </c>
      <c r="C1352" s="3">
        <v>46094</v>
      </c>
      <c r="D1352" t="s">
        <v>27</v>
      </c>
      <c r="E1352" t="s">
        <v>1470</v>
      </c>
      <c r="F1352" t="s">
        <v>239</v>
      </c>
      <c r="G1352" t="s">
        <v>72</v>
      </c>
      <c r="H1352" t="s">
        <v>54</v>
      </c>
      <c r="I1352" t="s">
        <v>92</v>
      </c>
      <c r="J1352" t="s">
        <v>92</v>
      </c>
      <c r="K1352" t="s">
        <v>64</v>
      </c>
      <c r="L1352" t="s">
        <v>65</v>
      </c>
      <c r="M1352" t="s">
        <v>93</v>
      </c>
      <c r="N1352">
        <v>32.05</v>
      </c>
      <c r="O1352">
        <v>6.6</v>
      </c>
      <c r="P1352">
        <v>160.3</v>
      </c>
      <c r="Q1352">
        <v>166.9</v>
      </c>
      <c r="R1352">
        <v>0</v>
      </c>
      <c r="S1352">
        <v>166.9</v>
      </c>
      <c r="T1352">
        <v>267</v>
      </c>
      <c r="U1352">
        <f>SUMIF(货件明细!J:J,E1352,货件明细!AP:AP)</f>
        <v>0</v>
      </c>
      <c r="V1352">
        <f>IF(U1352=T1352,0,1)</f>
        <v>1</v>
      </c>
      <c r="W1352">
        <f>T1352</f>
        <v>267</v>
      </c>
      <c r="X1352">
        <f>SUMIF(货件明细!J:J,E1352,货件明细!H:H)</f>
        <v>0</v>
      </c>
      <c r="Y1352">
        <f>N1352-X1352</f>
        <v>32.05</v>
      </c>
      <c r="Z1352">
        <f>SUMIF(货件明细!J:J,E1352,货件明细!I:I)</f>
        <v>0</v>
      </c>
      <c r="AA1352">
        <f>IF(S1352=Z1352,0,1)</f>
        <v>1</v>
      </c>
    </row>
    <row r="1353" hidden="1" spans="1:27">
      <c r="A1353">
        <v>3</v>
      </c>
      <c r="B1353">
        <v>11</v>
      </c>
      <c r="C1353" s="3">
        <v>46094</v>
      </c>
      <c r="D1353" t="s">
        <v>27</v>
      </c>
      <c r="E1353" t="s">
        <v>1471</v>
      </c>
      <c r="F1353" t="s">
        <v>138</v>
      </c>
      <c r="G1353" t="s">
        <v>69</v>
      </c>
      <c r="H1353" t="s">
        <v>39</v>
      </c>
      <c r="I1353" t="s">
        <v>63</v>
      </c>
      <c r="J1353" t="s">
        <v>63</v>
      </c>
      <c r="K1353" t="s">
        <v>64</v>
      </c>
      <c r="L1353" t="s">
        <v>65</v>
      </c>
      <c r="M1353" t="s">
        <v>1456</v>
      </c>
      <c r="N1353">
        <v>164.25</v>
      </c>
      <c r="O1353">
        <v>25.5555555555556</v>
      </c>
      <c r="P1353">
        <v>622.2</v>
      </c>
      <c r="Q1353">
        <v>647.755555555556</v>
      </c>
      <c r="R1353">
        <v>0</v>
      </c>
      <c r="S1353">
        <v>647.755555555556</v>
      </c>
      <c r="T1353">
        <v>350</v>
      </c>
      <c r="U1353">
        <f>SUMIF(货件明细!J:J,E1353,货件明细!AP:AP)</f>
        <v>0</v>
      </c>
      <c r="V1353">
        <f>IF(U1353=T1353,0,1)</f>
        <v>1</v>
      </c>
      <c r="W1353">
        <f>T1353</f>
        <v>350</v>
      </c>
      <c r="X1353">
        <f>SUMIF(货件明细!J:J,E1353,货件明细!H:H)</f>
        <v>0</v>
      </c>
      <c r="Y1353">
        <f>N1353-X1353</f>
        <v>164.25</v>
      </c>
      <c r="Z1353">
        <f>SUMIF(货件明细!J:J,E1353,货件明细!I:I)</f>
        <v>0</v>
      </c>
      <c r="AA1353">
        <f>IF(S1353=Z1353,0,1)</f>
        <v>1</v>
      </c>
    </row>
    <row r="1354" hidden="1" spans="1:27">
      <c r="A1354">
        <v>3</v>
      </c>
      <c r="B1354">
        <v>11</v>
      </c>
      <c r="C1354" s="3">
        <v>46094</v>
      </c>
      <c r="D1354" t="s">
        <v>27</v>
      </c>
      <c r="E1354" t="s">
        <v>1472</v>
      </c>
      <c r="F1354" t="s">
        <v>200</v>
      </c>
      <c r="G1354" t="s">
        <v>30</v>
      </c>
      <c r="H1354" t="s">
        <v>39</v>
      </c>
      <c r="I1354" t="s">
        <v>63</v>
      </c>
      <c r="J1354" t="s">
        <v>63</v>
      </c>
      <c r="K1354" t="s">
        <v>64</v>
      </c>
      <c r="L1354" t="s">
        <v>65</v>
      </c>
      <c r="M1354" t="s">
        <v>1456</v>
      </c>
      <c r="N1354">
        <v>164.25</v>
      </c>
      <c r="O1354">
        <v>25.5555555555556</v>
      </c>
      <c r="P1354">
        <v>772.2</v>
      </c>
      <c r="Q1354">
        <v>797.755555555556</v>
      </c>
      <c r="R1354">
        <v>0</v>
      </c>
      <c r="S1354">
        <v>797.755555555556</v>
      </c>
      <c r="T1354">
        <v>350</v>
      </c>
      <c r="U1354">
        <f>SUMIF(货件明细!J:J,E1354,货件明细!AP:AP)</f>
        <v>0</v>
      </c>
      <c r="V1354">
        <f>IF(U1354=T1354,0,1)</f>
        <v>1</v>
      </c>
      <c r="W1354">
        <f>T1354</f>
        <v>350</v>
      </c>
      <c r="X1354">
        <f>SUMIF(货件明细!J:J,E1354,货件明细!H:H)</f>
        <v>0</v>
      </c>
      <c r="Y1354">
        <f>N1354-X1354</f>
        <v>164.25</v>
      </c>
      <c r="Z1354">
        <f>SUMIF(货件明细!J:J,E1354,货件明细!I:I)</f>
        <v>0</v>
      </c>
      <c r="AA1354">
        <f>IF(S1354=Z1354,0,1)</f>
        <v>1</v>
      </c>
    </row>
    <row r="1355" hidden="1" spans="1:27">
      <c r="A1355">
        <v>3</v>
      </c>
      <c r="B1355">
        <v>11</v>
      </c>
      <c r="C1355" s="3">
        <v>46094</v>
      </c>
      <c r="D1355" t="s">
        <v>27</v>
      </c>
      <c r="E1355" t="s">
        <v>1473</v>
      </c>
      <c r="F1355" t="s">
        <v>74</v>
      </c>
      <c r="G1355" t="s">
        <v>30</v>
      </c>
      <c r="H1355" t="s">
        <v>39</v>
      </c>
      <c r="I1355" t="s">
        <v>63</v>
      </c>
      <c r="J1355" t="s">
        <v>63</v>
      </c>
      <c r="K1355" t="s">
        <v>64</v>
      </c>
      <c r="L1355" t="s">
        <v>65</v>
      </c>
      <c r="M1355" t="s">
        <v>1456</v>
      </c>
      <c r="N1355">
        <v>164.25</v>
      </c>
      <c r="O1355">
        <v>25.5555555555556</v>
      </c>
      <c r="P1355">
        <v>749.7</v>
      </c>
      <c r="Q1355">
        <v>775.255555555556</v>
      </c>
      <c r="R1355">
        <v>0</v>
      </c>
      <c r="S1355">
        <v>775.255555555556</v>
      </c>
      <c r="T1355">
        <v>350</v>
      </c>
      <c r="U1355">
        <f>SUMIF(货件明细!J:J,E1355,货件明细!AP:AP)</f>
        <v>0</v>
      </c>
      <c r="V1355">
        <f>IF(U1355=T1355,0,1)</f>
        <v>1</v>
      </c>
      <c r="W1355">
        <f>T1355</f>
        <v>350</v>
      </c>
      <c r="X1355">
        <f>SUMIF(货件明细!J:J,E1355,货件明细!H:H)</f>
        <v>0</v>
      </c>
      <c r="Y1355">
        <f>N1355-X1355</f>
        <v>164.25</v>
      </c>
      <c r="Z1355">
        <f>SUMIF(货件明细!J:J,E1355,货件明细!I:I)</f>
        <v>0</v>
      </c>
      <c r="AA1355">
        <f>IF(S1355=Z1355,0,1)</f>
        <v>1</v>
      </c>
    </row>
    <row r="1356" hidden="1" spans="1:27">
      <c r="A1356">
        <v>3</v>
      </c>
      <c r="B1356">
        <v>11</v>
      </c>
      <c r="C1356" s="3">
        <v>46094</v>
      </c>
      <c r="D1356" t="s">
        <v>27</v>
      </c>
      <c r="E1356" t="s">
        <v>1474</v>
      </c>
      <c r="F1356" t="s">
        <v>76</v>
      </c>
      <c r="G1356" t="s">
        <v>72</v>
      </c>
      <c r="H1356" t="s">
        <v>39</v>
      </c>
      <c r="I1356" t="s">
        <v>63</v>
      </c>
      <c r="J1356" t="s">
        <v>63</v>
      </c>
      <c r="K1356" t="s">
        <v>64</v>
      </c>
      <c r="L1356" t="s">
        <v>147</v>
      </c>
      <c r="M1356" t="s">
        <v>425</v>
      </c>
      <c r="N1356">
        <v>164.25</v>
      </c>
      <c r="O1356">
        <v>25</v>
      </c>
      <c r="P1356">
        <v>421.2</v>
      </c>
      <c r="Q1356">
        <v>446.2</v>
      </c>
      <c r="R1356">
        <v>0</v>
      </c>
      <c r="S1356">
        <v>446.2</v>
      </c>
      <c r="T1356">
        <v>350</v>
      </c>
      <c r="U1356">
        <f>SUMIF(货件明细!J:J,E1356,货件明细!AP:AP)</f>
        <v>0</v>
      </c>
      <c r="V1356">
        <f>IF(U1356=T1356,0,1)</f>
        <v>1</v>
      </c>
      <c r="W1356">
        <f>T1356</f>
        <v>350</v>
      </c>
      <c r="X1356">
        <f>SUMIF(货件明细!J:J,E1356,货件明细!H:H)</f>
        <v>0</v>
      </c>
      <c r="Y1356">
        <f>N1356-X1356</f>
        <v>164.25</v>
      </c>
      <c r="Z1356">
        <f>SUMIF(货件明细!J:J,E1356,货件明细!I:I)</f>
        <v>0</v>
      </c>
      <c r="AA1356">
        <f>IF(S1356=Z1356,0,1)</f>
        <v>1</v>
      </c>
    </row>
    <row r="1357" hidden="1" spans="1:27">
      <c r="A1357">
        <v>3</v>
      </c>
      <c r="B1357">
        <v>11</v>
      </c>
      <c r="C1357" s="3">
        <v>46094</v>
      </c>
      <c r="D1357" t="s">
        <v>27</v>
      </c>
      <c r="E1357" t="s">
        <v>1475</v>
      </c>
      <c r="F1357" t="s">
        <v>239</v>
      </c>
      <c r="G1357" t="s">
        <v>72</v>
      </c>
      <c r="H1357" t="s">
        <v>39</v>
      </c>
      <c r="I1357" t="s">
        <v>63</v>
      </c>
      <c r="J1357" t="s">
        <v>63</v>
      </c>
      <c r="K1357" t="s">
        <v>64</v>
      </c>
      <c r="L1357" t="s">
        <v>147</v>
      </c>
      <c r="M1357" t="s">
        <v>425</v>
      </c>
      <c r="N1357">
        <v>164.25</v>
      </c>
      <c r="O1357">
        <v>25</v>
      </c>
      <c r="P1357">
        <v>504</v>
      </c>
      <c r="Q1357">
        <v>529</v>
      </c>
      <c r="R1357">
        <v>0</v>
      </c>
      <c r="S1357">
        <v>529</v>
      </c>
      <c r="T1357">
        <v>350</v>
      </c>
      <c r="U1357">
        <f>SUMIF(货件明细!J:J,E1357,货件明细!AP:AP)</f>
        <v>0</v>
      </c>
      <c r="V1357">
        <f>IF(U1357=T1357,0,1)</f>
        <v>1</v>
      </c>
      <c r="W1357">
        <f>T1357</f>
        <v>350</v>
      </c>
      <c r="X1357">
        <f>SUMIF(货件明细!J:J,E1357,货件明细!H:H)</f>
        <v>0</v>
      </c>
      <c r="Y1357">
        <f>N1357-X1357</f>
        <v>164.25</v>
      </c>
      <c r="Z1357">
        <f>SUMIF(货件明细!J:J,E1357,货件明细!I:I)</f>
        <v>0</v>
      </c>
      <c r="AA1357">
        <f>IF(S1357=Z1357,0,1)</f>
        <v>1</v>
      </c>
    </row>
    <row r="1358" hidden="1" spans="1:27">
      <c r="A1358">
        <v>3</v>
      </c>
      <c r="B1358">
        <v>11</v>
      </c>
      <c r="C1358" s="3">
        <v>46094</v>
      </c>
      <c r="D1358" t="s">
        <v>27</v>
      </c>
      <c r="E1358" t="s">
        <v>1476</v>
      </c>
      <c r="F1358" t="s">
        <v>138</v>
      </c>
      <c r="G1358" t="s">
        <v>69</v>
      </c>
      <c r="H1358" t="s">
        <v>31</v>
      </c>
      <c r="I1358" t="s">
        <v>92</v>
      </c>
      <c r="J1358" t="s">
        <v>92</v>
      </c>
      <c r="K1358" t="s">
        <v>64</v>
      </c>
      <c r="L1358" t="s">
        <v>65</v>
      </c>
      <c r="M1358" t="s">
        <v>93</v>
      </c>
      <c r="N1358">
        <v>23.75</v>
      </c>
      <c r="O1358">
        <v>6.6</v>
      </c>
      <c r="P1358">
        <v>142</v>
      </c>
      <c r="Q1358">
        <v>148.6</v>
      </c>
      <c r="R1358">
        <v>0</v>
      </c>
      <c r="S1358">
        <v>148.6</v>
      </c>
      <c r="T1358">
        <v>127</v>
      </c>
      <c r="U1358">
        <f>SUMIF(货件明细!J:J,E1358,货件明细!AP:AP)</f>
        <v>0</v>
      </c>
      <c r="V1358">
        <f>IF(U1358=T1358,0,1)</f>
        <v>1</v>
      </c>
      <c r="W1358">
        <f>T1358</f>
        <v>127</v>
      </c>
      <c r="X1358">
        <f>SUMIF(货件明细!J:J,E1358,货件明细!H:H)</f>
        <v>0</v>
      </c>
      <c r="Y1358">
        <f>N1358-X1358</f>
        <v>23.75</v>
      </c>
      <c r="Z1358">
        <f>SUMIF(货件明细!J:J,E1358,货件明细!I:I)</f>
        <v>0</v>
      </c>
      <c r="AA1358">
        <f>IF(S1358=Z1358,0,1)</f>
        <v>1</v>
      </c>
    </row>
    <row r="1359" hidden="1" spans="1:27">
      <c r="A1359">
        <v>3</v>
      </c>
      <c r="B1359">
        <v>11</v>
      </c>
      <c r="C1359" s="3">
        <v>46094</v>
      </c>
      <c r="D1359" t="s">
        <v>27</v>
      </c>
      <c r="E1359" t="s">
        <v>1477</v>
      </c>
      <c r="F1359" t="s">
        <v>200</v>
      </c>
      <c r="G1359" t="s">
        <v>30</v>
      </c>
      <c r="H1359" t="s">
        <v>31</v>
      </c>
      <c r="I1359" t="s">
        <v>92</v>
      </c>
      <c r="J1359" t="s">
        <v>92</v>
      </c>
      <c r="K1359" t="s">
        <v>64</v>
      </c>
      <c r="L1359" t="s">
        <v>65</v>
      </c>
      <c r="M1359" t="s">
        <v>93</v>
      </c>
      <c r="N1359">
        <v>23.75</v>
      </c>
      <c r="O1359">
        <v>6.6</v>
      </c>
      <c r="P1359">
        <v>162</v>
      </c>
      <c r="Q1359">
        <v>168.6</v>
      </c>
      <c r="R1359">
        <v>0</v>
      </c>
      <c r="S1359">
        <v>168.6</v>
      </c>
      <c r="T1359">
        <v>127</v>
      </c>
      <c r="U1359">
        <f>SUMIF(货件明细!J:J,E1359,货件明细!AP:AP)</f>
        <v>0</v>
      </c>
      <c r="V1359">
        <f>IF(U1359=T1359,0,1)</f>
        <v>1</v>
      </c>
      <c r="W1359">
        <f>T1359</f>
        <v>127</v>
      </c>
      <c r="X1359">
        <f>SUMIF(货件明细!J:J,E1359,货件明细!H:H)</f>
        <v>0</v>
      </c>
      <c r="Y1359">
        <f>N1359-X1359</f>
        <v>23.75</v>
      </c>
      <c r="Z1359">
        <f>SUMIF(货件明细!J:J,E1359,货件明细!I:I)</f>
        <v>0</v>
      </c>
      <c r="AA1359">
        <f>IF(S1359=Z1359,0,1)</f>
        <v>1</v>
      </c>
    </row>
    <row r="1360" hidden="1" spans="1:27">
      <c r="A1360">
        <v>3</v>
      </c>
      <c r="B1360">
        <v>11</v>
      </c>
      <c r="C1360" s="3">
        <v>46094</v>
      </c>
      <c r="D1360" t="s">
        <v>27</v>
      </c>
      <c r="E1360" t="s">
        <v>1478</v>
      </c>
      <c r="F1360" t="s">
        <v>74</v>
      </c>
      <c r="G1360" t="s">
        <v>30</v>
      </c>
      <c r="H1360" t="s">
        <v>31</v>
      </c>
      <c r="I1360" t="s">
        <v>92</v>
      </c>
      <c r="J1360" t="s">
        <v>92</v>
      </c>
      <c r="K1360" t="s">
        <v>64</v>
      </c>
      <c r="L1360" t="s">
        <v>65</v>
      </c>
      <c r="M1360" t="s">
        <v>93</v>
      </c>
      <c r="N1360">
        <v>23.75</v>
      </c>
      <c r="O1360">
        <v>6.6</v>
      </c>
      <c r="P1360">
        <v>169</v>
      </c>
      <c r="Q1360">
        <v>175.6</v>
      </c>
      <c r="R1360">
        <v>0</v>
      </c>
      <c r="S1360">
        <v>175.6</v>
      </c>
      <c r="T1360">
        <v>127</v>
      </c>
      <c r="U1360">
        <f>SUMIF(货件明细!J:J,E1360,货件明细!AP:AP)</f>
        <v>0</v>
      </c>
      <c r="V1360">
        <f>IF(U1360=T1360,0,1)</f>
        <v>1</v>
      </c>
      <c r="W1360">
        <f>T1360</f>
        <v>127</v>
      </c>
      <c r="X1360">
        <f>SUMIF(货件明细!J:J,E1360,货件明细!H:H)</f>
        <v>0</v>
      </c>
      <c r="Y1360">
        <f>N1360-X1360</f>
        <v>23.75</v>
      </c>
      <c r="Z1360">
        <f>SUMIF(货件明细!J:J,E1360,货件明细!I:I)</f>
        <v>0</v>
      </c>
      <c r="AA1360">
        <f>IF(S1360=Z1360,0,1)</f>
        <v>1</v>
      </c>
    </row>
    <row r="1361" hidden="1" spans="1:27">
      <c r="A1361">
        <v>3</v>
      </c>
      <c r="B1361">
        <v>11</v>
      </c>
      <c r="C1361" s="3">
        <v>46094</v>
      </c>
      <c r="D1361" t="s">
        <v>27</v>
      </c>
      <c r="E1361" t="s">
        <v>1479</v>
      </c>
      <c r="F1361" t="s">
        <v>76</v>
      </c>
      <c r="G1361" t="s">
        <v>72</v>
      </c>
      <c r="H1361" t="s">
        <v>31</v>
      </c>
      <c r="I1361" t="s">
        <v>92</v>
      </c>
      <c r="J1361" t="s">
        <v>92</v>
      </c>
      <c r="K1361" t="s">
        <v>64</v>
      </c>
      <c r="L1361" t="s">
        <v>65</v>
      </c>
      <c r="M1361" t="s">
        <v>93</v>
      </c>
      <c r="N1361">
        <v>23.75</v>
      </c>
      <c r="O1361">
        <v>6.6</v>
      </c>
      <c r="P1361">
        <v>105</v>
      </c>
      <c r="Q1361">
        <v>111.6</v>
      </c>
      <c r="R1361">
        <v>0</v>
      </c>
      <c r="S1361">
        <v>111.6</v>
      </c>
      <c r="T1361">
        <v>127</v>
      </c>
      <c r="U1361">
        <f>SUMIF(货件明细!J:J,E1361,货件明细!AP:AP)</f>
        <v>0</v>
      </c>
      <c r="V1361">
        <f>IF(U1361=T1361,0,1)</f>
        <v>1</v>
      </c>
      <c r="W1361">
        <f>T1361</f>
        <v>127</v>
      </c>
      <c r="X1361">
        <f>SUMIF(货件明细!J:J,E1361,货件明细!H:H)</f>
        <v>0</v>
      </c>
      <c r="Y1361">
        <f>N1361-X1361</f>
        <v>23.75</v>
      </c>
      <c r="Z1361">
        <f>SUMIF(货件明细!J:J,E1361,货件明细!I:I)</f>
        <v>0</v>
      </c>
      <c r="AA1361">
        <f>IF(S1361=Z1361,0,1)</f>
        <v>1</v>
      </c>
    </row>
    <row r="1362" hidden="1" spans="1:27">
      <c r="A1362">
        <v>3</v>
      </c>
      <c r="B1362">
        <v>11</v>
      </c>
      <c r="C1362" s="3">
        <v>46094</v>
      </c>
      <c r="D1362" t="s">
        <v>27</v>
      </c>
      <c r="E1362" t="s">
        <v>1480</v>
      </c>
      <c r="F1362" t="s">
        <v>239</v>
      </c>
      <c r="G1362" t="s">
        <v>72</v>
      </c>
      <c r="H1362" t="s">
        <v>31</v>
      </c>
      <c r="I1362" t="s">
        <v>92</v>
      </c>
      <c r="J1362" t="s">
        <v>92</v>
      </c>
      <c r="K1362" t="s">
        <v>64</v>
      </c>
      <c r="L1362" t="s">
        <v>65</v>
      </c>
      <c r="M1362" t="s">
        <v>93</v>
      </c>
      <c r="N1362">
        <v>23.75</v>
      </c>
      <c r="O1362">
        <v>6.6</v>
      </c>
      <c r="P1362">
        <v>114.5</v>
      </c>
      <c r="Q1362">
        <v>121.1</v>
      </c>
      <c r="R1362">
        <v>0</v>
      </c>
      <c r="S1362">
        <v>121.1</v>
      </c>
      <c r="T1362">
        <v>127</v>
      </c>
      <c r="U1362">
        <f>SUMIF(货件明细!J:J,E1362,货件明细!AP:AP)</f>
        <v>0</v>
      </c>
      <c r="V1362">
        <f>IF(U1362=T1362,0,1)</f>
        <v>1</v>
      </c>
      <c r="W1362">
        <f>T1362</f>
        <v>127</v>
      </c>
      <c r="X1362">
        <f>SUMIF(货件明细!J:J,E1362,货件明细!H:H)</f>
        <v>0</v>
      </c>
      <c r="Y1362">
        <f>N1362-X1362</f>
        <v>23.75</v>
      </c>
      <c r="Z1362">
        <f>SUMIF(货件明细!J:J,E1362,货件明细!I:I)</f>
        <v>0</v>
      </c>
      <c r="AA1362">
        <f>IF(S1362=Z1362,0,1)</f>
        <v>1</v>
      </c>
    </row>
    <row r="1363" hidden="1" spans="1:27">
      <c r="A1363">
        <v>3</v>
      </c>
      <c r="B1363">
        <v>11</v>
      </c>
      <c r="C1363" s="3">
        <v>46094</v>
      </c>
      <c r="D1363" t="s">
        <v>27</v>
      </c>
      <c r="E1363" t="s">
        <v>1481</v>
      </c>
      <c r="F1363" t="s">
        <v>138</v>
      </c>
      <c r="G1363" t="s">
        <v>69</v>
      </c>
      <c r="H1363" t="s">
        <v>51</v>
      </c>
      <c r="I1363" t="s">
        <v>92</v>
      </c>
      <c r="J1363" t="s">
        <v>92</v>
      </c>
      <c r="K1363" t="s">
        <v>64</v>
      </c>
      <c r="L1363" t="s">
        <v>65</v>
      </c>
      <c r="M1363" t="s">
        <v>93</v>
      </c>
      <c r="N1363">
        <v>40</v>
      </c>
      <c r="O1363">
        <v>6.6</v>
      </c>
      <c r="P1363">
        <v>269.8</v>
      </c>
      <c r="Q1363">
        <v>276.4</v>
      </c>
      <c r="R1363">
        <v>0</v>
      </c>
      <c r="S1363">
        <v>276.4</v>
      </c>
      <c r="T1363">
        <v>166</v>
      </c>
      <c r="U1363">
        <f>SUMIF(货件明细!J:J,E1363,货件明细!AP:AP)</f>
        <v>0</v>
      </c>
      <c r="V1363">
        <f>IF(U1363=T1363,0,1)</f>
        <v>1</v>
      </c>
      <c r="W1363">
        <f>T1363</f>
        <v>166</v>
      </c>
      <c r="X1363">
        <f>SUMIF(货件明细!J:J,E1363,货件明细!H:H)</f>
        <v>0</v>
      </c>
      <c r="Y1363">
        <f>N1363-X1363</f>
        <v>40</v>
      </c>
      <c r="Z1363">
        <f>SUMIF(货件明细!J:J,E1363,货件明细!I:I)</f>
        <v>0</v>
      </c>
      <c r="AA1363">
        <f>IF(S1363=Z1363,0,1)</f>
        <v>1</v>
      </c>
    </row>
    <row r="1364" hidden="1" spans="1:27">
      <c r="A1364">
        <v>3</v>
      </c>
      <c r="B1364">
        <v>11</v>
      </c>
      <c r="C1364" s="3">
        <v>46094</v>
      </c>
      <c r="D1364" t="s">
        <v>27</v>
      </c>
      <c r="E1364" t="s">
        <v>1482</v>
      </c>
      <c r="F1364" t="s">
        <v>200</v>
      </c>
      <c r="G1364" t="s">
        <v>30</v>
      </c>
      <c r="H1364" t="s">
        <v>51</v>
      </c>
      <c r="I1364" t="s">
        <v>92</v>
      </c>
      <c r="J1364" t="s">
        <v>92</v>
      </c>
      <c r="K1364" t="s">
        <v>64</v>
      </c>
      <c r="L1364" t="s">
        <v>65</v>
      </c>
      <c r="M1364" t="s">
        <v>93</v>
      </c>
      <c r="N1364">
        <v>40</v>
      </c>
      <c r="O1364">
        <v>6.6</v>
      </c>
      <c r="P1364">
        <v>307.8</v>
      </c>
      <c r="Q1364">
        <v>314.4</v>
      </c>
      <c r="R1364">
        <v>0</v>
      </c>
      <c r="S1364">
        <v>314.4</v>
      </c>
      <c r="T1364">
        <v>166</v>
      </c>
      <c r="U1364">
        <f>SUMIF(货件明细!J:J,E1364,货件明细!AP:AP)</f>
        <v>0</v>
      </c>
      <c r="V1364">
        <f>IF(U1364=T1364,0,1)</f>
        <v>1</v>
      </c>
      <c r="W1364">
        <f>T1364</f>
        <v>166</v>
      </c>
      <c r="X1364">
        <f>SUMIF(货件明细!J:J,E1364,货件明细!H:H)</f>
        <v>0</v>
      </c>
      <c r="Y1364">
        <f>N1364-X1364</f>
        <v>40</v>
      </c>
      <c r="Z1364">
        <f>SUMIF(货件明细!J:J,E1364,货件明细!I:I)</f>
        <v>0</v>
      </c>
      <c r="AA1364">
        <f>IF(S1364=Z1364,0,1)</f>
        <v>1</v>
      </c>
    </row>
    <row r="1365" hidden="1" spans="1:27">
      <c r="A1365">
        <v>3</v>
      </c>
      <c r="B1365">
        <v>11</v>
      </c>
      <c r="C1365" s="3">
        <v>46094</v>
      </c>
      <c r="D1365" t="s">
        <v>27</v>
      </c>
      <c r="E1365" t="s">
        <v>1483</v>
      </c>
      <c r="F1365" t="s">
        <v>74</v>
      </c>
      <c r="G1365" t="s">
        <v>30</v>
      </c>
      <c r="H1365" t="s">
        <v>51</v>
      </c>
      <c r="I1365" t="s">
        <v>92</v>
      </c>
      <c r="J1365" t="s">
        <v>92</v>
      </c>
      <c r="K1365" t="s">
        <v>64</v>
      </c>
      <c r="L1365" t="s">
        <v>65</v>
      </c>
      <c r="M1365" t="s">
        <v>93</v>
      </c>
      <c r="N1365">
        <v>40</v>
      </c>
      <c r="O1365">
        <v>6.6</v>
      </c>
      <c r="P1365">
        <v>321.1</v>
      </c>
      <c r="Q1365">
        <v>327.7</v>
      </c>
      <c r="R1365">
        <v>0</v>
      </c>
      <c r="S1365">
        <v>327.7</v>
      </c>
      <c r="T1365">
        <v>166</v>
      </c>
      <c r="U1365">
        <f>SUMIF(货件明细!J:J,E1365,货件明细!AP:AP)</f>
        <v>0</v>
      </c>
      <c r="V1365">
        <f>IF(U1365=T1365,0,1)</f>
        <v>1</v>
      </c>
      <c r="W1365">
        <f>T1365</f>
        <v>166</v>
      </c>
      <c r="X1365">
        <f>SUMIF(货件明细!J:J,E1365,货件明细!H:H)</f>
        <v>0</v>
      </c>
      <c r="Y1365">
        <f>N1365-X1365</f>
        <v>40</v>
      </c>
      <c r="Z1365">
        <f>SUMIF(货件明细!J:J,E1365,货件明细!I:I)</f>
        <v>0</v>
      </c>
      <c r="AA1365">
        <f>IF(S1365=Z1365,0,1)</f>
        <v>1</v>
      </c>
    </row>
    <row r="1366" hidden="1" spans="1:27">
      <c r="A1366">
        <v>3</v>
      </c>
      <c r="B1366">
        <v>11</v>
      </c>
      <c r="C1366" s="3">
        <v>46094</v>
      </c>
      <c r="D1366" t="s">
        <v>27</v>
      </c>
      <c r="E1366" t="s">
        <v>1484</v>
      </c>
      <c r="F1366" t="s">
        <v>76</v>
      </c>
      <c r="G1366" t="s">
        <v>72</v>
      </c>
      <c r="H1366" t="s">
        <v>51</v>
      </c>
      <c r="I1366" t="s">
        <v>92</v>
      </c>
      <c r="J1366" t="s">
        <v>92</v>
      </c>
      <c r="K1366" t="s">
        <v>64</v>
      </c>
      <c r="L1366" t="s">
        <v>65</v>
      </c>
      <c r="M1366" t="s">
        <v>93</v>
      </c>
      <c r="N1366">
        <v>40</v>
      </c>
      <c r="O1366">
        <v>6.6</v>
      </c>
      <c r="P1366">
        <v>210</v>
      </c>
      <c r="Q1366">
        <v>216.6</v>
      </c>
      <c r="R1366">
        <v>0</v>
      </c>
      <c r="S1366">
        <v>216.6</v>
      </c>
      <c r="T1366">
        <v>166</v>
      </c>
      <c r="U1366">
        <f>SUMIF(货件明细!J:J,E1366,货件明细!AP:AP)</f>
        <v>0</v>
      </c>
      <c r="V1366">
        <f>IF(U1366=T1366,0,1)</f>
        <v>1</v>
      </c>
      <c r="W1366">
        <f>T1366</f>
        <v>166</v>
      </c>
      <c r="X1366">
        <f>SUMIF(货件明细!J:J,E1366,货件明细!H:H)</f>
        <v>0</v>
      </c>
      <c r="Y1366">
        <f>N1366-X1366</f>
        <v>40</v>
      </c>
      <c r="Z1366">
        <f>SUMIF(货件明细!J:J,E1366,货件明细!I:I)</f>
        <v>0</v>
      </c>
      <c r="AA1366">
        <f>IF(S1366=Z1366,0,1)</f>
        <v>1</v>
      </c>
    </row>
    <row r="1367" hidden="1" spans="1:27">
      <c r="A1367">
        <v>3</v>
      </c>
      <c r="B1367">
        <v>11</v>
      </c>
      <c r="C1367" s="3">
        <v>46094</v>
      </c>
      <c r="D1367" t="s">
        <v>27</v>
      </c>
      <c r="E1367" t="s">
        <v>1485</v>
      </c>
      <c r="F1367" t="s">
        <v>239</v>
      </c>
      <c r="G1367" t="s">
        <v>72</v>
      </c>
      <c r="H1367" t="s">
        <v>51</v>
      </c>
      <c r="I1367" t="s">
        <v>92</v>
      </c>
      <c r="J1367" t="s">
        <v>92</v>
      </c>
      <c r="K1367" t="s">
        <v>64</v>
      </c>
      <c r="L1367" t="s">
        <v>65</v>
      </c>
      <c r="M1367" t="s">
        <v>93</v>
      </c>
      <c r="N1367">
        <v>40</v>
      </c>
      <c r="O1367">
        <v>6.6</v>
      </c>
      <c r="P1367">
        <v>217.55</v>
      </c>
      <c r="Q1367">
        <v>224.15</v>
      </c>
      <c r="R1367">
        <v>0</v>
      </c>
      <c r="S1367">
        <v>224.15</v>
      </c>
      <c r="T1367">
        <v>166</v>
      </c>
      <c r="U1367">
        <f>SUMIF(货件明细!J:J,E1367,货件明细!AP:AP)</f>
        <v>0</v>
      </c>
      <c r="V1367">
        <f>IF(U1367=T1367,0,1)</f>
        <v>1</v>
      </c>
      <c r="W1367">
        <f>T1367</f>
        <v>166</v>
      </c>
      <c r="X1367">
        <f>SUMIF(货件明细!J:J,E1367,货件明细!H:H)</f>
        <v>0</v>
      </c>
      <c r="Y1367">
        <f>N1367-X1367</f>
        <v>40</v>
      </c>
      <c r="Z1367">
        <f>SUMIF(货件明细!J:J,E1367,货件明细!I:I)</f>
        <v>0</v>
      </c>
      <c r="AA1367">
        <f>IF(S1367=Z1367,0,1)</f>
        <v>1</v>
      </c>
    </row>
    <row r="1368" hidden="1" spans="1:27">
      <c r="A1368">
        <v>3</v>
      </c>
      <c r="B1368">
        <v>11</v>
      </c>
      <c r="C1368" s="3">
        <v>46094</v>
      </c>
      <c r="D1368" t="s">
        <v>27</v>
      </c>
      <c r="E1368" t="s">
        <v>1486</v>
      </c>
      <c r="F1368" t="s">
        <v>138</v>
      </c>
      <c r="G1368" t="s">
        <v>69</v>
      </c>
      <c r="H1368" t="s">
        <v>39</v>
      </c>
      <c r="I1368" t="s">
        <v>92</v>
      </c>
      <c r="J1368" t="s">
        <v>92</v>
      </c>
      <c r="K1368" t="s">
        <v>64</v>
      </c>
      <c r="L1368" t="s">
        <v>65</v>
      </c>
      <c r="M1368" t="s">
        <v>93</v>
      </c>
      <c r="N1368">
        <v>208.75</v>
      </c>
      <c r="O1368">
        <v>6.6</v>
      </c>
      <c r="P1368">
        <v>1022.4</v>
      </c>
      <c r="Q1368">
        <v>1029</v>
      </c>
      <c r="R1368">
        <v>0</v>
      </c>
      <c r="S1368">
        <v>1029</v>
      </c>
      <c r="T1368">
        <v>464</v>
      </c>
      <c r="U1368">
        <f>SUMIF(货件明细!J:J,E1368,货件明细!AP:AP)</f>
        <v>0</v>
      </c>
      <c r="V1368">
        <f>IF(U1368=T1368,0,1)</f>
        <v>1</v>
      </c>
      <c r="W1368">
        <f>T1368</f>
        <v>464</v>
      </c>
      <c r="X1368">
        <f>SUMIF(货件明细!J:J,E1368,货件明细!H:H)</f>
        <v>0</v>
      </c>
      <c r="Y1368">
        <f>N1368-X1368</f>
        <v>208.75</v>
      </c>
      <c r="Z1368">
        <f>SUMIF(货件明细!J:J,E1368,货件明细!I:I)</f>
        <v>0</v>
      </c>
      <c r="AA1368">
        <f>IF(S1368=Z1368,0,1)</f>
        <v>1</v>
      </c>
    </row>
    <row r="1369" hidden="1" spans="1:27">
      <c r="A1369">
        <v>3</v>
      </c>
      <c r="B1369">
        <v>11</v>
      </c>
      <c r="C1369" s="3">
        <v>46094</v>
      </c>
      <c r="D1369" t="s">
        <v>27</v>
      </c>
      <c r="E1369" t="s">
        <v>1487</v>
      </c>
      <c r="F1369" t="s">
        <v>200</v>
      </c>
      <c r="G1369" t="s">
        <v>30</v>
      </c>
      <c r="H1369" t="s">
        <v>39</v>
      </c>
      <c r="I1369" t="s">
        <v>92</v>
      </c>
      <c r="J1369" t="s">
        <v>92</v>
      </c>
      <c r="K1369" t="s">
        <v>64</v>
      </c>
      <c r="L1369" t="s">
        <v>65</v>
      </c>
      <c r="M1369" t="s">
        <v>93</v>
      </c>
      <c r="N1369">
        <v>208.75</v>
      </c>
      <c r="O1369">
        <v>6.6</v>
      </c>
      <c r="P1369">
        <v>1182.6</v>
      </c>
      <c r="Q1369">
        <v>1189.2</v>
      </c>
      <c r="R1369">
        <v>0</v>
      </c>
      <c r="S1369">
        <v>1189.2</v>
      </c>
      <c r="T1369">
        <v>464</v>
      </c>
      <c r="U1369">
        <f>SUMIF(货件明细!J:J,E1369,货件明细!AP:AP)</f>
        <v>0</v>
      </c>
      <c r="V1369">
        <f>IF(U1369=T1369,0,1)</f>
        <v>1</v>
      </c>
      <c r="W1369">
        <f>T1369</f>
        <v>464</v>
      </c>
      <c r="X1369">
        <f>SUMIF(货件明细!J:J,E1369,货件明细!H:H)</f>
        <v>0</v>
      </c>
      <c r="Y1369">
        <f>N1369-X1369</f>
        <v>208.75</v>
      </c>
      <c r="Z1369">
        <f>SUMIF(货件明细!J:J,E1369,货件明细!I:I)</f>
        <v>0</v>
      </c>
      <c r="AA1369">
        <f>IF(S1369=Z1369,0,1)</f>
        <v>1</v>
      </c>
    </row>
    <row r="1370" hidden="1" spans="1:27">
      <c r="A1370">
        <v>3</v>
      </c>
      <c r="B1370">
        <v>11</v>
      </c>
      <c r="C1370" s="3">
        <v>46094</v>
      </c>
      <c r="D1370" t="s">
        <v>27</v>
      </c>
      <c r="E1370" t="s">
        <v>1488</v>
      </c>
      <c r="F1370" t="s">
        <v>74</v>
      </c>
      <c r="G1370" t="s">
        <v>30</v>
      </c>
      <c r="H1370" t="s">
        <v>39</v>
      </c>
      <c r="I1370" t="s">
        <v>92</v>
      </c>
      <c r="J1370" t="s">
        <v>92</v>
      </c>
      <c r="K1370" t="s">
        <v>64</v>
      </c>
      <c r="L1370" t="s">
        <v>65</v>
      </c>
      <c r="M1370" t="s">
        <v>93</v>
      </c>
      <c r="N1370">
        <v>208.75</v>
      </c>
      <c r="O1370">
        <v>6.6</v>
      </c>
      <c r="P1370">
        <v>1216.8</v>
      </c>
      <c r="Q1370">
        <v>1223.4</v>
      </c>
      <c r="R1370">
        <v>0</v>
      </c>
      <c r="S1370">
        <v>1223.4</v>
      </c>
      <c r="T1370">
        <v>464</v>
      </c>
      <c r="U1370">
        <f>SUMIF(货件明细!J:J,E1370,货件明细!AP:AP)</f>
        <v>0</v>
      </c>
      <c r="V1370">
        <f>IF(U1370=T1370,0,1)</f>
        <v>1</v>
      </c>
      <c r="W1370">
        <f>T1370</f>
        <v>464</v>
      </c>
      <c r="X1370">
        <f>SUMIF(货件明细!J:J,E1370,货件明细!H:H)</f>
        <v>0</v>
      </c>
      <c r="Y1370">
        <f>N1370-X1370</f>
        <v>208.75</v>
      </c>
      <c r="Z1370">
        <f>SUMIF(货件明细!J:J,E1370,货件明细!I:I)</f>
        <v>0</v>
      </c>
      <c r="AA1370">
        <f>IF(S1370=Z1370,0,1)</f>
        <v>1</v>
      </c>
    </row>
    <row r="1371" hidden="1" spans="1:27">
      <c r="A1371">
        <v>3</v>
      </c>
      <c r="B1371">
        <v>11</v>
      </c>
      <c r="C1371" s="3">
        <v>46094</v>
      </c>
      <c r="D1371" t="s">
        <v>27</v>
      </c>
      <c r="E1371" t="s">
        <v>1489</v>
      </c>
      <c r="F1371" t="s">
        <v>76</v>
      </c>
      <c r="G1371" t="s">
        <v>72</v>
      </c>
      <c r="H1371" t="s">
        <v>39</v>
      </c>
      <c r="I1371" t="s">
        <v>92</v>
      </c>
      <c r="J1371" t="s">
        <v>92</v>
      </c>
      <c r="K1371" t="s">
        <v>64</v>
      </c>
      <c r="L1371" t="s">
        <v>65</v>
      </c>
      <c r="M1371" t="s">
        <v>93</v>
      </c>
      <c r="N1371">
        <v>208.75</v>
      </c>
      <c r="O1371">
        <v>6.6</v>
      </c>
      <c r="P1371">
        <v>766.5</v>
      </c>
      <c r="Q1371">
        <v>773.1</v>
      </c>
      <c r="R1371">
        <v>0</v>
      </c>
      <c r="S1371">
        <v>773.1</v>
      </c>
      <c r="T1371">
        <v>464</v>
      </c>
      <c r="U1371">
        <f>SUMIF(货件明细!J:J,E1371,货件明细!AP:AP)</f>
        <v>0</v>
      </c>
      <c r="V1371">
        <f>IF(U1371=T1371,0,1)</f>
        <v>1</v>
      </c>
      <c r="W1371">
        <f>T1371</f>
        <v>464</v>
      </c>
      <c r="X1371">
        <f>SUMIF(货件明细!J:J,E1371,货件明细!H:H)</f>
        <v>0</v>
      </c>
      <c r="Y1371">
        <f>N1371-X1371</f>
        <v>208.75</v>
      </c>
      <c r="Z1371">
        <f>SUMIF(货件明细!J:J,E1371,货件明细!I:I)</f>
        <v>0</v>
      </c>
      <c r="AA1371">
        <f>IF(S1371=Z1371,0,1)</f>
        <v>1</v>
      </c>
    </row>
    <row r="1372" hidden="1" spans="1:27">
      <c r="A1372">
        <v>3</v>
      </c>
      <c r="B1372">
        <v>11</v>
      </c>
      <c r="C1372" s="3">
        <v>46094</v>
      </c>
      <c r="D1372" t="s">
        <v>27</v>
      </c>
      <c r="E1372" t="s">
        <v>1490</v>
      </c>
      <c r="F1372" t="s">
        <v>239</v>
      </c>
      <c r="G1372" t="s">
        <v>72</v>
      </c>
      <c r="H1372" t="s">
        <v>39</v>
      </c>
      <c r="I1372" t="s">
        <v>92</v>
      </c>
      <c r="J1372" t="s">
        <v>92</v>
      </c>
      <c r="K1372" t="s">
        <v>64</v>
      </c>
      <c r="L1372" t="s">
        <v>65</v>
      </c>
      <c r="M1372" t="s">
        <v>93</v>
      </c>
      <c r="N1372">
        <v>208.75</v>
      </c>
      <c r="O1372">
        <v>6.6</v>
      </c>
      <c r="P1372">
        <v>835.85</v>
      </c>
      <c r="Q1372">
        <v>842.45</v>
      </c>
      <c r="R1372">
        <v>0</v>
      </c>
      <c r="S1372">
        <v>842.45</v>
      </c>
      <c r="T1372">
        <v>464</v>
      </c>
      <c r="U1372">
        <f>SUMIF(货件明细!J:J,E1372,货件明细!AP:AP)</f>
        <v>0</v>
      </c>
      <c r="V1372">
        <f>IF(U1372=T1372,0,1)</f>
        <v>1</v>
      </c>
      <c r="W1372">
        <f>T1372</f>
        <v>464</v>
      </c>
      <c r="X1372">
        <f>SUMIF(货件明细!J:J,E1372,货件明细!H:H)</f>
        <v>0</v>
      </c>
      <c r="Y1372">
        <f>N1372-X1372</f>
        <v>208.75</v>
      </c>
      <c r="Z1372">
        <f>SUMIF(货件明细!J:J,E1372,货件明细!I:I)</f>
        <v>0</v>
      </c>
      <c r="AA1372">
        <f>IF(S1372=Z1372,0,1)</f>
        <v>1</v>
      </c>
    </row>
    <row r="1373" hidden="1" spans="1:27">
      <c r="A1373">
        <v>3</v>
      </c>
      <c r="B1373">
        <v>11</v>
      </c>
      <c r="C1373" s="3">
        <v>46094</v>
      </c>
      <c r="D1373" t="s">
        <v>27</v>
      </c>
      <c r="E1373" t="s">
        <v>1491</v>
      </c>
      <c r="F1373" t="s">
        <v>138</v>
      </c>
      <c r="G1373" t="s">
        <v>69</v>
      </c>
      <c r="H1373" t="s">
        <v>51</v>
      </c>
      <c r="I1373" t="s">
        <v>92</v>
      </c>
      <c r="J1373" t="s">
        <v>92</v>
      </c>
      <c r="K1373" t="s">
        <v>64</v>
      </c>
      <c r="L1373" t="s">
        <v>65</v>
      </c>
      <c r="M1373" t="s">
        <v>93</v>
      </c>
      <c r="N1373">
        <v>17.9</v>
      </c>
      <c r="O1373">
        <v>6.6</v>
      </c>
      <c r="P1373">
        <v>85.2</v>
      </c>
      <c r="Q1373">
        <v>91.8</v>
      </c>
      <c r="R1373">
        <v>0</v>
      </c>
      <c r="S1373">
        <v>91.8</v>
      </c>
      <c r="T1373">
        <v>100</v>
      </c>
      <c r="U1373">
        <f>SUMIF(货件明细!J:J,E1373,货件明细!AP:AP)</f>
        <v>0</v>
      </c>
      <c r="V1373">
        <f>IF(U1373=T1373,0,1)</f>
        <v>1</v>
      </c>
      <c r="W1373">
        <f>T1373</f>
        <v>100</v>
      </c>
      <c r="X1373">
        <f>SUMIF(货件明细!J:J,E1373,货件明细!H:H)</f>
        <v>0</v>
      </c>
      <c r="Y1373">
        <f>N1373-X1373</f>
        <v>17.9</v>
      </c>
      <c r="Z1373">
        <f>SUMIF(货件明细!J:J,E1373,货件明细!I:I)</f>
        <v>0</v>
      </c>
      <c r="AA1373">
        <f>IF(S1373=Z1373,0,1)</f>
        <v>1</v>
      </c>
    </row>
    <row r="1374" hidden="1" spans="1:27">
      <c r="A1374">
        <v>3</v>
      </c>
      <c r="B1374">
        <v>11</v>
      </c>
      <c r="C1374" s="3">
        <v>46094</v>
      </c>
      <c r="D1374" t="s">
        <v>27</v>
      </c>
      <c r="E1374" t="s">
        <v>1492</v>
      </c>
      <c r="F1374" t="s">
        <v>200</v>
      </c>
      <c r="G1374" t="s">
        <v>30</v>
      </c>
      <c r="H1374" t="s">
        <v>51</v>
      </c>
      <c r="I1374" t="s">
        <v>92</v>
      </c>
      <c r="J1374" t="s">
        <v>92</v>
      </c>
      <c r="K1374" t="s">
        <v>64</v>
      </c>
      <c r="L1374" t="s">
        <v>65</v>
      </c>
      <c r="M1374" t="s">
        <v>93</v>
      </c>
      <c r="N1374">
        <v>17.9</v>
      </c>
      <c r="O1374">
        <v>6.6</v>
      </c>
      <c r="P1374">
        <v>97.2</v>
      </c>
      <c r="Q1374">
        <v>103.8</v>
      </c>
      <c r="R1374">
        <v>0</v>
      </c>
      <c r="S1374">
        <v>103.8</v>
      </c>
      <c r="T1374">
        <v>100</v>
      </c>
      <c r="U1374">
        <f>SUMIF(货件明细!J:J,E1374,货件明细!AP:AP)</f>
        <v>0</v>
      </c>
      <c r="V1374">
        <f>IF(U1374=T1374,0,1)</f>
        <v>1</v>
      </c>
      <c r="W1374">
        <f>T1374</f>
        <v>100</v>
      </c>
      <c r="X1374">
        <f>SUMIF(货件明细!J:J,E1374,货件明细!H:H)</f>
        <v>0</v>
      </c>
      <c r="Y1374">
        <f>N1374-X1374</f>
        <v>17.9</v>
      </c>
      <c r="Z1374">
        <f>SUMIF(货件明细!J:J,E1374,货件明细!I:I)</f>
        <v>0</v>
      </c>
      <c r="AA1374">
        <f>IF(S1374=Z1374,0,1)</f>
        <v>1</v>
      </c>
    </row>
    <row r="1375" hidden="1" spans="1:27">
      <c r="A1375">
        <v>3</v>
      </c>
      <c r="B1375">
        <v>11</v>
      </c>
      <c r="C1375" s="3">
        <v>46094</v>
      </c>
      <c r="D1375" t="s">
        <v>27</v>
      </c>
      <c r="E1375" t="s">
        <v>1493</v>
      </c>
      <c r="F1375" t="s">
        <v>74</v>
      </c>
      <c r="G1375" t="s">
        <v>30</v>
      </c>
      <c r="H1375" t="s">
        <v>51</v>
      </c>
      <c r="I1375" t="s">
        <v>92</v>
      </c>
      <c r="J1375" t="s">
        <v>92</v>
      </c>
      <c r="K1375" t="s">
        <v>64</v>
      </c>
      <c r="L1375" t="s">
        <v>65</v>
      </c>
      <c r="M1375" t="s">
        <v>93</v>
      </c>
      <c r="N1375">
        <v>17.9</v>
      </c>
      <c r="O1375">
        <v>6.6</v>
      </c>
      <c r="P1375">
        <v>101.4</v>
      </c>
      <c r="Q1375">
        <v>108</v>
      </c>
      <c r="R1375">
        <v>0</v>
      </c>
      <c r="S1375">
        <v>108</v>
      </c>
      <c r="T1375">
        <v>100</v>
      </c>
      <c r="U1375">
        <f>SUMIF(货件明细!J:J,E1375,货件明细!AP:AP)</f>
        <v>0</v>
      </c>
      <c r="V1375">
        <f>IF(U1375=T1375,0,1)</f>
        <v>1</v>
      </c>
      <c r="W1375">
        <f>T1375</f>
        <v>100</v>
      </c>
      <c r="X1375">
        <f>SUMIF(货件明细!J:J,E1375,货件明细!H:H)</f>
        <v>0</v>
      </c>
      <c r="Y1375">
        <f>N1375-X1375</f>
        <v>17.9</v>
      </c>
      <c r="Z1375">
        <f>SUMIF(货件明细!J:J,E1375,货件明细!I:I)</f>
        <v>0</v>
      </c>
      <c r="AA1375">
        <f>IF(S1375=Z1375,0,1)</f>
        <v>1</v>
      </c>
    </row>
    <row r="1376" hidden="1" spans="1:27">
      <c r="A1376">
        <v>3</v>
      </c>
      <c r="B1376">
        <v>11</v>
      </c>
      <c r="C1376" s="3">
        <v>46094</v>
      </c>
      <c r="D1376" t="s">
        <v>27</v>
      </c>
      <c r="E1376" t="s">
        <v>1494</v>
      </c>
      <c r="F1376" t="s">
        <v>76</v>
      </c>
      <c r="G1376" t="s">
        <v>72</v>
      </c>
      <c r="H1376" t="s">
        <v>51</v>
      </c>
      <c r="I1376" t="s">
        <v>92</v>
      </c>
      <c r="J1376" t="s">
        <v>92</v>
      </c>
      <c r="K1376" t="s">
        <v>64</v>
      </c>
      <c r="L1376" t="s">
        <v>65</v>
      </c>
      <c r="M1376" t="s">
        <v>93</v>
      </c>
      <c r="N1376">
        <v>17.9</v>
      </c>
      <c r="O1376">
        <v>6.6</v>
      </c>
      <c r="P1376">
        <v>63</v>
      </c>
      <c r="Q1376">
        <v>69.6</v>
      </c>
      <c r="R1376">
        <v>0</v>
      </c>
      <c r="S1376">
        <v>69.6</v>
      </c>
      <c r="T1376">
        <v>100</v>
      </c>
      <c r="U1376">
        <f>SUMIF(货件明细!J:J,E1376,货件明细!AP:AP)</f>
        <v>0</v>
      </c>
      <c r="V1376">
        <f>IF(U1376=T1376,0,1)</f>
        <v>1</v>
      </c>
      <c r="W1376">
        <f>T1376</f>
        <v>100</v>
      </c>
      <c r="X1376">
        <f>SUMIF(货件明细!J:J,E1376,货件明细!H:H)</f>
        <v>0</v>
      </c>
      <c r="Y1376">
        <f>N1376-X1376</f>
        <v>17.9</v>
      </c>
      <c r="Z1376">
        <f>SUMIF(货件明细!J:J,E1376,货件明细!I:I)</f>
        <v>0</v>
      </c>
      <c r="AA1376">
        <f>IF(S1376=Z1376,0,1)</f>
        <v>1</v>
      </c>
    </row>
    <row r="1377" hidden="1" spans="1:27">
      <c r="A1377">
        <v>3</v>
      </c>
      <c r="B1377">
        <v>11</v>
      </c>
      <c r="C1377" s="3">
        <v>46094</v>
      </c>
      <c r="D1377" t="s">
        <v>27</v>
      </c>
      <c r="E1377" t="s">
        <v>1495</v>
      </c>
      <c r="F1377" t="s">
        <v>239</v>
      </c>
      <c r="G1377" t="s">
        <v>72</v>
      </c>
      <c r="H1377" t="s">
        <v>51</v>
      </c>
      <c r="I1377" t="s">
        <v>92</v>
      </c>
      <c r="J1377" t="s">
        <v>92</v>
      </c>
      <c r="K1377" t="s">
        <v>64</v>
      </c>
      <c r="L1377" t="s">
        <v>65</v>
      </c>
      <c r="M1377" t="s">
        <v>93</v>
      </c>
      <c r="N1377">
        <v>17.9</v>
      </c>
      <c r="O1377">
        <v>6.6</v>
      </c>
      <c r="P1377">
        <v>68.7</v>
      </c>
      <c r="Q1377">
        <v>75.3</v>
      </c>
      <c r="R1377">
        <v>0</v>
      </c>
      <c r="S1377">
        <v>75.3</v>
      </c>
      <c r="T1377">
        <v>100</v>
      </c>
      <c r="U1377">
        <f>SUMIF(货件明细!J:J,E1377,货件明细!AP:AP)</f>
        <v>0</v>
      </c>
      <c r="V1377">
        <f>IF(U1377=T1377,0,1)</f>
        <v>1</v>
      </c>
      <c r="W1377">
        <f>T1377</f>
        <v>100</v>
      </c>
      <c r="X1377">
        <f>SUMIF(货件明细!J:J,E1377,货件明细!H:H)</f>
        <v>0</v>
      </c>
      <c r="Y1377">
        <f>N1377-X1377</f>
        <v>17.9</v>
      </c>
      <c r="Z1377">
        <f>SUMIF(货件明细!J:J,E1377,货件明细!I:I)</f>
        <v>0</v>
      </c>
      <c r="AA1377">
        <f>IF(S1377=Z1377,0,1)</f>
        <v>1</v>
      </c>
    </row>
    <row r="1378" hidden="1" spans="1:27">
      <c r="A1378">
        <v>3</v>
      </c>
      <c r="B1378">
        <v>11</v>
      </c>
      <c r="C1378" s="3">
        <v>46094</v>
      </c>
      <c r="D1378" t="s">
        <v>27</v>
      </c>
      <c r="E1378" t="s">
        <v>1496</v>
      </c>
      <c r="F1378" t="s">
        <v>138</v>
      </c>
      <c r="G1378" t="s">
        <v>69</v>
      </c>
      <c r="H1378" t="s">
        <v>59</v>
      </c>
      <c r="I1378" t="s">
        <v>92</v>
      </c>
      <c r="J1378" t="s">
        <v>92</v>
      </c>
      <c r="K1378" t="s">
        <v>64</v>
      </c>
      <c r="L1378" t="s">
        <v>65</v>
      </c>
      <c r="M1378" t="s">
        <v>93</v>
      </c>
      <c r="N1378">
        <v>14</v>
      </c>
      <c r="O1378">
        <v>6.6</v>
      </c>
      <c r="P1378">
        <v>99.4</v>
      </c>
      <c r="Q1378">
        <v>106</v>
      </c>
      <c r="R1378">
        <v>0</v>
      </c>
      <c r="S1378">
        <v>106</v>
      </c>
      <c r="T1378">
        <v>153</v>
      </c>
      <c r="U1378">
        <f>SUMIF(货件明细!J:J,E1378,货件明细!AP:AP)</f>
        <v>0</v>
      </c>
      <c r="V1378">
        <f>IF(U1378=T1378,0,1)</f>
        <v>1</v>
      </c>
      <c r="W1378">
        <f>T1378</f>
        <v>153</v>
      </c>
      <c r="X1378">
        <f>SUMIF(货件明细!J:J,E1378,货件明细!H:H)</f>
        <v>0</v>
      </c>
      <c r="Y1378">
        <f>N1378-X1378</f>
        <v>14</v>
      </c>
      <c r="Z1378">
        <f>SUMIF(货件明细!J:J,E1378,货件明细!I:I)</f>
        <v>0</v>
      </c>
      <c r="AA1378">
        <f>IF(S1378=Z1378,0,1)</f>
        <v>1</v>
      </c>
    </row>
    <row r="1379" hidden="1" spans="1:27">
      <c r="A1379">
        <v>3</v>
      </c>
      <c r="B1379">
        <v>11</v>
      </c>
      <c r="C1379" s="3">
        <v>46094</v>
      </c>
      <c r="D1379" t="s">
        <v>27</v>
      </c>
      <c r="E1379" t="s">
        <v>1497</v>
      </c>
      <c r="F1379" t="s">
        <v>200</v>
      </c>
      <c r="G1379" t="s">
        <v>30</v>
      </c>
      <c r="H1379" t="s">
        <v>59</v>
      </c>
      <c r="I1379" t="s">
        <v>92</v>
      </c>
      <c r="J1379" t="s">
        <v>92</v>
      </c>
      <c r="K1379" t="s">
        <v>64</v>
      </c>
      <c r="L1379" t="s">
        <v>65</v>
      </c>
      <c r="M1379" t="s">
        <v>93</v>
      </c>
      <c r="N1379">
        <v>14</v>
      </c>
      <c r="O1379">
        <v>6.6</v>
      </c>
      <c r="P1379">
        <v>113.4</v>
      </c>
      <c r="Q1379">
        <v>120</v>
      </c>
      <c r="R1379">
        <v>0</v>
      </c>
      <c r="S1379">
        <v>120</v>
      </c>
      <c r="T1379">
        <v>153</v>
      </c>
      <c r="U1379">
        <f>SUMIF(货件明细!J:J,E1379,货件明细!AP:AP)</f>
        <v>0</v>
      </c>
      <c r="V1379">
        <f>IF(U1379=T1379,0,1)</f>
        <v>1</v>
      </c>
      <c r="W1379">
        <f>T1379</f>
        <v>153</v>
      </c>
      <c r="X1379">
        <f>SUMIF(货件明细!J:J,E1379,货件明细!H:H)</f>
        <v>0</v>
      </c>
      <c r="Y1379">
        <f>N1379-X1379</f>
        <v>14</v>
      </c>
      <c r="Z1379">
        <f>SUMIF(货件明细!J:J,E1379,货件明细!I:I)</f>
        <v>0</v>
      </c>
      <c r="AA1379">
        <f>IF(S1379=Z1379,0,1)</f>
        <v>1</v>
      </c>
    </row>
    <row r="1380" hidden="1" spans="1:27">
      <c r="A1380">
        <v>3</v>
      </c>
      <c r="B1380">
        <v>11</v>
      </c>
      <c r="C1380" s="3">
        <v>46094</v>
      </c>
      <c r="D1380" t="s">
        <v>27</v>
      </c>
      <c r="E1380" t="s">
        <v>1498</v>
      </c>
      <c r="F1380" t="s">
        <v>74</v>
      </c>
      <c r="G1380" t="s">
        <v>30</v>
      </c>
      <c r="H1380" t="s">
        <v>59</v>
      </c>
      <c r="I1380" t="s">
        <v>92</v>
      </c>
      <c r="J1380" t="s">
        <v>92</v>
      </c>
      <c r="K1380" t="s">
        <v>64</v>
      </c>
      <c r="L1380" t="s">
        <v>65</v>
      </c>
      <c r="M1380" t="s">
        <v>93</v>
      </c>
      <c r="N1380">
        <v>14</v>
      </c>
      <c r="O1380">
        <v>6.6</v>
      </c>
      <c r="P1380">
        <v>118.3</v>
      </c>
      <c r="Q1380">
        <v>124.9</v>
      </c>
      <c r="R1380">
        <v>0</v>
      </c>
      <c r="S1380">
        <v>124.9</v>
      </c>
      <c r="T1380">
        <v>153</v>
      </c>
      <c r="U1380">
        <f>SUMIF(货件明细!J:J,E1380,货件明细!AP:AP)</f>
        <v>0</v>
      </c>
      <c r="V1380">
        <f>IF(U1380=T1380,0,1)</f>
        <v>1</v>
      </c>
      <c r="W1380">
        <f>T1380</f>
        <v>153</v>
      </c>
      <c r="X1380">
        <f>SUMIF(货件明细!J:J,E1380,货件明细!H:H)</f>
        <v>0</v>
      </c>
      <c r="Y1380">
        <f>N1380-X1380</f>
        <v>14</v>
      </c>
      <c r="Z1380">
        <f>SUMIF(货件明细!J:J,E1380,货件明细!I:I)</f>
        <v>0</v>
      </c>
      <c r="AA1380">
        <f>IF(S1380=Z1380,0,1)</f>
        <v>1</v>
      </c>
    </row>
    <row r="1381" hidden="1" spans="1:27">
      <c r="A1381">
        <v>3</v>
      </c>
      <c r="B1381">
        <v>11</v>
      </c>
      <c r="C1381" s="3">
        <v>46094</v>
      </c>
      <c r="D1381" t="s">
        <v>27</v>
      </c>
      <c r="E1381" t="s">
        <v>1499</v>
      </c>
      <c r="F1381" t="s">
        <v>76</v>
      </c>
      <c r="G1381" t="s">
        <v>72</v>
      </c>
      <c r="H1381" t="s">
        <v>59</v>
      </c>
      <c r="I1381" t="s">
        <v>92</v>
      </c>
      <c r="J1381" t="s">
        <v>92</v>
      </c>
      <c r="K1381" t="s">
        <v>64</v>
      </c>
      <c r="L1381" t="s">
        <v>65</v>
      </c>
      <c r="M1381" t="s">
        <v>93</v>
      </c>
      <c r="N1381">
        <v>14</v>
      </c>
      <c r="O1381">
        <v>6.6</v>
      </c>
      <c r="P1381">
        <v>73.5</v>
      </c>
      <c r="Q1381">
        <v>80.1</v>
      </c>
      <c r="R1381">
        <v>0</v>
      </c>
      <c r="S1381">
        <v>80.1</v>
      </c>
      <c r="T1381">
        <v>153</v>
      </c>
      <c r="U1381">
        <f>SUMIF(货件明细!J:J,E1381,货件明细!AP:AP)</f>
        <v>0</v>
      </c>
      <c r="V1381">
        <f>IF(U1381=T1381,0,1)</f>
        <v>1</v>
      </c>
      <c r="W1381">
        <f>T1381</f>
        <v>153</v>
      </c>
      <c r="X1381">
        <f>SUMIF(货件明细!J:J,E1381,货件明细!H:H)</f>
        <v>0</v>
      </c>
      <c r="Y1381">
        <f>N1381-X1381</f>
        <v>14</v>
      </c>
      <c r="Z1381">
        <f>SUMIF(货件明细!J:J,E1381,货件明细!I:I)</f>
        <v>0</v>
      </c>
      <c r="AA1381">
        <f>IF(S1381=Z1381,0,1)</f>
        <v>1</v>
      </c>
    </row>
    <row r="1382" hidden="1" spans="1:27">
      <c r="A1382">
        <v>3</v>
      </c>
      <c r="B1382">
        <v>11</v>
      </c>
      <c r="C1382" s="3">
        <v>46094</v>
      </c>
      <c r="D1382" t="s">
        <v>27</v>
      </c>
      <c r="E1382" t="s">
        <v>1500</v>
      </c>
      <c r="F1382" t="s">
        <v>239</v>
      </c>
      <c r="G1382" t="s">
        <v>72</v>
      </c>
      <c r="H1382" t="s">
        <v>59</v>
      </c>
      <c r="I1382" t="s">
        <v>92</v>
      </c>
      <c r="J1382" t="s">
        <v>92</v>
      </c>
      <c r="K1382" t="s">
        <v>64</v>
      </c>
      <c r="L1382" t="s">
        <v>65</v>
      </c>
      <c r="M1382" t="s">
        <v>93</v>
      </c>
      <c r="N1382">
        <v>14</v>
      </c>
      <c r="O1382">
        <v>6.6</v>
      </c>
      <c r="P1382">
        <v>80.15</v>
      </c>
      <c r="Q1382">
        <v>86.75</v>
      </c>
      <c r="R1382">
        <v>0</v>
      </c>
      <c r="S1382">
        <v>86.75</v>
      </c>
      <c r="T1382">
        <v>153</v>
      </c>
      <c r="U1382">
        <f>SUMIF(货件明细!J:J,E1382,货件明细!AP:AP)</f>
        <v>0</v>
      </c>
      <c r="V1382">
        <f>IF(U1382=T1382,0,1)</f>
        <v>1</v>
      </c>
      <c r="W1382">
        <f>T1382</f>
        <v>153</v>
      </c>
      <c r="X1382">
        <f>SUMIF(货件明细!J:J,E1382,货件明细!H:H)</f>
        <v>0</v>
      </c>
      <c r="Y1382">
        <f>N1382-X1382</f>
        <v>14</v>
      </c>
      <c r="Z1382">
        <f>SUMIF(货件明细!J:J,E1382,货件明细!I:I)</f>
        <v>0</v>
      </c>
      <c r="AA1382">
        <f>IF(S1382=Z1382,0,1)</f>
        <v>1</v>
      </c>
    </row>
    <row r="1383" hidden="1" spans="1:27">
      <c r="A1383">
        <v>3</v>
      </c>
      <c r="B1383">
        <v>11</v>
      </c>
      <c r="C1383" s="3">
        <v>46094</v>
      </c>
      <c r="D1383" t="s">
        <v>27</v>
      </c>
      <c r="E1383" t="s">
        <v>1501</v>
      </c>
      <c r="F1383" t="s">
        <v>200</v>
      </c>
      <c r="G1383" t="s">
        <v>30</v>
      </c>
      <c r="H1383" t="s">
        <v>56</v>
      </c>
      <c r="I1383" t="s">
        <v>92</v>
      </c>
      <c r="J1383" t="s">
        <v>92</v>
      </c>
      <c r="K1383" t="s">
        <v>64</v>
      </c>
      <c r="L1383" t="s">
        <v>65</v>
      </c>
      <c r="M1383" t="s">
        <v>93</v>
      </c>
      <c r="N1383">
        <v>54.5</v>
      </c>
      <c r="O1383">
        <v>6.6</v>
      </c>
      <c r="P1383">
        <v>405</v>
      </c>
      <c r="Q1383">
        <v>411.6</v>
      </c>
      <c r="R1383">
        <v>0</v>
      </c>
      <c r="S1383">
        <v>411.6</v>
      </c>
      <c r="T1383">
        <v>257</v>
      </c>
      <c r="U1383">
        <f>SUMIF(货件明细!J:J,E1383,货件明细!AP:AP)</f>
        <v>0</v>
      </c>
      <c r="V1383">
        <f>IF(U1383=T1383,0,1)</f>
        <v>1</v>
      </c>
      <c r="W1383">
        <f>T1383</f>
        <v>257</v>
      </c>
      <c r="X1383">
        <f>SUMIF(货件明细!J:J,E1383,货件明细!H:H)</f>
        <v>0</v>
      </c>
      <c r="Y1383">
        <f>N1383-X1383</f>
        <v>54.5</v>
      </c>
      <c r="Z1383">
        <f>SUMIF(货件明细!J:J,E1383,货件明细!I:I)</f>
        <v>0</v>
      </c>
      <c r="AA1383">
        <f>IF(S1383=Z1383,0,1)</f>
        <v>1</v>
      </c>
    </row>
    <row r="1384" hidden="1" spans="1:27">
      <c r="A1384">
        <v>3</v>
      </c>
      <c r="B1384">
        <v>11</v>
      </c>
      <c r="C1384" s="3">
        <v>46094</v>
      </c>
      <c r="D1384" t="s">
        <v>27</v>
      </c>
      <c r="E1384" t="s">
        <v>1502</v>
      </c>
      <c r="F1384" t="s">
        <v>138</v>
      </c>
      <c r="G1384" t="s">
        <v>69</v>
      </c>
      <c r="H1384" t="s">
        <v>56</v>
      </c>
      <c r="I1384" t="s">
        <v>92</v>
      </c>
      <c r="J1384" t="s">
        <v>92</v>
      </c>
      <c r="K1384" t="s">
        <v>64</v>
      </c>
      <c r="L1384" t="s">
        <v>65</v>
      </c>
      <c r="M1384" t="s">
        <v>93</v>
      </c>
      <c r="N1384">
        <v>54.7</v>
      </c>
      <c r="O1384">
        <v>6.6</v>
      </c>
      <c r="P1384">
        <v>355</v>
      </c>
      <c r="Q1384">
        <v>361.6</v>
      </c>
      <c r="R1384">
        <v>0</v>
      </c>
      <c r="S1384">
        <v>361.6</v>
      </c>
      <c r="T1384">
        <v>258</v>
      </c>
      <c r="U1384">
        <f>SUMIF(货件明细!J:J,E1384,货件明细!AP:AP)</f>
        <v>0</v>
      </c>
      <c r="V1384">
        <f>IF(U1384=T1384,0,1)</f>
        <v>1</v>
      </c>
      <c r="W1384">
        <f>T1384</f>
        <v>258</v>
      </c>
      <c r="X1384">
        <f>SUMIF(货件明细!J:J,E1384,货件明细!H:H)</f>
        <v>0</v>
      </c>
      <c r="Y1384">
        <f>N1384-X1384</f>
        <v>54.7</v>
      </c>
      <c r="Z1384">
        <f>SUMIF(货件明细!J:J,E1384,货件明细!I:I)</f>
        <v>0</v>
      </c>
      <c r="AA1384">
        <f>IF(S1384=Z1384,0,1)</f>
        <v>1</v>
      </c>
    </row>
    <row r="1385" hidden="1" spans="1:27">
      <c r="A1385">
        <v>3</v>
      </c>
      <c r="B1385">
        <v>11</v>
      </c>
      <c r="C1385" s="3">
        <v>46094</v>
      </c>
      <c r="D1385" t="s">
        <v>27</v>
      </c>
      <c r="E1385" t="s">
        <v>1503</v>
      </c>
      <c r="F1385" t="s">
        <v>74</v>
      </c>
      <c r="G1385" t="s">
        <v>30</v>
      </c>
      <c r="H1385" t="s">
        <v>56</v>
      </c>
      <c r="I1385" t="s">
        <v>92</v>
      </c>
      <c r="J1385" t="s">
        <v>92</v>
      </c>
      <c r="K1385" t="s">
        <v>64</v>
      </c>
      <c r="L1385" t="s">
        <v>65</v>
      </c>
      <c r="M1385" t="s">
        <v>93</v>
      </c>
      <c r="N1385">
        <v>54.7</v>
      </c>
      <c r="O1385">
        <v>6.6</v>
      </c>
      <c r="P1385">
        <v>422.5</v>
      </c>
      <c r="Q1385">
        <v>429.1</v>
      </c>
      <c r="R1385">
        <v>0</v>
      </c>
      <c r="S1385">
        <v>429.1</v>
      </c>
      <c r="T1385">
        <v>258</v>
      </c>
      <c r="U1385">
        <f>SUMIF(货件明细!J:J,E1385,货件明细!AP:AP)</f>
        <v>0</v>
      </c>
      <c r="V1385">
        <f>IF(U1385=T1385,0,1)</f>
        <v>1</v>
      </c>
      <c r="W1385">
        <f>T1385</f>
        <v>258</v>
      </c>
      <c r="X1385">
        <f>SUMIF(货件明细!J:J,E1385,货件明细!H:H)</f>
        <v>0</v>
      </c>
      <c r="Y1385">
        <f>N1385-X1385</f>
        <v>54.7</v>
      </c>
      <c r="Z1385">
        <f>SUMIF(货件明细!J:J,E1385,货件明细!I:I)</f>
        <v>0</v>
      </c>
      <c r="AA1385">
        <f>IF(S1385=Z1385,0,1)</f>
        <v>1</v>
      </c>
    </row>
    <row r="1386" hidden="1" spans="1:27">
      <c r="A1386">
        <v>3</v>
      </c>
      <c r="B1386">
        <v>11</v>
      </c>
      <c r="C1386" s="3">
        <v>46094</v>
      </c>
      <c r="D1386" t="s">
        <v>27</v>
      </c>
      <c r="E1386" t="s">
        <v>1504</v>
      </c>
      <c r="F1386" t="s">
        <v>76</v>
      </c>
      <c r="G1386" t="s">
        <v>72</v>
      </c>
      <c r="H1386" t="s">
        <v>56</v>
      </c>
      <c r="I1386" t="s">
        <v>92</v>
      </c>
      <c r="J1386" t="s">
        <v>92</v>
      </c>
      <c r="K1386" t="s">
        <v>64</v>
      </c>
      <c r="L1386" t="s">
        <v>65</v>
      </c>
      <c r="M1386" t="s">
        <v>93</v>
      </c>
      <c r="N1386">
        <v>54.7</v>
      </c>
      <c r="O1386">
        <v>6.6</v>
      </c>
      <c r="P1386">
        <v>262.5</v>
      </c>
      <c r="Q1386">
        <v>269.1</v>
      </c>
      <c r="R1386">
        <v>0</v>
      </c>
      <c r="S1386">
        <v>269.1</v>
      </c>
      <c r="T1386">
        <v>258</v>
      </c>
      <c r="U1386">
        <f>SUMIF(货件明细!J:J,E1386,货件明细!AP:AP)</f>
        <v>0</v>
      </c>
      <c r="V1386">
        <f>IF(U1386=T1386,0,1)</f>
        <v>1</v>
      </c>
      <c r="W1386">
        <f>T1386</f>
        <v>258</v>
      </c>
      <c r="X1386">
        <f>SUMIF(货件明细!J:J,E1386,货件明细!H:H)</f>
        <v>0</v>
      </c>
      <c r="Y1386">
        <f>N1386-X1386</f>
        <v>54.7</v>
      </c>
      <c r="Z1386">
        <f>SUMIF(货件明细!J:J,E1386,货件明细!I:I)</f>
        <v>0</v>
      </c>
      <c r="AA1386">
        <f>IF(S1386=Z1386,0,1)</f>
        <v>1</v>
      </c>
    </row>
    <row r="1387" hidden="1" spans="1:27">
      <c r="A1387">
        <v>3</v>
      </c>
      <c r="B1387">
        <v>11</v>
      </c>
      <c r="C1387" s="3">
        <v>46094</v>
      </c>
      <c r="D1387" t="s">
        <v>27</v>
      </c>
      <c r="E1387" t="s">
        <v>1505</v>
      </c>
      <c r="F1387" t="s">
        <v>239</v>
      </c>
      <c r="G1387" t="s">
        <v>72</v>
      </c>
      <c r="H1387" t="s">
        <v>56</v>
      </c>
      <c r="I1387" t="s">
        <v>92</v>
      </c>
      <c r="J1387" t="s">
        <v>92</v>
      </c>
      <c r="K1387" t="s">
        <v>64</v>
      </c>
      <c r="L1387" t="s">
        <v>65</v>
      </c>
      <c r="M1387" t="s">
        <v>93</v>
      </c>
      <c r="N1387">
        <v>54.7</v>
      </c>
      <c r="O1387">
        <v>6.6</v>
      </c>
      <c r="P1387">
        <v>286.25</v>
      </c>
      <c r="Q1387">
        <v>292.85</v>
      </c>
      <c r="R1387">
        <v>0</v>
      </c>
      <c r="S1387">
        <v>292.85</v>
      </c>
      <c r="T1387">
        <v>258</v>
      </c>
      <c r="U1387">
        <f>SUMIF(货件明细!J:J,E1387,货件明细!AP:AP)</f>
        <v>0</v>
      </c>
      <c r="V1387">
        <f>IF(U1387=T1387,0,1)</f>
        <v>1</v>
      </c>
      <c r="W1387">
        <f>T1387</f>
        <v>258</v>
      </c>
      <c r="X1387">
        <f>SUMIF(货件明细!J:J,E1387,货件明细!H:H)</f>
        <v>0</v>
      </c>
      <c r="Y1387">
        <f>N1387-X1387</f>
        <v>54.7</v>
      </c>
      <c r="Z1387">
        <f>SUMIF(货件明细!J:J,E1387,货件明细!I:I)</f>
        <v>0</v>
      </c>
      <c r="AA1387">
        <f>IF(S1387=Z1387,0,1)</f>
        <v>1</v>
      </c>
    </row>
    <row r="1388" hidden="1" spans="1:27">
      <c r="A1388">
        <v>3</v>
      </c>
      <c r="B1388">
        <v>11</v>
      </c>
      <c r="C1388" s="3">
        <v>46094</v>
      </c>
      <c r="D1388" t="s">
        <v>27</v>
      </c>
      <c r="E1388" t="s">
        <v>1506</v>
      </c>
      <c r="F1388" t="s">
        <v>138</v>
      </c>
      <c r="G1388" t="s">
        <v>69</v>
      </c>
      <c r="H1388" t="s">
        <v>54</v>
      </c>
      <c r="I1388" t="s">
        <v>63</v>
      </c>
      <c r="J1388" t="s">
        <v>63</v>
      </c>
      <c r="K1388" t="s">
        <v>64</v>
      </c>
      <c r="L1388" t="s">
        <v>65</v>
      </c>
      <c r="M1388" t="s">
        <v>1456</v>
      </c>
      <c r="N1388">
        <v>13</v>
      </c>
      <c r="O1388">
        <v>25.5555555555556</v>
      </c>
      <c r="P1388">
        <v>85.4</v>
      </c>
      <c r="Q1388">
        <v>110.955555555556</v>
      </c>
      <c r="R1388">
        <v>0</v>
      </c>
      <c r="S1388">
        <v>110.955555555556</v>
      </c>
      <c r="T1388">
        <v>92</v>
      </c>
      <c r="U1388">
        <f>SUMIF(货件明细!J:J,E1388,货件明细!AP:AP)</f>
        <v>0</v>
      </c>
      <c r="V1388">
        <f>IF(U1388=T1388,0,1)</f>
        <v>1</v>
      </c>
      <c r="W1388">
        <f>T1388</f>
        <v>92</v>
      </c>
      <c r="X1388">
        <f>SUMIF(货件明细!J:J,E1388,货件明细!H:H)</f>
        <v>0</v>
      </c>
      <c r="Y1388">
        <f>N1388-X1388</f>
        <v>13</v>
      </c>
      <c r="Z1388">
        <f>SUMIF(货件明细!J:J,E1388,货件明细!I:I)</f>
        <v>0</v>
      </c>
      <c r="AA1388">
        <f>IF(S1388=Z1388,0,1)</f>
        <v>1</v>
      </c>
    </row>
    <row r="1389" hidden="1" spans="1:27">
      <c r="A1389">
        <v>3</v>
      </c>
      <c r="B1389">
        <v>11</v>
      </c>
      <c r="C1389" s="3">
        <v>46094</v>
      </c>
      <c r="D1389" t="s">
        <v>27</v>
      </c>
      <c r="E1389" t="s">
        <v>1507</v>
      </c>
      <c r="F1389" t="s">
        <v>200</v>
      </c>
      <c r="G1389" t="s">
        <v>30</v>
      </c>
      <c r="H1389" t="s">
        <v>54</v>
      </c>
      <c r="I1389" t="s">
        <v>63</v>
      </c>
      <c r="J1389" t="s">
        <v>63</v>
      </c>
      <c r="K1389" t="s">
        <v>64</v>
      </c>
      <c r="L1389" t="s">
        <v>65</v>
      </c>
      <c r="M1389" t="s">
        <v>1456</v>
      </c>
      <c r="N1389">
        <v>13</v>
      </c>
      <c r="O1389">
        <v>25.5555555555556</v>
      </c>
      <c r="P1389">
        <v>100.1</v>
      </c>
      <c r="Q1389">
        <v>125.655555555556</v>
      </c>
      <c r="R1389">
        <v>0</v>
      </c>
      <c r="S1389">
        <v>125.655555555556</v>
      </c>
      <c r="T1389">
        <v>92</v>
      </c>
      <c r="U1389">
        <f>SUMIF(货件明细!J:J,E1389,货件明细!AP:AP)</f>
        <v>0</v>
      </c>
      <c r="V1389">
        <f>IF(U1389=T1389,0,1)</f>
        <v>1</v>
      </c>
      <c r="W1389">
        <f>T1389</f>
        <v>92</v>
      </c>
      <c r="X1389">
        <f>SUMIF(货件明细!J:J,E1389,货件明细!H:H)</f>
        <v>0</v>
      </c>
      <c r="Y1389">
        <f>N1389-X1389</f>
        <v>13</v>
      </c>
      <c r="Z1389">
        <f>SUMIF(货件明细!J:J,E1389,货件明细!I:I)</f>
        <v>0</v>
      </c>
      <c r="AA1389">
        <f>IF(S1389=Z1389,0,1)</f>
        <v>1</v>
      </c>
    </row>
    <row r="1390" hidden="1" spans="1:27">
      <c r="A1390">
        <v>3</v>
      </c>
      <c r="B1390">
        <v>11</v>
      </c>
      <c r="C1390" s="3">
        <v>46094</v>
      </c>
      <c r="D1390" t="s">
        <v>27</v>
      </c>
      <c r="E1390" t="s">
        <v>1508</v>
      </c>
      <c r="F1390" t="s">
        <v>74</v>
      </c>
      <c r="G1390" t="s">
        <v>30</v>
      </c>
      <c r="H1390" t="s">
        <v>54</v>
      </c>
      <c r="I1390" t="s">
        <v>63</v>
      </c>
      <c r="J1390" t="s">
        <v>63</v>
      </c>
      <c r="K1390" t="s">
        <v>64</v>
      </c>
      <c r="L1390" t="s">
        <v>65</v>
      </c>
      <c r="M1390" t="s">
        <v>1456</v>
      </c>
      <c r="N1390">
        <v>13</v>
      </c>
      <c r="O1390">
        <v>25.5555555555556</v>
      </c>
      <c r="P1390">
        <v>102.9</v>
      </c>
      <c r="Q1390">
        <v>128.455555555556</v>
      </c>
      <c r="R1390">
        <v>0</v>
      </c>
      <c r="S1390">
        <v>128.455555555556</v>
      </c>
      <c r="T1390">
        <v>92</v>
      </c>
      <c r="U1390">
        <f>SUMIF(货件明细!J:J,E1390,货件明细!AP:AP)</f>
        <v>0</v>
      </c>
      <c r="V1390">
        <f>IF(U1390=T1390,0,1)</f>
        <v>1</v>
      </c>
      <c r="W1390">
        <f>T1390</f>
        <v>92</v>
      </c>
      <c r="X1390">
        <f>SUMIF(货件明细!J:J,E1390,货件明细!H:H)</f>
        <v>0</v>
      </c>
      <c r="Y1390">
        <f>N1390-X1390</f>
        <v>13</v>
      </c>
      <c r="Z1390">
        <f>SUMIF(货件明细!J:J,E1390,货件明细!I:I)</f>
        <v>0</v>
      </c>
      <c r="AA1390">
        <f>IF(S1390=Z1390,0,1)</f>
        <v>1</v>
      </c>
    </row>
    <row r="1391" hidden="1" spans="1:27">
      <c r="A1391">
        <v>3</v>
      </c>
      <c r="B1391">
        <v>11</v>
      </c>
      <c r="C1391" s="3">
        <v>46094</v>
      </c>
      <c r="D1391" t="s">
        <v>27</v>
      </c>
      <c r="E1391" t="s">
        <v>1509</v>
      </c>
      <c r="F1391" t="s">
        <v>76</v>
      </c>
      <c r="G1391" t="s">
        <v>72</v>
      </c>
      <c r="H1391" t="s">
        <v>54</v>
      </c>
      <c r="I1391" t="s">
        <v>63</v>
      </c>
      <c r="J1391" t="s">
        <v>63</v>
      </c>
      <c r="K1391" t="s">
        <v>64</v>
      </c>
      <c r="L1391" t="s">
        <v>147</v>
      </c>
      <c r="M1391" t="s">
        <v>425</v>
      </c>
      <c r="N1391">
        <v>13</v>
      </c>
      <c r="O1391">
        <v>25</v>
      </c>
      <c r="P1391">
        <v>54.6</v>
      </c>
      <c r="Q1391">
        <v>79.6</v>
      </c>
      <c r="R1391">
        <v>0</v>
      </c>
      <c r="S1391">
        <v>79.6</v>
      </c>
      <c r="T1391">
        <v>92</v>
      </c>
      <c r="U1391">
        <f>SUMIF(货件明细!J:J,E1391,货件明细!AP:AP)</f>
        <v>0</v>
      </c>
      <c r="V1391">
        <f>IF(U1391=T1391,0,1)</f>
        <v>1</v>
      </c>
      <c r="W1391">
        <f>T1391</f>
        <v>92</v>
      </c>
      <c r="X1391">
        <f>SUMIF(货件明细!J:J,E1391,货件明细!H:H)</f>
        <v>0</v>
      </c>
      <c r="Y1391">
        <f>N1391-X1391</f>
        <v>13</v>
      </c>
      <c r="Z1391">
        <f>SUMIF(货件明细!J:J,E1391,货件明细!I:I)</f>
        <v>0</v>
      </c>
      <c r="AA1391">
        <f>IF(S1391=Z1391,0,1)</f>
        <v>1</v>
      </c>
    </row>
    <row r="1392" hidden="1" spans="1:27">
      <c r="A1392">
        <v>3</v>
      </c>
      <c r="B1392">
        <v>11</v>
      </c>
      <c r="C1392" s="3">
        <v>46094</v>
      </c>
      <c r="D1392" t="s">
        <v>27</v>
      </c>
      <c r="E1392" t="s">
        <v>1510</v>
      </c>
      <c r="F1392" t="s">
        <v>239</v>
      </c>
      <c r="G1392" t="s">
        <v>72</v>
      </c>
      <c r="H1392" t="s">
        <v>54</v>
      </c>
      <c r="I1392" t="s">
        <v>63</v>
      </c>
      <c r="J1392" t="s">
        <v>63</v>
      </c>
      <c r="K1392" t="s">
        <v>64</v>
      </c>
      <c r="L1392" t="s">
        <v>147</v>
      </c>
      <c r="M1392" t="s">
        <v>425</v>
      </c>
      <c r="N1392">
        <v>13</v>
      </c>
      <c r="O1392">
        <v>25</v>
      </c>
      <c r="P1392">
        <v>45</v>
      </c>
      <c r="Q1392">
        <v>70</v>
      </c>
      <c r="R1392">
        <v>0</v>
      </c>
      <c r="S1392">
        <v>70</v>
      </c>
      <c r="T1392">
        <v>92</v>
      </c>
      <c r="U1392">
        <f>SUMIF(货件明细!J:J,E1392,货件明细!AP:AP)</f>
        <v>0</v>
      </c>
      <c r="V1392">
        <f>IF(U1392=T1392,0,1)</f>
        <v>1</v>
      </c>
      <c r="W1392">
        <f>T1392</f>
        <v>92</v>
      </c>
      <c r="X1392">
        <f>SUMIF(货件明细!J:J,E1392,货件明细!H:H)</f>
        <v>0</v>
      </c>
      <c r="Y1392">
        <f>N1392-X1392</f>
        <v>13</v>
      </c>
      <c r="Z1392">
        <f>SUMIF(货件明细!J:J,E1392,货件明细!I:I)</f>
        <v>0</v>
      </c>
      <c r="AA1392">
        <f>IF(S1392=Z1392,0,1)</f>
        <v>1</v>
      </c>
    </row>
    <row r="1393" hidden="1" spans="1:27">
      <c r="A1393">
        <v>3</v>
      </c>
      <c r="B1393">
        <v>11</v>
      </c>
      <c r="C1393" s="3">
        <v>46094</v>
      </c>
      <c r="D1393" t="s">
        <v>27</v>
      </c>
      <c r="E1393" t="s">
        <v>1511</v>
      </c>
      <c r="F1393" t="s">
        <v>198</v>
      </c>
      <c r="G1393" t="s">
        <v>69</v>
      </c>
      <c r="H1393" t="s">
        <v>224</v>
      </c>
      <c r="I1393" t="s">
        <v>92</v>
      </c>
      <c r="J1393" t="s">
        <v>92</v>
      </c>
      <c r="K1393" t="s">
        <v>64</v>
      </c>
      <c r="L1393" t="s">
        <v>65</v>
      </c>
      <c r="M1393" t="s">
        <v>188</v>
      </c>
      <c r="N1393">
        <v>9.55</v>
      </c>
      <c r="O1393">
        <v>6.6</v>
      </c>
      <c r="P1393">
        <v>74.1</v>
      </c>
      <c r="Q1393">
        <v>80.7</v>
      </c>
      <c r="R1393">
        <v>0</v>
      </c>
      <c r="S1393">
        <v>80.7</v>
      </c>
      <c r="T1393">
        <v>76</v>
      </c>
      <c r="U1393">
        <f>SUMIF(货件明细!J:J,E1393,货件明细!AP:AP)</f>
        <v>0</v>
      </c>
      <c r="V1393">
        <f>IF(U1393=T1393,0,1)</f>
        <v>1</v>
      </c>
      <c r="W1393">
        <f>T1393</f>
        <v>76</v>
      </c>
      <c r="X1393">
        <f>SUMIF(货件明细!J:J,E1393,货件明细!H:H)</f>
        <v>0</v>
      </c>
      <c r="Y1393">
        <f>N1393-X1393</f>
        <v>9.55</v>
      </c>
      <c r="Z1393">
        <f>SUMIF(货件明细!J:J,E1393,货件明细!I:I)</f>
        <v>0</v>
      </c>
      <c r="AA1393">
        <f>IF(S1393=Z1393,0,1)</f>
        <v>1</v>
      </c>
    </row>
    <row r="1394" hidden="1" spans="1:27">
      <c r="A1394">
        <v>3</v>
      </c>
      <c r="B1394">
        <v>11</v>
      </c>
      <c r="C1394" s="3">
        <v>46094</v>
      </c>
      <c r="D1394" t="s">
        <v>27</v>
      </c>
      <c r="E1394" t="s">
        <v>1512</v>
      </c>
      <c r="F1394" t="s">
        <v>143</v>
      </c>
      <c r="G1394" t="s">
        <v>72</v>
      </c>
      <c r="H1394" t="s">
        <v>224</v>
      </c>
      <c r="I1394" t="s">
        <v>92</v>
      </c>
      <c r="J1394" t="s">
        <v>92</v>
      </c>
      <c r="K1394" t="s">
        <v>64</v>
      </c>
      <c r="L1394" t="s">
        <v>65</v>
      </c>
      <c r="M1394" t="s">
        <v>188</v>
      </c>
      <c r="N1394">
        <v>9.55</v>
      </c>
      <c r="O1394">
        <v>6.6</v>
      </c>
      <c r="P1394">
        <v>53.6</v>
      </c>
      <c r="Q1394">
        <v>60.2</v>
      </c>
      <c r="R1394">
        <v>0</v>
      </c>
      <c r="S1394">
        <v>60.2</v>
      </c>
      <c r="T1394">
        <v>76</v>
      </c>
      <c r="U1394">
        <f>SUMIF(货件明细!J:J,E1394,货件明细!AP:AP)</f>
        <v>0</v>
      </c>
      <c r="V1394">
        <f>IF(U1394=T1394,0,1)</f>
        <v>1</v>
      </c>
      <c r="W1394">
        <f>T1394</f>
        <v>76</v>
      </c>
      <c r="X1394">
        <f>SUMIF(货件明细!J:J,E1394,货件明细!H:H)</f>
        <v>0</v>
      </c>
      <c r="Y1394">
        <f>N1394-X1394</f>
        <v>9.55</v>
      </c>
      <c r="Z1394">
        <f>SUMIF(货件明细!J:J,E1394,货件明细!I:I)</f>
        <v>0</v>
      </c>
      <c r="AA1394">
        <f>IF(S1394=Z1394,0,1)</f>
        <v>1</v>
      </c>
    </row>
    <row r="1395" hidden="1" spans="1:27">
      <c r="A1395">
        <v>3</v>
      </c>
      <c r="B1395">
        <v>11</v>
      </c>
      <c r="C1395" s="3">
        <v>46094</v>
      </c>
      <c r="D1395" t="s">
        <v>27</v>
      </c>
      <c r="E1395" t="s">
        <v>1513</v>
      </c>
      <c r="F1395" t="s">
        <v>74</v>
      </c>
      <c r="G1395" t="s">
        <v>30</v>
      </c>
      <c r="H1395" t="s">
        <v>224</v>
      </c>
      <c r="I1395" t="s">
        <v>92</v>
      </c>
      <c r="J1395" t="s">
        <v>92</v>
      </c>
      <c r="K1395" t="s">
        <v>64</v>
      </c>
      <c r="L1395" t="s">
        <v>65</v>
      </c>
      <c r="M1395" t="s">
        <v>93</v>
      </c>
      <c r="N1395">
        <v>9.55</v>
      </c>
      <c r="O1395">
        <v>6.6</v>
      </c>
      <c r="P1395">
        <v>67.6</v>
      </c>
      <c r="Q1395">
        <v>74.2</v>
      </c>
      <c r="R1395">
        <v>0</v>
      </c>
      <c r="S1395">
        <v>74.2</v>
      </c>
      <c r="T1395">
        <v>76</v>
      </c>
      <c r="U1395">
        <f>SUMIF(货件明细!J:J,E1395,货件明细!AP:AP)</f>
        <v>0</v>
      </c>
      <c r="V1395">
        <f>IF(U1395=T1395,0,1)</f>
        <v>1</v>
      </c>
      <c r="W1395">
        <f>T1395</f>
        <v>76</v>
      </c>
      <c r="X1395">
        <f>SUMIF(货件明细!J:J,E1395,货件明细!H:H)</f>
        <v>0</v>
      </c>
      <c r="Y1395">
        <f>N1395-X1395</f>
        <v>9.55</v>
      </c>
      <c r="Z1395">
        <f>SUMIF(货件明细!J:J,E1395,货件明细!I:I)</f>
        <v>0</v>
      </c>
      <c r="AA1395">
        <f>IF(S1395=Z1395,0,1)</f>
        <v>1</v>
      </c>
    </row>
    <row r="1396" hidden="1" spans="1:27">
      <c r="A1396">
        <v>3</v>
      </c>
      <c r="B1396">
        <v>11</v>
      </c>
      <c r="C1396" s="3">
        <v>46094</v>
      </c>
      <c r="D1396" t="s">
        <v>27</v>
      </c>
      <c r="E1396" t="s">
        <v>1514</v>
      </c>
      <c r="F1396" t="s">
        <v>76</v>
      </c>
      <c r="G1396" t="s">
        <v>72</v>
      </c>
      <c r="H1396" t="s">
        <v>224</v>
      </c>
      <c r="I1396" t="s">
        <v>92</v>
      </c>
      <c r="J1396" t="s">
        <v>92</v>
      </c>
      <c r="K1396" t="s">
        <v>64</v>
      </c>
      <c r="L1396" t="s">
        <v>65</v>
      </c>
      <c r="M1396" t="s">
        <v>93</v>
      </c>
      <c r="N1396">
        <v>9.55</v>
      </c>
      <c r="O1396">
        <v>6.6</v>
      </c>
      <c r="P1396">
        <v>42</v>
      </c>
      <c r="Q1396">
        <v>48.6</v>
      </c>
      <c r="R1396">
        <v>0</v>
      </c>
      <c r="S1396">
        <v>48.6</v>
      </c>
      <c r="T1396">
        <v>76</v>
      </c>
      <c r="U1396">
        <f>SUMIF(货件明细!J:J,E1396,货件明细!AP:AP)</f>
        <v>0</v>
      </c>
      <c r="V1396">
        <f>IF(U1396=T1396,0,1)</f>
        <v>1</v>
      </c>
      <c r="W1396">
        <f>T1396</f>
        <v>76</v>
      </c>
      <c r="X1396">
        <f>SUMIF(货件明细!J:J,E1396,货件明细!H:H)</f>
        <v>0</v>
      </c>
      <c r="Y1396">
        <f>N1396-X1396</f>
        <v>9.55</v>
      </c>
      <c r="Z1396">
        <f>SUMIF(货件明细!J:J,E1396,货件明细!I:I)</f>
        <v>0</v>
      </c>
      <c r="AA1396">
        <f>IF(S1396=Z1396,0,1)</f>
        <v>1</v>
      </c>
    </row>
    <row r="1397" hidden="1" spans="1:27">
      <c r="A1397">
        <v>3</v>
      </c>
      <c r="B1397">
        <v>11</v>
      </c>
      <c r="C1397" s="3">
        <v>46094</v>
      </c>
      <c r="D1397" t="s">
        <v>27</v>
      </c>
      <c r="E1397" t="s">
        <v>1515</v>
      </c>
      <c r="F1397" t="s">
        <v>239</v>
      </c>
      <c r="G1397" t="s">
        <v>72</v>
      </c>
      <c r="H1397" t="s">
        <v>224</v>
      </c>
      <c r="I1397" t="s">
        <v>92</v>
      </c>
      <c r="J1397" t="s">
        <v>92</v>
      </c>
      <c r="K1397" t="s">
        <v>64</v>
      </c>
      <c r="L1397" t="s">
        <v>65</v>
      </c>
      <c r="M1397" t="s">
        <v>93</v>
      </c>
      <c r="N1397">
        <v>9.55</v>
      </c>
      <c r="O1397">
        <v>6.6</v>
      </c>
      <c r="P1397">
        <v>45.8</v>
      </c>
      <c r="Q1397">
        <v>52.4</v>
      </c>
      <c r="R1397">
        <v>0</v>
      </c>
      <c r="S1397">
        <v>52.4</v>
      </c>
      <c r="T1397">
        <v>76</v>
      </c>
      <c r="U1397">
        <f>SUMIF(货件明细!J:J,E1397,货件明细!AP:AP)</f>
        <v>0</v>
      </c>
      <c r="V1397">
        <f>IF(U1397=T1397,0,1)</f>
        <v>1</v>
      </c>
      <c r="W1397">
        <f>T1397</f>
        <v>76</v>
      </c>
      <c r="X1397">
        <f>SUMIF(货件明细!J:J,E1397,货件明细!H:H)</f>
        <v>0</v>
      </c>
      <c r="Y1397">
        <f>N1397-X1397</f>
        <v>9.55</v>
      </c>
      <c r="Z1397">
        <f>SUMIF(货件明细!J:J,E1397,货件明细!I:I)</f>
        <v>0</v>
      </c>
      <c r="AA1397">
        <f>IF(S1397=Z1397,0,1)</f>
        <v>1</v>
      </c>
    </row>
    <row r="1398" hidden="1" spans="1:27">
      <c r="A1398">
        <v>3</v>
      </c>
      <c r="B1398">
        <v>11</v>
      </c>
      <c r="C1398" s="3">
        <v>46094</v>
      </c>
      <c r="D1398" t="s">
        <v>88</v>
      </c>
      <c r="E1398" t="s">
        <v>1516</v>
      </c>
      <c r="F1398" t="s">
        <v>211</v>
      </c>
      <c r="G1398" t="s">
        <v>72</v>
      </c>
      <c r="H1398" t="s">
        <v>224</v>
      </c>
      <c r="I1398" t="s">
        <v>63</v>
      </c>
      <c r="J1398" t="s">
        <v>63</v>
      </c>
      <c r="K1398" t="s">
        <v>64</v>
      </c>
      <c r="L1398" t="s">
        <v>147</v>
      </c>
      <c r="M1398" t="s">
        <v>774</v>
      </c>
      <c r="N1398">
        <v>49.4</v>
      </c>
      <c r="O1398">
        <v>37.5</v>
      </c>
      <c r="P1398">
        <v>169.4</v>
      </c>
      <c r="Q1398">
        <v>206.9</v>
      </c>
      <c r="R1398">
        <v>0</v>
      </c>
      <c r="S1398">
        <v>206.9</v>
      </c>
      <c r="T1398">
        <v>400</v>
      </c>
      <c r="U1398">
        <f>SUMIF(货件明细!J:J,E1398,货件明细!AP:AP)</f>
        <v>0</v>
      </c>
      <c r="V1398">
        <f>IF(U1398=T1398,0,1)</f>
        <v>1</v>
      </c>
      <c r="W1398">
        <f>T1398</f>
        <v>400</v>
      </c>
      <c r="X1398">
        <f>SUMIF(货件明细!J:J,E1398,货件明细!H:H)</f>
        <v>0</v>
      </c>
      <c r="Y1398">
        <f>N1398-X1398</f>
        <v>49.4</v>
      </c>
      <c r="Z1398">
        <f>SUMIF(货件明细!J:J,E1398,货件明细!I:I)</f>
        <v>0</v>
      </c>
      <c r="AA1398">
        <f>IF(S1398=Z1398,0,1)</f>
        <v>1</v>
      </c>
    </row>
    <row r="1399" hidden="1" spans="1:27">
      <c r="A1399">
        <v>3</v>
      </c>
      <c r="B1399">
        <v>11</v>
      </c>
      <c r="C1399" s="3">
        <v>46094</v>
      </c>
      <c r="D1399" t="s">
        <v>88</v>
      </c>
      <c r="E1399" t="s">
        <v>1517</v>
      </c>
      <c r="F1399" t="s">
        <v>211</v>
      </c>
      <c r="G1399" t="s">
        <v>72</v>
      </c>
      <c r="H1399" t="s">
        <v>31</v>
      </c>
      <c r="I1399" t="s">
        <v>63</v>
      </c>
      <c r="J1399" t="s">
        <v>63</v>
      </c>
      <c r="K1399" t="s">
        <v>64</v>
      </c>
      <c r="L1399" t="s">
        <v>147</v>
      </c>
      <c r="M1399" t="s">
        <v>774</v>
      </c>
      <c r="N1399">
        <v>119.3</v>
      </c>
      <c r="O1399">
        <v>37.5</v>
      </c>
      <c r="P1399">
        <v>369.6</v>
      </c>
      <c r="Q1399">
        <v>407.1</v>
      </c>
      <c r="R1399">
        <v>0</v>
      </c>
      <c r="S1399">
        <v>407.1</v>
      </c>
      <c r="T1399">
        <v>458</v>
      </c>
      <c r="U1399">
        <f>SUMIF(货件明细!J:J,E1399,货件明细!AP:AP)</f>
        <v>0</v>
      </c>
      <c r="V1399">
        <f>IF(U1399=T1399,0,1)</f>
        <v>1</v>
      </c>
      <c r="W1399">
        <f>T1399</f>
        <v>458</v>
      </c>
      <c r="X1399">
        <f>SUMIF(货件明细!J:J,E1399,货件明细!H:H)</f>
        <v>0</v>
      </c>
      <c r="Y1399">
        <f>N1399-X1399</f>
        <v>119.3</v>
      </c>
      <c r="Z1399">
        <f>SUMIF(货件明细!J:J,E1399,货件明细!I:I)</f>
        <v>0</v>
      </c>
      <c r="AA1399">
        <f>IF(S1399=Z1399,0,1)</f>
        <v>1</v>
      </c>
    </row>
    <row r="1400" hidden="1" spans="1:27">
      <c r="A1400">
        <v>3</v>
      </c>
      <c r="B1400">
        <v>11</v>
      </c>
      <c r="C1400" s="3">
        <v>46094</v>
      </c>
      <c r="D1400" t="s">
        <v>88</v>
      </c>
      <c r="E1400" t="s">
        <v>1518</v>
      </c>
      <c r="F1400" t="s">
        <v>211</v>
      </c>
      <c r="G1400" t="s">
        <v>72</v>
      </c>
      <c r="H1400" t="s">
        <v>39</v>
      </c>
      <c r="I1400" t="s">
        <v>63</v>
      </c>
      <c r="J1400" t="s">
        <v>63</v>
      </c>
      <c r="K1400" t="s">
        <v>64</v>
      </c>
      <c r="L1400" t="s">
        <v>147</v>
      </c>
      <c r="M1400" t="s">
        <v>774</v>
      </c>
      <c r="N1400">
        <v>695.05</v>
      </c>
      <c r="O1400">
        <v>37.5</v>
      </c>
      <c r="P1400">
        <v>1848</v>
      </c>
      <c r="Q1400">
        <v>1885.5</v>
      </c>
      <c r="R1400">
        <v>0</v>
      </c>
      <c r="S1400">
        <v>1885.5</v>
      </c>
      <c r="T1400">
        <v>1490</v>
      </c>
      <c r="U1400">
        <f>SUMIF(货件明细!J:J,E1400,货件明细!AP:AP)</f>
        <v>0</v>
      </c>
      <c r="V1400">
        <f>IF(U1400=T1400,0,1)</f>
        <v>1</v>
      </c>
      <c r="W1400">
        <f>T1400</f>
        <v>1490</v>
      </c>
      <c r="X1400">
        <f>SUMIF(货件明细!J:J,E1400,货件明细!H:H)</f>
        <v>0</v>
      </c>
      <c r="Y1400">
        <f>N1400-X1400</f>
        <v>695.05</v>
      </c>
      <c r="Z1400">
        <f>SUMIF(货件明细!J:J,E1400,货件明细!I:I)</f>
        <v>0</v>
      </c>
      <c r="AA1400">
        <f>IF(S1400=Z1400,0,1)</f>
        <v>1</v>
      </c>
    </row>
    <row r="1401" hidden="1" spans="1:27">
      <c r="A1401">
        <v>3</v>
      </c>
      <c r="B1401">
        <v>11</v>
      </c>
      <c r="C1401" s="3">
        <v>46094</v>
      </c>
      <c r="D1401" t="s">
        <v>88</v>
      </c>
      <c r="E1401" t="s">
        <v>1519</v>
      </c>
      <c r="F1401" t="s">
        <v>211</v>
      </c>
      <c r="G1401" t="s">
        <v>72</v>
      </c>
      <c r="H1401" t="s">
        <v>78</v>
      </c>
      <c r="I1401" t="s">
        <v>63</v>
      </c>
      <c r="J1401" t="s">
        <v>63</v>
      </c>
      <c r="K1401" t="s">
        <v>64</v>
      </c>
      <c r="L1401" t="s">
        <v>147</v>
      </c>
      <c r="M1401" t="s">
        <v>774</v>
      </c>
      <c r="N1401">
        <v>140</v>
      </c>
      <c r="O1401">
        <v>37.5</v>
      </c>
      <c r="P1401">
        <v>392.7</v>
      </c>
      <c r="Q1401">
        <v>430.2</v>
      </c>
      <c r="R1401">
        <v>0</v>
      </c>
      <c r="S1401">
        <v>430.2</v>
      </c>
      <c r="T1401">
        <v>570</v>
      </c>
      <c r="U1401">
        <f>SUMIF(货件明细!J:J,E1401,货件明细!AP:AP)</f>
        <v>0</v>
      </c>
      <c r="V1401">
        <f>IF(U1401=T1401,0,1)</f>
        <v>1</v>
      </c>
      <c r="W1401">
        <f>T1401</f>
        <v>570</v>
      </c>
      <c r="X1401">
        <f>SUMIF(货件明细!J:J,E1401,货件明细!H:H)</f>
        <v>0</v>
      </c>
      <c r="Y1401">
        <f>N1401-X1401</f>
        <v>140</v>
      </c>
      <c r="Z1401">
        <f>SUMIF(货件明细!J:J,E1401,货件明细!I:I)</f>
        <v>0</v>
      </c>
      <c r="AA1401">
        <f>IF(S1401=Z1401,0,1)</f>
        <v>1</v>
      </c>
    </row>
    <row r="1402" spans="1:27">
      <c r="A1402">
        <v>3</v>
      </c>
      <c r="B1402">
        <v>11</v>
      </c>
      <c r="C1402" s="3">
        <v>46094</v>
      </c>
      <c r="D1402" t="s">
        <v>27</v>
      </c>
      <c r="E1402" t="s">
        <v>1520</v>
      </c>
      <c r="F1402" t="s">
        <v>41</v>
      </c>
      <c r="G1402" t="s">
        <v>30</v>
      </c>
      <c r="H1402" t="s">
        <v>31</v>
      </c>
      <c r="I1402" t="s">
        <v>42</v>
      </c>
      <c r="J1402" t="s">
        <v>42</v>
      </c>
      <c r="K1402" t="s">
        <v>33</v>
      </c>
      <c r="L1402" t="s">
        <v>207</v>
      </c>
      <c r="M1402" t="s">
        <v>44</v>
      </c>
      <c r="N1402">
        <v>32.6</v>
      </c>
      <c r="O1402">
        <v>200</v>
      </c>
      <c r="P1402">
        <v>1652.4</v>
      </c>
      <c r="Q1402">
        <v>1852.4</v>
      </c>
      <c r="R1402">
        <v>241.304</v>
      </c>
      <c r="S1402">
        <v>2093.704</v>
      </c>
      <c r="T1402">
        <v>217</v>
      </c>
      <c r="U1402">
        <f>SUMIF(货件明细!J:J,E1402,货件明细!AP:AP)</f>
        <v>217</v>
      </c>
      <c r="V1402">
        <f>IF(U1402=T1402,0,1)</f>
        <v>0</v>
      </c>
      <c r="W1402">
        <f>T1402</f>
        <v>217</v>
      </c>
      <c r="X1402">
        <f>SUMIF(货件明细!J:J,E1402,货件明细!H:H)</f>
        <v>31.5195</v>
      </c>
      <c r="Y1402">
        <f>N1402-X1402</f>
        <v>1.0805</v>
      </c>
      <c r="Z1402">
        <f>SUMIF(货件明细!J:J,E1402,货件明细!I:I)</f>
        <v>2093.704</v>
      </c>
      <c r="AA1402">
        <f>IF(S1402=Z1402,0,1)</f>
        <v>0</v>
      </c>
    </row>
    <row r="1403" spans="1:27">
      <c r="A1403">
        <v>3</v>
      </c>
      <c r="B1403">
        <v>11</v>
      </c>
      <c r="C1403" s="3">
        <v>46094</v>
      </c>
      <c r="D1403" t="s">
        <v>27</v>
      </c>
      <c r="E1403" t="s">
        <v>1521</v>
      </c>
      <c r="F1403" t="s">
        <v>41</v>
      </c>
      <c r="G1403" t="s">
        <v>30</v>
      </c>
      <c r="H1403" t="s">
        <v>37</v>
      </c>
      <c r="I1403" t="s">
        <v>32</v>
      </c>
      <c r="J1403" t="s">
        <v>32</v>
      </c>
      <c r="K1403" t="s">
        <v>33</v>
      </c>
      <c r="L1403" t="s">
        <v>323</v>
      </c>
      <c r="M1403" t="s">
        <v>47</v>
      </c>
      <c r="N1403">
        <v>35.5</v>
      </c>
      <c r="O1403">
        <v>75</v>
      </c>
      <c r="P1403">
        <v>1382.5</v>
      </c>
      <c r="Q1403">
        <v>1457.5</v>
      </c>
      <c r="R1403">
        <v>166.8</v>
      </c>
      <c r="S1403">
        <v>1624.3</v>
      </c>
      <c r="T1403">
        <v>150</v>
      </c>
      <c r="U1403">
        <f>SUMIF(货件明细!J:J,E1403,货件明细!AP:AP)</f>
        <v>150</v>
      </c>
      <c r="V1403">
        <f>IF(U1403=T1403,0,1)</f>
        <v>0</v>
      </c>
      <c r="W1403">
        <f>T1403</f>
        <v>150</v>
      </c>
      <c r="X1403">
        <f>SUMIF(货件明细!J:J,E1403,货件明细!H:H)</f>
        <v>33.615</v>
      </c>
      <c r="Y1403">
        <f>N1403-X1403</f>
        <v>1.885</v>
      </c>
      <c r="Z1403">
        <f>SUMIF(货件明细!J:J,E1403,货件明细!I:I)</f>
        <v>1624.3</v>
      </c>
      <c r="AA1403">
        <f>IF(S1403=Z1403,0,1)</f>
        <v>0</v>
      </c>
    </row>
    <row r="1404" spans="1:27">
      <c r="A1404">
        <v>3</v>
      </c>
      <c r="B1404">
        <v>11</v>
      </c>
      <c r="C1404" s="3">
        <v>46094</v>
      </c>
      <c r="D1404" t="s">
        <v>27</v>
      </c>
      <c r="E1404" t="s">
        <v>1522</v>
      </c>
      <c r="F1404" t="s">
        <v>41</v>
      </c>
      <c r="G1404" t="s">
        <v>30</v>
      </c>
      <c r="H1404" t="s">
        <v>31</v>
      </c>
      <c r="I1404" t="s">
        <v>32</v>
      </c>
      <c r="J1404" t="s">
        <v>32</v>
      </c>
      <c r="K1404" t="s">
        <v>33</v>
      </c>
      <c r="L1404" t="s">
        <v>323</v>
      </c>
      <c r="M1404" t="s">
        <v>47</v>
      </c>
      <c r="N1404">
        <v>101.5</v>
      </c>
      <c r="O1404">
        <v>75</v>
      </c>
      <c r="P1404">
        <v>3989.5</v>
      </c>
      <c r="Q1404">
        <v>4064.5</v>
      </c>
      <c r="R1404">
        <v>750.6</v>
      </c>
      <c r="S1404">
        <v>4815.1</v>
      </c>
      <c r="T1404">
        <v>675</v>
      </c>
      <c r="U1404">
        <f>SUMIF(货件明细!J:J,E1404,货件明细!AP:AP)</f>
        <v>675</v>
      </c>
      <c r="V1404">
        <f>IF(U1404=T1404,0,1)</f>
        <v>0</v>
      </c>
      <c r="W1404">
        <f>T1404</f>
        <v>675</v>
      </c>
      <c r="X1404">
        <f>SUMIF(货件明细!J:J,E1404,货件明细!H:H)</f>
        <v>97.88</v>
      </c>
      <c r="Y1404">
        <f>N1404-X1404</f>
        <v>3.62</v>
      </c>
      <c r="Z1404">
        <f>SUMIF(货件明细!J:J,E1404,货件明细!I:I)</f>
        <v>4815.1</v>
      </c>
      <c r="AA1404">
        <f>IF(S1404=Z1404,0,1)</f>
        <v>0</v>
      </c>
    </row>
    <row r="1405" spans="1:27">
      <c r="A1405">
        <v>3</v>
      </c>
      <c r="B1405">
        <v>11</v>
      </c>
      <c r="C1405" s="3">
        <v>46094</v>
      </c>
      <c r="D1405" t="s">
        <v>27</v>
      </c>
      <c r="E1405" t="s">
        <v>1523</v>
      </c>
      <c r="F1405" t="s">
        <v>41</v>
      </c>
      <c r="G1405" t="s">
        <v>30</v>
      </c>
      <c r="H1405" t="s">
        <v>51</v>
      </c>
      <c r="I1405" t="s">
        <v>32</v>
      </c>
      <c r="J1405" t="s">
        <v>32</v>
      </c>
      <c r="K1405" t="s">
        <v>33</v>
      </c>
      <c r="L1405" t="s">
        <v>323</v>
      </c>
      <c r="M1405" t="s">
        <v>47</v>
      </c>
      <c r="N1405">
        <v>53.16</v>
      </c>
      <c r="O1405">
        <v>75</v>
      </c>
      <c r="P1405">
        <v>2093.5</v>
      </c>
      <c r="Q1405">
        <v>2168.5</v>
      </c>
      <c r="R1405">
        <v>390.312</v>
      </c>
      <c r="S1405">
        <v>2558.812</v>
      </c>
      <c r="T1405">
        <v>350</v>
      </c>
      <c r="U1405">
        <f>SUMIF(货件明细!J:J,E1405,货件明细!AP:AP)</f>
        <v>350</v>
      </c>
      <c r="V1405">
        <f>IF(U1405=T1405,0,1)</f>
        <v>0</v>
      </c>
      <c r="W1405">
        <f>T1405</f>
        <v>350</v>
      </c>
      <c r="X1405">
        <f>SUMIF(货件明细!J:J,E1405,货件明细!H:H)</f>
        <v>50.76</v>
      </c>
      <c r="Y1405">
        <f>N1405-X1405</f>
        <v>2.4</v>
      </c>
      <c r="Z1405">
        <f>SUMIF(货件明细!J:J,E1405,货件明细!I:I)</f>
        <v>2558.812</v>
      </c>
      <c r="AA1405">
        <f>IF(S1405=Z1405,0,1)</f>
        <v>0</v>
      </c>
    </row>
    <row r="1406" spans="1:27">
      <c r="A1406">
        <v>3</v>
      </c>
      <c r="B1406">
        <v>11</v>
      </c>
      <c r="C1406" s="3">
        <v>46094</v>
      </c>
      <c r="D1406" t="s">
        <v>27</v>
      </c>
      <c r="E1406" t="s">
        <v>1524</v>
      </c>
      <c r="F1406" t="s">
        <v>41</v>
      </c>
      <c r="G1406" t="s">
        <v>30</v>
      </c>
      <c r="H1406" t="s">
        <v>39</v>
      </c>
      <c r="I1406" t="s">
        <v>32</v>
      </c>
      <c r="J1406" t="s">
        <v>32</v>
      </c>
      <c r="K1406" t="s">
        <v>33</v>
      </c>
      <c r="L1406" t="s">
        <v>323</v>
      </c>
      <c r="M1406" t="s">
        <v>47</v>
      </c>
      <c r="N1406">
        <v>30.9</v>
      </c>
      <c r="O1406">
        <v>75</v>
      </c>
      <c r="P1406">
        <v>1224.5</v>
      </c>
      <c r="Q1406">
        <v>1299.5</v>
      </c>
      <c r="R1406">
        <v>181.673</v>
      </c>
      <c r="S1406">
        <v>1481.173</v>
      </c>
      <c r="T1406">
        <v>138</v>
      </c>
      <c r="U1406">
        <f>SUMIF(货件明细!J:J,E1406,货件明细!AP:AP)</f>
        <v>138</v>
      </c>
      <c r="V1406">
        <f>IF(U1406=T1406,0,1)</f>
        <v>0</v>
      </c>
      <c r="W1406">
        <f>T1406</f>
        <v>138</v>
      </c>
      <c r="X1406">
        <f>SUMIF(货件明细!J:J,E1406,货件明细!H:H)</f>
        <v>29.763</v>
      </c>
      <c r="Y1406">
        <f>N1406-X1406</f>
        <v>1.137</v>
      </c>
      <c r="Z1406">
        <f>SUMIF(货件明细!J:J,E1406,货件明细!I:I)</f>
        <v>1481.173</v>
      </c>
      <c r="AA1406">
        <f>IF(S1406=Z1406,0,1)</f>
        <v>0</v>
      </c>
    </row>
    <row r="1407" spans="1:27">
      <c r="A1407">
        <v>3</v>
      </c>
      <c r="B1407">
        <v>12</v>
      </c>
      <c r="C1407" s="3">
        <v>46097</v>
      </c>
      <c r="D1407" t="s">
        <v>27</v>
      </c>
      <c r="E1407" t="s">
        <v>1525</v>
      </c>
      <c r="F1407" t="s">
        <v>41</v>
      </c>
      <c r="G1407" t="s">
        <v>30</v>
      </c>
      <c r="H1407" t="s">
        <v>46</v>
      </c>
      <c r="I1407" t="s">
        <v>42</v>
      </c>
      <c r="J1407" t="s">
        <v>42</v>
      </c>
      <c r="K1407" t="s">
        <v>33</v>
      </c>
      <c r="L1407" t="s">
        <v>43</v>
      </c>
      <c r="M1407" t="s">
        <v>44</v>
      </c>
      <c r="N1407">
        <v>13.7</v>
      </c>
      <c r="O1407">
        <v>66.6666666666667</v>
      </c>
      <c r="P1407">
        <v>755</v>
      </c>
      <c r="Q1407">
        <v>821.666666666667</v>
      </c>
      <c r="R1407">
        <v>141.224</v>
      </c>
      <c r="S1407">
        <v>962.890666666667</v>
      </c>
      <c r="T1407">
        <v>127</v>
      </c>
      <c r="U1407">
        <f>SUMIF(货件明细!J:J,E1407,货件明细!AP:AP)</f>
        <v>127</v>
      </c>
      <c r="V1407">
        <f>IF(U1407=T1407,0,1)</f>
        <v>0</v>
      </c>
      <c r="W1407">
        <f>T1407</f>
        <v>127</v>
      </c>
      <c r="X1407">
        <f>SUMIF(货件明细!J:J,E1407,货件明细!H:H)</f>
        <v>12.79</v>
      </c>
      <c r="Y1407">
        <f>N1407-X1407</f>
        <v>0.91</v>
      </c>
      <c r="Z1407">
        <f>SUMIF(货件明细!J:J,E1407,货件明细!I:I)</f>
        <v>962.890666666667</v>
      </c>
      <c r="AA1407">
        <f>IF(S1407=Z1407,0,1)</f>
        <v>0</v>
      </c>
    </row>
    <row r="1408" spans="1:27">
      <c r="A1408">
        <v>3</v>
      </c>
      <c r="B1408">
        <v>12</v>
      </c>
      <c r="C1408" s="3">
        <v>46097</v>
      </c>
      <c r="D1408" t="s">
        <v>27</v>
      </c>
      <c r="E1408" t="s">
        <v>1526</v>
      </c>
      <c r="F1408" t="s">
        <v>41</v>
      </c>
      <c r="G1408" t="s">
        <v>30</v>
      </c>
      <c r="H1408" t="s">
        <v>46</v>
      </c>
      <c r="I1408" t="s">
        <v>42</v>
      </c>
      <c r="J1408" t="s">
        <v>42</v>
      </c>
      <c r="K1408" t="s">
        <v>33</v>
      </c>
      <c r="L1408" t="s">
        <v>43</v>
      </c>
      <c r="M1408" t="s">
        <v>44</v>
      </c>
      <c r="N1408">
        <v>13.7</v>
      </c>
      <c r="O1408">
        <v>66.6666666666667</v>
      </c>
      <c r="P1408">
        <v>755</v>
      </c>
      <c r="Q1408">
        <v>821.666666666667</v>
      </c>
      <c r="R1408">
        <v>140.112</v>
      </c>
      <c r="S1408">
        <v>961.778666666667</v>
      </c>
      <c r="T1408">
        <v>126</v>
      </c>
      <c r="U1408">
        <f>SUMIF(货件明细!J:J,E1408,货件明细!AP:AP)</f>
        <v>126</v>
      </c>
      <c r="V1408">
        <f>IF(U1408=T1408,0,1)</f>
        <v>0</v>
      </c>
      <c r="W1408">
        <f>T1408</f>
        <v>126</v>
      </c>
      <c r="X1408">
        <f>SUMIF(货件明细!J:J,E1408,货件明细!H:H)</f>
        <v>12.67</v>
      </c>
      <c r="Y1408">
        <f>N1408-X1408</f>
        <v>1.03</v>
      </c>
      <c r="Z1408">
        <f>SUMIF(货件明细!J:J,E1408,货件明细!I:I)</f>
        <v>961.778666666667</v>
      </c>
      <c r="AA1408">
        <f>IF(S1408=Z1408,0,1)</f>
        <v>0</v>
      </c>
    </row>
    <row r="1409" spans="1:27">
      <c r="A1409">
        <v>3</v>
      </c>
      <c r="B1409">
        <v>12</v>
      </c>
      <c r="C1409" s="3">
        <v>46097</v>
      </c>
      <c r="D1409" t="s">
        <v>27</v>
      </c>
      <c r="E1409" t="s">
        <v>1527</v>
      </c>
      <c r="F1409" t="s">
        <v>41</v>
      </c>
      <c r="G1409" t="s">
        <v>30</v>
      </c>
      <c r="H1409" t="s">
        <v>54</v>
      </c>
      <c r="I1409" t="s">
        <v>42</v>
      </c>
      <c r="J1409" t="s">
        <v>42</v>
      </c>
      <c r="K1409" t="s">
        <v>33</v>
      </c>
      <c r="L1409" t="s">
        <v>43</v>
      </c>
      <c r="M1409" t="s">
        <v>44</v>
      </c>
      <c r="N1409">
        <v>39.4</v>
      </c>
      <c r="O1409">
        <v>66.6666666666667</v>
      </c>
      <c r="P1409">
        <v>1930</v>
      </c>
      <c r="Q1409">
        <v>1996.66666666667</v>
      </c>
      <c r="R1409">
        <v>234.632</v>
      </c>
      <c r="S1409">
        <v>2231.29866666667</v>
      </c>
      <c r="T1409">
        <v>211</v>
      </c>
      <c r="U1409">
        <f>SUMIF(货件明细!J:J,E1409,货件明细!AP:AP)</f>
        <v>211</v>
      </c>
      <c r="V1409">
        <f>IF(U1409=T1409,0,1)</f>
        <v>0</v>
      </c>
      <c r="W1409">
        <f>T1409</f>
        <v>211</v>
      </c>
      <c r="X1409">
        <f>SUMIF(货件明细!J:J,E1409,货件明细!H:H)</f>
        <v>37.544</v>
      </c>
      <c r="Y1409">
        <f>N1409-X1409</f>
        <v>1.85599999999999</v>
      </c>
      <c r="Z1409">
        <f>SUMIF(货件明细!J:J,E1409,货件明细!I:I)</f>
        <v>2231.29866666667</v>
      </c>
      <c r="AA1409">
        <f>IF(S1409=Z1409,0,1)</f>
        <v>0</v>
      </c>
    </row>
    <row r="1410" spans="1:27">
      <c r="A1410">
        <v>3</v>
      </c>
      <c r="B1410">
        <v>12</v>
      </c>
      <c r="C1410" s="3">
        <v>46098</v>
      </c>
      <c r="D1410" t="s">
        <v>27</v>
      </c>
      <c r="E1410" t="s">
        <v>1528</v>
      </c>
      <c r="F1410" t="s">
        <v>41</v>
      </c>
      <c r="G1410" t="s">
        <v>30</v>
      </c>
      <c r="H1410" t="s">
        <v>78</v>
      </c>
      <c r="I1410" t="s">
        <v>32</v>
      </c>
      <c r="J1410" t="s">
        <v>32</v>
      </c>
      <c r="K1410" t="s">
        <v>33</v>
      </c>
      <c r="L1410" t="s">
        <v>323</v>
      </c>
      <c r="M1410" t="s">
        <v>47</v>
      </c>
      <c r="N1410">
        <v>13.75</v>
      </c>
      <c r="O1410">
        <v>75</v>
      </c>
      <c r="P1410">
        <v>637</v>
      </c>
      <c r="Q1410">
        <v>712</v>
      </c>
      <c r="R1410">
        <v>166.8</v>
      </c>
      <c r="S1410">
        <v>878.8</v>
      </c>
      <c r="T1410">
        <v>150</v>
      </c>
      <c r="U1410">
        <f>SUMIF(货件明细!J:J,E1410,货件明细!AP:AP)</f>
        <v>150</v>
      </c>
      <c r="V1410">
        <f>IF(U1410=T1410,0,1)</f>
        <v>0</v>
      </c>
      <c r="W1410">
        <f>T1410</f>
        <v>150</v>
      </c>
      <c r="X1410">
        <f>SUMIF(货件明细!J:J,E1410,货件明细!H:H)</f>
        <v>14.4</v>
      </c>
      <c r="Y1410">
        <f>N1410-X1410</f>
        <v>-0.65</v>
      </c>
      <c r="Z1410">
        <f>SUMIF(货件明细!J:J,E1410,货件明细!I:I)</f>
        <v>878.8</v>
      </c>
      <c r="AA1410">
        <f>IF(S1410=Z1410,0,1)</f>
        <v>0</v>
      </c>
    </row>
    <row r="1411" spans="1:27">
      <c r="A1411">
        <v>3</v>
      </c>
      <c r="B1411">
        <v>12</v>
      </c>
      <c r="C1411" s="3">
        <v>46098</v>
      </c>
      <c r="D1411" t="s">
        <v>27</v>
      </c>
      <c r="E1411" t="s">
        <v>1529</v>
      </c>
      <c r="F1411" t="s">
        <v>41</v>
      </c>
      <c r="G1411" t="s">
        <v>30</v>
      </c>
      <c r="H1411" t="s">
        <v>54</v>
      </c>
      <c r="I1411" t="s">
        <v>32</v>
      </c>
      <c r="J1411" t="s">
        <v>32</v>
      </c>
      <c r="K1411" t="s">
        <v>33</v>
      </c>
      <c r="L1411" t="s">
        <v>323</v>
      </c>
      <c r="M1411" t="s">
        <v>47</v>
      </c>
      <c r="N1411">
        <v>25.5</v>
      </c>
      <c r="O1411">
        <v>75</v>
      </c>
      <c r="P1411">
        <v>1183</v>
      </c>
      <c r="Q1411">
        <v>1258</v>
      </c>
      <c r="R1411">
        <v>252.424</v>
      </c>
      <c r="S1411">
        <v>1510.424</v>
      </c>
      <c r="T1411">
        <v>220</v>
      </c>
      <c r="U1411">
        <f>SUMIF(货件明细!J:J,E1411,货件明细!AP:AP)</f>
        <v>220</v>
      </c>
      <c r="V1411">
        <f>IF(U1411=T1411,0,1)</f>
        <v>0</v>
      </c>
      <c r="W1411">
        <f>T1411</f>
        <v>220</v>
      </c>
      <c r="X1411">
        <f>SUMIF(货件明细!J:J,E1411,货件明细!H:H)</f>
        <v>23.211</v>
      </c>
      <c r="Y1411">
        <f>N1411-X1411</f>
        <v>2.289</v>
      </c>
      <c r="Z1411">
        <f>SUMIF(货件明细!J:J,E1411,货件明细!I:I)</f>
        <v>1510.424</v>
      </c>
      <c r="AA1411">
        <f>IF(S1411=Z1411,0,1)</f>
        <v>0</v>
      </c>
    </row>
    <row r="1412" spans="1:27">
      <c r="A1412">
        <v>3</v>
      </c>
      <c r="B1412">
        <v>12</v>
      </c>
      <c r="C1412" s="3">
        <v>46098</v>
      </c>
      <c r="D1412" t="s">
        <v>27</v>
      </c>
      <c r="E1412" t="s">
        <v>1530</v>
      </c>
      <c r="F1412" t="s">
        <v>41</v>
      </c>
      <c r="G1412" t="s">
        <v>30</v>
      </c>
      <c r="H1412" t="s">
        <v>31</v>
      </c>
      <c r="I1412" t="s">
        <v>32</v>
      </c>
      <c r="J1412" t="s">
        <v>32</v>
      </c>
      <c r="K1412" t="s">
        <v>33</v>
      </c>
      <c r="L1412" t="s">
        <v>323</v>
      </c>
      <c r="M1412" t="s">
        <v>47</v>
      </c>
      <c r="N1412">
        <v>49.3</v>
      </c>
      <c r="O1412">
        <v>75</v>
      </c>
      <c r="P1412">
        <v>2229.5</v>
      </c>
      <c r="Q1412">
        <v>2304.5</v>
      </c>
      <c r="R1412">
        <v>259.374</v>
      </c>
      <c r="S1412">
        <v>2563.874</v>
      </c>
      <c r="T1412">
        <v>200</v>
      </c>
      <c r="U1412">
        <f>SUMIF(货件明细!J:J,E1412,货件明细!AP:AP)</f>
        <v>200</v>
      </c>
      <c r="V1412">
        <f>IF(U1412=T1412,0,1)</f>
        <v>0</v>
      </c>
      <c r="W1412">
        <f>T1412</f>
        <v>200</v>
      </c>
      <c r="X1412">
        <f>SUMIF(货件明细!J:J,E1412,货件明细!H:H)</f>
        <v>46.73</v>
      </c>
      <c r="Y1412">
        <f>N1412-X1412</f>
        <v>2.56999999999999</v>
      </c>
      <c r="Z1412">
        <f>SUMIF(货件明细!J:J,E1412,货件明细!I:I)</f>
        <v>2563.874</v>
      </c>
      <c r="AA1412">
        <f>IF(S1412=Z1412,0,1)</f>
        <v>0</v>
      </c>
    </row>
    <row r="1413" spans="1:27">
      <c r="A1413">
        <v>3</v>
      </c>
      <c r="B1413">
        <v>12</v>
      </c>
      <c r="C1413" s="3">
        <v>46098</v>
      </c>
      <c r="D1413" t="s">
        <v>27</v>
      </c>
      <c r="E1413" t="s">
        <v>1531</v>
      </c>
      <c r="F1413" t="s">
        <v>41</v>
      </c>
      <c r="G1413" t="s">
        <v>30</v>
      </c>
      <c r="H1413" t="s">
        <v>51</v>
      </c>
      <c r="I1413" t="s">
        <v>32</v>
      </c>
      <c r="J1413" t="s">
        <v>32</v>
      </c>
      <c r="K1413" t="s">
        <v>33</v>
      </c>
      <c r="L1413" t="s">
        <v>323</v>
      </c>
      <c r="M1413" t="s">
        <v>47</v>
      </c>
      <c r="N1413">
        <v>13.7</v>
      </c>
      <c r="O1413">
        <v>75</v>
      </c>
      <c r="P1413">
        <v>637</v>
      </c>
      <c r="Q1413">
        <v>712</v>
      </c>
      <c r="R1413">
        <v>108.976</v>
      </c>
      <c r="S1413">
        <v>820.976</v>
      </c>
      <c r="T1413">
        <v>98</v>
      </c>
      <c r="U1413">
        <f>SUMIF(货件明细!J:J,E1413,货件明细!AP:AP)</f>
        <v>98</v>
      </c>
      <c r="V1413">
        <f>IF(U1413=T1413,0,1)</f>
        <v>0</v>
      </c>
      <c r="W1413">
        <f>T1413</f>
        <v>98</v>
      </c>
      <c r="X1413">
        <f>SUMIF(货件明细!J:J,E1413,货件明细!H:H)</f>
        <v>13.17</v>
      </c>
      <c r="Y1413">
        <f>N1413-X1413</f>
        <v>0.529999999999999</v>
      </c>
      <c r="Z1413">
        <f>SUMIF(货件明细!J:J,E1413,货件明细!I:I)</f>
        <v>820.976</v>
      </c>
      <c r="AA1413">
        <f>IF(S1413=Z1413,0,1)</f>
        <v>0</v>
      </c>
    </row>
    <row r="1414" hidden="1" spans="1:27">
      <c r="A1414">
        <v>3</v>
      </c>
      <c r="B1414">
        <v>12</v>
      </c>
      <c r="C1414" s="3">
        <v>46099</v>
      </c>
      <c r="D1414" t="s">
        <v>88</v>
      </c>
      <c r="E1414" t="s">
        <v>1532</v>
      </c>
      <c r="F1414" t="s">
        <v>427</v>
      </c>
      <c r="G1414" t="s">
        <v>72</v>
      </c>
      <c r="H1414" t="s">
        <v>31</v>
      </c>
      <c r="I1414" t="s">
        <v>63</v>
      </c>
      <c r="J1414" t="s">
        <v>63</v>
      </c>
      <c r="K1414" t="s">
        <v>64</v>
      </c>
      <c r="L1414" t="s">
        <v>147</v>
      </c>
      <c r="M1414" t="s">
        <v>774</v>
      </c>
      <c r="N1414">
        <v>9.2</v>
      </c>
      <c r="O1414">
        <v>12.5</v>
      </c>
      <c r="P1414">
        <v>49.0363636363636</v>
      </c>
      <c r="Q1414">
        <v>61.5363636363636</v>
      </c>
      <c r="R1414">
        <v>0</v>
      </c>
      <c r="S1414">
        <v>61.5363636363636</v>
      </c>
      <c r="T1414">
        <v>50</v>
      </c>
      <c r="U1414">
        <f>SUMIF(货件明细!J:J,E1414,货件明细!AP:AP)</f>
        <v>0</v>
      </c>
      <c r="V1414">
        <f>IF(U1414=T1414,0,1)</f>
        <v>1</v>
      </c>
      <c r="W1414">
        <f>T1414</f>
        <v>50</v>
      </c>
      <c r="X1414">
        <f>SUMIF(货件明细!J:J,E1414,货件明细!H:H)</f>
        <v>0</v>
      </c>
      <c r="Y1414">
        <f>N1414-X1414</f>
        <v>9.2</v>
      </c>
      <c r="Z1414">
        <f>SUMIF(货件明细!J:J,E1414,货件明细!I:I)</f>
        <v>0</v>
      </c>
      <c r="AA1414">
        <f>IF(S1414=Z1414,0,1)</f>
        <v>1</v>
      </c>
    </row>
    <row r="1415" hidden="1" spans="1:27">
      <c r="A1415">
        <v>3</v>
      </c>
      <c r="B1415">
        <v>12</v>
      </c>
      <c r="C1415" s="3">
        <v>46099</v>
      </c>
      <c r="D1415" t="s">
        <v>88</v>
      </c>
      <c r="E1415" t="s">
        <v>1533</v>
      </c>
      <c r="F1415" t="s">
        <v>427</v>
      </c>
      <c r="G1415" t="s">
        <v>72</v>
      </c>
      <c r="H1415" t="s">
        <v>37</v>
      </c>
      <c r="I1415" t="s">
        <v>63</v>
      </c>
      <c r="J1415" t="s">
        <v>63</v>
      </c>
      <c r="K1415" t="s">
        <v>64</v>
      </c>
      <c r="L1415" t="s">
        <v>147</v>
      </c>
      <c r="M1415" t="s">
        <v>774</v>
      </c>
      <c r="N1415">
        <v>162.6</v>
      </c>
      <c r="O1415">
        <v>12.5</v>
      </c>
      <c r="P1415">
        <v>784.581818181818</v>
      </c>
      <c r="Q1415">
        <v>797.081818181818</v>
      </c>
      <c r="R1415">
        <v>0</v>
      </c>
      <c r="S1415">
        <v>797.081818181818</v>
      </c>
      <c r="T1415">
        <v>1000</v>
      </c>
      <c r="U1415">
        <f>SUMIF(货件明细!J:J,E1415,货件明细!AP:AP)</f>
        <v>0</v>
      </c>
      <c r="V1415">
        <f>IF(U1415=T1415,0,1)</f>
        <v>1</v>
      </c>
      <c r="W1415">
        <f>T1415</f>
        <v>1000</v>
      </c>
      <c r="X1415">
        <f>SUMIF(货件明细!J:J,E1415,货件明细!H:H)</f>
        <v>0</v>
      </c>
      <c r="Y1415">
        <f>N1415-X1415</f>
        <v>162.6</v>
      </c>
      <c r="Z1415">
        <f>SUMIF(货件明细!J:J,E1415,货件明细!I:I)</f>
        <v>0</v>
      </c>
      <c r="AA1415">
        <f>IF(S1415=Z1415,0,1)</f>
        <v>1</v>
      </c>
    </row>
    <row r="1416" hidden="1" spans="1:27">
      <c r="A1416">
        <v>3</v>
      </c>
      <c r="B1416">
        <v>12</v>
      </c>
      <c r="C1416" s="3">
        <v>46099</v>
      </c>
      <c r="D1416" t="s">
        <v>88</v>
      </c>
      <c r="E1416" t="s">
        <v>1534</v>
      </c>
      <c r="F1416" t="s">
        <v>427</v>
      </c>
      <c r="G1416" t="s">
        <v>72</v>
      </c>
      <c r="H1416" t="s">
        <v>224</v>
      </c>
      <c r="I1416" t="s">
        <v>63</v>
      </c>
      <c r="J1416" t="s">
        <v>63</v>
      </c>
      <c r="K1416" t="s">
        <v>64</v>
      </c>
      <c r="L1416" t="s">
        <v>147</v>
      </c>
      <c r="M1416" t="s">
        <v>774</v>
      </c>
      <c r="N1416">
        <v>178.75</v>
      </c>
      <c r="O1416">
        <v>12.5</v>
      </c>
      <c r="P1416">
        <v>784.581818181818</v>
      </c>
      <c r="Q1416">
        <v>797.081818181818</v>
      </c>
      <c r="R1416">
        <v>0</v>
      </c>
      <c r="S1416">
        <v>797.081818181818</v>
      </c>
      <c r="T1416">
        <v>1000</v>
      </c>
      <c r="U1416">
        <f>SUMIF(货件明细!J:J,E1416,货件明细!AP:AP)</f>
        <v>0</v>
      </c>
      <c r="V1416">
        <f>IF(U1416=T1416,0,1)</f>
        <v>1</v>
      </c>
      <c r="W1416">
        <f>T1416</f>
        <v>1000</v>
      </c>
      <c r="X1416">
        <f>SUMIF(货件明细!J:J,E1416,货件明细!H:H)</f>
        <v>0</v>
      </c>
      <c r="Y1416">
        <f>N1416-X1416</f>
        <v>178.75</v>
      </c>
      <c r="Z1416">
        <f>SUMIF(货件明细!J:J,E1416,货件明细!I:I)</f>
        <v>0</v>
      </c>
      <c r="AA1416">
        <f>IF(S1416=Z1416,0,1)</f>
        <v>1</v>
      </c>
    </row>
    <row r="1417" hidden="1" spans="1:27">
      <c r="A1417">
        <v>3</v>
      </c>
      <c r="B1417">
        <v>12</v>
      </c>
      <c r="C1417" s="3">
        <v>46099</v>
      </c>
      <c r="D1417" t="s">
        <v>88</v>
      </c>
      <c r="E1417" t="s">
        <v>1535</v>
      </c>
      <c r="F1417" t="s">
        <v>211</v>
      </c>
      <c r="G1417" t="s">
        <v>72</v>
      </c>
      <c r="H1417" t="s">
        <v>51</v>
      </c>
      <c r="I1417" t="s">
        <v>63</v>
      </c>
      <c r="J1417" t="s">
        <v>63</v>
      </c>
      <c r="K1417" t="s">
        <v>64</v>
      </c>
      <c r="L1417" t="s">
        <v>147</v>
      </c>
      <c r="M1417" t="s">
        <v>774</v>
      </c>
      <c r="N1417">
        <v>918.55</v>
      </c>
      <c r="O1417">
        <v>12.5</v>
      </c>
      <c r="P1417">
        <v>3744.11554054054</v>
      </c>
      <c r="Q1417">
        <v>3756.61554054054</v>
      </c>
      <c r="R1417">
        <v>0</v>
      </c>
      <c r="S1417">
        <v>3756.61554054054</v>
      </c>
      <c r="T1417">
        <v>2510</v>
      </c>
      <c r="U1417">
        <f>SUMIF(货件明细!J:J,E1417,货件明细!AP:AP)</f>
        <v>0</v>
      </c>
      <c r="V1417">
        <f>IF(U1417=T1417,0,1)</f>
        <v>1</v>
      </c>
      <c r="W1417">
        <f>T1417</f>
        <v>2510</v>
      </c>
      <c r="X1417">
        <f>SUMIF(货件明细!J:J,E1417,货件明细!H:H)</f>
        <v>0</v>
      </c>
      <c r="Y1417">
        <f>N1417-X1417</f>
        <v>918.55</v>
      </c>
      <c r="Z1417">
        <f>SUMIF(货件明细!J:J,E1417,货件明细!I:I)</f>
        <v>0</v>
      </c>
      <c r="AA1417">
        <f>IF(S1417=Z1417,0,1)</f>
        <v>1</v>
      </c>
    </row>
    <row r="1418" hidden="1" spans="1:27">
      <c r="A1418">
        <v>3</v>
      </c>
      <c r="B1418">
        <v>12</v>
      </c>
      <c r="C1418" s="3">
        <v>46099</v>
      </c>
      <c r="D1418" t="s">
        <v>88</v>
      </c>
      <c r="E1418" t="s">
        <v>1536</v>
      </c>
      <c r="F1418" t="s">
        <v>211</v>
      </c>
      <c r="G1418" t="s">
        <v>72</v>
      </c>
      <c r="H1418" t="s">
        <v>31</v>
      </c>
      <c r="I1418" t="s">
        <v>63</v>
      </c>
      <c r="J1418" t="s">
        <v>63</v>
      </c>
      <c r="K1418" t="s">
        <v>64</v>
      </c>
      <c r="L1418" t="s">
        <v>147</v>
      </c>
      <c r="M1418" t="s">
        <v>774</v>
      </c>
      <c r="N1418">
        <v>214.65</v>
      </c>
      <c r="O1418">
        <v>12.5</v>
      </c>
      <c r="P1418">
        <v>713.164864864865</v>
      </c>
      <c r="Q1418">
        <v>725.664864864865</v>
      </c>
      <c r="R1418">
        <v>0</v>
      </c>
      <c r="S1418">
        <v>725.664864864865</v>
      </c>
      <c r="T1418">
        <v>546</v>
      </c>
      <c r="U1418">
        <f>SUMIF(货件明细!J:J,E1418,货件明细!AP:AP)</f>
        <v>0</v>
      </c>
      <c r="V1418">
        <f>IF(U1418=T1418,0,1)</f>
        <v>1</v>
      </c>
      <c r="W1418">
        <f>T1418</f>
        <v>546</v>
      </c>
      <c r="X1418">
        <f>SUMIF(货件明细!J:J,E1418,货件明细!H:H)</f>
        <v>0</v>
      </c>
      <c r="Y1418">
        <f>N1418-X1418</f>
        <v>214.65</v>
      </c>
      <c r="Z1418">
        <f>SUMIF(货件明细!J:J,E1418,货件明细!I:I)</f>
        <v>0</v>
      </c>
      <c r="AA1418">
        <f>IF(S1418=Z1418,0,1)</f>
        <v>1</v>
      </c>
    </row>
    <row r="1419" hidden="1" spans="1:27">
      <c r="A1419">
        <v>3</v>
      </c>
      <c r="B1419">
        <v>12</v>
      </c>
      <c r="C1419" s="3">
        <v>46099</v>
      </c>
      <c r="D1419" t="s">
        <v>88</v>
      </c>
      <c r="E1419" t="s">
        <v>1537</v>
      </c>
      <c r="F1419" t="s">
        <v>211</v>
      </c>
      <c r="G1419" t="s">
        <v>72</v>
      </c>
      <c r="H1419" t="s">
        <v>37</v>
      </c>
      <c r="I1419" t="s">
        <v>63</v>
      </c>
      <c r="J1419" t="s">
        <v>63</v>
      </c>
      <c r="K1419" t="s">
        <v>64</v>
      </c>
      <c r="L1419" t="s">
        <v>147</v>
      </c>
      <c r="M1419" t="s">
        <v>774</v>
      </c>
      <c r="N1419">
        <v>195.35</v>
      </c>
      <c r="O1419">
        <v>12.5</v>
      </c>
      <c r="P1419">
        <v>1010.31689189189</v>
      </c>
      <c r="Q1419">
        <v>1022.81689189189</v>
      </c>
      <c r="R1419">
        <v>0</v>
      </c>
      <c r="S1419">
        <v>1022.81689189189</v>
      </c>
      <c r="T1419">
        <v>1562</v>
      </c>
      <c r="U1419">
        <f>SUMIF(货件明细!J:J,E1419,货件明细!AP:AP)</f>
        <v>0</v>
      </c>
      <c r="V1419">
        <f>IF(U1419=T1419,0,1)</f>
        <v>1</v>
      </c>
      <c r="W1419">
        <f>T1419</f>
        <v>1562</v>
      </c>
      <c r="X1419">
        <f>SUMIF(货件明细!J:J,E1419,货件明细!H:H)</f>
        <v>0</v>
      </c>
      <c r="Y1419">
        <f>N1419-X1419</f>
        <v>195.35</v>
      </c>
      <c r="Z1419">
        <f>SUMIF(货件明细!J:J,E1419,货件明细!I:I)</f>
        <v>0</v>
      </c>
      <c r="AA1419">
        <f>IF(S1419=Z1419,0,1)</f>
        <v>1</v>
      </c>
    </row>
    <row r="1420" hidden="1" spans="1:27">
      <c r="A1420">
        <v>3</v>
      </c>
      <c r="B1420">
        <v>12</v>
      </c>
      <c r="C1420" s="3">
        <v>46099</v>
      </c>
      <c r="D1420" t="s">
        <v>88</v>
      </c>
      <c r="E1420" t="s">
        <v>1538</v>
      </c>
      <c r="F1420" t="s">
        <v>211</v>
      </c>
      <c r="G1420" t="s">
        <v>72</v>
      </c>
      <c r="H1420" t="s">
        <v>51</v>
      </c>
      <c r="I1420" t="s">
        <v>63</v>
      </c>
      <c r="J1420" t="s">
        <v>63</v>
      </c>
      <c r="K1420" t="s">
        <v>64</v>
      </c>
      <c r="L1420" t="s">
        <v>147</v>
      </c>
      <c r="M1420" t="s">
        <v>774</v>
      </c>
      <c r="N1420">
        <v>182.2</v>
      </c>
      <c r="O1420">
        <v>12.5</v>
      </c>
      <c r="P1420">
        <v>713.164864864865</v>
      </c>
      <c r="Q1420">
        <v>725.664864864865</v>
      </c>
      <c r="R1420">
        <v>0</v>
      </c>
      <c r="S1420">
        <v>725.664864864865</v>
      </c>
      <c r="T1420">
        <v>572</v>
      </c>
      <c r="U1420">
        <f>SUMIF(货件明细!J:J,E1420,货件明细!AP:AP)</f>
        <v>0</v>
      </c>
      <c r="V1420">
        <f>IF(U1420=T1420,0,1)</f>
        <v>1</v>
      </c>
      <c r="W1420">
        <f>T1420</f>
        <v>572</v>
      </c>
      <c r="X1420">
        <f>SUMIF(货件明细!J:J,E1420,货件明细!H:H)</f>
        <v>0</v>
      </c>
      <c r="Y1420">
        <f>N1420-X1420</f>
        <v>182.2</v>
      </c>
      <c r="Z1420">
        <f>SUMIF(货件明细!J:J,E1420,货件明细!I:I)</f>
        <v>0</v>
      </c>
      <c r="AA1420">
        <f>IF(S1420=Z1420,0,1)</f>
        <v>1</v>
      </c>
    </row>
    <row r="1421" hidden="1" spans="1:27">
      <c r="A1421">
        <v>3</v>
      </c>
      <c r="B1421">
        <v>12</v>
      </c>
      <c r="C1421" s="3">
        <v>46099</v>
      </c>
      <c r="D1421" t="s">
        <v>88</v>
      </c>
      <c r="E1421" t="s">
        <v>1539</v>
      </c>
      <c r="F1421" t="s">
        <v>211</v>
      </c>
      <c r="G1421" t="s">
        <v>72</v>
      </c>
      <c r="H1421" t="s">
        <v>59</v>
      </c>
      <c r="I1421" t="s">
        <v>63</v>
      </c>
      <c r="J1421" t="s">
        <v>63</v>
      </c>
      <c r="K1421" t="s">
        <v>64</v>
      </c>
      <c r="L1421" t="s">
        <v>147</v>
      </c>
      <c r="M1421" t="s">
        <v>774</v>
      </c>
      <c r="N1421">
        <v>181.85</v>
      </c>
      <c r="O1421">
        <v>12.5</v>
      </c>
      <c r="P1421">
        <v>772.59527027027</v>
      </c>
      <c r="Q1421">
        <v>785.09527027027</v>
      </c>
      <c r="R1421">
        <v>0</v>
      </c>
      <c r="S1421">
        <v>785.09527027027</v>
      </c>
      <c r="T1421">
        <v>1096</v>
      </c>
      <c r="U1421">
        <f>SUMIF(货件明细!J:J,E1421,货件明细!AP:AP)</f>
        <v>0</v>
      </c>
      <c r="V1421">
        <f>IF(U1421=T1421,0,1)</f>
        <v>1</v>
      </c>
      <c r="W1421">
        <f>T1421</f>
        <v>1096</v>
      </c>
      <c r="X1421">
        <f>SUMIF(货件明细!J:J,E1421,货件明细!H:H)</f>
        <v>0</v>
      </c>
      <c r="Y1421">
        <f>N1421-X1421</f>
        <v>181.85</v>
      </c>
      <c r="Z1421">
        <f>SUMIF(货件明细!J:J,E1421,货件明细!I:I)</f>
        <v>0</v>
      </c>
      <c r="AA1421">
        <f>IF(S1421=Z1421,0,1)</f>
        <v>1</v>
      </c>
    </row>
    <row r="1422" hidden="1" spans="1:27">
      <c r="A1422">
        <v>3</v>
      </c>
      <c r="B1422">
        <v>12</v>
      </c>
      <c r="C1422" s="3">
        <v>46099</v>
      </c>
      <c r="D1422" t="s">
        <v>88</v>
      </c>
      <c r="E1422" t="s">
        <v>1540</v>
      </c>
      <c r="F1422" t="s">
        <v>211</v>
      </c>
      <c r="G1422" t="s">
        <v>72</v>
      </c>
      <c r="H1422" t="s">
        <v>54</v>
      </c>
      <c r="I1422" t="s">
        <v>63</v>
      </c>
      <c r="J1422" t="s">
        <v>63</v>
      </c>
      <c r="K1422" t="s">
        <v>64</v>
      </c>
      <c r="L1422" t="s">
        <v>147</v>
      </c>
      <c r="M1422" t="s">
        <v>774</v>
      </c>
      <c r="N1422">
        <v>149.55</v>
      </c>
      <c r="O1422">
        <v>12.5</v>
      </c>
      <c r="P1422">
        <v>653.734459459459</v>
      </c>
      <c r="Q1422">
        <v>666.234459459459</v>
      </c>
      <c r="R1422">
        <v>0</v>
      </c>
      <c r="S1422">
        <v>666.234459459459</v>
      </c>
      <c r="T1422">
        <v>830</v>
      </c>
      <c r="U1422">
        <f>SUMIF(货件明细!J:J,E1422,货件明细!AP:AP)</f>
        <v>0</v>
      </c>
      <c r="V1422">
        <f>IF(U1422=T1422,0,1)</f>
        <v>1</v>
      </c>
      <c r="W1422">
        <f>T1422</f>
        <v>830</v>
      </c>
      <c r="X1422">
        <f>SUMIF(货件明细!J:J,E1422,货件明细!H:H)</f>
        <v>0</v>
      </c>
      <c r="Y1422">
        <f>N1422-X1422</f>
        <v>149.55</v>
      </c>
      <c r="Z1422">
        <f>SUMIF(货件明细!J:J,E1422,货件明细!I:I)</f>
        <v>0</v>
      </c>
      <c r="AA1422">
        <f>IF(S1422=Z1422,0,1)</f>
        <v>1</v>
      </c>
    </row>
    <row r="1423" hidden="1" spans="1:27">
      <c r="A1423">
        <v>3</v>
      </c>
      <c r="B1423">
        <v>12</v>
      </c>
      <c r="C1423" s="3">
        <v>46099</v>
      </c>
      <c r="D1423" t="s">
        <v>88</v>
      </c>
      <c r="E1423" t="s">
        <v>1541</v>
      </c>
      <c r="F1423" t="s">
        <v>211</v>
      </c>
      <c r="G1423" t="s">
        <v>72</v>
      </c>
      <c r="H1423" t="s">
        <v>78</v>
      </c>
      <c r="I1423" t="s">
        <v>63</v>
      </c>
      <c r="J1423" t="s">
        <v>63</v>
      </c>
      <c r="K1423" t="s">
        <v>64</v>
      </c>
      <c r="L1423" t="s">
        <v>147</v>
      </c>
      <c r="M1423" t="s">
        <v>774</v>
      </c>
      <c r="N1423">
        <v>51.8</v>
      </c>
      <c r="O1423">
        <v>12.5</v>
      </c>
      <c r="P1423">
        <v>297.152027027027</v>
      </c>
      <c r="Q1423">
        <v>309.652027027027</v>
      </c>
      <c r="R1423">
        <v>0</v>
      </c>
      <c r="S1423">
        <v>309.652027027027</v>
      </c>
      <c r="T1423">
        <v>420</v>
      </c>
      <c r="U1423">
        <f>SUMIF(货件明细!J:J,E1423,货件明细!AP:AP)</f>
        <v>0</v>
      </c>
      <c r="V1423">
        <f>IF(U1423=T1423,0,1)</f>
        <v>1</v>
      </c>
      <c r="W1423">
        <f>T1423</f>
        <v>420</v>
      </c>
      <c r="X1423">
        <f>SUMIF(货件明细!J:J,E1423,货件明细!H:H)</f>
        <v>0</v>
      </c>
      <c r="Y1423">
        <f>N1423-X1423</f>
        <v>51.8</v>
      </c>
      <c r="Z1423">
        <f>SUMIF(货件明细!J:J,E1423,货件明细!I:I)</f>
        <v>0</v>
      </c>
      <c r="AA1423">
        <f>IF(S1423=Z1423,0,1)</f>
        <v>1</v>
      </c>
    </row>
    <row r="1424" hidden="1" spans="1:27">
      <c r="A1424">
        <v>3</v>
      </c>
      <c r="B1424">
        <v>12</v>
      </c>
      <c r="C1424" s="3">
        <v>46099</v>
      </c>
      <c r="D1424" t="s">
        <v>88</v>
      </c>
      <c r="E1424" t="s">
        <v>1542</v>
      </c>
      <c r="F1424" t="s">
        <v>211</v>
      </c>
      <c r="G1424" t="s">
        <v>72</v>
      </c>
      <c r="H1424" t="s">
        <v>59</v>
      </c>
      <c r="I1424" t="s">
        <v>63</v>
      </c>
      <c r="J1424" t="s">
        <v>63</v>
      </c>
      <c r="K1424" t="s">
        <v>64</v>
      </c>
      <c r="L1424" t="s">
        <v>147</v>
      </c>
      <c r="M1424" t="s">
        <v>774</v>
      </c>
      <c r="N1424">
        <v>81.5</v>
      </c>
      <c r="O1424">
        <v>12.5</v>
      </c>
      <c r="P1424">
        <v>356.582432432432</v>
      </c>
      <c r="Q1424">
        <v>369.082432432432</v>
      </c>
      <c r="R1424">
        <v>0</v>
      </c>
      <c r="S1424">
        <v>369.082432432432</v>
      </c>
      <c r="T1424">
        <v>490</v>
      </c>
      <c r="U1424">
        <f>SUMIF(货件明细!J:J,E1424,货件明细!AP:AP)</f>
        <v>0</v>
      </c>
      <c r="V1424">
        <f>IF(U1424=T1424,0,1)</f>
        <v>1</v>
      </c>
      <c r="W1424">
        <f>T1424</f>
        <v>490</v>
      </c>
      <c r="X1424">
        <f>SUMIF(货件明细!J:J,E1424,货件明细!H:H)</f>
        <v>0</v>
      </c>
      <c r="Y1424">
        <f>N1424-X1424</f>
        <v>81.5</v>
      </c>
      <c r="Z1424">
        <f>SUMIF(货件明细!J:J,E1424,货件明细!I:I)</f>
        <v>0</v>
      </c>
      <c r="AA1424">
        <f>IF(S1424=Z1424,0,1)</f>
        <v>1</v>
      </c>
    </row>
    <row r="1425" hidden="1" spans="1:27">
      <c r="A1425">
        <v>3</v>
      </c>
      <c r="B1425">
        <v>12</v>
      </c>
      <c r="C1425" s="3">
        <v>46099</v>
      </c>
      <c r="D1425" t="s">
        <v>88</v>
      </c>
      <c r="E1425" t="s">
        <v>1543</v>
      </c>
      <c r="F1425" t="s">
        <v>211</v>
      </c>
      <c r="G1425" t="s">
        <v>72</v>
      </c>
      <c r="H1425" t="s">
        <v>56</v>
      </c>
      <c r="I1425" t="s">
        <v>63</v>
      </c>
      <c r="J1425" t="s">
        <v>63</v>
      </c>
      <c r="K1425" t="s">
        <v>64</v>
      </c>
      <c r="L1425" t="s">
        <v>147</v>
      </c>
      <c r="M1425" t="s">
        <v>774</v>
      </c>
      <c r="N1425">
        <v>105.7</v>
      </c>
      <c r="O1425">
        <v>12.5</v>
      </c>
      <c r="P1425">
        <v>534.873648648649</v>
      </c>
      <c r="Q1425">
        <v>547.373648648649</v>
      </c>
      <c r="R1425">
        <v>0</v>
      </c>
      <c r="S1425">
        <v>547.373648648649</v>
      </c>
      <c r="T1425">
        <v>650</v>
      </c>
      <c r="U1425">
        <f>SUMIF(货件明细!J:J,E1425,货件明细!AP:AP)</f>
        <v>0</v>
      </c>
      <c r="V1425">
        <f>IF(U1425=T1425,0,1)</f>
        <v>1</v>
      </c>
      <c r="W1425">
        <f>T1425</f>
        <v>650</v>
      </c>
      <c r="X1425">
        <f>SUMIF(货件明细!J:J,E1425,货件明细!H:H)</f>
        <v>0</v>
      </c>
      <c r="Y1425">
        <f>N1425-X1425</f>
        <v>105.7</v>
      </c>
      <c r="Z1425">
        <f>SUMIF(货件明细!J:J,E1425,货件明细!I:I)</f>
        <v>0</v>
      </c>
      <c r="AA1425">
        <f>IF(S1425=Z1425,0,1)</f>
        <v>1</v>
      </c>
    </row>
    <row r="1426" hidden="1" spans="1:27">
      <c r="A1426">
        <v>3</v>
      </c>
      <c r="B1426">
        <v>12</v>
      </c>
      <c r="C1426" s="3">
        <v>46099</v>
      </c>
      <c r="D1426" t="s">
        <v>27</v>
      </c>
      <c r="E1426" t="s">
        <v>1544</v>
      </c>
      <c r="F1426" t="s">
        <v>198</v>
      </c>
      <c r="G1426" t="s">
        <v>69</v>
      </c>
      <c r="H1426" t="s">
        <v>51</v>
      </c>
      <c r="I1426" t="s">
        <v>146</v>
      </c>
      <c r="J1426" t="s">
        <v>146</v>
      </c>
      <c r="K1426" t="s">
        <v>64</v>
      </c>
      <c r="L1426" t="s">
        <v>147</v>
      </c>
      <c r="M1426" t="s">
        <v>1545</v>
      </c>
      <c r="N1426">
        <v>20.95</v>
      </c>
      <c r="O1426">
        <v>15</v>
      </c>
      <c r="P1426">
        <v>74</v>
      </c>
      <c r="Q1426">
        <v>89</v>
      </c>
      <c r="R1426">
        <v>0</v>
      </c>
      <c r="S1426">
        <v>89</v>
      </c>
      <c r="T1426">
        <v>155</v>
      </c>
      <c r="U1426">
        <f>SUMIF(货件明细!J:J,E1426,货件明细!AP:AP)</f>
        <v>0</v>
      </c>
      <c r="V1426">
        <f>IF(U1426=T1426,0,1)</f>
        <v>1</v>
      </c>
      <c r="W1426">
        <f>T1426</f>
        <v>155</v>
      </c>
      <c r="X1426">
        <f>SUMIF(货件明细!J:J,E1426,货件明细!H:H)</f>
        <v>0</v>
      </c>
      <c r="Y1426">
        <f>N1426-X1426</f>
        <v>20.95</v>
      </c>
      <c r="Z1426">
        <f>SUMIF(货件明细!J:J,E1426,货件明细!I:I)</f>
        <v>0</v>
      </c>
      <c r="AA1426">
        <f>IF(S1426=Z1426,0,1)</f>
        <v>1</v>
      </c>
    </row>
    <row r="1427" hidden="1" spans="1:27">
      <c r="A1427">
        <v>3</v>
      </c>
      <c r="B1427">
        <v>12</v>
      </c>
      <c r="C1427" s="3">
        <v>46099</v>
      </c>
      <c r="D1427" t="s">
        <v>27</v>
      </c>
      <c r="E1427" t="s">
        <v>1546</v>
      </c>
      <c r="F1427" t="s">
        <v>74</v>
      </c>
      <c r="G1427" t="s">
        <v>30</v>
      </c>
      <c r="H1427" t="s">
        <v>51</v>
      </c>
      <c r="I1427" t="s">
        <v>146</v>
      </c>
      <c r="J1427" t="s">
        <v>146</v>
      </c>
      <c r="K1427" t="s">
        <v>64</v>
      </c>
      <c r="L1427" t="s">
        <v>147</v>
      </c>
      <c r="M1427" t="s">
        <v>148</v>
      </c>
      <c r="N1427">
        <v>20.95</v>
      </c>
      <c r="O1427">
        <v>30</v>
      </c>
      <c r="P1427">
        <v>93</v>
      </c>
      <c r="Q1427">
        <v>123</v>
      </c>
      <c r="R1427">
        <v>0</v>
      </c>
      <c r="S1427">
        <v>123</v>
      </c>
      <c r="T1427">
        <v>155</v>
      </c>
      <c r="U1427">
        <f>SUMIF(货件明细!J:J,E1427,货件明细!AP:AP)</f>
        <v>0</v>
      </c>
      <c r="V1427">
        <f>IF(U1427=T1427,0,1)</f>
        <v>1</v>
      </c>
      <c r="W1427">
        <f>T1427</f>
        <v>155</v>
      </c>
      <c r="X1427">
        <f>SUMIF(货件明细!J:J,E1427,货件明细!H:H)</f>
        <v>0</v>
      </c>
      <c r="Y1427">
        <f>N1427-X1427</f>
        <v>20.95</v>
      </c>
      <c r="Z1427">
        <f>SUMIF(货件明细!J:J,E1427,货件明细!I:I)</f>
        <v>0</v>
      </c>
      <c r="AA1427">
        <f>IF(S1427=Z1427,0,1)</f>
        <v>1</v>
      </c>
    </row>
    <row r="1428" hidden="1" spans="1:27">
      <c r="A1428">
        <v>3</v>
      </c>
      <c r="B1428">
        <v>12</v>
      </c>
      <c r="C1428" s="3">
        <v>46099</v>
      </c>
      <c r="D1428" t="s">
        <v>27</v>
      </c>
      <c r="E1428" t="s">
        <v>1547</v>
      </c>
      <c r="F1428" t="s">
        <v>715</v>
      </c>
      <c r="G1428" t="s">
        <v>69</v>
      </c>
      <c r="H1428" t="s">
        <v>51</v>
      </c>
      <c r="I1428" t="s">
        <v>146</v>
      </c>
      <c r="J1428" t="s">
        <v>146</v>
      </c>
      <c r="K1428" t="s">
        <v>64</v>
      </c>
      <c r="L1428" t="s">
        <v>147</v>
      </c>
      <c r="M1428" t="s">
        <v>1545</v>
      </c>
      <c r="N1428">
        <v>20.95</v>
      </c>
      <c r="O1428">
        <v>15</v>
      </c>
      <c r="P1428">
        <v>74</v>
      </c>
      <c r="Q1428">
        <v>89</v>
      </c>
      <c r="R1428">
        <v>0</v>
      </c>
      <c r="S1428">
        <v>89</v>
      </c>
      <c r="T1428">
        <v>155</v>
      </c>
      <c r="U1428">
        <f>SUMIF(货件明细!J:J,E1428,货件明细!AP:AP)</f>
        <v>0</v>
      </c>
      <c r="V1428">
        <f>IF(U1428=T1428,0,1)</f>
        <v>1</v>
      </c>
      <c r="W1428">
        <f>T1428</f>
        <v>155</v>
      </c>
      <c r="X1428">
        <f>SUMIF(货件明细!J:J,E1428,货件明细!H:H)</f>
        <v>0</v>
      </c>
      <c r="Y1428">
        <f>N1428-X1428</f>
        <v>20.95</v>
      </c>
      <c r="Z1428">
        <f>SUMIF(货件明细!J:J,E1428,货件明细!I:I)</f>
        <v>0</v>
      </c>
      <c r="AA1428">
        <f>IF(S1428=Z1428,0,1)</f>
        <v>1</v>
      </c>
    </row>
    <row r="1429" hidden="1" spans="1:27">
      <c r="A1429">
        <v>3</v>
      </c>
      <c r="B1429">
        <v>12</v>
      </c>
      <c r="C1429" s="3">
        <v>46099</v>
      </c>
      <c r="D1429" t="s">
        <v>27</v>
      </c>
      <c r="E1429" t="s">
        <v>1548</v>
      </c>
      <c r="F1429" t="s">
        <v>143</v>
      </c>
      <c r="G1429" t="s">
        <v>72</v>
      </c>
      <c r="H1429" t="s">
        <v>51</v>
      </c>
      <c r="I1429" t="s">
        <v>146</v>
      </c>
      <c r="J1429" t="s">
        <v>146</v>
      </c>
      <c r="K1429" t="s">
        <v>64</v>
      </c>
      <c r="L1429" t="s">
        <v>147</v>
      </c>
      <c r="M1429" t="s">
        <v>1545</v>
      </c>
      <c r="N1429">
        <v>20.95</v>
      </c>
      <c r="O1429">
        <v>15</v>
      </c>
      <c r="P1429">
        <v>55.5</v>
      </c>
      <c r="Q1429">
        <v>70.5</v>
      </c>
      <c r="R1429">
        <v>0</v>
      </c>
      <c r="S1429">
        <v>70.5</v>
      </c>
      <c r="T1429">
        <v>155</v>
      </c>
      <c r="U1429">
        <f>SUMIF(货件明细!J:J,E1429,货件明细!AP:AP)</f>
        <v>0</v>
      </c>
      <c r="V1429">
        <f>IF(U1429=T1429,0,1)</f>
        <v>1</v>
      </c>
      <c r="W1429">
        <f>T1429</f>
        <v>155</v>
      </c>
      <c r="X1429">
        <f>SUMIF(货件明细!J:J,E1429,货件明细!H:H)</f>
        <v>0</v>
      </c>
      <c r="Y1429">
        <f>N1429-X1429</f>
        <v>20.95</v>
      </c>
      <c r="Z1429">
        <f>SUMIF(货件明细!J:J,E1429,货件明细!I:I)</f>
        <v>0</v>
      </c>
      <c r="AA1429">
        <f>IF(S1429=Z1429,0,1)</f>
        <v>1</v>
      </c>
    </row>
    <row r="1430" hidden="1" spans="1:27">
      <c r="A1430">
        <v>3</v>
      </c>
      <c r="B1430">
        <v>12</v>
      </c>
      <c r="C1430" s="3">
        <v>46099</v>
      </c>
      <c r="D1430" t="s">
        <v>27</v>
      </c>
      <c r="E1430" t="s">
        <v>1549</v>
      </c>
      <c r="F1430" t="s">
        <v>76</v>
      </c>
      <c r="G1430" t="s">
        <v>72</v>
      </c>
      <c r="H1430" t="s">
        <v>51</v>
      </c>
      <c r="I1430" t="s">
        <v>146</v>
      </c>
      <c r="J1430" t="s">
        <v>146</v>
      </c>
      <c r="K1430" t="s">
        <v>64</v>
      </c>
      <c r="L1430" t="s">
        <v>147</v>
      </c>
      <c r="M1430" t="s">
        <v>1545</v>
      </c>
      <c r="N1430">
        <v>20.95</v>
      </c>
      <c r="O1430">
        <v>15</v>
      </c>
      <c r="P1430">
        <v>49.5</v>
      </c>
      <c r="Q1430">
        <v>64.5</v>
      </c>
      <c r="R1430">
        <v>0</v>
      </c>
      <c r="S1430">
        <v>64.5</v>
      </c>
      <c r="T1430">
        <v>155</v>
      </c>
      <c r="U1430">
        <f>SUMIF(货件明细!J:J,E1430,货件明细!AP:AP)</f>
        <v>0</v>
      </c>
      <c r="V1430">
        <f>IF(U1430=T1430,0,1)</f>
        <v>1</v>
      </c>
      <c r="W1430">
        <f>T1430</f>
        <v>155</v>
      </c>
      <c r="X1430">
        <f>SUMIF(货件明细!J:J,E1430,货件明细!H:H)</f>
        <v>0</v>
      </c>
      <c r="Y1430">
        <f>N1430-X1430</f>
        <v>20.95</v>
      </c>
      <c r="Z1430">
        <f>SUMIF(货件明细!J:J,E1430,货件明细!I:I)</f>
        <v>0</v>
      </c>
      <c r="AA1430">
        <f>IF(S1430=Z1430,0,1)</f>
        <v>1</v>
      </c>
    </row>
    <row r="1431" hidden="1" spans="1:27">
      <c r="A1431">
        <v>3</v>
      </c>
      <c r="B1431">
        <v>12</v>
      </c>
      <c r="C1431" s="3">
        <v>46099</v>
      </c>
      <c r="D1431" t="s">
        <v>27</v>
      </c>
      <c r="E1431" t="s">
        <v>1550</v>
      </c>
      <c r="F1431" t="s">
        <v>74</v>
      </c>
      <c r="G1431" t="s">
        <v>30</v>
      </c>
      <c r="H1431" t="s">
        <v>37</v>
      </c>
      <c r="I1431" t="s">
        <v>146</v>
      </c>
      <c r="J1431" t="s">
        <v>146</v>
      </c>
      <c r="K1431" t="s">
        <v>64</v>
      </c>
      <c r="L1431" t="s">
        <v>147</v>
      </c>
      <c r="M1431" t="s">
        <v>148</v>
      </c>
      <c r="N1431">
        <v>107.8</v>
      </c>
      <c r="O1431">
        <v>30</v>
      </c>
      <c r="P1431">
        <v>632.4</v>
      </c>
      <c r="Q1431">
        <v>662.4</v>
      </c>
      <c r="R1431">
        <v>0</v>
      </c>
      <c r="S1431">
        <v>662.4</v>
      </c>
      <c r="T1431">
        <v>849</v>
      </c>
      <c r="U1431">
        <f>SUMIF(货件明细!J:J,E1431,货件明细!AP:AP)</f>
        <v>0</v>
      </c>
      <c r="V1431">
        <f>IF(U1431=T1431,0,1)</f>
        <v>1</v>
      </c>
      <c r="W1431">
        <f>T1431</f>
        <v>849</v>
      </c>
      <c r="X1431">
        <f>SUMIF(货件明细!J:J,E1431,货件明细!H:H)</f>
        <v>0</v>
      </c>
      <c r="Y1431">
        <f>N1431-X1431</f>
        <v>107.8</v>
      </c>
      <c r="Z1431">
        <f>SUMIF(货件明细!J:J,E1431,货件明细!I:I)</f>
        <v>0</v>
      </c>
      <c r="AA1431">
        <f>IF(S1431=Z1431,0,1)</f>
        <v>1</v>
      </c>
    </row>
    <row r="1432" hidden="1" spans="1:27">
      <c r="A1432">
        <v>3</v>
      </c>
      <c r="B1432">
        <v>12</v>
      </c>
      <c r="C1432" s="3">
        <v>46099</v>
      </c>
      <c r="D1432" t="s">
        <v>27</v>
      </c>
      <c r="E1432" t="s">
        <v>1551</v>
      </c>
      <c r="F1432" t="s">
        <v>198</v>
      </c>
      <c r="G1432" t="s">
        <v>69</v>
      </c>
      <c r="H1432" t="s">
        <v>37</v>
      </c>
      <c r="I1432" t="s">
        <v>146</v>
      </c>
      <c r="J1432" t="s">
        <v>146</v>
      </c>
      <c r="K1432" t="s">
        <v>64</v>
      </c>
      <c r="L1432" t="s">
        <v>147</v>
      </c>
      <c r="M1432" t="s">
        <v>1545</v>
      </c>
      <c r="N1432">
        <v>107.8</v>
      </c>
      <c r="O1432">
        <v>15</v>
      </c>
      <c r="P1432">
        <v>503.2</v>
      </c>
      <c r="Q1432">
        <v>518.2</v>
      </c>
      <c r="R1432">
        <v>0</v>
      </c>
      <c r="S1432">
        <v>518.2</v>
      </c>
      <c r="T1432">
        <v>849</v>
      </c>
      <c r="U1432">
        <f>SUMIF(货件明细!J:J,E1432,货件明细!AP:AP)</f>
        <v>0</v>
      </c>
      <c r="V1432">
        <f>IF(U1432=T1432,0,1)</f>
        <v>1</v>
      </c>
      <c r="W1432">
        <f>T1432</f>
        <v>849</v>
      </c>
      <c r="X1432">
        <f>SUMIF(货件明细!J:J,E1432,货件明细!H:H)</f>
        <v>0</v>
      </c>
      <c r="Y1432">
        <f>N1432-X1432</f>
        <v>107.8</v>
      </c>
      <c r="Z1432">
        <f>SUMIF(货件明细!J:J,E1432,货件明细!I:I)</f>
        <v>0</v>
      </c>
      <c r="AA1432">
        <f>IF(S1432=Z1432,0,1)</f>
        <v>1</v>
      </c>
    </row>
    <row r="1433" hidden="1" spans="1:27">
      <c r="A1433">
        <v>3</v>
      </c>
      <c r="B1433">
        <v>12</v>
      </c>
      <c r="C1433" s="3">
        <v>46099</v>
      </c>
      <c r="D1433" t="s">
        <v>27</v>
      </c>
      <c r="E1433" t="s">
        <v>1552</v>
      </c>
      <c r="F1433" t="s">
        <v>76</v>
      </c>
      <c r="G1433" t="s">
        <v>72</v>
      </c>
      <c r="H1433" t="s">
        <v>37</v>
      </c>
      <c r="I1433" t="s">
        <v>146</v>
      </c>
      <c r="J1433" t="s">
        <v>146</v>
      </c>
      <c r="K1433" t="s">
        <v>64</v>
      </c>
      <c r="L1433" t="s">
        <v>147</v>
      </c>
      <c r="M1433" t="s">
        <v>1545</v>
      </c>
      <c r="N1433">
        <v>107.8</v>
      </c>
      <c r="O1433">
        <v>15</v>
      </c>
      <c r="P1433">
        <v>346.5</v>
      </c>
      <c r="Q1433">
        <v>361.5</v>
      </c>
      <c r="R1433">
        <v>0</v>
      </c>
      <c r="S1433">
        <v>361.5</v>
      </c>
      <c r="T1433">
        <v>849</v>
      </c>
      <c r="U1433">
        <f>SUMIF(货件明细!J:J,E1433,货件明细!AP:AP)</f>
        <v>0</v>
      </c>
      <c r="V1433">
        <f>IF(U1433=T1433,0,1)</f>
        <v>1</v>
      </c>
      <c r="W1433">
        <f>T1433</f>
        <v>849</v>
      </c>
      <c r="X1433">
        <f>SUMIF(货件明细!J:J,E1433,货件明细!H:H)</f>
        <v>0</v>
      </c>
      <c r="Y1433">
        <f>N1433-X1433</f>
        <v>107.8</v>
      </c>
      <c r="Z1433">
        <f>SUMIF(货件明细!J:J,E1433,货件明细!I:I)</f>
        <v>0</v>
      </c>
      <c r="AA1433">
        <f>IF(S1433=Z1433,0,1)</f>
        <v>1</v>
      </c>
    </row>
    <row r="1434" hidden="1" spans="1:27">
      <c r="A1434">
        <v>3</v>
      </c>
      <c r="B1434">
        <v>12</v>
      </c>
      <c r="C1434" s="3">
        <v>46099</v>
      </c>
      <c r="D1434" t="s">
        <v>27</v>
      </c>
      <c r="E1434" t="s">
        <v>1553</v>
      </c>
      <c r="F1434" t="s">
        <v>715</v>
      </c>
      <c r="G1434" t="s">
        <v>69</v>
      </c>
      <c r="H1434" t="s">
        <v>37</v>
      </c>
      <c r="I1434" t="s">
        <v>146</v>
      </c>
      <c r="J1434" t="s">
        <v>146</v>
      </c>
      <c r="K1434" t="s">
        <v>64</v>
      </c>
      <c r="L1434" t="s">
        <v>147</v>
      </c>
      <c r="M1434" t="s">
        <v>1545</v>
      </c>
      <c r="N1434">
        <v>107.8</v>
      </c>
      <c r="O1434">
        <v>15</v>
      </c>
      <c r="P1434">
        <v>518</v>
      </c>
      <c r="Q1434">
        <v>533</v>
      </c>
      <c r="R1434">
        <v>0</v>
      </c>
      <c r="S1434">
        <v>533</v>
      </c>
      <c r="T1434">
        <v>849</v>
      </c>
      <c r="U1434">
        <f>SUMIF(货件明细!J:J,E1434,货件明细!AP:AP)</f>
        <v>0</v>
      </c>
      <c r="V1434">
        <f>IF(U1434=T1434,0,1)</f>
        <v>1</v>
      </c>
      <c r="W1434">
        <f>T1434</f>
        <v>849</v>
      </c>
      <c r="X1434">
        <f>SUMIF(货件明细!J:J,E1434,货件明细!H:H)</f>
        <v>0</v>
      </c>
      <c r="Y1434">
        <f>N1434-X1434</f>
        <v>107.8</v>
      </c>
      <c r="Z1434">
        <f>SUMIF(货件明细!J:J,E1434,货件明细!I:I)</f>
        <v>0</v>
      </c>
      <c r="AA1434">
        <f>IF(S1434=Z1434,0,1)</f>
        <v>1</v>
      </c>
    </row>
    <row r="1435" hidden="1" spans="1:27">
      <c r="A1435">
        <v>3</v>
      </c>
      <c r="B1435">
        <v>12</v>
      </c>
      <c r="C1435" s="3">
        <v>46099</v>
      </c>
      <c r="D1435" t="s">
        <v>27</v>
      </c>
      <c r="E1435" t="s">
        <v>1554</v>
      </c>
      <c r="F1435" t="s">
        <v>143</v>
      </c>
      <c r="G1435" t="s">
        <v>72</v>
      </c>
      <c r="H1435" t="s">
        <v>37</v>
      </c>
      <c r="I1435" t="s">
        <v>146</v>
      </c>
      <c r="J1435" t="s">
        <v>146</v>
      </c>
      <c r="K1435" t="s">
        <v>64</v>
      </c>
      <c r="L1435" t="s">
        <v>147</v>
      </c>
      <c r="M1435" t="s">
        <v>1545</v>
      </c>
      <c r="N1435">
        <v>107.8</v>
      </c>
      <c r="O1435">
        <v>15</v>
      </c>
      <c r="P1435">
        <v>377.4</v>
      </c>
      <c r="Q1435">
        <v>392.4</v>
      </c>
      <c r="R1435">
        <v>0</v>
      </c>
      <c r="S1435">
        <v>392.4</v>
      </c>
      <c r="T1435">
        <v>849</v>
      </c>
      <c r="U1435">
        <f>SUMIF(货件明细!J:J,E1435,货件明细!AP:AP)</f>
        <v>0</v>
      </c>
      <c r="V1435">
        <f>IF(U1435=T1435,0,1)</f>
        <v>1</v>
      </c>
      <c r="W1435">
        <f>T1435</f>
        <v>849</v>
      </c>
      <c r="X1435">
        <f>SUMIF(货件明细!J:J,E1435,货件明细!H:H)</f>
        <v>0</v>
      </c>
      <c r="Y1435">
        <f>N1435-X1435</f>
        <v>107.8</v>
      </c>
      <c r="Z1435">
        <f>SUMIF(货件明细!J:J,E1435,货件明细!I:I)</f>
        <v>0</v>
      </c>
      <c r="AA1435">
        <f>IF(S1435=Z1435,0,1)</f>
        <v>1</v>
      </c>
    </row>
    <row r="1436" hidden="1" spans="1:27">
      <c r="A1436">
        <v>3</v>
      </c>
      <c r="B1436">
        <v>12</v>
      </c>
      <c r="C1436" s="3">
        <v>46099</v>
      </c>
      <c r="D1436" t="s">
        <v>27</v>
      </c>
      <c r="E1436" t="s">
        <v>1555</v>
      </c>
      <c r="F1436" t="s">
        <v>143</v>
      </c>
      <c r="G1436" t="s">
        <v>72</v>
      </c>
      <c r="H1436" t="s">
        <v>54</v>
      </c>
      <c r="I1436" t="s">
        <v>146</v>
      </c>
      <c r="J1436" t="s">
        <v>146</v>
      </c>
      <c r="K1436" t="s">
        <v>64</v>
      </c>
      <c r="L1436" t="s">
        <v>147</v>
      </c>
      <c r="M1436" t="s">
        <v>1545</v>
      </c>
      <c r="N1436">
        <v>21</v>
      </c>
      <c r="O1436">
        <v>15</v>
      </c>
      <c r="P1436">
        <v>111</v>
      </c>
      <c r="Q1436">
        <v>126</v>
      </c>
      <c r="R1436">
        <v>0</v>
      </c>
      <c r="S1436">
        <v>126</v>
      </c>
      <c r="T1436">
        <v>88</v>
      </c>
      <c r="U1436">
        <f>SUMIF(货件明细!J:J,E1436,货件明细!AP:AP)</f>
        <v>0</v>
      </c>
      <c r="V1436">
        <f>IF(U1436=T1436,0,1)</f>
        <v>1</v>
      </c>
      <c r="W1436">
        <f>T1436</f>
        <v>88</v>
      </c>
      <c r="X1436">
        <f>SUMIF(货件明细!J:J,E1436,货件明细!H:H)</f>
        <v>0</v>
      </c>
      <c r="Y1436">
        <f>N1436-X1436</f>
        <v>21</v>
      </c>
      <c r="Z1436">
        <f>SUMIF(货件明细!J:J,E1436,货件明细!I:I)</f>
        <v>0</v>
      </c>
      <c r="AA1436">
        <f>IF(S1436=Z1436,0,1)</f>
        <v>1</v>
      </c>
    </row>
    <row r="1437" hidden="1" spans="1:27">
      <c r="A1437">
        <v>3</v>
      </c>
      <c r="B1437">
        <v>12</v>
      </c>
      <c r="C1437" s="3">
        <v>46099</v>
      </c>
      <c r="D1437" t="s">
        <v>27</v>
      </c>
      <c r="E1437" t="s">
        <v>1556</v>
      </c>
      <c r="F1437" t="s">
        <v>74</v>
      </c>
      <c r="G1437" t="s">
        <v>30</v>
      </c>
      <c r="H1437" t="s">
        <v>54</v>
      </c>
      <c r="I1437" t="s">
        <v>146</v>
      </c>
      <c r="J1437" t="s">
        <v>146</v>
      </c>
      <c r="K1437" t="s">
        <v>64</v>
      </c>
      <c r="L1437" t="s">
        <v>147</v>
      </c>
      <c r="M1437" t="s">
        <v>148</v>
      </c>
      <c r="N1437">
        <v>21</v>
      </c>
      <c r="O1437">
        <v>30</v>
      </c>
      <c r="P1437">
        <v>186</v>
      </c>
      <c r="Q1437">
        <v>216</v>
      </c>
      <c r="R1437">
        <v>0</v>
      </c>
      <c r="S1437">
        <v>216</v>
      </c>
      <c r="T1437">
        <v>88</v>
      </c>
      <c r="U1437">
        <f>SUMIF(货件明细!J:J,E1437,货件明细!AP:AP)</f>
        <v>0</v>
      </c>
      <c r="V1437">
        <f>IF(U1437=T1437,0,1)</f>
        <v>1</v>
      </c>
      <c r="W1437">
        <f>T1437</f>
        <v>88</v>
      </c>
      <c r="X1437">
        <f>SUMIF(货件明细!J:J,E1437,货件明细!H:H)</f>
        <v>0</v>
      </c>
      <c r="Y1437">
        <f>N1437-X1437</f>
        <v>21</v>
      </c>
      <c r="Z1437">
        <f>SUMIF(货件明细!J:J,E1437,货件明细!I:I)</f>
        <v>0</v>
      </c>
      <c r="AA1437">
        <f>IF(S1437=Z1437,0,1)</f>
        <v>1</v>
      </c>
    </row>
    <row r="1438" hidden="1" spans="1:27">
      <c r="A1438">
        <v>3</v>
      </c>
      <c r="B1438">
        <v>12</v>
      </c>
      <c r="C1438" s="3">
        <v>46099</v>
      </c>
      <c r="D1438" t="s">
        <v>27</v>
      </c>
      <c r="E1438" t="s">
        <v>1557</v>
      </c>
      <c r="F1438" t="s">
        <v>715</v>
      </c>
      <c r="G1438" t="s">
        <v>69</v>
      </c>
      <c r="H1438" t="s">
        <v>54</v>
      </c>
      <c r="I1438" t="s">
        <v>146</v>
      </c>
      <c r="J1438" t="s">
        <v>146</v>
      </c>
      <c r="K1438" t="s">
        <v>64</v>
      </c>
      <c r="L1438" t="s">
        <v>147</v>
      </c>
      <c r="M1438" t="s">
        <v>1545</v>
      </c>
      <c r="N1438">
        <v>21</v>
      </c>
      <c r="O1438">
        <v>15</v>
      </c>
      <c r="P1438">
        <v>148</v>
      </c>
      <c r="Q1438">
        <v>163</v>
      </c>
      <c r="R1438">
        <v>0</v>
      </c>
      <c r="S1438">
        <v>163</v>
      </c>
      <c r="T1438">
        <v>88</v>
      </c>
      <c r="U1438">
        <f>SUMIF(货件明细!J:J,E1438,货件明细!AP:AP)</f>
        <v>0</v>
      </c>
      <c r="V1438">
        <f>IF(U1438=T1438,0,1)</f>
        <v>1</v>
      </c>
      <c r="W1438">
        <f>T1438</f>
        <v>88</v>
      </c>
      <c r="X1438">
        <f>SUMIF(货件明细!J:J,E1438,货件明细!H:H)</f>
        <v>0</v>
      </c>
      <c r="Y1438">
        <f>N1438-X1438</f>
        <v>21</v>
      </c>
      <c r="Z1438">
        <f>SUMIF(货件明细!J:J,E1438,货件明细!I:I)</f>
        <v>0</v>
      </c>
      <c r="AA1438">
        <f>IF(S1438=Z1438,0,1)</f>
        <v>1</v>
      </c>
    </row>
    <row r="1439" hidden="1" spans="1:27">
      <c r="A1439">
        <v>3</v>
      </c>
      <c r="B1439">
        <v>12</v>
      </c>
      <c r="C1439" s="3">
        <v>46099</v>
      </c>
      <c r="D1439" t="s">
        <v>27</v>
      </c>
      <c r="E1439" t="s">
        <v>1558</v>
      </c>
      <c r="F1439" t="s">
        <v>76</v>
      </c>
      <c r="G1439" t="s">
        <v>72</v>
      </c>
      <c r="H1439" t="s">
        <v>54</v>
      </c>
      <c r="I1439" t="s">
        <v>146</v>
      </c>
      <c r="J1439" t="s">
        <v>146</v>
      </c>
      <c r="K1439" t="s">
        <v>64</v>
      </c>
      <c r="L1439" t="s">
        <v>147</v>
      </c>
      <c r="M1439" t="s">
        <v>1545</v>
      </c>
      <c r="N1439">
        <v>21</v>
      </c>
      <c r="O1439">
        <v>15</v>
      </c>
      <c r="P1439">
        <v>99</v>
      </c>
      <c r="Q1439">
        <v>114</v>
      </c>
      <c r="R1439">
        <v>0</v>
      </c>
      <c r="S1439">
        <v>114</v>
      </c>
      <c r="T1439">
        <v>88</v>
      </c>
      <c r="U1439">
        <f>SUMIF(货件明细!J:J,E1439,货件明细!AP:AP)</f>
        <v>0</v>
      </c>
      <c r="V1439">
        <f>IF(U1439=T1439,0,1)</f>
        <v>1</v>
      </c>
      <c r="W1439">
        <f>T1439</f>
        <v>88</v>
      </c>
      <c r="X1439">
        <f>SUMIF(货件明细!J:J,E1439,货件明细!H:H)</f>
        <v>0</v>
      </c>
      <c r="Y1439">
        <f>N1439-X1439</f>
        <v>21</v>
      </c>
      <c r="Z1439">
        <f>SUMIF(货件明细!J:J,E1439,货件明细!I:I)</f>
        <v>0</v>
      </c>
      <c r="AA1439">
        <f>IF(S1439=Z1439,0,1)</f>
        <v>1</v>
      </c>
    </row>
    <row r="1440" hidden="1" spans="1:27">
      <c r="A1440">
        <v>3</v>
      </c>
      <c r="B1440">
        <v>12</v>
      </c>
      <c r="C1440" s="3">
        <v>46099</v>
      </c>
      <c r="D1440" t="s">
        <v>27</v>
      </c>
      <c r="E1440" t="s">
        <v>1559</v>
      </c>
      <c r="F1440" t="s">
        <v>198</v>
      </c>
      <c r="G1440" t="s">
        <v>69</v>
      </c>
      <c r="H1440" t="s">
        <v>54</v>
      </c>
      <c r="I1440" t="s">
        <v>146</v>
      </c>
      <c r="J1440" t="s">
        <v>146</v>
      </c>
      <c r="K1440" t="s">
        <v>64</v>
      </c>
      <c r="L1440" t="s">
        <v>147</v>
      </c>
      <c r="M1440" t="s">
        <v>1545</v>
      </c>
      <c r="N1440">
        <v>21</v>
      </c>
      <c r="O1440">
        <v>15</v>
      </c>
      <c r="P1440">
        <v>148</v>
      </c>
      <c r="Q1440">
        <v>163</v>
      </c>
      <c r="R1440">
        <v>0</v>
      </c>
      <c r="S1440">
        <v>163</v>
      </c>
      <c r="T1440">
        <v>88</v>
      </c>
      <c r="U1440">
        <f>SUMIF(货件明细!J:J,E1440,货件明细!AP:AP)</f>
        <v>0</v>
      </c>
      <c r="V1440">
        <f>IF(U1440=T1440,0,1)</f>
        <v>1</v>
      </c>
      <c r="W1440">
        <f>T1440</f>
        <v>88</v>
      </c>
      <c r="X1440">
        <f>SUMIF(货件明细!J:J,E1440,货件明细!H:H)</f>
        <v>0</v>
      </c>
      <c r="Y1440">
        <f>N1440-X1440</f>
        <v>21</v>
      </c>
      <c r="Z1440">
        <f>SUMIF(货件明细!J:J,E1440,货件明细!I:I)</f>
        <v>0</v>
      </c>
      <c r="AA1440">
        <f>IF(S1440=Z1440,0,1)</f>
        <v>1</v>
      </c>
    </row>
    <row r="1441" hidden="1" spans="1:27">
      <c r="A1441">
        <v>3</v>
      </c>
      <c r="B1441">
        <v>12</v>
      </c>
      <c r="C1441" s="3">
        <v>46099</v>
      </c>
      <c r="D1441" t="s">
        <v>27</v>
      </c>
      <c r="E1441" t="s">
        <v>1560</v>
      </c>
      <c r="F1441" t="s">
        <v>74</v>
      </c>
      <c r="G1441" t="s">
        <v>30</v>
      </c>
      <c r="H1441" t="s">
        <v>78</v>
      </c>
      <c r="I1441" t="s">
        <v>146</v>
      </c>
      <c r="J1441" t="s">
        <v>146</v>
      </c>
      <c r="K1441" t="s">
        <v>64</v>
      </c>
      <c r="L1441" t="s">
        <v>147</v>
      </c>
      <c r="M1441" t="s">
        <v>148</v>
      </c>
      <c r="N1441">
        <v>27.5</v>
      </c>
      <c r="O1441">
        <v>30</v>
      </c>
      <c r="P1441">
        <v>223.2</v>
      </c>
      <c r="Q1441">
        <v>253.2</v>
      </c>
      <c r="R1441">
        <v>0</v>
      </c>
      <c r="S1441">
        <v>253.2</v>
      </c>
      <c r="T1441">
        <v>231</v>
      </c>
      <c r="U1441">
        <f>SUMIF(货件明细!J:J,E1441,货件明细!AP:AP)</f>
        <v>0</v>
      </c>
      <c r="V1441">
        <f>IF(U1441=T1441,0,1)</f>
        <v>1</v>
      </c>
      <c r="W1441">
        <f>T1441</f>
        <v>231</v>
      </c>
      <c r="X1441">
        <f>SUMIF(货件明细!J:J,E1441,货件明细!H:H)</f>
        <v>0</v>
      </c>
      <c r="Y1441">
        <f>N1441-X1441</f>
        <v>27.5</v>
      </c>
      <c r="Z1441">
        <f>SUMIF(货件明细!J:J,E1441,货件明细!I:I)</f>
        <v>0</v>
      </c>
      <c r="AA1441">
        <f>IF(S1441=Z1441,0,1)</f>
        <v>1</v>
      </c>
    </row>
    <row r="1442" hidden="1" spans="1:27">
      <c r="A1442">
        <v>3</v>
      </c>
      <c r="B1442">
        <v>12</v>
      </c>
      <c r="C1442" s="3">
        <v>46099</v>
      </c>
      <c r="D1442" t="s">
        <v>27</v>
      </c>
      <c r="E1442" t="s">
        <v>1561</v>
      </c>
      <c r="F1442" t="s">
        <v>715</v>
      </c>
      <c r="G1442" t="s">
        <v>69</v>
      </c>
      <c r="H1442" t="s">
        <v>78</v>
      </c>
      <c r="I1442" t="s">
        <v>146</v>
      </c>
      <c r="J1442" t="s">
        <v>146</v>
      </c>
      <c r="K1442" t="s">
        <v>64</v>
      </c>
      <c r="L1442" t="s">
        <v>147</v>
      </c>
      <c r="M1442" t="s">
        <v>1545</v>
      </c>
      <c r="N1442">
        <v>27.5</v>
      </c>
      <c r="O1442">
        <v>15</v>
      </c>
      <c r="P1442">
        <v>177.6</v>
      </c>
      <c r="Q1442">
        <v>192.6</v>
      </c>
      <c r="R1442">
        <v>0</v>
      </c>
      <c r="S1442">
        <v>192.6</v>
      </c>
      <c r="T1442">
        <v>231</v>
      </c>
      <c r="U1442">
        <f>SUMIF(货件明细!J:J,E1442,货件明细!AP:AP)</f>
        <v>0</v>
      </c>
      <c r="V1442">
        <f>IF(U1442=T1442,0,1)</f>
        <v>1</v>
      </c>
      <c r="W1442">
        <f>T1442</f>
        <v>231</v>
      </c>
      <c r="X1442">
        <f>SUMIF(货件明细!J:J,E1442,货件明细!H:H)</f>
        <v>0</v>
      </c>
      <c r="Y1442">
        <f>N1442-X1442</f>
        <v>27.5</v>
      </c>
      <c r="Z1442">
        <f>SUMIF(货件明细!J:J,E1442,货件明细!I:I)</f>
        <v>0</v>
      </c>
      <c r="AA1442">
        <f>IF(S1442=Z1442,0,1)</f>
        <v>1</v>
      </c>
    </row>
    <row r="1443" hidden="1" spans="1:27">
      <c r="A1443">
        <v>3</v>
      </c>
      <c r="B1443">
        <v>12</v>
      </c>
      <c r="C1443" s="3">
        <v>46099</v>
      </c>
      <c r="D1443" t="s">
        <v>27</v>
      </c>
      <c r="E1443" t="s">
        <v>1562</v>
      </c>
      <c r="F1443" t="s">
        <v>198</v>
      </c>
      <c r="G1443" t="s">
        <v>69</v>
      </c>
      <c r="H1443" t="s">
        <v>78</v>
      </c>
      <c r="I1443" t="s">
        <v>146</v>
      </c>
      <c r="J1443" t="s">
        <v>146</v>
      </c>
      <c r="K1443" t="s">
        <v>64</v>
      </c>
      <c r="L1443" t="s">
        <v>147</v>
      </c>
      <c r="M1443" t="s">
        <v>1545</v>
      </c>
      <c r="N1443">
        <v>27.5</v>
      </c>
      <c r="O1443">
        <v>15</v>
      </c>
      <c r="P1443">
        <v>177.6</v>
      </c>
      <c r="Q1443">
        <v>192.6</v>
      </c>
      <c r="R1443">
        <v>0</v>
      </c>
      <c r="S1443">
        <v>192.6</v>
      </c>
      <c r="T1443">
        <v>231</v>
      </c>
      <c r="U1443">
        <f>SUMIF(货件明细!J:J,E1443,货件明细!AP:AP)</f>
        <v>0</v>
      </c>
      <c r="V1443">
        <f>IF(U1443=T1443,0,1)</f>
        <v>1</v>
      </c>
      <c r="W1443">
        <f>T1443</f>
        <v>231</v>
      </c>
      <c r="X1443">
        <f>SUMIF(货件明细!J:J,E1443,货件明细!H:H)</f>
        <v>0</v>
      </c>
      <c r="Y1443">
        <f>N1443-X1443</f>
        <v>27.5</v>
      </c>
      <c r="Z1443">
        <f>SUMIF(货件明细!J:J,E1443,货件明细!I:I)</f>
        <v>0</v>
      </c>
      <c r="AA1443">
        <f>IF(S1443=Z1443,0,1)</f>
        <v>1</v>
      </c>
    </row>
    <row r="1444" hidden="1" spans="1:27">
      <c r="A1444">
        <v>3</v>
      </c>
      <c r="B1444">
        <v>12</v>
      </c>
      <c r="C1444" s="3">
        <v>46099</v>
      </c>
      <c r="D1444" t="s">
        <v>27</v>
      </c>
      <c r="E1444" t="s">
        <v>1563</v>
      </c>
      <c r="F1444" t="s">
        <v>76</v>
      </c>
      <c r="G1444" t="s">
        <v>72</v>
      </c>
      <c r="H1444" t="s">
        <v>78</v>
      </c>
      <c r="I1444" t="s">
        <v>146</v>
      </c>
      <c r="J1444" t="s">
        <v>146</v>
      </c>
      <c r="K1444" t="s">
        <v>64</v>
      </c>
      <c r="L1444" t="s">
        <v>147</v>
      </c>
      <c r="M1444" t="s">
        <v>1545</v>
      </c>
      <c r="N1444">
        <v>27.5</v>
      </c>
      <c r="O1444">
        <v>15</v>
      </c>
      <c r="P1444">
        <v>118.8</v>
      </c>
      <c r="Q1444">
        <v>133.8</v>
      </c>
      <c r="R1444">
        <v>0</v>
      </c>
      <c r="S1444">
        <v>133.8</v>
      </c>
      <c r="T1444">
        <v>231</v>
      </c>
      <c r="U1444">
        <f>SUMIF(货件明细!J:J,E1444,货件明细!AP:AP)</f>
        <v>0</v>
      </c>
      <c r="V1444">
        <f>IF(U1444=T1444,0,1)</f>
        <v>1</v>
      </c>
      <c r="W1444">
        <f>T1444</f>
        <v>231</v>
      </c>
      <c r="X1444">
        <f>SUMIF(货件明细!J:J,E1444,货件明细!H:H)</f>
        <v>0</v>
      </c>
      <c r="Y1444">
        <f>N1444-X1444</f>
        <v>27.5</v>
      </c>
      <c r="Z1444">
        <f>SUMIF(货件明细!J:J,E1444,货件明细!I:I)</f>
        <v>0</v>
      </c>
      <c r="AA1444">
        <f>IF(S1444=Z1444,0,1)</f>
        <v>1</v>
      </c>
    </row>
    <row r="1445" hidden="1" spans="1:27">
      <c r="A1445">
        <v>3</v>
      </c>
      <c r="B1445">
        <v>12</v>
      </c>
      <c r="C1445" s="3">
        <v>46099</v>
      </c>
      <c r="D1445" t="s">
        <v>27</v>
      </c>
      <c r="E1445" t="s">
        <v>1564</v>
      </c>
      <c r="F1445" t="s">
        <v>143</v>
      </c>
      <c r="G1445" t="s">
        <v>72</v>
      </c>
      <c r="H1445" t="s">
        <v>78</v>
      </c>
      <c r="I1445" t="s">
        <v>146</v>
      </c>
      <c r="J1445" t="s">
        <v>146</v>
      </c>
      <c r="K1445" t="s">
        <v>64</v>
      </c>
      <c r="L1445" t="s">
        <v>147</v>
      </c>
      <c r="M1445" t="s">
        <v>1545</v>
      </c>
      <c r="N1445">
        <v>27.5</v>
      </c>
      <c r="O1445">
        <v>15</v>
      </c>
      <c r="P1445">
        <v>133.2</v>
      </c>
      <c r="Q1445">
        <v>148.2</v>
      </c>
      <c r="R1445">
        <v>0</v>
      </c>
      <c r="S1445">
        <v>148.2</v>
      </c>
      <c r="T1445">
        <v>231</v>
      </c>
      <c r="U1445">
        <f>SUMIF(货件明细!J:J,E1445,货件明细!AP:AP)</f>
        <v>0</v>
      </c>
      <c r="V1445">
        <f>IF(U1445=T1445,0,1)</f>
        <v>1</v>
      </c>
      <c r="W1445">
        <f>T1445</f>
        <v>231</v>
      </c>
      <c r="X1445">
        <f>SUMIF(货件明细!J:J,E1445,货件明细!H:H)</f>
        <v>0</v>
      </c>
      <c r="Y1445">
        <f>N1445-X1445</f>
        <v>27.5</v>
      </c>
      <c r="Z1445">
        <f>SUMIF(货件明细!J:J,E1445,货件明细!I:I)</f>
        <v>0</v>
      </c>
      <c r="AA1445">
        <f>IF(S1445=Z1445,0,1)</f>
        <v>1</v>
      </c>
    </row>
    <row r="1446" hidden="1" spans="1:27">
      <c r="A1446">
        <v>3</v>
      </c>
      <c r="B1446">
        <v>12</v>
      </c>
      <c r="C1446" s="3">
        <v>46099</v>
      </c>
      <c r="D1446" t="s">
        <v>27</v>
      </c>
      <c r="E1446" t="s">
        <v>1565</v>
      </c>
      <c r="F1446" t="s">
        <v>198</v>
      </c>
      <c r="G1446" t="s">
        <v>69</v>
      </c>
      <c r="H1446" t="s">
        <v>37</v>
      </c>
      <c r="I1446" t="s">
        <v>146</v>
      </c>
      <c r="J1446" t="s">
        <v>146</v>
      </c>
      <c r="K1446" t="s">
        <v>64</v>
      </c>
      <c r="L1446" t="s">
        <v>147</v>
      </c>
      <c r="M1446" t="s">
        <v>1545</v>
      </c>
      <c r="N1446">
        <v>17.15</v>
      </c>
      <c r="O1446">
        <v>15</v>
      </c>
      <c r="P1446">
        <v>88.8</v>
      </c>
      <c r="Q1446">
        <v>103.8</v>
      </c>
      <c r="R1446">
        <v>0</v>
      </c>
      <c r="S1446">
        <v>103.8</v>
      </c>
      <c r="T1446">
        <v>105</v>
      </c>
      <c r="U1446">
        <f>SUMIF(货件明细!J:J,E1446,货件明细!AP:AP)</f>
        <v>0</v>
      </c>
      <c r="V1446">
        <f>IF(U1446=T1446,0,1)</f>
        <v>1</v>
      </c>
      <c r="W1446">
        <f>T1446</f>
        <v>105</v>
      </c>
      <c r="X1446">
        <f>SUMIF(货件明细!J:J,E1446,货件明细!H:H)</f>
        <v>0</v>
      </c>
      <c r="Y1446">
        <f>N1446-X1446</f>
        <v>17.15</v>
      </c>
      <c r="Z1446">
        <f>SUMIF(货件明细!J:J,E1446,货件明细!I:I)</f>
        <v>0</v>
      </c>
      <c r="AA1446">
        <f>IF(S1446=Z1446,0,1)</f>
        <v>1</v>
      </c>
    </row>
    <row r="1447" hidden="1" spans="1:27">
      <c r="A1447">
        <v>3</v>
      </c>
      <c r="B1447">
        <v>12</v>
      </c>
      <c r="C1447" s="3">
        <v>46099</v>
      </c>
      <c r="D1447" t="s">
        <v>27</v>
      </c>
      <c r="E1447" t="s">
        <v>1566</v>
      </c>
      <c r="F1447" t="s">
        <v>143</v>
      </c>
      <c r="G1447" t="s">
        <v>72</v>
      </c>
      <c r="H1447" t="s">
        <v>37</v>
      </c>
      <c r="I1447" t="s">
        <v>146</v>
      </c>
      <c r="J1447" t="s">
        <v>146</v>
      </c>
      <c r="K1447" t="s">
        <v>64</v>
      </c>
      <c r="L1447" t="s">
        <v>147</v>
      </c>
      <c r="M1447" t="s">
        <v>1545</v>
      </c>
      <c r="N1447">
        <v>17.15</v>
      </c>
      <c r="O1447">
        <v>15</v>
      </c>
      <c r="P1447">
        <v>66.6</v>
      </c>
      <c r="Q1447">
        <v>81.6</v>
      </c>
      <c r="R1447">
        <v>0</v>
      </c>
      <c r="S1447">
        <v>81.6</v>
      </c>
      <c r="T1447">
        <v>105</v>
      </c>
      <c r="U1447">
        <f>SUMIF(货件明细!J:J,E1447,货件明细!AP:AP)</f>
        <v>0</v>
      </c>
      <c r="V1447">
        <f>IF(U1447=T1447,0,1)</f>
        <v>1</v>
      </c>
      <c r="W1447">
        <f>T1447</f>
        <v>105</v>
      </c>
      <c r="X1447">
        <f>SUMIF(货件明细!J:J,E1447,货件明细!H:H)</f>
        <v>0</v>
      </c>
      <c r="Y1447">
        <f>N1447-X1447</f>
        <v>17.15</v>
      </c>
      <c r="Z1447">
        <f>SUMIF(货件明细!J:J,E1447,货件明细!I:I)</f>
        <v>0</v>
      </c>
      <c r="AA1447">
        <f>IF(S1447=Z1447,0,1)</f>
        <v>1</v>
      </c>
    </row>
    <row r="1448" hidden="1" spans="1:27">
      <c r="A1448">
        <v>3</v>
      </c>
      <c r="B1448">
        <v>12</v>
      </c>
      <c r="C1448" s="3">
        <v>46099</v>
      </c>
      <c r="D1448" t="s">
        <v>27</v>
      </c>
      <c r="E1448" t="s">
        <v>1567</v>
      </c>
      <c r="F1448" t="s">
        <v>715</v>
      </c>
      <c r="G1448" t="s">
        <v>69</v>
      </c>
      <c r="H1448" t="s">
        <v>37</v>
      </c>
      <c r="I1448" t="s">
        <v>146</v>
      </c>
      <c r="J1448" t="s">
        <v>146</v>
      </c>
      <c r="K1448" t="s">
        <v>64</v>
      </c>
      <c r="L1448" t="s">
        <v>147</v>
      </c>
      <c r="M1448" t="s">
        <v>1545</v>
      </c>
      <c r="N1448">
        <v>17.15</v>
      </c>
      <c r="O1448">
        <v>15</v>
      </c>
      <c r="P1448">
        <v>88.8</v>
      </c>
      <c r="Q1448">
        <v>103.8</v>
      </c>
      <c r="R1448">
        <v>0</v>
      </c>
      <c r="S1448">
        <v>103.8</v>
      </c>
      <c r="T1448">
        <v>105</v>
      </c>
      <c r="U1448">
        <f>SUMIF(货件明细!J:J,E1448,货件明细!AP:AP)</f>
        <v>0</v>
      </c>
      <c r="V1448">
        <f>IF(U1448=T1448,0,1)</f>
        <v>1</v>
      </c>
      <c r="W1448">
        <f>T1448</f>
        <v>105</v>
      </c>
      <c r="X1448">
        <f>SUMIF(货件明细!J:J,E1448,货件明细!H:H)</f>
        <v>0</v>
      </c>
      <c r="Y1448">
        <f>N1448-X1448</f>
        <v>17.15</v>
      </c>
      <c r="Z1448">
        <f>SUMIF(货件明细!J:J,E1448,货件明细!I:I)</f>
        <v>0</v>
      </c>
      <c r="AA1448">
        <f>IF(S1448=Z1448,0,1)</f>
        <v>1</v>
      </c>
    </row>
    <row r="1449" hidden="1" spans="1:27">
      <c r="A1449">
        <v>3</v>
      </c>
      <c r="B1449">
        <v>12</v>
      </c>
      <c r="C1449" s="3">
        <v>46099</v>
      </c>
      <c r="D1449" t="s">
        <v>27</v>
      </c>
      <c r="E1449" t="s">
        <v>1568</v>
      </c>
      <c r="F1449" t="s">
        <v>74</v>
      </c>
      <c r="G1449" t="s">
        <v>30</v>
      </c>
      <c r="H1449" t="s">
        <v>37</v>
      </c>
      <c r="I1449" t="s">
        <v>146</v>
      </c>
      <c r="J1449" t="s">
        <v>146</v>
      </c>
      <c r="K1449" t="s">
        <v>64</v>
      </c>
      <c r="L1449" t="s">
        <v>147</v>
      </c>
      <c r="M1449" t="s">
        <v>148</v>
      </c>
      <c r="N1449">
        <v>17.15</v>
      </c>
      <c r="O1449">
        <v>30</v>
      </c>
      <c r="P1449">
        <v>111.6</v>
      </c>
      <c r="Q1449">
        <v>141.6</v>
      </c>
      <c r="R1449">
        <v>0</v>
      </c>
      <c r="S1449">
        <v>141.6</v>
      </c>
      <c r="T1449">
        <v>105</v>
      </c>
      <c r="U1449">
        <f>SUMIF(货件明细!J:J,E1449,货件明细!AP:AP)</f>
        <v>0</v>
      </c>
      <c r="V1449">
        <f>IF(U1449=T1449,0,1)</f>
        <v>1</v>
      </c>
      <c r="W1449">
        <f>T1449</f>
        <v>105</v>
      </c>
      <c r="X1449">
        <f>SUMIF(货件明细!J:J,E1449,货件明细!H:H)</f>
        <v>0</v>
      </c>
      <c r="Y1449">
        <f>N1449-X1449</f>
        <v>17.15</v>
      </c>
      <c r="Z1449">
        <f>SUMIF(货件明细!J:J,E1449,货件明细!I:I)</f>
        <v>0</v>
      </c>
      <c r="AA1449">
        <f>IF(S1449=Z1449,0,1)</f>
        <v>1</v>
      </c>
    </row>
    <row r="1450" hidden="1" spans="1:27">
      <c r="A1450">
        <v>3</v>
      </c>
      <c r="B1450">
        <v>12</v>
      </c>
      <c r="C1450" s="3">
        <v>46099</v>
      </c>
      <c r="D1450" t="s">
        <v>27</v>
      </c>
      <c r="E1450" t="s">
        <v>1569</v>
      </c>
      <c r="F1450" t="s">
        <v>76</v>
      </c>
      <c r="G1450" t="s">
        <v>72</v>
      </c>
      <c r="H1450" t="s">
        <v>37</v>
      </c>
      <c r="I1450" t="s">
        <v>146</v>
      </c>
      <c r="J1450" t="s">
        <v>146</v>
      </c>
      <c r="K1450" t="s">
        <v>64</v>
      </c>
      <c r="L1450" t="s">
        <v>147</v>
      </c>
      <c r="M1450" t="s">
        <v>1545</v>
      </c>
      <c r="N1450">
        <v>17.15</v>
      </c>
      <c r="O1450">
        <v>15</v>
      </c>
      <c r="P1450">
        <v>59.4</v>
      </c>
      <c r="Q1450">
        <v>74.4</v>
      </c>
      <c r="R1450">
        <v>0</v>
      </c>
      <c r="S1450">
        <v>74.4</v>
      </c>
      <c r="T1450">
        <v>105</v>
      </c>
      <c r="U1450">
        <f>SUMIF(货件明细!J:J,E1450,货件明细!AP:AP)</f>
        <v>0</v>
      </c>
      <c r="V1450">
        <f>IF(U1450=T1450,0,1)</f>
        <v>1</v>
      </c>
      <c r="W1450">
        <f>T1450</f>
        <v>105</v>
      </c>
      <c r="X1450">
        <f>SUMIF(货件明细!J:J,E1450,货件明细!H:H)</f>
        <v>0</v>
      </c>
      <c r="Y1450">
        <f>N1450-X1450</f>
        <v>17.15</v>
      </c>
      <c r="Z1450">
        <f>SUMIF(货件明细!J:J,E1450,货件明细!I:I)</f>
        <v>0</v>
      </c>
      <c r="AA1450">
        <f>IF(S1450=Z1450,0,1)</f>
        <v>1</v>
      </c>
    </row>
    <row r="1451" spans="1:27">
      <c r="A1451">
        <v>3</v>
      </c>
      <c r="B1451">
        <v>12</v>
      </c>
      <c r="C1451" s="3">
        <v>46099</v>
      </c>
      <c r="D1451" t="s">
        <v>27</v>
      </c>
      <c r="E1451" t="s">
        <v>1570</v>
      </c>
      <c r="F1451" t="s">
        <v>41</v>
      </c>
      <c r="G1451" t="s">
        <v>30</v>
      </c>
      <c r="H1451" t="s">
        <v>78</v>
      </c>
      <c r="I1451" t="s">
        <v>32</v>
      </c>
      <c r="J1451" t="s">
        <v>42</v>
      </c>
      <c r="K1451" t="s">
        <v>33</v>
      </c>
      <c r="L1451" t="s">
        <v>43</v>
      </c>
      <c r="M1451" t="s">
        <v>44</v>
      </c>
      <c r="N1451">
        <v>33.95</v>
      </c>
      <c r="O1451">
        <v>200</v>
      </c>
      <c r="P1451">
        <v>1795</v>
      </c>
      <c r="Q1451">
        <v>1995</v>
      </c>
      <c r="R1451">
        <v>310.248</v>
      </c>
      <c r="S1451">
        <v>2305.248</v>
      </c>
      <c r="T1451">
        <v>279</v>
      </c>
      <c r="U1451">
        <f>SUMIF(货件明细!J:J,E1451,货件明细!AP:AP)</f>
        <v>279</v>
      </c>
      <c r="V1451">
        <f>IF(U1451=T1451,0,1)</f>
        <v>0</v>
      </c>
      <c r="W1451">
        <f>T1451</f>
        <v>279</v>
      </c>
      <c r="X1451">
        <f>SUMIF(货件明细!J:J,E1451,货件明细!H:H)</f>
        <v>32.374</v>
      </c>
      <c r="Y1451">
        <f>N1451-X1451</f>
        <v>1.576</v>
      </c>
      <c r="Z1451">
        <f>SUMIF(货件明细!J:J,E1451,货件明细!I:I)</f>
        <v>2305.248</v>
      </c>
      <c r="AA1451">
        <f>IF(S1451=Z1451,0,1)</f>
        <v>0</v>
      </c>
    </row>
    <row r="1452" spans="1:27">
      <c r="A1452">
        <v>3</v>
      </c>
      <c r="B1452">
        <v>12</v>
      </c>
      <c r="C1452" s="3">
        <v>46100</v>
      </c>
      <c r="D1452" t="s">
        <v>27</v>
      </c>
      <c r="E1452" t="s">
        <v>1571</v>
      </c>
      <c r="F1452" t="s">
        <v>41</v>
      </c>
      <c r="G1452" t="s">
        <v>30</v>
      </c>
      <c r="H1452" t="s">
        <v>56</v>
      </c>
      <c r="I1452" t="s">
        <v>42</v>
      </c>
      <c r="J1452" t="s">
        <v>42</v>
      </c>
      <c r="K1452" t="s">
        <v>33</v>
      </c>
      <c r="L1452" t="s">
        <v>43</v>
      </c>
      <c r="M1452" t="s">
        <v>44</v>
      </c>
      <c r="N1452">
        <v>64.65</v>
      </c>
      <c r="O1452">
        <v>50</v>
      </c>
      <c r="P1452">
        <v>3337.5</v>
      </c>
      <c r="Q1452">
        <v>3387.5</v>
      </c>
      <c r="R1452">
        <v>417</v>
      </c>
      <c r="S1452">
        <v>3804.5</v>
      </c>
      <c r="T1452">
        <v>350</v>
      </c>
      <c r="U1452">
        <f>SUMIF(货件明细!J:J,E1452,货件明细!AP:AP)</f>
        <v>350</v>
      </c>
      <c r="V1452">
        <f>IF(U1452=T1452,0,1)</f>
        <v>0</v>
      </c>
      <c r="W1452">
        <f>T1452</f>
        <v>350</v>
      </c>
      <c r="X1452">
        <f>SUMIF(货件明细!J:J,E1452,货件明细!H:H)</f>
        <v>61</v>
      </c>
      <c r="Y1452">
        <f>N1452-X1452</f>
        <v>3.65000000000001</v>
      </c>
      <c r="Z1452">
        <f>SUMIF(货件明细!J:J,E1452,货件明细!I:I)</f>
        <v>3804.5</v>
      </c>
      <c r="AA1452">
        <f>IF(S1452=Z1452,0,1)</f>
        <v>0</v>
      </c>
    </row>
    <row r="1453" spans="1:27">
      <c r="A1453">
        <v>3</v>
      </c>
      <c r="B1453">
        <v>12</v>
      </c>
      <c r="C1453" s="3">
        <v>46100</v>
      </c>
      <c r="D1453" t="s">
        <v>27</v>
      </c>
      <c r="E1453" t="s">
        <v>1572</v>
      </c>
      <c r="F1453" t="s">
        <v>41</v>
      </c>
      <c r="G1453" t="s">
        <v>30</v>
      </c>
      <c r="H1453" t="s">
        <v>51</v>
      </c>
      <c r="I1453" t="s">
        <v>42</v>
      </c>
      <c r="J1453" t="s">
        <v>42</v>
      </c>
      <c r="K1453" t="s">
        <v>33</v>
      </c>
      <c r="L1453" t="s">
        <v>43</v>
      </c>
      <c r="M1453" t="s">
        <v>44</v>
      </c>
      <c r="N1453">
        <v>12.9</v>
      </c>
      <c r="O1453">
        <v>50</v>
      </c>
      <c r="P1453">
        <v>687.5</v>
      </c>
      <c r="Q1453">
        <v>737.5</v>
      </c>
      <c r="R1453">
        <v>116.76</v>
      </c>
      <c r="S1453">
        <v>854.26</v>
      </c>
      <c r="T1453">
        <v>105</v>
      </c>
      <c r="U1453">
        <f>SUMIF(货件明细!J:J,E1453,货件明细!AP:AP)</f>
        <v>105</v>
      </c>
      <c r="V1453">
        <f>IF(U1453=T1453,0,1)</f>
        <v>0</v>
      </c>
      <c r="W1453">
        <f>T1453</f>
        <v>105</v>
      </c>
      <c r="X1453">
        <f>SUMIF(货件明细!J:J,E1453,货件明细!H:H)</f>
        <v>12.055</v>
      </c>
      <c r="Y1453">
        <f>N1453-X1453</f>
        <v>0.845000000000001</v>
      </c>
      <c r="Z1453">
        <f>SUMIF(货件明细!J:J,E1453,货件明细!I:I)</f>
        <v>854.26</v>
      </c>
      <c r="AA1453">
        <f>IF(S1453=Z1453,0,1)</f>
        <v>0</v>
      </c>
    </row>
    <row r="1454" spans="1:27">
      <c r="A1454">
        <v>3</v>
      </c>
      <c r="B1454">
        <v>12</v>
      </c>
      <c r="C1454" s="3">
        <v>46100</v>
      </c>
      <c r="D1454" t="s">
        <v>27</v>
      </c>
      <c r="E1454" t="s">
        <v>1573</v>
      </c>
      <c r="F1454" t="s">
        <v>41</v>
      </c>
      <c r="G1454" t="s">
        <v>30</v>
      </c>
      <c r="H1454" t="s">
        <v>31</v>
      </c>
      <c r="I1454" t="s">
        <v>42</v>
      </c>
      <c r="J1454" t="s">
        <v>42</v>
      </c>
      <c r="K1454" t="s">
        <v>33</v>
      </c>
      <c r="L1454" t="s">
        <v>43</v>
      </c>
      <c r="M1454" t="s">
        <v>44</v>
      </c>
      <c r="N1454">
        <v>24.98</v>
      </c>
      <c r="O1454">
        <v>50</v>
      </c>
      <c r="P1454">
        <v>1287.5</v>
      </c>
      <c r="Q1454">
        <v>1337.5</v>
      </c>
      <c r="R1454">
        <v>143.17</v>
      </c>
      <c r="S1454">
        <v>1480.67</v>
      </c>
      <c r="T1454">
        <v>120</v>
      </c>
      <c r="U1454">
        <f>SUMIF(货件明细!J:J,E1454,货件明细!AP:AP)</f>
        <v>120</v>
      </c>
      <c r="V1454">
        <f>IF(U1454=T1454,0,1)</f>
        <v>0</v>
      </c>
      <c r="W1454">
        <f>T1454</f>
        <v>120</v>
      </c>
      <c r="X1454">
        <f>SUMIF(货件明细!J:J,E1454,货件明细!H:H)</f>
        <v>23.52</v>
      </c>
      <c r="Y1454">
        <f>N1454-X1454</f>
        <v>1.46</v>
      </c>
      <c r="Z1454">
        <f>SUMIF(货件明细!J:J,E1454,货件明细!I:I)</f>
        <v>1480.67</v>
      </c>
      <c r="AA1454">
        <f>IF(S1454=Z1454,0,1)</f>
        <v>0</v>
      </c>
    </row>
    <row r="1455" spans="1:27">
      <c r="A1455">
        <v>3</v>
      </c>
      <c r="B1455">
        <v>12</v>
      </c>
      <c r="C1455" s="3">
        <v>46100</v>
      </c>
      <c r="D1455" t="s">
        <v>27</v>
      </c>
      <c r="E1455" t="s">
        <v>1574</v>
      </c>
      <c r="F1455" t="s">
        <v>41</v>
      </c>
      <c r="G1455" t="s">
        <v>30</v>
      </c>
      <c r="H1455" t="s">
        <v>54</v>
      </c>
      <c r="I1455" t="s">
        <v>42</v>
      </c>
      <c r="J1455" t="s">
        <v>42</v>
      </c>
      <c r="K1455" t="s">
        <v>33</v>
      </c>
      <c r="L1455" t="s">
        <v>43</v>
      </c>
      <c r="M1455" t="s">
        <v>44</v>
      </c>
      <c r="N1455">
        <v>14.2</v>
      </c>
      <c r="O1455">
        <v>50</v>
      </c>
      <c r="P1455">
        <v>787.5</v>
      </c>
      <c r="Q1455">
        <v>837.5</v>
      </c>
      <c r="R1455">
        <v>122.598</v>
      </c>
      <c r="S1455">
        <v>960.098</v>
      </c>
      <c r="T1455">
        <v>104</v>
      </c>
      <c r="U1455">
        <f>SUMIF(货件明细!J:J,E1455,货件明细!AP:AP)</f>
        <v>104</v>
      </c>
      <c r="V1455">
        <f>IF(U1455=T1455,0,1)</f>
        <v>0</v>
      </c>
      <c r="W1455">
        <f>T1455</f>
        <v>104</v>
      </c>
      <c r="X1455">
        <f>SUMIF(货件明细!J:J,E1455,货件明细!H:H)</f>
        <v>13.298</v>
      </c>
      <c r="Y1455">
        <f>N1455-X1455</f>
        <v>0.901999999999999</v>
      </c>
      <c r="Z1455">
        <f>SUMIF(货件明细!J:J,E1455,货件明细!I:I)</f>
        <v>960.098</v>
      </c>
      <c r="AA1455">
        <f>IF(S1455=Z1455,0,1)</f>
        <v>0</v>
      </c>
    </row>
    <row r="1456" hidden="1" spans="1:27">
      <c r="A1456">
        <v>3</v>
      </c>
      <c r="B1456">
        <v>12</v>
      </c>
      <c r="C1456" s="3">
        <v>46101</v>
      </c>
      <c r="D1456" t="s">
        <v>27</v>
      </c>
      <c r="E1456" t="s">
        <v>1575</v>
      </c>
      <c r="F1456" t="s">
        <v>71</v>
      </c>
      <c r="G1456" t="s">
        <v>72</v>
      </c>
      <c r="H1456" t="s">
        <v>56</v>
      </c>
      <c r="I1456" t="s">
        <v>63</v>
      </c>
      <c r="J1456" t="s">
        <v>63</v>
      </c>
      <c r="K1456" t="s">
        <v>64</v>
      </c>
      <c r="L1456" t="s">
        <v>147</v>
      </c>
      <c r="M1456" t="s">
        <v>425</v>
      </c>
      <c r="N1456">
        <v>25.4</v>
      </c>
      <c r="O1456">
        <v>9.375</v>
      </c>
      <c r="P1456">
        <v>122.1</v>
      </c>
      <c r="Q1456">
        <v>131.475</v>
      </c>
      <c r="R1456">
        <v>0</v>
      </c>
      <c r="S1456">
        <v>131.475</v>
      </c>
      <c r="T1456">
        <v>121</v>
      </c>
      <c r="U1456">
        <f>SUMIF(货件明细!J:J,E1456,货件明细!AP:AP)</f>
        <v>0</v>
      </c>
      <c r="V1456">
        <f>IF(U1456=T1456,0,1)</f>
        <v>1</v>
      </c>
      <c r="W1456">
        <f>T1456</f>
        <v>121</v>
      </c>
      <c r="X1456">
        <f>SUMIF(货件明细!J:J,E1456,货件明细!H:H)</f>
        <v>0</v>
      </c>
      <c r="Y1456">
        <f>N1456-X1456</f>
        <v>25.4</v>
      </c>
      <c r="Z1456">
        <f>SUMIF(货件明细!J:J,E1456,货件明细!I:I)</f>
        <v>0</v>
      </c>
      <c r="AA1456">
        <f>IF(S1456=Z1456,0,1)</f>
        <v>1</v>
      </c>
    </row>
    <row r="1457" hidden="1" spans="1:27">
      <c r="A1457">
        <v>3</v>
      </c>
      <c r="B1457">
        <v>12</v>
      </c>
      <c r="C1457" s="3">
        <v>46101</v>
      </c>
      <c r="D1457" t="s">
        <v>27</v>
      </c>
      <c r="E1457" t="s">
        <v>1576</v>
      </c>
      <c r="F1457" t="s">
        <v>200</v>
      </c>
      <c r="G1457" t="s">
        <v>30</v>
      </c>
      <c r="H1457" t="s">
        <v>56</v>
      </c>
      <c r="I1457" t="s">
        <v>63</v>
      </c>
      <c r="J1457" t="s">
        <v>63</v>
      </c>
      <c r="K1457" t="s">
        <v>64</v>
      </c>
      <c r="L1457" t="s">
        <v>65</v>
      </c>
      <c r="M1457" t="s">
        <v>1456</v>
      </c>
      <c r="N1457">
        <v>25.4</v>
      </c>
      <c r="O1457">
        <v>28</v>
      </c>
      <c r="P1457">
        <v>182.6</v>
      </c>
      <c r="Q1457">
        <v>210.6</v>
      </c>
      <c r="R1457">
        <v>0</v>
      </c>
      <c r="S1457">
        <v>210.6</v>
      </c>
      <c r="T1457">
        <v>121</v>
      </c>
      <c r="U1457">
        <f>SUMIF(货件明细!J:J,E1457,货件明细!AP:AP)</f>
        <v>0</v>
      </c>
      <c r="V1457">
        <f>IF(U1457=T1457,0,1)</f>
        <v>1</v>
      </c>
      <c r="W1457">
        <f>T1457</f>
        <v>121</v>
      </c>
      <c r="X1457">
        <f>SUMIF(货件明细!J:J,E1457,货件明细!H:H)</f>
        <v>0</v>
      </c>
      <c r="Y1457">
        <f>N1457-X1457</f>
        <v>25.4</v>
      </c>
      <c r="Z1457">
        <f>SUMIF(货件明细!J:J,E1457,货件明细!I:I)</f>
        <v>0</v>
      </c>
      <c r="AA1457">
        <f>IF(S1457=Z1457,0,1)</f>
        <v>1</v>
      </c>
    </row>
    <row r="1458" hidden="1" spans="1:27">
      <c r="A1458">
        <v>3</v>
      </c>
      <c r="B1458">
        <v>12</v>
      </c>
      <c r="C1458" s="3">
        <v>46101</v>
      </c>
      <c r="D1458" t="s">
        <v>27</v>
      </c>
      <c r="E1458" t="s">
        <v>1577</v>
      </c>
      <c r="F1458" t="s">
        <v>193</v>
      </c>
      <c r="G1458" t="s">
        <v>72</v>
      </c>
      <c r="H1458" t="s">
        <v>56</v>
      </c>
      <c r="I1458" t="s">
        <v>63</v>
      </c>
      <c r="J1458" t="s">
        <v>63</v>
      </c>
      <c r="K1458" t="s">
        <v>64</v>
      </c>
      <c r="L1458" t="s">
        <v>147</v>
      </c>
      <c r="M1458" t="s">
        <v>425</v>
      </c>
      <c r="N1458">
        <v>25.4</v>
      </c>
      <c r="O1458">
        <v>9.375</v>
      </c>
      <c r="P1458">
        <v>122.1</v>
      </c>
      <c r="Q1458">
        <v>131.475</v>
      </c>
      <c r="R1458">
        <v>0</v>
      </c>
      <c r="S1458">
        <v>131.475</v>
      </c>
      <c r="T1458">
        <v>121</v>
      </c>
      <c r="U1458">
        <f>SUMIF(货件明细!J:J,E1458,货件明细!AP:AP)</f>
        <v>0</v>
      </c>
      <c r="V1458">
        <f>IF(U1458=T1458,0,1)</f>
        <v>1</v>
      </c>
      <c r="W1458">
        <f>T1458</f>
        <v>121</v>
      </c>
      <c r="X1458">
        <f>SUMIF(货件明细!J:J,E1458,货件明细!H:H)</f>
        <v>0</v>
      </c>
      <c r="Y1458">
        <f>N1458-X1458</f>
        <v>25.4</v>
      </c>
      <c r="Z1458">
        <f>SUMIF(货件明细!J:J,E1458,货件明细!I:I)</f>
        <v>0</v>
      </c>
      <c r="AA1458">
        <f>IF(S1458=Z1458,0,1)</f>
        <v>1</v>
      </c>
    </row>
    <row r="1459" hidden="1" spans="1:27">
      <c r="A1459">
        <v>3</v>
      </c>
      <c r="B1459">
        <v>12</v>
      </c>
      <c r="C1459" s="3">
        <v>46101</v>
      </c>
      <c r="D1459" t="s">
        <v>27</v>
      </c>
      <c r="E1459" t="s">
        <v>1578</v>
      </c>
      <c r="F1459" t="s">
        <v>185</v>
      </c>
      <c r="G1459" t="s">
        <v>30</v>
      </c>
      <c r="H1459" t="s">
        <v>56</v>
      </c>
      <c r="I1459" t="s">
        <v>63</v>
      </c>
      <c r="J1459" t="s">
        <v>63</v>
      </c>
      <c r="K1459" t="s">
        <v>64</v>
      </c>
      <c r="L1459" t="s">
        <v>65</v>
      </c>
      <c r="M1459" t="s">
        <v>1456</v>
      </c>
      <c r="N1459">
        <v>25.4</v>
      </c>
      <c r="O1459">
        <v>28</v>
      </c>
      <c r="P1459">
        <v>185.9</v>
      </c>
      <c r="Q1459">
        <v>213.9</v>
      </c>
      <c r="R1459">
        <v>0</v>
      </c>
      <c r="S1459">
        <v>213.9</v>
      </c>
      <c r="T1459">
        <v>121</v>
      </c>
      <c r="U1459">
        <f>SUMIF(货件明细!J:J,E1459,货件明细!AP:AP)</f>
        <v>0</v>
      </c>
      <c r="V1459">
        <f>IF(U1459=T1459,0,1)</f>
        <v>1</v>
      </c>
      <c r="W1459">
        <f>T1459</f>
        <v>121</v>
      </c>
      <c r="X1459">
        <f>SUMIF(货件明细!J:J,E1459,货件明细!H:H)</f>
        <v>0</v>
      </c>
      <c r="Y1459">
        <f>N1459-X1459</f>
        <v>25.4</v>
      </c>
      <c r="Z1459">
        <f>SUMIF(货件明细!J:J,E1459,货件明细!I:I)</f>
        <v>0</v>
      </c>
      <c r="AA1459">
        <f>IF(S1459=Z1459,0,1)</f>
        <v>1</v>
      </c>
    </row>
    <row r="1460" hidden="1" spans="1:27">
      <c r="A1460">
        <v>3</v>
      </c>
      <c r="B1460">
        <v>12</v>
      </c>
      <c r="C1460" s="3">
        <v>46101</v>
      </c>
      <c r="D1460" t="s">
        <v>27</v>
      </c>
      <c r="E1460" t="s">
        <v>1579</v>
      </c>
      <c r="F1460" t="s">
        <v>250</v>
      </c>
      <c r="G1460" t="s">
        <v>72</v>
      </c>
      <c r="H1460" t="s">
        <v>56</v>
      </c>
      <c r="I1460" t="s">
        <v>63</v>
      </c>
      <c r="J1460" t="s">
        <v>63</v>
      </c>
      <c r="K1460" t="s">
        <v>64</v>
      </c>
      <c r="L1460" t="s">
        <v>147</v>
      </c>
      <c r="M1460" t="s">
        <v>425</v>
      </c>
      <c r="N1460">
        <v>25.4</v>
      </c>
      <c r="O1460">
        <v>9.375</v>
      </c>
      <c r="P1460">
        <v>122.1</v>
      </c>
      <c r="Q1460">
        <v>131.475</v>
      </c>
      <c r="R1460">
        <v>0</v>
      </c>
      <c r="S1460">
        <v>131.475</v>
      </c>
      <c r="T1460">
        <v>121</v>
      </c>
      <c r="U1460">
        <f>SUMIF(货件明细!J:J,E1460,货件明细!AP:AP)</f>
        <v>0</v>
      </c>
      <c r="V1460">
        <f>IF(U1460=T1460,0,1)</f>
        <v>1</v>
      </c>
      <c r="W1460">
        <f>T1460</f>
        <v>121</v>
      </c>
      <c r="X1460">
        <f>SUMIF(货件明细!J:J,E1460,货件明细!H:H)</f>
        <v>0</v>
      </c>
      <c r="Y1460">
        <f>N1460-X1460</f>
        <v>25.4</v>
      </c>
      <c r="Z1460">
        <f>SUMIF(货件明细!J:J,E1460,货件明细!I:I)</f>
        <v>0</v>
      </c>
      <c r="AA1460">
        <f>IF(S1460=Z1460,0,1)</f>
        <v>1</v>
      </c>
    </row>
    <row r="1461" hidden="1" spans="1:27">
      <c r="A1461">
        <v>3</v>
      </c>
      <c r="B1461">
        <v>12</v>
      </c>
      <c r="C1461" s="3">
        <v>46101</v>
      </c>
      <c r="D1461" t="s">
        <v>27</v>
      </c>
      <c r="E1461" t="s">
        <v>1580</v>
      </c>
      <c r="F1461" t="s">
        <v>193</v>
      </c>
      <c r="G1461" t="s">
        <v>72</v>
      </c>
      <c r="H1461" t="s">
        <v>31</v>
      </c>
      <c r="I1461" t="s">
        <v>63</v>
      </c>
      <c r="J1461" t="s">
        <v>63</v>
      </c>
      <c r="K1461" t="s">
        <v>64</v>
      </c>
      <c r="L1461" t="s">
        <v>147</v>
      </c>
      <c r="M1461" t="s">
        <v>425</v>
      </c>
      <c r="N1461">
        <v>18.75</v>
      </c>
      <c r="O1461">
        <v>9.375</v>
      </c>
      <c r="P1461">
        <v>99.9</v>
      </c>
      <c r="Q1461">
        <v>109.275</v>
      </c>
      <c r="R1461">
        <v>0</v>
      </c>
      <c r="S1461">
        <v>109.275</v>
      </c>
      <c r="T1461">
        <v>63</v>
      </c>
      <c r="U1461">
        <f>SUMIF(货件明细!J:J,E1461,货件明细!AP:AP)</f>
        <v>0</v>
      </c>
      <c r="V1461">
        <f>IF(U1461=T1461,0,1)</f>
        <v>1</v>
      </c>
      <c r="W1461">
        <f>T1461</f>
        <v>63</v>
      </c>
      <c r="X1461">
        <f>SUMIF(货件明细!J:J,E1461,货件明细!H:H)</f>
        <v>0</v>
      </c>
      <c r="Y1461">
        <f>N1461-X1461</f>
        <v>18.75</v>
      </c>
      <c r="Z1461">
        <f>SUMIF(货件明细!J:J,E1461,货件明细!I:I)</f>
        <v>0</v>
      </c>
      <c r="AA1461">
        <f>IF(S1461=Z1461,0,1)</f>
        <v>1</v>
      </c>
    </row>
    <row r="1462" hidden="1" spans="1:27">
      <c r="A1462">
        <v>3</v>
      </c>
      <c r="B1462">
        <v>12</v>
      </c>
      <c r="C1462" s="3">
        <v>46101</v>
      </c>
      <c r="D1462" t="s">
        <v>27</v>
      </c>
      <c r="E1462" t="s">
        <v>1581</v>
      </c>
      <c r="F1462" t="s">
        <v>71</v>
      </c>
      <c r="G1462" t="s">
        <v>72</v>
      </c>
      <c r="H1462" t="s">
        <v>31</v>
      </c>
      <c r="I1462" t="s">
        <v>63</v>
      </c>
      <c r="J1462" t="s">
        <v>63</v>
      </c>
      <c r="K1462" t="s">
        <v>64</v>
      </c>
      <c r="L1462" t="s">
        <v>147</v>
      </c>
      <c r="M1462" t="s">
        <v>425</v>
      </c>
      <c r="N1462">
        <v>18.75</v>
      </c>
      <c r="O1462">
        <v>9.375</v>
      </c>
      <c r="P1462">
        <v>99.9</v>
      </c>
      <c r="Q1462">
        <v>109.275</v>
      </c>
      <c r="R1462">
        <v>0</v>
      </c>
      <c r="S1462">
        <v>109.275</v>
      </c>
      <c r="T1462">
        <v>63</v>
      </c>
      <c r="U1462">
        <f>SUMIF(货件明细!J:J,E1462,货件明细!AP:AP)</f>
        <v>0</v>
      </c>
      <c r="V1462">
        <f>IF(U1462=T1462,0,1)</f>
        <v>1</v>
      </c>
      <c r="W1462">
        <f>T1462</f>
        <v>63</v>
      </c>
      <c r="X1462">
        <f>SUMIF(货件明细!J:J,E1462,货件明细!H:H)</f>
        <v>0</v>
      </c>
      <c r="Y1462">
        <f>N1462-X1462</f>
        <v>18.75</v>
      </c>
      <c r="Z1462">
        <f>SUMIF(货件明细!J:J,E1462,货件明细!I:I)</f>
        <v>0</v>
      </c>
      <c r="AA1462">
        <f>IF(S1462=Z1462,0,1)</f>
        <v>1</v>
      </c>
    </row>
    <row r="1463" hidden="1" spans="1:27">
      <c r="A1463">
        <v>3</v>
      </c>
      <c r="B1463">
        <v>12</v>
      </c>
      <c r="C1463" s="3">
        <v>46101</v>
      </c>
      <c r="D1463" t="s">
        <v>27</v>
      </c>
      <c r="E1463" t="s">
        <v>1582</v>
      </c>
      <c r="F1463" t="s">
        <v>185</v>
      </c>
      <c r="G1463" t="s">
        <v>30</v>
      </c>
      <c r="H1463" t="s">
        <v>31</v>
      </c>
      <c r="I1463" t="s">
        <v>63</v>
      </c>
      <c r="J1463" t="s">
        <v>63</v>
      </c>
      <c r="K1463" t="s">
        <v>64</v>
      </c>
      <c r="L1463" t="s">
        <v>65</v>
      </c>
      <c r="M1463" t="s">
        <v>1456</v>
      </c>
      <c r="N1463">
        <v>18.75</v>
      </c>
      <c r="O1463">
        <v>28</v>
      </c>
      <c r="P1463">
        <v>152.1</v>
      </c>
      <c r="Q1463">
        <v>180.1</v>
      </c>
      <c r="R1463">
        <v>0</v>
      </c>
      <c r="S1463">
        <v>180.1</v>
      </c>
      <c r="T1463">
        <v>63</v>
      </c>
      <c r="U1463">
        <f>SUMIF(货件明细!J:J,E1463,货件明细!AP:AP)</f>
        <v>0</v>
      </c>
      <c r="V1463">
        <f>IF(U1463=T1463,0,1)</f>
        <v>1</v>
      </c>
      <c r="W1463">
        <f>T1463</f>
        <v>63</v>
      </c>
      <c r="X1463">
        <f>SUMIF(货件明细!J:J,E1463,货件明细!H:H)</f>
        <v>0</v>
      </c>
      <c r="Y1463">
        <f>N1463-X1463</f>
        <v>18.75</v>
      </c>
      <c r="Z1463">
        <f>SUMIF(货件明细!J:J,E1463,货件明细!I:I)</f>
        <v>0</v>
      </c>
      <c r="AA1463">
        <f>IF(S1463=Z1463,0,1)</f>
        <v>1</v>
      </c>
    </row>
    <row r="1464" hidden="1" spans="1:27">
      <c r="A1464">
        <v>3</v>
      </c>
      <c r="B1464">
        <v>12</v>
      </c>
      <c r="C1464" s="3">
        <v>46101</v>
      </c>
      <c r="D1464" t="s">
        <v>27</v>
      </c>
      <c r="E1464" t="s">
        <v>1583</v>
      </c>
      <c r="F1464" t="s">
        <v>250</v>
      </c>
      <c r="G1464" t="s">
        <v>72</v>
      </c>
      <c r="H1464" t="s">
        <v>31</v>
      </c>
      <c r="I1464" t="s">
        <v>63</v>
      </c>
      <c r="J1464" t="s">
        <v>63</v>
      </c>
      <c r="K1464" t="s">
        <v>64</v>
      </c>
      <c r="L1464" t="s">
        <v>147</v>
      </c>
      <c r="M1464" t="s">
        <v>425</v>
      </c>
      <c r="N1464">
        <v>18.75</v>
      </c>
      <c r="O1464">
        <v>9.375</v>
      </c>
      <c r="P1464">
        <v>99.9</v>
      </c>
      <c r="Q1464">
        <v>109.275</v>
      </c>
      <c r="R1464">
        <v>0</v>
      </c>
      <c r="S1464">
        <v>109.275</v>
      </c>
      <c r="T1464">
        <v>63</v>
      </c>
      <c r="U1464">
        <f>SUMIF(货件明细!J:J,E1464,货件明细!AP:AP)</f>
        <v>0</v>
      </c>
      <c r="V1464">
        <f>IF(U1464=T1464,0,1)</f>
        <v>1</v>
      </c>
      <c r="W1464">
        <f>T1464</f>
        <v>63</v>
      </c>
      <c r="X1464">
        <f>SUMIF(货件明细!J:J,E1464,货件明细!H:H)</f>
        <v>0</v>
      </c>
      <c r="Y1464">
        <f>N1464-X1464</f>
        <v>18.75</v>
      </c>
      <c r="Z1464">
        <f>SUMIF(货件明细!J:J,E1464,货件明细!I:I)</f>
        <v>0</v>
      </c>
      <c r="AA1464">
        <f>IF(S1464=Z1464,0,1)</f>
        <v>1</v>
      </c>
    </row>
    <row r="1465" hidden="1" spans="1:27">
      <c r="A1465">
        <v>3</v>
      </c>
      <c r="B1465">
        <v>12</v>
      </c>
      <c r="C1465" s="3">
        <v>46101</v>
      </c>
      <c r="D1465" t="s">
        <v>27</v>
      </c>
      <c r="E1465" t="s">
        <v>1584</v>
      </c>
      <c r="F1465" t="s">
        <v>200</v>
      </c>
      <c r="G1465" t="s">
        <v>30</v>
      </c>
      <c r="H1465" t="s">
        <v>31</v>
      </c>
      <c r="I1465" t="s">
        <v>63</v>
      </c>
      <c r="J1465" t="s">
        <v>63</v>
      </c>
      <c r="K1465" t="s">
        <v>64</v>
      </c>
      <c r="L1465" t="s">
        <v>65</v>
      </c>
      <c r="M1465" t="s">
        <v>1456</v>
      </c>
      <c r="N1465">
        <v>18.75</v>
      </c>
      <c r="O1465">
        <v>28</v>
      </c>
      <c r="P1465">
        <v>149.4</v>
      </c>
      <c r="Q1465">
        <v>177.4</v>
      </c>
      <c r="R1465">
        <v>0</v>
      </c>
      <c r="S1465">
        <v>177.4</v>
      </c>
      <c r="T1465">
        <v>63</v>
      </c>
      <c r="U1465">
        <f>SUMIF(货件明细!J:J,E1465,货件明细!AP:AP)</f>
        <v>0</v>
      </c>
      <c r="V1465">
        <f>IF(U1465=T1465,0,1)</f>
        <v>1</v>
      </c>
      <c r="W1465">
        <f>T1465</f>
        <v>63</v>
      </c>
      <c r="X1465">
        <f>SUMIF(货件明细!J:J,E1465,货件明细!H:H)</f>
        <v>0</v>
      </c>
      <c r="Y1465">
        <f>N1465-X1465</f>
        <v>18.75</v>
      </c>
      <c r="Z1465">
        <f>SUMIF(货件明细!J:J,E1465,货件明细!I:I)</f>
        <v>0</v>
      </c>
      <c r="AA1465">
        <f>IF(S1465=Z1465,0,1)</f>
        <v>1</v>
      </c>
    </row>
    <row r="1466" hidden="1" spans="1:27">
      <c r="A1466">
        <v>3</v>
      </c>
      <c r="B1466">
        <v>12</v>
      </c>
      <c r="C1466" s="3">
        <v>46101</v>
      </c>
      <c r="D1466" t="s">
        <v>27</v>
      </c>
      <c r="E1466" t="s">
        <v>1585</v>
      </c>
      <c r="F1466" t="s">
        <v>200</v>
      </c>
      <c r="G1466" t="s">
        <v>30</v>
      </c>
      <c r="H1466" t="s">
        <v>37</v>
      </c>
      <c r="I1466" t="s">
        <v>63</v>
      </c>
      <c r="J1466" t="s">
        <v>63</v>
      </c>
      <c r="K1466" t="s">
        <v>64</v>
      </c>
      <c r="L1466" t="s">
        <v>65</v>
      </c>
      <c r="M1466" t="s">
        <v>1456</v>
      </c>
      <c r="N1466">
        <v>46.9</v>
      </c>
      <c r="O1466">
        <v>28</v>
      </c>
      <c r="P1466">
        <v>298.8</v>
      </c>
      <c r="Q1466">
        <v>326.8</v>
      </c>
      <c r="R1466">
        <v>0</v>
      </c>
      <c r="S1466">
        <v>326.8</v>
      </c>
      <c r="T1466">
        <v>388</v>
      </c>
      <c r="U1466">
        <f>SUMIF(货件明细!J:J,E1466,货件明细!AP:AP)</f>
        <v>0</v>
      </c>
      <c r="V1466">
        <f>IF(U1466=T1466,0,1)</f>
        <v>1</v>
      </c>
      <c r="W1466">
        <f>T1466</f>
        <v>388</v>
      </c>
      <c r="X1466">
        <f>SUMIF(货件明细!J:J,E1466,货件明细!H:H)</f>
        <v>0</v>
      </c>
      <c r="Y1466">
        <f>N1466-X1466</f>
        <v>46.9</v>
      </c>
      <c r="Z1466">
        <f>SUMIF(货件明细!J:J,E1466,货件明细!I:I)</f>
        <v>0</v>
      </c>
      <c r="AA1466">
        <f>IF(S1466=Z1466,0,1)</f>
        <v>1</v>
      </c>
    </row>
    <row r="1467" hidden="1" spans="1:27">
      <c r="A1467">
        <v>3</v>
      </c>
      <c r="B1467">
        <v>12</v>
      </c>
      <c r="C1467" s="3">
        <v>46101</v>
      </c>
      <c r="D1467" t="s">
        <v>27</v>
      </c>
      <c r="E1467" t="s">
        <v>1586</v>
      </c>
      <c r="F1467" t="s">
        <v>193</v>
      </c>
      <c r="G1467" t="s">
        <v>72</v>
      </c>
      <c r="H1467" t="s">
        <v>37</v>
      </c>
      <c r="I1467" t="s">
        <v>63</v>
      </c>
      <c r="J1467" t="s">
        <v>63</v>
      </c>
      <c r="K1467" t="s">
        <v>64</v>
      </c>
      <c r="L1467" t="s">
        <v>147</v>
      </c>
      <c r="M1467" t="s">
        <v>425</v>
      </c>
      <c r="N1467">
        <v>46.9</v>
      </c>
      <c r="O1467">
        <v>9.375</v>
      </c>
      <c r="P1467">
        <v>199.8</v>
      </c>
      <c r="Q1467">
        <v>209.175</v>
      </c>
      <c r="R1467">
        <v>0</v>
      </c>
      <c r="S1467">
        <v>209.175</v>
      </c>
      <c r="T1467">
        <v>388</v>
      </c>
      <c r="U1467">
        <f>SUMIF(货件明细!J:J,E1467,货件明细!AP:AP)</f>
        <v>0</v>
      </c>
      <c r="V1467">
        <f>IF(U1467=T1467,0,1)</f>
        <v>1</v>
      </c>
      <c r="W1467">
        <f>T1467</f>
        <v>388</v>
      </c>
      <c r="X1467">
        <f>SUMIF(货件明细!J:J,E1467,货件明细!H:H)</f>
        <v>0</v>
      </c>
      <c r="Y1467">
        <f>N1467-X1467</f>
        <v>46.9</v>
      </c>
      <c r="Z1467">
        <f>SUMIF(货件明细!J:J,E1467,货件明细!I:I)</f>
        <v>0</v>
      </c>
      <c r="AA1467">
        <f>IF(S1467=Z1467,0,1)</f>
        <v>1</v>
      </c>
    </row>
    <row r="1468" hidden="1" spans="1:27">
      <c r="A1468">
        <v>3</v>
      </c>
      <c r="B1468">
        <v>12</v>
      </c>
      <c r="C1468" s="3">
        <v>46101</v>
      </c>
      <c r="D1468" t="s">
        <v>27</v>
      </c>
      <c r="E1468" t="s">
        <v>1587</v>
      </c>
      <c r="F1468" t="s">
        <v>185</v>
      </c>
      <c r="G1468" t="s">
        <v>30</v>
      </c>
      <c r="H1468" t="s">
        <v>37</v>
      </c>
      <c r="I1468" t="s">
        <v>63</v>
      </c>
      <c r="J1468" t="s">
        <v>63</v>
      </c>
      <c r="K1468" t="s">
        <v>64</v>
      </c>
      <c r="L1468" t="s">
        <v>65</v>
      </c>
      <c r="M1468" t="s">
        <v>1456</v>
      </c>
      <c r="N1468">
        <v>46.9</v>
      </c>
      <c r="O1468">
        <v>28</v>
      </c>
      <c r="P1468">
        <v>304.2</v>
      </c>
      <c r="Q1468">
        <v>332.2</v>
      </c>
      <c r="R1468">
        <v>0</v>
      </c>
      <c r="S1468">
        <v>332.2</v>
      </c>
      <c r="T1468">
        <v>388</v>
      </c>
      <c r="U1468">
        <f>SUMIF(货件明细!J:J,E1468,货件明细!AP:AP)</f>
        <v>0</v>
      </c>
      <c r="V1468">
        <f>IF(U1468=T1468,0,1)</f>
        <v>1</v>
      </c>
      <c r="W1468">
        <f>T1468</f>
        <v>388</v>
      </c>
      <c r="X1468">
        <f>SUMIF(货件明细!J:J,E1468,货件明细!H:H)</f>
        <v>0</v>
      </c>
      <c r="Y1468">
        <f>N1468-X1468</f>
        <v>46.9</v>
      </c>
      <c r="Z1468">
        <f>SUMIF(货件明细!J:J,E1468,货件明细!I:I)</f>
        <v>0</v>
      </c>
      <c r="AA1468">
        <f>IF(S1468=Z1468,0,1)</f>
        <v>1</v>
      </c>
    </row>
    <row r="1469" hidden="1" spans="1:27">
      <c r="A1469">
        <v>3</v>
      </c>
      <c r="B1469">
        <v>12</v>
      </c>
      <c r="C1469" s="3">
        <v>46101</v>
      </c>
      <c r="D1469" t="s">
        <v>27</v>
      </c>
      <c r="E1469" t="s">
        <v>1588</v>
      </c>
      <c r="F1469" t="s">
        <v>250</v>
      </c>
      <c r="G1469" t="s">
        <v>72</v>
      </c>
      <c r="H1469" t="s">
        <v>37</v>
      </c>
      <c r="I1469" t="s">
        <v>63</v>
      </c>
      <c r="J1469" t="s">
        <v>63</v>
      </c>
      <c r="K1469" t="s">
        <v>64</v>
      </c>
      <c r="L1469" t="s">
        <v>147</v>
      </c>
      <c r="M1469" t="s">
        <v>425</v>
      </c>
      <c r="N1469">
        <v>46.9</v>
      </c>
      <c r="O1469">
        <v>9.375</v>
      </c>
      <c r="P1469">
        <v>199.8</v>
      </c>
      <c r="Q1469">
        <v>209.175</v>
      </c>
      <c r="R1469">
        <v>0</v>
      </c>
      <c r="S1469">
        <v>209.175</v>
      </c>
      <c r="T1469">
        <v>388</v>
      </c>
      <c r="U1469">
        <f>SUMIF(货件明细!J:J,E1469,货件明细!AP:AP)</f>
        <v>0</v>
      </c>
      <c r="V1469">
        <f>IF(U1469=T1469,0,1)</f>
        <v>1</v>
      </c>
      <c r="W1469">
        <f>T1469</f>
        <v>388</v>
      </c>
      <c r="X1469">
        <f>SUMIF(货件明细!J:J,E1469,货件明细!H:H)</f>
        <v>0</v>
      </c>
      <c r="Y1469">
        <f>N1469-X1469</f>
        <v>46.9</v>
      </c>
      <c r="Z1469">
        <f>SUMIF(货件明细!J:J,E1469,货件明细!I:I)</f>
        <v>0</v>
      </c>
      <c r="AA1469">
        <f>IF(S1469=Z1469,0,1)</f>
        <v>1</v>
      </c>
    </row>
    <row r="1470" hidden="1" spans="1:27">
      <c r="A1470">
        <v>3</v>
      </c>
      <c r="B1470">
        <v>12</v>
      </c>
      <c r="C1470" s="3">
        <v>46101</v>
      </c>
      <c r="D1470" t="s">
        <v>27</v>
      </c>
      <c r="E1470" t="s">
        <v>1589</v>
      </c>
      <c r="F1470" t="s">
        <v>71</v>
      </c>
      <c r="G1470" t="s">
        <v>72</v>
      </c>
      <c r="H1470" t="s">
        <v>37</v>
      </c>
      <c r="I1470" t="s">
        <v>63</v>
      </c>
      <c r="J1470" t="s">
        <v>63</v>
      </c>
      <c r="K1470" t="s">
        <v>64</v>
      </c>
      <c r="L1470" t="s">
        <v>147</v>
      </c>
      <c r="M1470" t="s">
        <v>425</v>
      </c>
      <c r="N1470">
        <v>46.9</v>
      </c>
      <c r="O1470">
        <v>9.375</v>
      </c>
      <c r="P1470">
        <v>199.8</v>
      </c>
      <c r="Q1470">
        <v>209.175</v>
      </c>
      <c r="R1470">
        <v>0</v>
      </c>
      <c r="S1470">
        <v>209.175</v>
      </c>
      <c r="T1470">
        <v>388</v>
      </c>
      <c r="U1470">
        <f>SUMIF(货件明细!J:J,E1470,货件明细!AP:AP)</f>
        <v>0</v>
      </c>
      <c r="V1470">
        <f>IF(U1470=T1470,0,1)</f>
        <v>1</v>
      </c>
      <c r="W1470">
        <f>T1470</f>
        <v>388</v>
      </c>
      <c r="X1470">
        <f>SUMIF(货件明细!J:J,E1470,货件明细!H:H)</f>
        <v>0</v>
      </c>
      <c r="Y1470">
        <f>N1470-X1470</f>
        <v>46.9</v>
      </c>
      <c r="Z1470">
        <f>SUMIF(货件明细!J:J,E1470,货件明细!I:I)</f>
        <v>0</v>
      </c>
      <c r="AA1470">
        <f>IF(S1470=Z1470,0,1)</f>
        <v>1</v>
      </c>
    </row>
    <row r="1471" hidden="1" spans="1:27">
      <c r="A1471">
        <v>3</v>
      </c>
      <c r="B1471">
        <v>12</v>
      </c>
      <c r="C1471" s="3">
        <v>46101</v>
      </c>
      <c r="D1471" t="s">
        <v>27</v>
      </c>
      <c r="E1471" t="s">
        <v>1590</v>
      </c>
      <c r="F1471" t="s">
        <v>823</v>
      </c>
      <c r="G1471" t="s">
        <v>72</v>
      </c>
      <c r="H1471" t="s">
        <v>78</v>
      </c>
      <c r="I1471" t="s">
        <v>63</v>
      </c>
      <c r="J1471" t="s">
        <v>63</v>
      </c>
      <c r="K1471" t="s">
        <v>64</v>
      </c>
      <c r="L1471" t="s">
        <v>147</v>
      </c>
      <c r="M1471" t="s">
        <v>425</v>
      </c>
      <c r="N1471">
        <v>34.05</v>
      </c>
      <c r="O1471">
        <v>9.375</v>
      </c>
      <c r="P1471">
        <v>122.1</v>
      </c>
      <c r="Q1471">
        <v>131.475</v>
      </c>
      <c r="R1471">
        <v>663.03</v>
      </c>
      <c r="S1471">
        <v>794.505</v>
      </c>
      <c r="T1471">
        <v>308</v>
      </c>
      <c r="U1471">
        <f>SUMIF(货件明细!J:J,E1471,货件明细!AP:AP)</f>
        <v>0</v>
      </c>
      <c r="V1471">
        <f>IF(U1471=T1471,0,1)</f>
        <v>1</v>
      </c>
      <c r="W1471">
        <f>T1471</f>
        <v>308</v>
      </c>
      <c r="X1471">
        <f>SUMIF(货件明细!J:J,E1471,货件明细!H:H)</f>
        <v>0</v>
      </c>
      <c r="Y1471">
        <f>N1471-X1471</f>
        <v>34.05</v>
      </c>
      <c r="Z1471">
        <f>SUMIF(货件明细!J:J,E1471,货件明细!I:I)</f>
        <v>0</v>
      </c>
      <c r="AA1471">
        <f>IF(S1471=Z1471,0,1)</f>
        <v>1</v>
      </c>
    </row>
    <row r="1472" hidden="1" spans="1:27">
      <c r="A1472">
        <v>3</v>
      </c>
      <c r="B1472">
        <v>12</v>
      </c>
      <c r="C1472" s="3">
        <v>46101</v>
      </c>
      <c r="D1472" t="s">
        <v>27</v>
      </c>
      <c r="E1472" t="s">
        <v>1591</v>
      </c>
      <c r="F1472" t="s">
        <v>71</v>
      </c>
      <c r="G1472" t="s">
        <v>72</v>
      </c>
      <c r="H1472" t="s">
        <v>37</v>
      </c>
      <c r="I1472" t="s">
        <v>63</v>
      </c>
      <c r="J1472" t="s">
        <v>63</v>
      </c>
      <c r="K1472" t="s">
        <v>64</v>
      </c>
      <c r="L1472" t="s">
        <v>147</v>
      </c>
      <c r="M1472" t="s">
        <v>425</v>
      </c>
      <c r="N1472">
        <v>34.25</v>
      </c>
      <c r="O1472">
        <v>9.375</v>
      </c>
      <c r="P1472">
        <v>144.3</v>
      </c>
      <c r="Q1472">
        <v>153.675</v>
      </c>
      <c r="R1472">
        <v>0</v>
      </c>
      <c r="S1472">
        <v>153.675</v>
      </c>
      <c r="T1472">
        <v>250</v>
      </c>
      <c r="U1472">
        <f>SUMIF(货件明细!J:J,E1472,货件明细!AP:AP)</f>
        <v>0</v>
      </c>
      <c r="V1472">
        <f>IF(U1472=T1472,0,1)</f>
        <v>1</v>
      </c>
      <c r="W1472">
        <f>T1472</f>
        <v>250</v>
      </c>
      <c r="X1472">
        <f>SUMIF(货件明细!J:J,E1472,货件明细!H:H)</f>
        <v>0</v>
      </c>
      <c r="Y1472">
        <f>N1472-X1472</f>
        <v>34.25</v>
      </c>
      <c r="Z1472">
        <f>SUMIF(货件明细!J:J,E1472,货件明细!I:I)</f>
        <v>0</v>
      </c>
      <c r="AA1472">
        <f>IF(S1472=Z1472,0,1)</f>
        <v>1</v>
      </c>
    </row>
    <row r="1473" hidden="1" spans="1:27">
      <c r="A1473">
        <v>3</v>
      </c>
      <c r="B1473">
        <v>12</v>
      </c>
      <c r="C1473" s="3">
        <v>46101</v>
      </c>
      <c r="D1473" t="s">
        <v>27</v>
      </c>
      <c r="E1473" t="s">
        <v>1592</v>
      </c>
      <c r="F1473" t="s">
        <v>193</v>
      </c>
      <c r="G1473" t="s">
        <v>72</v>
      </c>
      <c r="H1473" t="s">
        <v>37</v>
      </c>
      <c r="I1473" t="s">
        <v>63</v>
      </c>
      <c r="J1473" t="s">
        <v>63</v>
      </c>
      <c r="K1473" t="s">
        <v>64</v>
      </c>
      <c r="L1473" t="s">
        <v>147</v>
      </c>
      <c r="M1473" t="s">
        <v>425</v>
      </c>
      <c r="N1473">
        <v>34.25</v>
      </c>
      <c r="O1473">
        <v>9.375</v>
      </c>
      <c r="P1473">
        <v>144.3</v>
      </c>
      <c r="Q1473">
        <v>153.675</v>
      </c>
      <c r="R1473">
        <v>0</v>
      </c>
      <c r="S1473">
        <v>153.675</v>
      </c>
      <c r="T1473">
        <v>250</v>
      </c>
      <c r="U1473">
        <f>SUMIF(货件明细!J:J,E1473,货件明细!AP:AP)</f>
        <v>0</v>
      </c>
      <c r="V1473">
        <f>IF(U1473=T1473,0,1)</f>
        <v>1</v>
      </c>
      <c r="W1473">
        <f>T1473</f>
        <v>250</v>
      </c>
      <c r="X1473">
        <f>SUMIF(货件明细!J:J,E1473,货件明细!H:H)</f>
        <v>0</v>
      </c>
      <c r="Y1473">
        <f>N1473-X1473</f>
        <v>34.25</v>
      </c>
      <c r="Z1473">
        <f>SUMIF(货件明细!J:J,E1473,货件明细!I:I)</f>
        <v>0</v>
      </c>
      <c r="AA1473">
        <f>IF(S1473=Z1473,0,1)</f>
        <v>1</v>
      </c>
    </row>
    <row r="1474" hidden="1" spans="1:27">
      <c r="A1474">
        <v>3</v>
      </c>
      <c r="B1474">
        <v>12</v>
      </c>
      <c r="C1474" s="3">
        <v>46101</v>
      </c>
      <c r="D1474" t="s">
        <v>27</v>
      </c>
      <c r="E1474" t="s">
        <v>1593</v>
      </c>
      <c r="F1474" t="s">
        <v>200</v>
      </c>
      <c r="G1474" t="s">
        <v>30</v>
      </c>
      <c r="H1474" t="s">
        <v>37</v>
      </c>
      <c r="I1474" t="s">
        <v>63</v>
      </c>
      <c r="J1474" t="s">
        <v>63</v>
      </c>
      <c r="K1474" t="s">
        <v>64</v>
      </c>
      <c r="L1474" t="s">
        <v>65</v>
      </c>
      <c r="M1474" t="s">
        <v>1456</v>
      </c>
      <c r="N1474">
        <v>34.25</v>
      </c>
      <c r="O1474">
        <v>28</v>
      </c>
      <c r="P1474">
        <v>215.8</v>
      </c>
      <c r="Q1474">
        <v>243.8</v>
      </c>
      <c r="R1474">
        <v>0</v>
      </c>
      <c r="S1474">
        <v>243.8</v>
      </c>
      <c r="T1474">
        <v>250</v>
      </c>
      <c r="U1474">
        <f>SUMIF(货件明细!J:J,E1474,货件明细!AP:AP)</f>
        <v>0</v>
      </c>
      <c r="V1474">
        <f>IF(U1474=T1474,0,1)</f>
        <v>1</v>
      </c>
      <c r="W1474">
        <f>T1474</f>
        <v>250</v>
      </c>
      <c r="X1474">
        <f>SUMIF(货件明细!J:J,E1474,货件明细!H:H)</f>
        <v>0</v>
      </c>
      <c r="Y1474">
        <f>N1474-X1474</f>
        <v>34.25</v>
      </c>
      <c r="Z1474">
        <f>SUMIF(货件明细!J:J,E1474,货件明细!I:I)</f>
        <v>0</v>
      </c>
      <c r="AA1474">
        <f>IF(S1474=Z1474,0,1)</f>
        <v>1</v>
      </c>
    </row>
    <row r="1475" hidden="1" spans="1:27">
      <c r="A1475">
        <v>3</v>
      </c>
      <c r="B1475">
        <v>12</v>
      </c>
      <c r="C1475" s="3">
        <v>46101</v>
      </c>
      <c r="D1475" t="s">
        <v>27</v>
      </c>
      <c r="E1475" t="s">
        <v>1594</v>
      </c>
      <c r="F1475" t="s">
        <v>185</v>
      </c>
      <c r="G1475" t="s">
        <v>30</v>
      </c>
      <c r="H1475" t="s">
        <v>37</v>
      </c>
      <c r="I1475" t="s">
        <v>63</v>
      </c>
      <c r="J1475" t="s">
        <v>63</v>
      </c>
      <c r="K1475" t="s">
        <v>64</v>
      </c>
      <c r="L1475" t="s">
        <v>65</v>
      </c>
      <c r="M1475" t="s">
        <v>1456</v>
      </c>
      <c r="N1475">
        <v>34.25</v>
      </c>
      <c r="O1475">
        <v>28</v>
      </c>
      <c r="P1475">
        <v>219.7</v>
      </c>
      <c r="Q1475">
        <v>247.7</v>
      </c>
      <c r="R1475">
        <v>0</v>
      </c>
      <c r="S1475">
        <v>247.7</v>
      </c>
      <c r="T1475">
        <v>252</v>
      </c>
      <c r="U1475">
        <f>SUMIF(货件明细!J:J,E1475,货件明细!AP:AP)</f>
        <v>0</v>
      </c>
      <c r="V1475">
        <f>IF(U1475=T1475,0,1)</f>
        <v>1</v>
      </c>
      <c r="W1475">
        <f>T1475</f>
        <v>252</v>
      </c>
      <c r="X1475">
        <f>SUMIF(货件明细!J:J,E1475,货件明细!H:H)</f>
        <v>0</v>
      </c>
      <c r="Y1475">
        <f>N1475-X1475</f>
        <v>34.25</v>
      </c>
      <c r="Z1475">
        <f>SUMIF(货件明细!J:J,E1475,货件明细!I:I)</f>
        <v>0</v>
      </c>
      <c r="AA1475">
        <f>IF(S1475=Z1475,0,1)</f>
        <v>1</v>
      </c>
    </row>
    <row r="1476" hidden="1" spans="1:27">
      <c r="A1476">
        <v>3</v>
      </c>
      <c r="B1476">
        <v>12</v>
      </c>
      <c r="C1476" s="3">
        <v>46101</v>
      </c>
      <c r="D1476" t="s">
        <v>27</v>
      </c>
      <c r="E1476" t="s">
        <v>1595</v>
      </c>
      <c r="F1476" t="s">
        <v>250</v>
      </c>
      <c r="G1476" t="s">
        <v>72</v>
      </c>
      <c r="H1476" t="s">
        <v>37</v>
      </c>
      <c r="I1476" t="s">
        <v>63</v>
      </c>
      <c r="J1476" t="s">
        <v>63</v>
      </c>
      <c r="K1476" t="s">
        <v>64</v>
      </c>
      <c r="L1476" t="s">
        <v>147</v>
      </c>
      <c r="M1476" t="s">
        <v>425</v>
      </c>
      <c r="N1476">
        <v>34.25</v>
      </c>
      <c r="O1476">
        <v>9.375</v>
      </c>
      <c r="P1476">
        <v>144.3</v>
      </c>
      <c r="Q1476">
        <v>153.675</v>
      </c>
      <c r="R1476">
        <v>0</v>
      </c>
      <c r="S1476">
        <v>153.675</v>
      </c>
      <c r="T1476">
        <v>250</v>
      </c>
      <c r="U1476">
        <f>SUMIF(货件明细!J:J,E1476,货件明细!AP:AP)</f>
        <v>0</v>
      </c>
      <c r="V1476">
        <f>IF(U1476=T1476,0,1)</f>
        <v>1</v>
      </c>
      <c r="W1476">
        <f>T1476</f>
        <v>250</v>
      </c>
      <c r="X1476">
        <f>SUMIF(货件明细!J:J,E1476,货件明细!H:H)</f>
        <v>0</v>
      </c>
      <c r="Y1476">
        <f>N1476-X1476</f>
        <v>34.25</v>
      </c>
      <c r="Z1476">
        <f>SUMIF(货件明细!J:J,E1476,货件明细!I:I)</f>
        <v>0</v>
      </c>
      <c r="AA1476">
        <f>IF(S1476=Z1476,0,1)</f>
        <v>1</v>
      </c>
    </row>
    <row r="1477" hidden="1" spans="1:27">
      <c r="A1477">
        <v>3</v>
      </c>
      <c r="B1477">
        <v>12</v>
      </c>
      <c r="C1477" s="3">
        <v>46101</v>
      </c>
      <c r="D1477" t="s">
        <v>27</v>
      </c>
      <c r="E1477" t="s">
        <v>1596</v>
      </c>
      <c r="F1477" t="s">
        <v>193</v>
      </c>
      <c r="G1477" t="s">
        <v>72</v>
      </c>
      <c r="H1477" t="s">
        <v>39</v>
      </c>
      <c r="I1477" t="s">
        <v>63</v>
      </c>
      <c r="J1477" t="s">
        <v>63</v>
      </c>
      <c r="K1477" t="s">
        <v>64</v>
      </c>
      <c r="L1477" t="s">
        <v>147</v>
      </c>
      <c r="M1477" t="s">
        <v>425</v>
      </c>
      <c r="N1477">
        <v>36.25</v>
      </c>
      <c r="O1477">
        <v>9.375</v>
      </c>
      <c r="P1477">
        <v>133.2</v>
      </c>
      <c r="Q1477">
        <v>142.575</v>
      </c>
      <c r="R1477">
        <v>0</v>
      </c>
      <c r="S1477">
        <v>142.575</v>
      </c>
      <c r="T1477">
        <v>106</v>
      </c>
      <c r="U1477">
        <f>SUMIF(货件明细!J:J,E1477,货件明细!AP:AP)</f>
        <v>0</v>
      </c>
      <c r="V1477">
        <f>IF(U1477=T1477,0,1)</f>
        <v>1</v>
      </c>
      <c r="W1477">
        <f>T1477</f>
        <v>106</v>
      </c>
      <c r="X1477">
        <f>SUMIF(货件明细!J:J,E1477,货件明细!H:H)</f>
        <v>0</v>
      </c>
      <c r="Y1477">
        <f>N1477-X1477</f>
        <v>36.25</v>
      </c>
      <c r="Z1477">
        <f>SUMIF(货件明细!J:J,E1477,货件明细!I:I)</f>
        <v>0</v>
      </c>
      <c r="AA1477">
        <f>IF(S1477=Z1477,0,1)</f>
        <v>1</v>
      </c>
    </row>
    <row r="1478" hidden="1" spans="1:27">
      <c r="A1478">
        <v>3</v>
      </c>
      <c r="B1478">
        <v>12</v>
      </c>
      <c r="C1478" s="3">
        <v>46101</v>
      </c>
      <c r="D1478" t="s">
        <v>27</v>
      </c>
      <c r="E1478" t="s">
        <v>1597</v>
      </c>
      <c r="F1478" t="s">
        <v>185</v>
      </c>
      <c r="G1478" t="s">
        <v>30</v>
      </c>
      <c r="H1478" t="s">
        <v>39</v>
      </c>
      <c r="I1478" t="s">
        <v>63</v>
      </c>
      <c r="J1478" t="s">
        <v>63</v>
      </c>
      <c r="K1478" t="s">
        <v>64</v>
      </c>
      <c r="L1478" t="s">
        <v>65</v>
      </c>
      <c r="M1478" t="s">
        <v>1456</v>
      </c>
      <c r="N1478">
        <v>36.25</v>
      </c>
      <c r="O1478">
        <v>28</v>
      </c>
      <c r="P1478">
        <v>202.8</v>
      </c>
      <c r="Q1478">
        <v>230.8</v>
      </c>
      <c r="R1478">
        <v>0</v>
      </c>
      <c r="S1478">
        <v>230.8</v>
      </c>
      <c r="T1478">
        <v>106</v>
      </c>
      <c r="U1478">
        <f>SUMIF(货件明细!J:J,E1478,货件明细!AP:AP)</f>
        <v>0</v>
      </c>
      <c r="V1478">
        <f>IF(U1478=T1478,0,1)</f>
        <v>1</v>
      </c>
      <c r="W1478">
        <f>T1478</f>
        <v>106</v>
      </c>
      <c r="X1478">
        <f>SUMIF(货件明细!J:J,E1478,货件明细!H:H)</f>
        <v>0</v>
      </c>
      <c r="Y1478">
        <f>N1478-X1478</f>
        <v>36.25</v>
      </c>
      <c r="Z1478">
        <f>SUMIF(货件明细!J:J,E1478,货件明细!I:I)</f>
        <v>0</v>
      </c>
      <c r="AA1478">
        <f>IF(S1478=Z1478,0,1)</f>
        <v>1</v>
      </c>
    </row>
    <row r="1479" hidden="1" spans="1:27">
      <c r="A1479">
        <v>3</v>
      </c>
      <c r="B1479">
        <v>12</v>
      </c>
      <c r="C1479" s="3">
        <v>46101</v>
      </c>
      <c r="D1479" t="s">
        <v>27</v>
      </c>
      <c r="E1479" t="s">
        <v>1598</v>
      </c>
      <c r="F1479" t="s">
        <v>250</v>
      </c>
      <c r="G1479" t="s">
        <v>72</v>
      </c>
      <c r="H1479" t="s">
        <v>39</v>
      </c>
      <c r="I1479" t="s">
        <v>63</v>
      </c>
      <c r="J1479" t="s">
        <v>63</v>
      </c>
      <c r="K1479" t="s">
        <v>64</v>
      </c>
      <c r="L1479" t="s">
        <v>147</v>
      </c>
      <c r="M1479" t="s">
        <v>425</v>
      </c>
      <c r="N1479">
        <v>36.25</v>
      </c>
      <c r="O1479">
        <v>9.375</v>
      </c>
      <c r="P1479">
        <v>133.2</v>
      </c>
      <c r="Q1479">
        <v>142.575</v>
      </c>
      <c r="R1479">
        <v>0</v>
      </c>
      <c r="S1479">
        <v>142.575</v>
      </c>
      <c r="T1479">
        <v>106</v>
      </c>
      <c r="U1479">
        <f>SUMIF(货件明细!J:J,E1479,货件明细!AP:AP)</f>
        <v>0</v>
      </c>
      <c r="V1479">
        <f>IF(U1479=T1479,0,1)</f>
        <v>1</v>
      </c>
      <c r="W1479">
        <f>T1479</f>
        <v>106</v>
      </c>
      <c r="X1479">
        <f>SUMIF(货件明细!J:J,E1479,货件明细!H:H)</f>
        <v>0</v>
      </c>
      <c r="Y1479">
        <f>N1479-X1479</f>
        <v>36.25</v>
      </c>
      <c r="Z1479">
        <f>SUMIF(货件明细!J:J,E1479,货件明细!I:I)</f>
        <v>0</v>
      </c>
      <c r="AA1479">
        <f>IF(S1479=Z1479,0,1)</f>
        <v>1</v>
      </c>
    </row>
    <row r="1480" hidden="1" spans="1:27">
      <c r="A1480">
        <v>3</v>
      </c>
      <c r="B1480">
        <v>12</v>
      </c>
      <c r="C1480" s="3">
        <v>46101</v>
      </c>
      <c r="D1480" t="s">
        <v>27</v>
      </c>
      <c r="E1480" t="s">
        <v>1599</v>
      </c>
      <c r="F1480" t="s">
        <v>71</v>
      </c>
      <c r="G1480" t="s">
        <v>72</v>
      </c>
      <c r="H1480" t="s">
        <v>39</v>
      </c>
      <c r="I1480" t="s">
        <v>63</v>
      </c>
      <c r="J1480" t="s">
        <v>63</v>
      </c>
      <c r="K1480" t="s">
        <v>64</v>
      </c>
      <c r="L1480" t="s">
        <v>147</v>
      </c>
      <c r="M1480" t="s">
        <v>425</v>
      </c>
      <c r="N1480">
        <v>36.25</v>
      </c>
      <c r="O1480">
        <v>9.375</v>
      </c>
      <c r="P1480">
        <v>133.2</v>
      </c>
      <c r="Q1480">
        <v>142.575</v>
      </c>
      <c r="R1480">
        <v>0</v>
      </c>
      <c r="S1480">
        <v>142.575</v>
      </c>
      <c r="T1480">
        <v>106</v>
      </c>
      <c r="U1480">
        <f>SUMIF(货件明细!J:J,E1480,货件明细!AP:AP)</f>
        <v>0</v>
      </c>
      <c r="V1480">
        <f>IF(U1480=T1480,0,1)</f>
        <v>1</v>
      </c>
      <c r="W1480">
        <f>T1480</f>
        <v>106</v>
      </c>
      <c r="X1480">
        <f>SUMIF(货件明细!J:J,E1480,货件明细!H:H)</f>
        <v>0</v>
      </c>
      <c r="Y1480">
        <f>N1480-X1480</f>
        <v>36.25</v>
      </c>
      <c r="Z1480">
        <f>SUMIF(货件明细!J:J,E1480,货件明细!I:I)</f>
        <v>0</v>
      </c>
      <c r="AA1480">
        <f>IF(S1480=Z1480,0,1)</f>
        <v>1</v>
      </c>
    </row>
    <row r="1481" hidden="1" spans="1:27">
      <c r="A1481">
        <v>3</v>
      </c>
      <c r="B1481">
        <v>12</v>
      </c>
      <c r="C1481" s="3">
        <v>46101</v>
      </c>
      <c r="D1481" t="s">
        <v>27</v>
      </c>
      <c r="E1481" t="s">
        <v>1600</v>
      </c>
      <c r="F1481" t="s">
        <v>200</v>
      </c>
      <c r="G1481" t="s">
        <v>30</v>
      </c>
      <c r="H1481" t="s">
        <v>39</v>
      </c>
      <c r="I1481" t="s">
        <v>63</v>
      </c>
      <c r="J1481" t="s">
        <v>63</v>
      </c>
      <c r="K1481" t="s">
        <v>64</v>
      </c>
      <c r="L1481" t="s">
        <v>65</v>
      </c>
      <c r="M1481" t="s">
        <v>1456</v>
      </c>
      <c r="N1481">
        <v>36.25</v>
      </c>
      <c r="O1481">
        <v>28</v>
      </c>
      <c r="P1481">
        <v>215.8</v>
      </c>
      <c r="Q1481">
        <v>243.8</v>
      </c>
      <c r="R1481">
        <v>0</v>
      </c>
      <c r="S1481">
        <v>243.8</v>
      </c>
      <c r="T1481">
        <v>106</v>
      </c>
      <c r="U1481">
        <f>SUMIF(货件明细!J:J,E1481,货件明细!AP:AP)</f>
        <v>0</v>
      </c>
      <c r="V1481">
        <f>IF(U1481=T1481,0,1)</f>
        <v>1</v>
      </c>
      <c r="W1481">
        <f>T1481</f>
        <v>106</v>
      </c>
      <c r="X1481">
        <f>SUMIF(货件明细!J:J,E1481,货件明细!H:H)</f>
        <v>0</v>
      </c>
      <c r="Y1481">
        <f>N1481-X1481</f>
        <v>36.25</v>
      </c>
      <c r="Z1481">
        <f>SUMIF(货件明细!J:J,E1481,货件明细!I:I)</f>
        <v>0</v>
      </c>
      <c r="AA1481">
        <f>IF(S1481=Z1481,0,1)</f>
        <v>1</v>
      </c>
    </row>
    <row r="1482" hidden="1" spans="1:27">
      <c r="A1482">
        <v>3</v>
      </c>
      <c r="B1482">
        <v>12</v>
      </c>
      <c r="C1482" s="3">
        <v>46101</v>
      </c>
      <c r="D1482" t="s">
        <v>88</v>
      </c>
      <c r="E1482" t="s">
        <v>1601</v>
      </c>
      <c r="F1482" t="s">
        <v>211</v>
      </c>
      <c r="G1482" t="s">
        <v>72</v>
      </c>
      <c r="H1482" t="s">
        <v>56</v>
      </c>
      <c r="I1482" t="s">
        <v>63</v>
      </c>
      <c r="J1482" t="s">
        <v>63</v>
      </c>
      <c r="K1482" t="s">
        <v>64</v>
      </c>
      <c r="L1482" t="s">
        <v>147</v>
      </c>
      <c r="M1482" t="s">
        <v>774</v>
      </c>
      <c r="N1482">
        <v>172.05</v>
      </c>
      <c r="O1482">
        <v>37.5</v>
      </c>
      <c r="P1482">
        <v>725.2</v>
      </c>
      <c r="Q1482">
        <v>762.7</v>
      </c>
      <c r="R1482">
        <v>0</v>
      </c>
      <c r="S1482">
        <v>762.7</v>
      </c>
      <c r="T1482">
        <v>1010</v>
      </c>
      <c r="U1482">
        <f>SUMIF(货件明细!J:J,E1482,货件明细!AP:AP)</f>
        <v>0</v>
      </c>
      <c r="V1482">
        <f>IF(U1482=T1482,0,1)</f>
        <v>1</v>
      </c>
      <c r="W1482">
        <f>T1482</f>
        <v>1010</v>
      </c>
      <c r="X1482">
        <f>SUMIF(货件明细!J:J,E1482,货件明细!H:H)</f>
        <v>0</v>
      </c>
      <c r="Y1482">
        <f>N1482-X1482</f>
        <v>172.05</v>
      </c>
      <c r="Z1482">
        <f>SUMIF(货件明细!J:J,E1482,货件明细!I:I)</f>
        <v>0</v>
      </c>
      <c r="AA1482">
        <f>IF(S1482=Z1482,0,1)</f>
        <v>1</v>
      </c>
    </row>
    <row r="1483" hidden="1" spans="1:27">
      <c r="A1483">
        <v>3</v>
      </c>
      <c r="B1483">
        <v>12</v>
      </c>
      <c r="C1483" s="3">
        <v>46101</v>
      </c>
      <c r="D1483" t="s">
        <v>88</v>
      </c>
      <c r="E1483" t="s">
        <v>1602</v>
      </c>
      <c r="F1483" t="s">
        <v>211</v>
      </c>
      <c r="G1483" t="s">
        <v>72</v>
      </c>
      <c r="H1483" t="s">
        <v>39</v>
      </c>
      <c r="I1483" t="s">
        <v>63</v>
      </c>
      <c r="J1483" t="s">
        <v>63</v>
      </c>
      <c r="K1483" t="s">
        <v>64</v>
      </c>
      <c r="L1483" t="s">
        <v>147</v>
      </c>
      <c r="M1483" t="s">
        <v>774</v>
      </c>
      <c r="N1483">
        <v>155.55</v>
      </c>
      <c r="O1483">
        <v>37.5</v>
      </c>
      <c r="P1483">
        <v>548.8</v>
      </c>
      <c r="Q1483">
        <v>586.3</v>
      </c>
      <c r="R1483">
        <v>0</v>
      </c>
      <c r="S1483">
        <v>586.3</v>
      </c>
      <c r="T1483">
        <v>744</v>
      </c>
      <c r="U1483">
        <f>SUMIF(货件明细!J:J,E1483,货件明细!AP:AP)</f>
        <v>0</v>
      </c>
      <c r="V1483">
        <f>IF(U1483=T1483,0,1)</f>
        <v>1</v>
      </c>
      <c r="W1483">
        <f>T1483</f>
        <v>744</v>
      </c>
      <c r="X1483">
        <f>SUMIF(货件明细!J:J,E1483,货件明细!H:H)</f>
        <v>0</v>
      </c>
      <c r="Y1483">
        <f>N1483-X1483</f>
        <v>155.55</v>
      </c>
      <c r="Z1483">
        <f>SUMIF(货件明细!J:J,E1483,货件明细!I:I)</f>
        <v>0</v>
      </c>
      <c r="AA1483">
        <f>IF(S1483=Z1483,0,1)</f>
        <v>1</v>
      </c>
    </row>
    <row r="1484" hidden="1" spans="1:27">
      <c r="A1484">
        <v>3</v>
      </c>
      <c r="B1484">
        <v>12</v>
      </c>
      <c r="C1484" s="3">
        <v>46101</v>
      </c>
      <c r="D1484" t="s">
        <v>88</v>
      </c>
      <c r="E1484" t="s">
        <v>1603</v>
      </c>
      <c r="F1484" t="s">
        <v>211</v>
      </c>
      <c r="G1484" t="s">
        <v>72</v>
      </c>
      <c r="H1484" t="s">
        <v>31</v>
      </c>
      <c r="I1484" t="s">
        <v>63</v>
      </c>
      <c r="J1484" t="s">
        <v>63</v>
      </c>
      <c r="K1484" t="s">
        <v>64</v>
      </c>
      <c r="L1484" t="s">
        <v>147</v>
      </c>
      <c r="M1484" t="s">
        <v>774</v>
      </c>
      <c r="N1484">
        <v>78.65</v>
      </c>
      <c r="O1484">
        <v>37.5</v>
      </c>
      <c r="P1484">
        <v>313.6</v>
      </c>
      <c r="Q1484">
        <v>351.1</v>
      </c>
      <c r="R1484">
        <v>0</v>
      </c>
      <c r="S1484">
        <v>351.1</v>
      </c>
      <c r="T1484">
        <v>354</v>
      </c>
      <c r="U1484">
        <f>SUMIF(货件明细!J:J,E1484,货件明细!AP:AP)</f>
        <v>0</v>
      </c>
      <c r="V1484">
        <f>IF(U1484=T1484,0,1)</f>
        <v>1</v>
      </c>
      <c r="W1484">
        <f>T1484</f>
        <v>354</v>
      </c>
      <c r="X1484">
        <f>SUMIF(货件明细!J:J,E1484,货件明细!H:H)</f>
        <v>0</v>
      </c>
      <c r="Y1484">
        <f>N1484-X1484</f>
        <v>78.65</v>
      </c>
      <c r="Z1484">
        <f>SUMIF(货件明细!J:J,E1484,货件明细!I:I)</f>
        <v>0</v>
      </c>
      <c r="AA1484">
        <f>IF(S1484=Z1484,0,1)</f>
        <v>1</v>
      </c>
    </row>
    <row r="1485" hidden="1" spans="1:27">
      <c r="A1485">
        <v>3</v>
      </c>
      <c r="B1485">
        <v>12</v>
      </c>
      <c r="C1485" s="3">
        <v>46101</v>
      </c>
      <c r="D1485" t="s">
        <v>88</v>
      </c>
      <c r="E1485" t="s">
        <v>1604</v>
      </c>
      <c r="F1485" t="s">
        <v>211</v>
      </c>
      <c r="G1485" t="s">
        <v>72</v>
      </c>
      <c r="H1485" t="s">
        <v>224</v>
      </c>
      <c r="I1485" t="s">
        <v>63</v>
      </c>
      <c r="J1485" t="s">
        <v>63</v>
      </c>
      <c r="K1485" t="s">
        <v>64</v>
      </c>
      <c r="L1485" t="s">
        <v>147</v>
      </c>
      <c r="M1485" t="s">
        <v>774</v>
      </c>
      <c r="N1485">
        <v>46.5</v>
      </c>
      <c r="O1485">
        <v>37.5</v>
      </c>
      <c r="P1485">
        <v>215.6</v>
      </c>
      <c r="Q1485">
        <v>253.1</v>
      </c>
      <c r="R1485">
        <v>0</v>
      </c>
      <c r="S1485">
        <v>253.1</v>
      </c>
      <c r="T1485">
        <v>250</v>
      </c>
      <c r="U1485">
        <f>SUMIF(货件明细!J:J,E1485,货件明细!AP:AP)</f>
        <v>0</v>
      </c>
      <c r="V1485">
        <f>IF(U1485=T1485,0,1)</f>
        <v>1</v>
      </c>
      <c r="W1485">
        <f>T1485</f>
        <v>250</v>
      </c>
      <c r="X1485">
        <f>SUMIF(货件明细!J:J,E1485,货件明细!H:H)</f>
        <v>0</v>
      </c>
      <c r="Y1485">
        <f>N1485-X1485</f>
        <v>46.5</v>
      </c>
      <c r="Z1485">
        <f>SUMIF(货件明细!J:J,E1485,货件明细!I:I)</f>
        <v>0</v>
      </c>
      <c r="AA1485">
        <f>IF(S1485=Z1485,0,1)</f>
        <v>1</v>
      </c>
    </row>
    <row r="1486" hidden="1" spans="1:27">
      <c r="A1486">
        <v>3</v>
      </c>
      <c r="B1486">
        <v>12</v>
      </c>
      <c r="C1486" s="3">
        <v>46101</v>
      </c>
      <c r="D1486" t="s">
        <v>27</v>
      </c>
      <c r="E1486" t="s">
        <v>1605</v>
      </c>
      <c r="F1486" t="s">
        <v>239</v>
      </c>
      <c r="G1486" t="s">
        <v>72</v>
      </c>
      <c r="H1486" t="s">
        <v>39</v>
      </c>
      <c r="I1486" t="s">
        <v>146</v>
      </c>
      <c r="J1486" t="s">
        <v>146</v>
      </c>
      <c r="K1486" t="s">
        <v>64</v>
      </c>
      <c r="L1486" t="s">
        <v>147</v>
      </c>
      <c r="M1486" t="s">
        <v>1545</v>
      </c>
      <c r="N1486">
        <v>20.65</v>
      </c>
      <c r="O1486">
        <v>9.375</v>
      </c>
      <c r="P1486">
        <v>81.2</v>
      </c>
      <c r="Q1486">
        <v>90.575</v>
      </c>
      <c r="R1486">
        <v>0</v>
      </c>
      <c r="S1486">
        <v>90.575</v>
      </c>
      <c r="T1486">
        <v>68</v>
      </c>
      <c r="U1486">
        <f>SUMIF(货件明细!J:J,E1486,货件明细!AP:AP)</f>
        <v>0</v>
      </c>
      <c r="V1486">
        <f>IF(U1486=T1486,0,1)</f>
        <v>1</v>
      </c>
      <c r="W1486">
        <f>T1486</f>
        <v>68</v>
      </c>
      <c r="X1486">
        <f>SUMIF(货件明细!J:J,E1486,货件明细!H:H)</f>
        <v>0</v>
      </c>
      <c r="Y1486">
        <f>N1486-X1486</f>
        <v>20.65</v>
      </c>
      <c r="Z1486">
        <f>SUMIF(货件明细!J:J,E1486,货件明细!I:I)</f>
        <v>0</v>
      </c>
      <c r="AA1486">
        <f>IF(S1486=Z1486,0,1)</f>
        <v>1</v>
      </c>
    </row>
    <row r="1487" hidden="1" spans="1:27">
      <c r="A1487">
        <v>3</v>
      </c>
      <c r="B1487">
        <v>12</v>
      </c>
      <c r="C1487" s="3">
        <v>46101</v>
      </c>
      <c r="D1487" t="s">
        <v>27</v>
      </c>
      <c r="E1487" t="s">
        <v>1606</v>
      </c>
      <c r="F1487" t="s">
        <v>138</v>
      </c>
      <c r="G1487" t="s">
        <v>69</v>
      </c>
      <c r="H1487" t="s">
        <v>39</v>
      </c>
      <c r="I1487" t="s">
        <v>146</v>
      </c>
      <c r="J1487" t="s">
        <v>146</v>
      </c>
      <c r="K1487" t="s">
        <v>64</v>
      </c>
      <c r="L1487" t="s">
        <v>147</v>
      </c>
      <c r="M1487" t="s">
        <v>1545</v>
      </c>
      <c r="N1487">
        <v>20.65</v>
      </c>
      <c r="O1487">
        <v>25</v>
      </c>
      <c r="P1487">
        <v>107.1</v>
      </c>
      <c r="Q1487">
        <v>132.1</v>
      </c>
      <c r="R1487">
        <v>0</v>
      </c>
      <c r="S1487">
        <v>132.1</v>
      </c>
      <c r="T1487">
        <v>68</v>
      </c>
      <c r="U1487">
        <f>SUMIF(货件明细!J:J,E1487,货件明细!AP:AP)</f>
        <v>0</v>
      </c>
      <c r="V1487">
        <f>IF(U1487=T1487,0,1)</f>
        <v>1</v>
      </c>
      <c r="W1487">
        <f>T1487</f>
        <v>68</v>
      </c>
      <c r="X1487">
        <f>SUMIF(货件明细!J:J,E1487,货件明细!H:H)</f>
        <v>0</v>
      </c>
      <c r="Y1487">
        <f>N1487-X1487</f>
        <v>20.65</v>
      </c>
      <c r="Z1487">
        <f>SUMIF(货件明细!J:J,E1487,货件明细!I:I)</f>
        <v>0</v>
      </c>
      <c r="AA1487">
        <f>IF(S1487=Z1487,0,1)</f>
        <v>1</v>
      </c>
    </row>
    <row r="1488" hidden="1" spans="1:27">
      <c r="A1488">
        <v>3</v>
      </c>
      <c r="B1488">
        <v>12</v>
      </c>
      <c r="C1488" s="3">
        <v>46101</v>
      </c>
      <c r="D1488" t="s">
        <v>27</v>
      </c>
      <c r="E1488" t="s">
        <v>1607</v>
      </c>
      <c r="F1488" t="s">
        <v>76</v>
      </c>
      <c r="G1488" t="s">
        <v>72</v>
      </c>
      <c r="H1488" t="s">
        <v>39</v>
      </c>
      <c r="I1488" t="s">
        <v>146</v>
      </c>
      <c r="J1488" t="s">
        <v>146</v>
      </c>
      <c r="K1488" t="s">
        <v>64</v>
      </c>
      <c r="L1488" t="s">
        <v>147</v>
      </c>
      <c r="M1488" t="s">
        <v>1545</v>
      </c>
      <c r="N1488">
        <v>20.65</v>
      </c>
      <c r="O1488">
        <v>9.375</v>
      </c>
      <c r="P1488">
        <v>72.8</v>
      </c>
      <c r="Q1488">
        <v>82.175</v>
      </c>
      <c r="R1488">
        <v>0</v>
      </c>
      <c r="S1488">
        <v>82.175</v>
      </c>
      <c r="T1488">
        <v>68</v>
      </c>
      <c r="U1488">
        <f>SUMIF(货件明细!J:J,E1488,货件明细!AP:AP)</f>
        <v>0</v>
      </c>
      <c r="V1488">
        <f>IF(U1488=T1488,0,1)</f>
        <v>1</v>
      </c>
      <c r="W1488">
        <f>T1488</f>
        <v>68</v>
      </c>
      <c r="X1488">
        <f>SUMIF(货件明细!J:J,E1488,货件明细!H:H)</f>
        <v>0</v>
      </c>
      <c r="Y1488">
        <f>N1488-X1488</f>
        <v>20.65</v>
      </c>
      <c r="Z1488">
        <f>SUMIF(货件明细!J:J,E1488,货件明细!I:I)</f>
        <v>0</v>
      </c>
      <c r="AA1488">
        <f>IF(S1488=Z1488,0,1)</f>
        <v>1</v>
      </c>
    </row>
    <row r="1489" hidden="1" spans="1:27">
      <c r="A1489">
        <v>3</v>
      </c>
      <c r="B1489">
        <v>12</v>
      </c>
      <c r="C1489" s="3">
        <v>46101</v>
      </c>
      <c r="D1489" t="s">
        <v>27</v>
      </c>
      <c r="E1489" t="s">
        <v>1608</v>
      </c>
      <c r="F1489" t="s">
        <v>185</v>
      </c>
      <c r="G1489" t="s">
        <v>30</v>
      </c>
      <c r="H1489" t="s">
        <v>39</v>
      </c>
      <c r="I1489" t="s">
        <v>146</v>
      </c>
      <c r="J1489" t="s">
        <v>146</v>
      </c>
      <c r="K1489" t="s">
        <v>64</v>
      </c>
      <c r="L1489" t="s">
        <v>147</v>
      </c>
      <c r="M1489" t="s">
        <v>148</v>
      </c>
      <c r="N1489">
        <v>20.65</v>
      </c>
      <c r="O1489">
        <v>21.4285714285714</v>
      </c>
      <c r="P1489">
        <v>121.1</v>
      </c>
      <c r="Q1489">
        <v>142.528571428571</v>
      </c>
      <c r="R1489">
        <v>0</v>
      </c>
      <c r="S1489">
        <v>142.528571428571</v>
      </c>
      <c r="T1489">
        <v>68</v>
      </c>
      <c r="U1489">
        <f>SUMIF(货件明细!J:J,E1489,货件明细!AP:AP)</f>
        <v>0</v>
      </c>
      <c r="V1489">
        <f>IF(U1489=T1489,0,1)</f>
        <v>1</v>
      </c>
      <c r="W1489">
        <f>T1489</f>
        <v>68</v>
      </c>
      <c r="X1489">
        <f>SUMIF(货件明细!J:J,E1489,货件明细!H:H)</f>
        <v>0</v>
      </c>
      <c r="Y1489">
        <f>N1489-X1489</f>
        <v>20.65</v>
      </c>
      <c r="Z1489">
        <f>SUMIF(货件明细!J:J,E1489,货件明细!I:I)</f>
        <v>0</v>
      </c>
      <c r="AA1489">
        <f>IF(S1489=Z1489,0,1)</f>
        <v>1</v>
      </c>
    </row>
    <row r="1490" hidden="1" spans="1:27">
      <c r="A1490">
        <v>3</v>
      </c>
      <c r="B1490">
        <v>12</v>
      </c>
      <c r="C1490" s="3">
        <v>46101</v>
      </c>
      <c r="D1490" t="s">
        <v>27</v>
      </c>
      <c r="E1490" t="s">
        <v>1609</v>
      </c>
      <c r="F1490" t="s">
        <v>62</v>
      </c>
      <c r="G1490" t="s">
        <v>30</v>
      </c>
      <c r="H1490" t="s">
        <v>39</v>
      </c>
      <c r="I1490" t="s">
        <v>146</v>
      </c>
      <c r="J1490" t="s">
        <v>146</v>
      </c>
      <c r="K1490" t="s">
        <v>64</v>
      </c>
      <c r="L1490" t="s">
        <v>147</v>
      </c>
      <c r="M1490" t="s">
        <v>148</v>
      </c>
      <c r="N1490">
        <v>20.65</v>
      </c>
      <c r="O1490">
        <v>21.4285714285714</v>
      </c>
      <c r="P1490">
        <v>130.9</v>
      </c>
      <c r="Q1490">
        <v>152.328571428571</v>
      </c>
      <c r="R1490">
        <v>0</v>
      </c>
      <c r="S1490">
        <v>152.328571428571</v>
      </c>
      <c r="T1490">
        <v>68</v>
      </c>
      <c r="U1490">
        <f>SUMIF(货件明细!J:J,E1490,货件明细!AP:AP)</f>
        <v>0</v>
      </c>
      <c r="V1490">
        <f>IF(U1490=T1490,0,1)</f>
        <v>1</v>
      </c>
      <c r="W1490">
        <f>T1490</f>
        <v>68</v>
      </c>
      <c r="X1490">
        <f>SUMIF(货件明细!J:J,E1490,货件明细!H:H)</f>
        <v>0</v>
      </c>
      <c r="Y1490">
        <f>N1490-X1490</f>
        <v>20.65</v>
      </c>
      <c r="Z1490">
        <f>SUMIF(货件明细!J:J,E1490,货件明细!I:I)</f>
        <v>0</v>
      </c>
      <c r="AA1490">
        <f>IF(S1490=Z1490,0,1)</f>
        <v>1</v>
      </c>
    </row>
    <row r="1491" hidden="1" spans="1:27">
      <c r="A1491">
        <v>3</v>
      </c>
      <c r="B1491">
        <v>12</v>
      </c>
      <c r="C1491" s="3">
        <v>46101</v>
      </c>
      <c r="D1491" t="s">
        <v>27</v>
      </c>
      <c r="E1491" t="s">
        <v>1610</v>
      </c>
      <c r="F1491" t="s">
        <v>138</v>
      </c>
      <c r="G1491" t="s">
        <v>69</v>
      </c>
      <c r="H1491" t="s">
        <v>56</v>
      </c>
      <c r="I1491" t="s">
        <v>146</v>
      </c>
      <c r="J1491" t="s">
        <v>146</v>
      </c>
      <c r="K1491" t="s">
        <v>64</v>
      </c>
      <c r="L1491" t="s">
        <v>147</v>
      </c>
      <c r="M1491" t="s">
        <v>1545</v>
      </c>
      <c r="N1491">
        <v>33.85</v>
      </c>
      <c r="O1491">
        <v>25</v>
      </c>
      <c r="P1491">
        <v>244.8</v>
      </c>
      <c r="Q1491">
        <v>269.8</v>
      </c>
      <c r="R1491">
        <v>0</v>
      </c>
      <c r="S1491">
        <v>269.8</v>
      </c>
      <c r="T1491">
        <v>171</v>
      </c>
      <c r="U1491">
        <f>SUMIF(货件明细!J:J,E1491,货件明细!AP:AP)</f>
        <v>0</v>
      </c>
      <c r="V1491">
        <f>IF(U1491=T1491,0,1)</f>
        <v>1</v>
      </c>
      <c r="W1491">
        <f>T1491</f>
        <v>171</v>
      </c>
      <c r="X1491">
        <f>SUMIF(货件明细!J:J,E1491,货件明细!H:H)</f>
        <v>0</v>
      </c>
      <c r="Y1491">
        <f>N1491-X1491</f>
        <v>33.85</v>
      </c>
      <c r="Z1491">
        <f>SUMIF(货件明细!J:J,E1491,货件明细!I:I)</f>
        <v>0</v>
      </c>
      <c r="AA1491">
        <f>IF(S1491=Z1491,0,1)</f>
        <v>1</v>
      </c>
    </row>
    <row r="1492" hidden="1" spans="1:27">
      <c r="A1492">
        <v>3</v>
      </c>
      <c r="B1492">
        <v>12</v>
      </c>
      <c r="C1492" s="3">
        <v>46101</v>
      </c>
      <c r="D1492" t="s">
        <v>27</v>
      </c>
      <c r="E1492" t="s">
        <v>1611</v>
      </c>
      <c r="F1492" t="s">
        <v>185</v>
      </c>
      <c r="G1492" t="s">
        <v>30</v>
      </c>
      <c r="H1492" t="s">
        <v>56</v>
      </c>
      <c r="I1492" t="s">
        <v>146</v>
      </c>
      <c r="J1492" t="s">
        <v>146</v>
      </c>
      <c r="K1492" t="s">
        <v>64</v>
      </c>
      <c r="L1492" t="s">
        <v>147</v>
      </c>
      <c r="M1492" t="s">
        <v>148</v>
      </c>
      <c r="N1492">
        <v>33.85</v>
      </c>
      <c r="O1492">
        <v>21.4285714285714</v>
      </c>
      <c r="P1492">
        <v>276.8</v>
      </c>
      <c r="Q1492">
        <v>298.228571428571</v>
      </c>
      <c r="R1492">
        <v>0</v>
      </c>
      <c r="S1492">
        <v>298.228571428571</v>
      </c>
      <c r="T1492">
        <v>171</v>
      </c>
      <c r="U1492">
        <f>SUMIF(货件明细!J:J,E1492,货件明细!AP:AP)</f>
        <v>0</v>
      </c>
      <c r="V1492">
        <f>IF(U1492=T1492,0,1)</f>
        <v>1</v>
      </c>
      <c r="W1492">
        <f>T1492</f>
        <v>171</v>
      </c>
      <c r="X1492">
        <f>SUMIF(货件明细!J:J,E1492,货件明细!H:H)</f>
        <v>0</v>
      </c>
      <c r="Y1492">
        <f>N1492-X1492</f>
        <v>33.85</v>
      </c>
      <c r="Z1492">
        <f>SUMIF(货件明细!J:J,E1492,货件明细!I:I)</f>
        <v>0</v>
      </c>
      <c r="AA1492">
        <f>IF(S1492=Z1492,0,1)</f>
        <v>1</v>
      </c>
    </row>
    <row r="1493" hidden="1" spans="1:27">
      <c r="A1493">
        <v>3</v>
      </c>
      <c r="B1493">
        <v>12</v>
      </c>
      <c r="C1493" s="3">
        <v>46101</v>
      </c>
      <c r="D1493" t="s">
        <v>27</v>
      </c>
      <c r="E1493" t="s">
        <v>1612</v>
      </c>
      <c r="F1493" t="s">
        <v>76</v>
      </c>
      <c r="G1493" t="s">
        <v>72</v>
      </c>
      <c r="H1493" t="s">
        <v>56</v>
      </c>
      <c r="I1493" t="s">
        <v>146</v>
      </c>
      <c r="J1493" t="s">
        <v>146</v>
      </c>
      <c r="K1493" t="s">
        <v>64</v>
      </c>
      <c r="L1493" t="s">
        <v>147</v>
      </c>
      <c r="M1493" t="s">
        <v>1545</v>
      </c>
      <c r="N1493">
        <v>33.85</v>
      </c>
      <c r="O1493">
        <v>9.375</v>
      </c>
      <c r="P1493">
        <v>166.4</v>
      </c>
      <c r="Q1493">
        <v>175.775</v>
      </c>
      <c r="R1493">
        <v>0</v>
      </c>
      <c r="S1493">
        <v>175.775</v>
      </c>
      <c r="T1493">
        <v>171</v>
      </c>
      <c r="U1493">
        <f>SUMIF(货件明细!J:J,E1493,货件明细!AP:AP)</f>
        <v>0</v>
      </c>
      <c r="V1493">
        <f>IF(U1493=T1493,0,1)</f>
        <v>1</v>
      </c>
      <c r="W1493">
        <f>T1493</f>
        <v>171</v>
      </c>
      <c r="X1493">
        <f>SUMIF(货件明细!J:J,E1493,货件明细!H:H)</f>
        <v>0</v>
      </c>
      <c r="Y1493">
        <f>N1493-X1493</f>
        <v>33.85</v>
      </c>
      <c r="Z1493">
        <f>SUMIF(货件明细!J:J,E1493,货件明细!I:I)</f>
        <v>0</v>
      </c>
      <c r="AA1493">
        <f>IF(S1493=Z1493,0,1)</f>
        <v>1</v>
      </c>
    </row>
    <row r="1494" hidden="1" spans="1:27">
      <c r="A1494">
        <v>3</v>
      </c>
      <c r="B1494">
        <v>12</v>
      </c>
      <c r="C1494" s="3">
        <v>46101</v>
      </c>
      <c r="D1494" t="s">
        <v>27</v>
      </c>
      <c r="E1494" t="s">
        <v>1613</v>
      </c>
      <c r="F1494" t="s">
        <v>62</v>
      </c>
      <c r="G1494" t="s">
        <v>30</v>
      </c>
      <c r="H1494" t="s">
        <v>56</v>
      </c>
      <c r="I1494" t="s">
        <v>146</v>
      </c>
      <c r="J1494" t="s">
        <v>146</v>
      </c>
      <c r="K1494" t="s">
        <v>64</v>
      </c>
      <c r="L1494" t="s">
        <v>147</v>
      </c>
      <c r="M1494" t="s">
        <v>148</v>
      </c>
      <c r="N1494">
        <v>33.85</v>
      </c>
      <c r="O1494">
        <v>21.4285714285714</v>
      </c>
      <c r="P1494">
        <v>299.2</v>
      </c>
      <c r="Q1494">
        <v>320.628571428571</v>
      </c>
      <c r="R1494">
        <v>0</v>
      </c>
      <c r="S1494">
        <v>320.628571428571</v>
      </c>
      <c r="T1494">
        <v>171</v>
      </c>
      <c r="U1494">
        <f>SUMIF(货件明细!J:J,E1494,货件明细!AP:AP)</f>
        <v>0</v>
      </c>
      <c r="V1494">
        <f>IF(U1494=T1494,0,1)</f>
        <v>1</v>
      </c>
      <c r="W1494">
        <f>T1494</f>
        <v>171</v>
      </c>
      <c r="X1494">
        <f>SUMIF(货件明细!J:J,E1494,货件明细!H:H)</f>
        <v>0</v>
      </c>
      <c r="Y1494">
        <f>N1494-X1494</f>
        <v>33.85</v>
      </c>
      <c r="Z1494">
        <f>SUMIF(货件明细!J:J,E1494,货件明细!I:I)</f>
        <v>0</v>
      </c>
      <c r="AA1494">
        <f>IF(S1494=Z1494,0,1)</f>
        <v>1</v>
      </c>
    </row>
    <row r="1495" hidden="1" spans="1:27">
      <c r="A1495">
        <v>3</v>
      </c>
      <c r="B1495">
        <v>12</v>
      </c>
      <c r="C1495" s="3">
        <v>46101</v>
      </c>
      <c r="D1495" t="s">
        <v>27</v>
      </c>
      <c r="E1495" t="s">
        <v>1614</v>
      </c>
      <c r="F1495" t="s">
        <v>239</v>
      </c>
      <c r="G1495" t="s">
        <v>72</v>
      </c>
      <c r="H1495" t="s">
        <v>56</v>
      </c>
      <c r="I1495" t="s">
        <v>146</v>
      </c>
      <c r="J1495" t="s">
        <v>146</v>
      </c>
      <c r="K1495" t="s">
        <v>64</v>
      </c>
      <c r="L1495" t="s">
        <v>147</v>
      </c>
      <c r="M1495" t="s">
        <v>1545</v>
      </c>
      <c r="N1495">
        <v>33.85</v>
      </c>
      <c r="O1495">
        <v>9.375</v>
      </c>
      <c r="P1495">
        <v>185.6</v>
      </c>
      <c r="Q1495">
        <v>194.975</v>
      </c>
      <c r="R1495">
        <v>0</v>
      </c>
      <c r="S1495">
        <v>194.975</v>
      </c>
      <c r="T1495">
        <v>171</v>
      </c>
      <c r="U1495">
        <f>SUMIF(货件明细!J:J,E1495,货件明细!AP:AP)</f>
        <v>0</v>
      </c>
      <c r="V1495">
        <f>IF(U1495=T1495,0,1)</f>
        <v>1</v>
      </c>
      <c r="W1495">
        <f>T1495</f>
        <v>171</v>
      </c>
      <c r="X1495">
        <f>SUMIF(货件明细!J:J,E1495,货件明细!H:H)</f>
        <v>0</v>
      </c>
      <c r="Y1495">
        <f>N1495-X1495</f>
        <v>33.85</v>
      </c>
      <c r="Z1495">
        <f>SUMIF(货件明细!J:J,E1495,货件明细!I:I)</f>
        <v>0</v>
      </c>
      <c r="AA1495">
        <f>IF(S1495=Z1495,0,1)</f>
        <v>1</v>
      </c>
    </row>
    <row r="1496" hidden="1" spans="1:27">
      <c r="A1496">
        <v>3</v>
      </c>
      <c r="B1496">
        <v>12</v>
      </c>
      <c r="C1496" s="3">
        <v>46101</v>
      </c>
      <c r="D1496" t="s">
        <v>27</v>
      </c>
      <c r="E1496" t="s">
        <v>1615</v>
      </c>
      <c r="F1496" t="s">
        <v>185</v>
      </c>
      <c r="G1496" t="s">
        <v>30</v>
      </c>
      <c r="H1496" t="s">
        <v>54</v>
      </c>
      <c r="I1496" t="s">
        <v>146</v>
      </c>
      <c r="J1496" t="s">
        <v>146</v>
      </c>
      <c r="K1496" t="s">
        <v>64</v>
      </c>
      <c r="L1496" t="s">
        <v>147</v>
      </c>
      <c r="M1496" t="s">
        <v>148</v>
      </c>
      <c r="N1496">
        <v>23.25</v>
      </c>
      <c r="O1496">
        <v>21.4285714285714</v>
      </c>
      <c r="P1496">
        <v>224.9</v>
      </c>
      <c r="Q1496">
        <v>246.328571428571</v>
      </c>
      <c r="R1496">
        <v>0</v>
      </c>
      <c r="S1496">
        <v>246.328571428571</v>
      </c>
      <c r="T1496">
        <v>137</v>
      </c>
      <c r="U1496">
        <f>SUMIF(货件明细!J:J,E1496,货件明细!AP:AP)</f>
        <v>0</v>
      </c>
      <c r="V1496">
        <f>IF(U1496=T1496,0,1)</f>
        <v>1</v>
      </c>
      <c r="W1496">
        <f>T1496</f>
        <v>137</v>
      </c>
      <c r="X1496">
        <f>SUMIF(货件明细!J:J,E1496,货件明细!H:H)</f>
        <v>0</v>
      </c>
      <c r="Y1496">
        <f>N1496-X1496</f>
        <v>23.25</v>
      </c>
      <c r="Z1496">
        <f>SUMIF(货件明细!J:J,E1496,货件明细!I:I)</f>
        <v>0</v>
      </c>
      <c r="AA1496">
        <f>IF(S1496=Z1496,0,1)</f>
        <v>1</v>
      </c>
    </row>
    <row r="1497" hidden="1" spans="1:27">
      <c r="A1497">
        <v>3</v>
      </c>
      <c r="B1497">
        <v>12</v>
      </c>
      <c r="C1497" s="3">
        <v>46101</v>
      </c>
      <c r="D1497" t="s">
        <v>27</v>
      </c>
      <c r="E1497" t="s">
        <v>1616</v>
      </c>
      <c r="F1497" t="s">
        <v>76</v>
      </c>
      <c r="G1497" t="s">
        <v>72</v>
      </c>
      <c r="H1497" t="s">
        <v>54</v>
      </c>
      <c r="I1497" t="s">
        <v>146</v>
      </c>
      <c r="J1497" t="s">
        <v>146</v>
      </c>
      <c r="K1497" t="s">
        <v>64</v>
      </c>
      <c r="L1497" t="s">
        <v>147</v>
      </c>
      <c r="M1497" t="s">
        <v>1545</v>
      </c>
      <c r="N1497">
        <v>23.25</v>
      </c>
      <c r="O1497">
        <v>9.375</v>
      </c>
      <c r="P1497">
        <v>124.8</v>
      </c>
      <c r="Q1497">
        <v>134.175</v>
      </c>
      <c r="R1497">
        <v>0</v>
      </c>
      <c r="S1497">
        <v>134.175</v>
      </c>
      <c r="T1497">
        <v>137</v>
      </c>
      <c r="U1497">
        <f>SUMIF(货件明细!J:J,E1497,货件明细!AP:AP)</f>
        <v>0</v>
      </c>
      <c r="V1497">
        <f>IF(U1497=T1497,0,1)</f>
        <v>1</v>
      </c>
      <c r="W1497">
        <f>T1497</f>
        <v>137</v>
      </c>
      <c r="X1497">
        <f>SUMIF(货件明细!J:J,E1497,货件明细!H:H)</f>
        <v>0</v>
      </c>
      <c r="Y1497">
        <f>N1497-X1497</f>
        <v>23.25</v>
      </c>
      <c r="Z1497">
        <f>SUMIF(货件明细!J:J,E1497,货件明细!I:I)</f>
        <v>0</v>
      </c>
      <c r="AA1497">
        <f>IF(S1497=Z1497,0,1)</f>
        <v>1</v>
      </c>
    </row>
    <row r="1498" hidden="1" spans="1:27">
      <c r="A1498">
        <v>3</v>
      </c>
      <c r="B1498">
        <v>12</v>
      </c>
      <c r="C1498" s="3">
        <v>46101</v>
      </c>
      <c r="D1498" t="s">
        <v>27</v>
      </c>
      <c r="E1498" t="s">
        <v>1617</v>
      </c>
      <c r="F1498" t="s">
        <v>239</v>
      </c>
      <c r="G1498" t="s">
        <v>72</v>
      </c>
      <c r="H1498" t="s">
        <v>54</v>
      </c>
      <c r="I1498" t="s">
        <v>146</v>
      </c>
      <c r="J1498" t="s">
        <v>146</v>
      </c>
      <c r="K1498" t="s">
        <v>64</v>
      </c>
      <c r="L1498" t="s">
        <v>147</v>
      </c>
      <c r="M1498" t="s">
        <v>1545</v>
      </c>
      <c r="N1498">
        <v>23.25</v>
      </c>
      <c r="O1498">
        <v>9.375</v>
      </c>
      <c r="P1498">
        <v>150.8</v>
      </c>
      <c r="Q1498">
        <v>160.175</v>
      </c>
      <c r="R1498">
        <v>0</v>
      </c>
      <c r="S1498">
        <v>160.175</v>
      </c>
      <c r="T1498">
        <v>137</v>
      </c>
      <c r="U1498">
        <f>SUMIF(货件明细!J:J,E1498,货件明细!AP:AP)</f>
        <v>0</v>
      </c>
      <c r="V1498">
        <f>IF(U1498=T1498,0,1)</f>
        <v>1</v>
      </c>
      <c r="W1498">
        <f>T1498</f>
        <v>137</v>
      </c>
      <c r="X1498">
        <f>SUMIF(货件明细!J:J,E1498,货件明细!H:H)</f>
        <v>0</v>
      </c>
      <c r="Y1498">
        <f>N1498-X1498</f>
        <v>23.25</v>
      </c>
      <c r="Z1498">
        <f>SUMIF(货件明细!J:J,E1498,货件明细!I:I)</f>
        <v>0</v>
      </c>
      <c r="AA1498">
        <f>IF(S1498=Z1498,0,1)</f>
        <v>1</v>
      </c>
    </row>
    <row r="1499" hidden="1" spans="1:27">
      <c r="A1499">
        <v>3</v>
      </c>
      <c r="B1499">
        <v>12</v>
      </c>
      <c r="C1499" s="3">
        <v>46101</v>
      </c>
      <c r="D1499" t="s">
        <v>27</v>
      </c>
      <c r="E1499" t="s">
        <v>1618</v>
      </c>
      <c r="F1499" t="s">
        <v>138</v>
      </c>
      <c r="G1499" t="s">
        <v>69</v>
      </c>
      <c r="H1499" t="s">
        <v>54</v>
      </c>
      <c r="I1499" t="s">
        <v>146</v>
      </c>
      <c r="J1499" t="s">
        <v>146</v>
      </c>
      <c r="K1499" t="s">
        <v>64</v>
      </c>
      <c r="L1499" t="s">
        <v>147</v>
      </c>
      <c r="M1499" t="s">
        <v>1545</v>
      </c>
      <c r="N1499">
        <v>23.15</v>
      </c>
      <c r="O1499">
        <v>25</v>
      </c>
      <c r="P1499">
        <v>183.6</v>
      </c>
      <c r="Q1499">
        <v>208.6</v>
      </c>
      <c r="R1499">
        <v>0</v>
      </c>
      <c r="S1499">
        <v>208.6</v>
      </c>
      <c r="T1499">
        <v>136</v>
      </c>
      <c r="U1499">
        <f>SUMIF(货件明细!J:J,E1499,货件明细!AP:AP)</f>
        <v>0</v>
      </c>
      <c r="V1499">
        <f>IF(U1499=T1499,0,1)</f>
        <v>1</v>
      </c>
      <c r="W1499">
        <f>T1499</f>
        <v>136</v>
      </c>
      <c r="X1499">
        <f>SUMIF(货件明细!J:J,E1499,货件明细!H:H)</f>
        <v>0</v>
      </c>
      <c r="Y1499">
        <f>N1499-X1499</f>
        <v>23.15</v>
      </c>
      <c r="Z1499">
        <f>SUMIF(货件明细!J:J,E1499,货件明细!I:I)</f>
        <v>0</v>
      </c>
      <c r="AA1499">
        <f>IF(S1499=Z1499,0,1)</f>
        <v>1</v>
      </c>
    </row>
    <row r="1500" hidden="1" spans="1:27">
      <c r="A1500">
        <v>3</v>
      </c>
      <c r="B1500">
        <v>12</v>
      </c>
      <c r="C1500" s="3">
        <v>46101</v>
      </c>
      <c r="D1500" t="s">
        <v>27</v>
      </c>
      <c r="E1500" t="s">
        <v>1619</v>
      </c>
      <c r="F1500" t="s">
        <v>62</v>
      </c>
      <c r="G1500" t="s">
        <v>30</v>
      </c>
      <c r="H1500" t="s">
        <v>54</v>
      </c>
      <c r="I1500" t="s">
        <v>146</v>
      </c>
      <c r="J1500" t="s">
        <v>146</v>
      </c>
      <c r="K1500" t="s">
        <v>64</v>
      </c>
      <c r="L1500" t="s">
        <v>147</v>
      </c>
      <c r="M1500" t="s">
        <v>148</v>
      </c>
      <c r="N1500">
        <v>23.25</v>
      </c>
      <c r="O1500">
        <v>21.4285714285714</v>
      </c>
      <c r="P1500">
        <v>243.1</v>
      </c>
      <c r="Q1500">
        <v>264.528571428571</v>
      </c>
      <c r="R1500">
        <v>0</v>
      </c>
      <c r="S1500">
        <v>264.528571428571</v>
      </c>
      <c r="T1500">
        <v>137</v>
      </c>
      <c r="U1500">
        <f>SUMIF(货件明细!J:J,E1500,货件明细!AP:AP)</f>
        <v>0</v>
      </c>
      <c r="V1500">
        <f>IF(U1500=T1500,0,1)</f>
        <v>1</v>
      </c>
      <c r="W1500">
        <f>T1500</f>
        <v>137</v>
      </c>
      <c r="X1500">
        <f>SUMIF(货件明细!J:J,E1500,货件明细!H:H)</f>
        <v>0</v>
      </c>
      <c r="Y1500">
        <f>N1500-X1500</f>
        <v>23.25</v>
      </c>
      <c r="Z1500">
        <f>SUMIF(货件明细!J:J,E1500,货件明细!I:I)</f>
        <v>0</v>
      </c>
      <c r="AA1500">
        <f>IF(S1500=Z1500,0,1)</f>
        <v>1</v>
      </c>
    </row>
    <row r="1501" hidden="1" spans="1:27">
      <c r="A1501">
        <v>3</v>
      </c>
      <c r="B1501">
        <v>12</v>
      </c>
      <c r="C1501" s="3">
        <v>46101</v>
      </c>
      <c r="D1501" t="s">
        <v>27</v>
      </c>
      <c r="E1501" t="s">
        <v>1620</v>
      </c>
      <c r="F1501" t="s">
        <v>823</v>
      </c>
      <c r="G1501" t="s">
        <v>72</v>
      </c>
      <c r="H1501" t="s">
        <v>59</v>
      </c>
      <c r="I1501" t="s">
        <v>146</v>
      </c>
      <c r="J1501" t="s">
        <v>146</v>
      </c>
      <c r="K1501" t="s">
        <v>64</v>
      </c>
      <c r="L1501" t="s">
        <v>147</v>
      </c>
      <c r="M1501" t="s">
        <v>1545</v>
      </c>
      <c r="N1501">
        <v>17</v>
      </c>
      <c r="O1501">
        <v>9.375</v>
      </c>
      <c r="P1501">
        <v>116</v>
      </c>
      <c r="Q1501">
        <v>125.375</v>
      </c>
      <c r="R1501">
        <v>271.05</v>
      </c>
      <c r="S1501">
        <v>396.425</v>
      </c>
      <c r="T1501">
        <v>130</v>
      </c>
      <c r="U1501">
        <f>SUMIF(货件明细!J:J,E1501,货件明细!AP:AP)</f>
        <v>0</v>
      </c>
      <c r="V1501">
        <f>IF(U1501=T1501,0,1)</f>
        <v>1</v>
      </c>
      <c r="W1501">
        <f>T1501</f>
        <v>130</v>
      </c>
      <c r="X1501">
        <f>SUMIF(货件明细!J:J,E1501,货件明细!H:H)</f>
        <v>0</v>
      </c>
      <c r="Y1501">
        <f>N1501-X1501</f>
        <v>17</v>
      </c>
      <c r="Z1501">
        <f>SUMIF(货件明细!J:J,E1501,货件明细!I:I)</f>
        <v>0</v>
      </c>
      <c r="AA1501">
        <f>IF(S1501=Z1501,0,1)</f>
        <v>1</v>
      </c>
    </row>
    <row r="1502" hidden="1" spans="1:27">
      <c r="A1502">
        <v>3</v>
      </c>
      <c r="B1502">
        <v>12</v>
      </c>
      <c r="C1502" s="3">
        <v>46101</v>
      </c>
      <c r="D1502" t="s">
        <v>27</v>
      </c>
      <c r="E1502" t="s">
        <v>1621</v>
      </c>
      <c r="F1502" t="s">
        <v>239</v>
      </c>
      <c r="G1502" t="s">
        <v>72</v>
      </c>
      <c r="H1502" t="s">
        <v>31</v>
      </c>
      <c r="I1502" t="s">
        <v>146</v>
      </c>
      <c r="J1502" t="s">
        <v>146</v>
      </c>
      <c r="K1502" t="s">
        <v>64</v>
      </c>
      <c r="L1502" t="s">
        <v>147</v>
      </c>
      <c r="M1502" t="s">
        <v>1545</v>
      </c>
      <c r="N1502">
        <v>89.55</v>
      </c>
      <c r="O1502">
        <v>9.375</v>
      </c>
      <c r="P1502">
        <v>498.8</v>
      </c>
      <c r="Q1502">
        <v>508.175</v>
      </c>
      <c r="R1502">
        <v>0</v>
      </c>
      <c r="S1502">
        <v>508.175</v>
      </c>
      <c r="T1502">
        <v>434</v>
      </c>
      <c r="U1502">
        <f>SUMIF(货件明细!J:J,E1502,货件明细!AP:AP)</f>
        <v>0</v>
      </c>
      <c r="V1502">
        <f>IF(U1502=T1502,0,1)</f>
        <v>1</v>
      </c>
      <c r="W1502">
        <f>T1502</f>
        <v>434</v>
      </c>
      <c r="X1502">
        <f>SUMIF(货件明细!J:J,E1502,货件明细!H:H)</f>
        <v>0</v>
      </c>
      <c r="Y1502">
        <f>N1502-X1502</f>
        <v>89.55</v>
      </c>
      <c r="Z1502">
        <f>SUMIF(货件明细!J:J,E1502,货件明细!I:I)</f>
        <v>0</v>
      </c>
      <c r="AA1502">
        <f>IF(S1502=Z1502,0,1)</f>
        <v>1</v>
      </c>
    </row>
    <row r="1503" hidden="1" spans="1:27">
      <c r="A1503">
        <v>3</v>
      </c>
      <c r="B1503">
        <v>12</v>
      </c>
      <c r="C1503" s="3">
        <v>46101</v>
      </c>
      <c r="D1503" t="s">
        <v>27</v>
      </c>
      <c r="E1503" t="s">
        <v>1622</v>
      </c>
      <c r="F1503" t="s">
        <v>62</v>
      </c>
      <c r="G1503" t="s">
        <v>30</v>
      </c>
      <c r="H1503" t="s">
        <v>31</v>
      </c>
      <c r="I1503" t="s">
        <v>146</v>
      </c>
      <c r="J1503" t="s">
        <v>146</v>
      </c>
      <c r="K1503" t="s">
        <v>64</v>
      </c>
      <c r="L1503" t="s">
        <v>147</v>
      </c>
      <c r="M1503" t="s">
        <v>148</v>
      </c>
      <c r="N1503">
        <v>89.55</v>
      </c>
      <c r="O1503">
        <v>21.4285714285714</v>
      </c>
      <c r="P1503">
        <v>804.1</v>
      </c>
      <c r="Q1503">
        <v>825.528571428571</v>
      </c>
      <c r="R1503">
        <v>0</v>
      </c>
      <c r="S1503">
        <v>825.528571428571</v>
      </c>
      <c r="T1503">
        <v>434</v>
      </c>
      <c r="U1503">
        <f>SUMIF(货件明细!J:J,E1503,货件明细!AP:AP)</f>
        <v>0</v>
      </c>
      <c r="V1503">
        <f>IF(U1503=T1503,0,1)</f>
        <v>1</v>
      </c>
      <c r="W1503">
        <f>T1503</f>
        <v>434</v>
      </c>
      <c r="X1503">
        <f>SUMIF(货件明细!J:J,E1503,货件明细!H:H)</f>
        <v>0</v>
      </c>
      <c r="Y1503">
        <f>N1503-X1503</f>
        <v>89.55</v>
      </c>
      <c r="Z1503">
        <f>SUMIF(货件明细!J:J,E1503,货件明细!I:I)</f>
        <v>0</v>
      </c>
      <c r="AA1503">
        <f>IF(S1503=Z1503,0,1)</f>
        <v>1</v>
      </c>
    </row>
    <row r="1504" hidden="1" spans="1:27">
      <c r="A1504">
        <v>3</v>
      </c>
      <c r="B1504">
        <v>12</v>
      </c>
      <c r="C1504" s="3">
        <v>46101</v>
      </c>
      <c r="D1504" t="s">
        <v>27</v>
      </c>
      <c r="E1504" t="s">
        <v>1623</v>
      </c>
      <c r="F1504" t="s">
        <v>185</v>
      </c>
      <c r="G1504" t="s">
        <v>30</v>
      </c>
      <c r="H1504" t="s">
        <v>31</v>
      </c>
      <c r="I1504" t="s">
        <v>146</v>
      </c>
      <c r="J1504" t="s">
        <v>146</v>
      </c>
      <c r="K1504" t="s">
        <v>64</v>
      </c>
      <c r="L1504" t="s">
        <v>147</v>
      </c>
      <c r="M1504" t="s">
        <v>148</v>
      </c>
      <c r="N1504">
        <v>89.55</v>
      </c>
      <c r="O1504">
        <v>21.4285714285714</v>
      </c>
      <c r="P1504">
        <v>726.6</v>
      </c>
      <c r="Q1504">
        <v>748.028571428571</v>
      </c>
      <c r="R1504">
        <v>0</v>
      </c>
      <c r="S1504">
        <v>748.028571428571</v>
      </c>
      <c r="T1504">
        <v>434</v>
      </c>
      <c r="U1504">
        <f>SUMIF(货件明细!J:J,E1504,货件明细!AP:AP)</f>
        <v>0</v>
      </c>
      <c r="V1504">
        <f>IF(U1504=T1504,0,1)</f>
        <v>1</v>
      </c>
      <c r="W1504">
        <f>T1504</f>
        <v>434</v>
      </c>
      <c r="X1504">
        <f>SUMIF(货件明细!J:J,E1504,货件明细!H:H)</f>
        <v>0</v>
      </c>
      <c r="Y1504">
        <f>N1504-X1504</f>
        <v>89.55</v>
      </c>
      <c r="Z1504">
        <f>SUMIF(货件明细!J:J,E1504,货件明细!I:I)</f>
        <v>0</v>
      </c>
      <c r="AA1504">
        <f>IF(S1504=Z1504,0,1)</f>
        <v>1</v>
      </c>
    </row>
    <row r="1505" hidden="1" spans="1:27">
      <c r="A1505">
        <v>3</v>
      </c>
      <c r="B1505">
        <v>12</v>
      </c>
      <c r="C1505" s="3">
        <v>46101</v>
      </c>
      <c r="D1505" t="s">
        <v>27</v>
      </c>
      <c r="E1505" t="s">
        <v>1624</v>
      </c>
      <c r="F1505" t="s">
        <v>138</v>
      </c>
      <c r="G1505" t="s">
        <v>69</v>
      </c>
      <c r="H1505" t="s">
        <v>31</v>
      </c>
      <c r="I1505" t="s">
        <v>146</v>
      </c>
      <c r="J1505" t="s">
        <v>146</v>
      </c>
      <c r="K1505" t="s">
        <v>64</v>
      </c>
      <c r="L1505" t="s">
        <v>147</v>
      </c>
      <c r="M1505" t="s">
        <v>1545</v>
      </c>
      <c r="N1505">
        <v>89.55</v>
      </c>
      <c r="O1505">
        <v>25</v>
      </c>
      <c r="P1505">
        <v>657.9</v>
      </c>
      <c r="Q1505">
        <v>682.9</v>
      </c>
      <c r="R1505">
        <v>0</v>
      </c>
      <c r="S1505">
        <v>682.9</v>
      </c>
      <c r="T1505">
        <v>434</v>
      </c>
      <c r="U1505">
        <f>SUMIF(货件明细!J:J,E1505,货件明细!AP:AP)</f>
        <v>0</v>
      </c>
      <c r="V1505">
        <f>IF(U1505=T1505,0,1)</f>
        <v>1</v>
      </c>
      <c r="W1505">
        <f>T1505</f>
        <v>434</v>
      </c>
      <c r="X1505">
        <f>SUMIF(货件明细!J:J,E1505,货件明细!H:H)</f>
        <v>0</v>
      </c>
      <c r="Y1505">
        <f>N1505-X1505</f>
        <v>89.55</v>
      </c>
      <c r="Z1505">
        <f>SUMIF(货件明细!J:J,E1505,货件明细!I:I)</f>
        <v>0</v>
      </c>
      <c r="AA1505">
        <f>IF(S1505=Z1505,0,1)</f>
        <v>1</v>
      </c>
    </row>
    <row r="1506" hidden="1" spans="1:27">
      <c r="A1506">
        <v>3</v>
      </c>
      <c r="B1506">
        <v>12</v>
      </c>
      <c r="C1506" s="3">
        <v>46101</v>
      </c>
      <c r="D1506" t="s">
        <v>27</v>
      </c>
      <c r="E1506" t="s">
        <v>1625</v>
      </c>
      <c r="F1506" t="s">
        <v>76</v>
      </c>
      <c r="G1506" t="s">
        <v>72</v>
      </c>
      <c r="H1506" t="s">
        <v>31</v>
      </c>
      <c r="I1506" t="s">
        <v>146</v>
      </c>
      <c r="J1506" t="s">
        <v>146</v>
      </c>
      <c r="K1506" t="s">
        <v>64</v>
      </c>
      <c r="L1506" t="s">
        <v>147</v>
      </c>
      <c r="M1506" t="s">
        <v>1545</v>
      </c>
      <c r="N1506">
        <v>89.55</v>
      </c>
      <c r="O1506">
        <v>9.375</v>
      </c>
      <c r="P1506">
        <v>447.2</v>
      </c>
      <c r="Q1506">
        <v>456.575</v>
      </c>
      <c r="R1506">
        <v>0</v>
      </c>
      <c r="S1506">
        <v>456.575</v>
      </c>
      <c r="T1506">
        <v>434</v>
      </c>
      <c r="U1506">
        <f>SUMIF(货件明细!J:J,E1506,货件明细!AP:AP)</f>
        <v>0</v>
      </c>
      <c r="V1506">
        <f>IF(U1506=T1506,0,1)</f>
        <v>1</v>
      </c>
      <c r="W1506">
        <f>T1506</f>
        <v>434</v>
      </c>
      <c r="X1506">
        <f>SUMIF(货件明细!J:J,E1506,货件明细!H:H)</f>
        <v>0</v>
      </c>
      <c r="Y1506">
        <f>N1506-X1506</f>
        <v>89.55</v>
      </c>
      <c r="Z1506">
        <f>SUMIF(货件明细!J:J,E1506,货件明细!I:I)</f>
        <v>0</v>
      </c>
      <c r="AA1506">
        <f>IF(S1506=Z1506,0,1)</f>
        <v>1</v>
      </c>
    </row>
    <row r="1507" hidden="1" spans="1:27">
      <c r="A1507">
        <v>3</v>
      </c>
      <c r="B1507">
        <v>12</v>
      </c>
      <c r="C1507" s="3">
        <v>46101</v>
      </c>
      <c r="D1507" t="s">
        <v>27</v>
      </c>
      <c r="E1507" t="s">
        <v>1626</v>
      </c>
      <c r="F1507" t="s">
        <v>143</v>
      </c>
      <c r="G1507" t="s">
        <v>72</v>
      </c>
      <c r="H1507" t="s">
        <v>224</v>
      </c>
      <c r="I1507" t="s">
        <v>146</v>
      </c>
      <c r="J1507" t="s">
        <v>146</v>
      </c>
      <c r="K1507" t="s">
        <v>64</v>
      </c>
      <c r="L1507" t="s">
        <v>147</v>
      </c>
      <c r="M1507" t="s">
        <v>1545</v>
      </c>
      <c r="N1507">
        <v>12.1</v>
      </c>
      <c r="O1507">
        <v>9.375</v>
      </c>
      <c r="P1507">
        <v>116</v>
      </c>
      <c r="Q1507">
        <v>125.375</v>
      </c>
      <c r="R1507">
        <v>0</v>
      </c>
      <c r="S1507">
        <v>125.375</v>
      </c>
      <c r="T1507">
        <v>89</v>
      </c>
      <c r="U1507">
        <f>SUMIF(货件明细!J:J,E1507,货件明细!AP:AP)</f>
        <v>0</v>
      </c>
      <c r="V1507">
        <f>IF(U1507=T1507,0,1)</f>
        <v>1</v>
      </c>
      <c r="W1507">
        <f>T1507</f>
        <v>89</v>
      </c>
      <c r="X1507">
        <f>SUMIF(货件明细!J:J,E1507,货件明细!H:H)</f>
        <v>0</v>
      </c>
      <c r="Y1507">
        <f>N1507-X1507</f>
        <v>12.1</v>
      </c>
      <c r="Z1507">
        <f>SUMIF(货件明细!J:J,E1507,货件明细!I:I)</f>
        <v>0</v>
      </c>
      <c r="AA1507">
        <f>IF(S1507=Z1507,0,1)</f>
        <v>1</v>
      </c>
    </row>
    <row r="1508" hidden="1" spans="1:27">
      <c r="A1508">
        <v>3</v>
      </c>
      <c r="B1508">
        <v>12</v>
      </c>
      <c r="C1508" s="3">
        <v>46101</v>
      </c>
      <c r="D1508" t="s">
        <v>27</v>
      </c>
      <c r="E1508" t="s">
        <v>1627</v>
      </c>
      <c r="F1508" t="s">
        <v>62</v>
      </c>
      <c r="G1508" t="s">
        <v>30</v>
      </c>
      <c r="H1508" t="s">
        <v>224</v>
      </c>
      <c r="I1508" t="s">
        <v>146</v>
      </c>
      <c r="J1508" t="s">
        <v>146</v>
      </c>
      <c r="K1508" t="s">
        <v>64</v>
      </c>
      <c r="L1508" t="s">
        <v>147</v>
      </c>
      <c r="M1508" t="s">
        <v>148</v>
      </c>
      <c r="N1508">
        <v>12.1</v>
      </c>
      <c r="O1508">
        <v>21.4285714285714</v>
      </c>
      <c r="P1508">
        <v>112.2</v>
      </c>
      <c r="Q1508">
        <v>133.628571428571</v>
      </c>
      <c r="R1508">
        <v>0</v>
      </c>
      <c r="S1508">
        <v>133.628571428571</v>
      </c>
      <c r="T1508">
        <v>89</v>
      </c>
      <c r="U1508">
        <f>SUMIF(货件明细!J:J,E1508,货件明细!AP:AP)</f>
        <v>0</v>
      </c>
      <c r="V1508">
        <f>IF(U1508=T1508,0,1)</f>
        <v>1</v>
      </c>
      <c r="W1508">
        <f>T1508</f>
        <v>89</v>
      </c>
      <c r="X1508">
        <f>SUMIF(货件明细!J:J,E1508,货件明细!H:H)</f>
        <v>0</v>
      </c>
      <c r="Y1508">
        <f>N1508-X1508</f>
        <v>12.1</v>
      </c>
      <c r="Z1508">
        <f>SUMIF(货件明细!J:J,E1508,货件明细!I:I)</f>
        <v>0</v>
      </c>
      <c r="AA1508">
        <f>IF(S1508=Z1508,0,1)</f>
        <v>1</v>
      </c>
    </row>
    <row r="1509" hidden="1" spans="1:27">
      <c r="A1509">
        <v>3</v>
      </c>
      <c r="B1509">
        <v>12</v>
      </c>
      <c r="C1509" s="3">
        <v>46101</v>
      </c>
      <c r="D1509" t="s">
        <v>27</v>
      </c>
      <c r="E1509" t="s">
        <v>1628</v>
      </c>
      <c r="F1509" t="s">
        <v>250</v>
      </c>
      <c r="G1509" t="s">
        <v>72</v>
      </c>
      <c r="H1509" t="s">
        <v>224</v>
      </c>
      <c r="I1509" t="s">
        <v>146</v>
      </c>
      <c r="J1509" t="s">
        <v>146</v>
      </c>
      <c r="K1509" t="s">
        <v>64</v>
      </c>
      <c r="L1509" t="s">
        <v>147</v>
      </c>
      <c r="M1509" t="s">
        <v>1545</v>
      </c>
      <c r="N1509">
        <v>12.1</v>
      </c>
      <c r="O1509">
        <v>9.375</v>
      </c>
      <c r="P1509">
        <v>116</v>
      </c>
      <c r="Q1509">
        <v>125.375</v>
      </c>
      <c r="R1509">
        <v>0</v>
      </c>
      <c r="S1509">
        <v>125.375</v>
      </c>
      <c r="T1509">
        <v>89</v>
      </c>
      <c r="U1509">
        <f>SUMIF(货件明细!J:J,E1509,货件明细!AP:AP)</f>
        <v>0</v>
      </c>
      <c r="V1509">
        <f>IF(U1509=T1509,0,1)</f>
        <v>1</v>
      </c>
      <c r="W1509">
        <f>T1509</f>
        <v>89</v>
      </c>
      <c r="X1509">
        <f>SUMIF(货件明细!J:J,E1509,货件明细!H:H)</f>
        <v>0</v>
      </c>
      <c r="Y1509">
        <f>N1509-X1509</f>
        <v>12.1</v>
      </c>
      <c r="Z1509">
        <f>SUMIF(货件明细!J:J,E1509,货件明细!I:I)</f>
        <v>0</v>
      </c>
      <c r="AA1509">
        <f>IF(S1509=Z1509,0,1)</f>
        <v>1</v>
      </c>
    </row>
    <row r="1510" hidden="1" spans="1:27">
      <c r="A1510">
        <v>3</v>
      </c>
      <c r="B1510">
        <v>12</v>
      </c>
      <c r="C1510" s="3">
        <v>46101</v>
      </c>
      <c r="D1510" t="s">
        <v>27</v>
      </c>
      <c r="E1510" t="s">
        <v>1629</v>
      </c>
      <c r="F1510" t="s">
        <v>74</v>
      </c>
      <c r="G1510" t="s">
        <v>30</v>
      </c>
      <c r="H1510" t="s">
        <v>224</v>
      </c>
      <c r="I1510" t="s">
        <v>146</v>
      </c>
      <c r="J1510" t="s">
        <v>146</v>
      </c>
      <c r="K1510" t="s">
        <v>64</v>
      </c>
      <c r="L1510" t="s">
        <v>147</v>
      </c>
      <c r="M1510" t="s">
        <v>148</v>
      </c>
      <c r="N1510">
        <v>12.1</v>
      </c>
      <c r="O1510">
        <v>21.4285714285714</v>
      </c>
      <c r="P1510">
        <v>191</v>
      </c>
      <c r="Q1510">
        <v>212.428571428571</v>
      </c>
      <c r="R1510">
        <v>0</v>
      </c>
      <c r="S1510">
        <v>212.428571428571</v>
      </c>
      <c r="T1510">
        <v>89</v>
      </c>
      <c r="U1510">
        <f>SUMIF(货件明细!J:J,E1510,货件明细!AP:AP)</f>
        <v>0</v>
      </c>
      <c r="V1510">
        <f>IF(U1510=T1510,0,1)</f>
        <v>1</v>
      </c>
      <c r="W1510">
        <f>T1510</f>
        <v>89</v>
      </c>
      <c r="X1510">
        <f>SUMIF(货件明细!J:J,E1510,货件明细!H:H)</f>
        <v>0</v>
      </c>
      <c r="Y1510">
        <f>N1510-X1510</f>
        <v>12.1</v>
      </c>
      <c r="Z1510">
        <f>SUMIF(货件明细!J:J,E1510,货件明细!I:I)</f>
        <v>0</v>
      </c>
      <c r="AA1510">
        <f>IF(S1510=Z1510,0,1)</f>
        <v>1</v>
      </c>
    </row>
    <row r="1511" hidden="1" spans="1:27">
      <c r="A1511">
        <v>3</v>
      </c>
      <c r="B1511">
        <v>12</v>
      </c>
      <c r="C1511" s="3">
        <v>46101</v>
      </c>
      <c r="D1511" t="s">
        <v>27</v>
      </c>
      <c r="E1511" t="s">
        <v>1630</v>
      </c>
      <c r="F1511" t="s">
        <v>76</v>
      </c>
      <c r="G1511" t="s">
        <v>72</v>
      </c>
      <c r="H1511" t="s">
        <v>224</v>
      </c>
      <c r="I1511" t="s">
        <v>146</v>
      </c>
      <c r="J1511" t="s">
        <v>146</v>
      </c>
      <c r="K1511" t="s">
        <v>64</v>
      </c>
      <c r="L1511" t="s">
        <v>147</v>
      </c>
      <c r="M1511" t="s">
        <v>1545</v>
      </c>
      <c r="N1511">
        <v>12.1</v>
      </c>
      <c r="O1511">
        <v>9.375</v>
      </c>
      <c r="P1511">
        <v>62.4</v>
      </c>
      <c r="Q1511">
        <v>71.775</v>
      </c>
      <c r="R1511">
        <v>0</v>
      </c>
      <c r="S1511">
        <v>71.775</v>
      </c>
      <c r="T1511">
        <v>89</v>
      </c>
      <c r="U1511">
        <f>SUMIF(货件明细!J:J,E1511,货件明细!AP:AP)</f>
        <v>0</v>
      </c>
      <c r="V1511">
        <f>IF(U1511=T1511,0,1)</f>
        <v>1</v>
      </c>
      <c r="W1511">
        <f>T1511</f>
        <v>89</v>
      </c>
      <c r="X1511">
        <f>SUMIF(货件明细!J:J,E1511,货件明细!H:H)</f>
        <v>0</v>
      </c>
      <c r="Y1511">
        <f>N1511-X1511</f>
        <v>12.1</v>
      </c>
      <c r="Z1511">
        <f>SUMIF(货件明细!J:J,E1511,货件明细!I:I)</f>
        <v>0</v>
      </c>
      <c r="AA1511">
        <f>IF(S1511=Z1511,0,1)</f>
        <v>1</v>
      </c>
    </row>
    <row r="1512" hidden="1" spans="1:27">
      <c r="A1512">
        <v>3</v>
      </c>
      <c r="B1512">
        <v>12</v>
      </c>
      <c r="C1512" s="3">
        <v>46101</v>
      </c>
      <c r="D1512" t="s">
        <v>27</v>
      </c>
      <c r="E1512" t="s">
        <v>1631</v>
      </c>
      <c r="F1512" t="s">
        <v>62</v>
      </c>
      <c r="G1512" t="s">
        <v>30</v>
      </c>
      <c r="H1512" t="s">
        <v>46</v>
      </c>
      <c r="I1512" t="s">
        <v>146</v>
      </c>
      <c r="J1512" t="s">
        <v>146</v>
      </c>
      <c r="K1512" t="s">
        <v>64</v>
      </c>
      <c r="L1512" t="s">
        <v>147</v>
      </c>
      <c r="M1512" t="s">
        <v>148</v>
      </c>
      <c r="N1512">
        <v>10.35</v>
      </c>
      <c r="O1512">
        <v>21.4285714285714</v>
      </c>
      <c r="P1512">
        <v>93.5</v>
      </c>
      <c r="Q1512">
        <v>114.928571428571</v>
      </c>
      <c r="R1512">
        <v>0</v>
      </c>
      <c r="S1512">
        <v>114.928571428571</v>
      </c>
      <c r="T1512">
        <v>79</v>
      </c>
      <c r="U1512">
        <f>SUMIF(货件明细!J:J,E1512,货件明细!AP:AP)</f>
        <v>0</v>
      </c>
      <c r="V1512">
        <f>IF(U1512=T1512,0,1)</f>
        <v>1</v>
      </c>
      <c r="W1512">
        <f>T1512</f>
        <v>79</v>
      </c>
      <c r="X1512">
        <f>SUMIF(货件明细!J:J,E1512,货件明细!H:H)</f>
        <v>0</v>
      </c>
      <c r="Y1512">
        <f>N1512-X1512</f>
        <v>10.35</v>
      </c>
      <c r="Z1512">
        <f>SUMIF(货件明细!J:J,E1512,货件明细!I:I)</f>
        <v>0</v>
      </c>
      <c r="AA1512">
        <f>IF(S1512=Z1512,0,1)</f>
        <v>1</v>
      </c>
    </row>
    <row r="1513" hidden="1" spans="1:27">
      <c r="A1513">
        <v>3</v>
      </c>
      <c r="B1513">
        <v>12</v>
      </c>
      <c r="C1513" s="3">
        <v>46101</v>
      </c>
      <c r="D1513" t="s">
        <v>27</v>
      </c>
      <c r="E1513" t="s">
        <v>1632</v>
      </c>
      <c r="F1513" t="s">
        <v>76</v>
      </c>
      <c r="G1513" t="s">
        <v>72</v>
      </c>
      <c r="H1513" t="s">
        <v>46</v>
      </c>
      <c r="I1513" t="s">
        <v>146</v>
      </c>
      <c r="J1513" t="s">
        <v>146</v>
      </c>
      <c r="K1513" t="s">
        <v>64</v>
      </c>
      <c r="L1513" t="s">
        <v>147</v>
      </c>
      <c r="M1513" t="s">
        <v>1545</v>
      </c>
      <c r="N1513">
        <v>10.35</v>
      </c>
      <c r="O1513">
        <v>9.375</v>
      </c>
      <c r="P1513">
        <v>52</v>
      </c>
      <c r="Q1513">
        <v>61.375</v>
      </c>
      <c r="R1513">
        <v>0</v>
      </c>
      <c r="S1513">
        <v>61.375</v>
      </c>
      <c r="T1513">
        <v>80</v>
      </c>
      <c r="U1513">
        <f>SUMIF(货件明细!J:J,E1513,货件明细!AP:AP)</f>
        <v>0</v>
      </c>
      <c r="V1513">
        <f>IF(U1513=T1513,0,1)</f>
        <v>1</v>
      </c>
      <c r="W1513">
        <f>T1513</f>
        <v>80</v>
      </c>
      <c r="X1513">
        <f>SUMIF(货件明细!J:J,E1513,货件明细!H:H)</f>
        <v>0</v>
      </c>
      <c r="Y1513">
        <f>N1513-X1513</f>
        <v>10.35</v>
      </c>
      <c r="Z1513">
        <f>SUMIF(货件明细!J:J,E1513,货件明细!I:I)</f>
        <v>0</v>
      </c>
      <c r="AA1513">
        <f>IF(S1513=Z1513,0,1)</f>
        <v>1</v>
      </c>
    </row>
    <row r="1514" hidden="1" spans="1:27">
      <c r="A1514">
        <v>3</v>
      </c>
      <c r="B1514">
        <v>12</v>
      </c>
      <c r="C1514" s="3">
        <v>46101</v>
      </c>
      <c r="D1514" t="s">
        <v>27</v>
      </c>
      <c r="E1514" t="s">
        <v>1633</v>
      </c>
      <c r="F1514" t="s">
        <v>239</v>
      </c>
      <c r="G1514" t="s">
        <v>72</v>
      </c>
      <c r="H1514" t="s">
        <v>46</v>
      </c>
      <c r="I1514" t="s">
        <v>146</v>
      </c>
      <c r="J1514" t="s">
        <v>146</v>
      </c>
      <c r="K1514" t="s">
        <v>64</v>
      </c>
      <c r="L1514" t="s">
        <v>147</v>
      </c>
      <c r="M1514" t="s">
        <v>1545</v>
      </c>
      <c r="N1514">
        <v>10.35</v>
      </c>
      <c r="O1514">
        <v>9.375</v>
      </c>
      <c r="P1514">
        <v>58</v>
      </c>
      <c r="Q1514">
        <v>67.375</v>
      </c>
      <c r="R1514">
        <v>0</v>
      </c>
      <c r="S1514">
        <v>67.375</v>
      </c>
      <c r="T1514">
        <v>79</v>
      </c>
      <c r="U1514">
        <f>SUMIF(货件明细!J:J,E1514,货件明细!AP:AP)</f>
        <v>0</v>
      </c>
      <c r="V1514">
        <f>IF(U1514=T1514,0,1)</f>
        <v>1</v>
      </c>
      <c r="W1514">
        <f>T1514</f>
        <v>79</v>
      </c>
      <c r="X1514">
        <f>SUMIF(货件明细!J:J,E1514,货件明细!H:H)</f>
        <v>0</v>
      </c>
      <c r="Y1514">
        <f>N1514-X1514</f>
        <v>10.35</v>
      </c>
      <c r="Z1514">
        <f>SUMIF(货件明细!J:J,E1514,货件明细!I:I)</f>
        <v>0</v>
      </c>
      <c r="AA1514">
        <f>IF(S1514=Z1514,0,1)</f>
        <v>1</v>
      </c>
    </row>
    <row r="1515" hidden="1" spans="1:27">
      <c r="A1515">
        <v>3</v>
      </c>
      <c r="B1515">
        <v>12</v>
      </c>
      <c r="C1515" s="3">
        <v>46101</v>
      </c>
      <c r="D1515" t="s">
        <v>27</v>
      </c>
      <c r="E1515" t="s">
        <v>1634</v>
      </c>
      <c r="F1515" t="s">
        <v>138</v>
      </c>
      <c r="G1515" t="s">
        <v>69</v>
      </c>
      <c r="H1515" t="s">
        <v>46</v>
      </c>
      <c r="I1515" t="s">
        <v>146</v>
      </c>
      <c r="J1515" t="s">
        <v>146</v>
      </c>
      <c r="K1515" t="s">
        <v>64</v>
      </c>
      <c r="L1515" t="s">
        <v>147</v>
      </c>
      <c r="M1515" t="s">
        <v>1545</v>
      </c>
      <c r="N1515">
        <v>10.35</v>
      </c>
      <c r="O1515">
        <v>25</v>
      </c>
      <c r="P1515">
        <v>76.5</v>
      </c>
      <c r="Q1515">
        <v>101.5</v>
      </c>
      <c r="R1515">
        <v>0</v>
      </c>
      <c r="S1515">
        <v>101.5</v>
      </c>
      <c r="T1515">
        <v>79</v>
      </c>
      <c r="U1515">
        <f>SUMIF(货件明细!J:J,E1515,货件明细!AP:AP)</f>
        <v>0</v>
      </c>
      <c r="V1515">
        <f>IF(U1515=T1515,0,1)</f>
        <v>1</v>
      </c>
      <c r="W1515">
        <f>T1515</f>
        <v>79</v>
      </c>
      <c r="X1515">
        <f>SUMIF(货件明细!J:J,E1515,货件明细!H:H)</f>
        <v>0</v>
      </c>
      <c r="Y1515">
        <f>N1515-X1515</f>
        <v>10.35</v>
      </c>
      <c r="Z1515">
        <f>SUMIF(货件明细!J:J,E1515,货件明细!I:I)</f>
        <v>0</v>
      </c>
      <c r="AA1515">
        <f>IF(S1515=Z1515,0,1)</f>
        <v>1</v>
      </c>
    </row>
    <row r="1516" hidden="1" spans="1:27">
      <c r="A1516">
        <v>3</v>
      </c>
      <c r="B1516">
        <v>12</v>
      </c>
      <c r="C1516" s="3">
        <v>46101</v>
      </c>
      <c r="D1516" t="s">
        <v>27</v>
      </c>
      <c r="E1516" t="s">
        <v>1635</v>
      </c>
      <c r="F1516" t="s">
        <v>185</v>
      </c>
      <c r="G1516" t="s">
        <v>30</v>
      </c>
      <c r="H1516" t="s">
        <v>46</v>
      </c>
      <c r="I1516" t="s">
        <v>146</v>
      </c>
      <c r="J1516" t="s">
        <v>146</v>
      </c>
      <c r="K1516" t="s">
        <v>64</v>
      </c>
      <c r="L1516" t="s">
        <v>147</v>
      </c>
      <c r="M1516" t="s">
        <v>148</v>
      </c>
      <c r="N1516">
        <v>10.35</v>
      </c>
      <c r="O1516">
        <v>21.4285714285714</v>
      </c>
      <c r="P1516">
        <v>86.5</v>
      </c>
      <c r="Q1516">
        <v>107.928571428571</v>
      </c>
      <c r="R1516">
        <v>0</v>
      </c>
      <c r="S1516">
        <v>107.928571428571</v>
      </c>
      <c r="T1516">
        <v>79</v>
      </c>
      <c r="U1516">
        <f>SUMIF(货件明细!J:J,E1516,货件明细!AP:AP)</f>
        <v>0</v>
      </c>
      <c r="V1516">
        <f>IF(U1516=T1516,0,1)</f>
        <v>1</v>
      </c>
      <c r="W1516">
        <f>T1516</f>
        <v>79</v>
      </c>
      <c r="X1516">
        <f>SUMIF(货件明细!J:J,E1516,货件明细!H:H)</f>
        <v>0</v>
      </c>
      <c r="Y1516">
        <f>N1516-X1516</f>
        <v>10.35</v>
      </c>
      <c r="Z1516">
        <f>SUMIF(货件明细!J:J,E1516,货件明细!I:I)</f>
        <v>0</v>
      </c>
      <c r="AA1516">
        <f>IF(S1516=Z1516,0,1)</f>
        <v>1</v>
      </c>
    </row>
    <row r="1517" hidden="1" spans="1:27">
      <c r="A1517">
        <v>3</v>
      </c>
      <c r="B1517">
        <v>12</v>
      </c>
      <c r="C1517" s="3">
        <v>46101</v>
      </c>
      <c r="D1517" t="s">
        <v>27</v>
      </c>
      <c r="E1517" t="s">
        <v>1636</v>
      </c>
      <c r="F1517" t="s">
        <v>138</v>
      </c>
      <c r="G1517" t="s">
        <v>69</v>
      </c>
      <c r="H1517" t="s">
        <v>51</v>
      </c>
      <c r="I1517" t="s">
        <v>146</v>
      </c>
      <c r="J1517" t="s">
        <v>146</v>
      </c>
      <c r="K1517" t="s">
        <v>64</v>
      </c>
      <c r="L1517" t="s">
        <v>147</v>
      </c>
      <c r="M1517" t="s">
        <v>1545</v>
      </c>
      <c r="N1517">
        <v>18.6</v>
      </c>
      <c r="O1517">
        <v>25</v>
      </c>
      <c r="P1517">
        <v>153</v>
      </c>
      <c r="Q1517">
        <v>178</v>
      </c>
      <c r="R1517">
        <v>0</v>
      </c>
      <c r="S1517">
        <v>178</v>
      </c>
      <c r="T1517">
        <v>77</v>
      </c>
      <c r="U1517">
        <f>SUMIF(货件明细!J:J,E1517,货件明细!AP:AP)</f>
        <v>0</v>
      </c>
      <c r="V1517">
        <f>IF(U1517=T1517,0,1)</f>
        <v>1</v>
      </c>
      <c r="W1517">
        <f>T1517</f>
        <v>77</v>
      </c>
      <c r="X1517">
        <f>SUMIF(货件明细!J:J,E1517,货件明细!H:H)</f>
        <v>0</v>
      </c>
      <c r="Y1517">
        <f>N1517-X1517</f>
        <v>18.6</v>
      </c>
      <c r="Z1517">
        <f>SUMIF(货件明细!J:J,E1517,货件明细!I:I)</f>
        <v>0</v>
      </c>
      <c r="AA1517">
        <f>IF(S1517=Z1517,0,1)</f>
        <v>1</v>
      </c>
    </row>
    <row r="1518" hidden="1" spans="1:27">
      <c r="A1518">
        <v>3</v>
      </c>
      <c r="B1518">
        <v>12</v>
      </c>
      <c r="C1518" s="3">
        <v>46101</v>
      </c>
      <c r="D1518" t="s">
        <v>27</v>
      </c>
      <c r="E1518" t="s">
        <v>1637</v>
      </c>
      <c r="F1518" t="s">
        <v>239</v>
      </c>
      <c r="G1518" t="s">
        <v>72</v>
      </c>
      <c r="H1518" t="s">
        <v>51</v>
      </c>
      <c r="I1518" t="s">
        <v>146</v>
      </c>
      <c r="J1518" t="s">
        <v>146</v>
      </c>
      <c r="K1518" t="s">
        <v>64</v>
      </c>
      <c r="L1518" t="s">
        <v>147</v>
      </c>
      <c r="M1518" t="s">
        <v>1545</v>
      </c>
      <c r="N1518">
        <v>18.6</v>
      </c>
      <c r="O1518">
        <v>9.375</v>
      </c>
      <c r="P1518">
        <v>116</v>
      </c>
      <c r="Q1518">
        <v>125.375</v>
      </c>
      <c r="R1518">
        <v>0</v>
      </c>
      <c r="S1518">
        <v>125.375</v>
      </c>
      <c r="T1518">
        <v>77</v>
      </c>
      <c r="U1518">
        <f>SUMIF(货件明细!J:J,E1518,货件明细!AP:AP)</f>
        <v>0</v>
      </c>
      <c r="V1518">
        <f>IF(U1518=T1518,0,1)</f>
        <v>1</v>
      </c>
      <c r="W1518">
        <f>T1518</f>
        <v>77</v>
      </c>
      <c r="X1518">
        <f>SUMIF(货件明细!J:J,E1518,货件明细!H:H)</f>
        <v>0</v>
      </c>
      <c r="Y1518">
        <f>N1518-X1518</f>
        <v>18.6</v>
      </c>
      <c r="Z1518">
        <f>SUMIF(货件明细!J:J,E1518,货件明细!I:I)</f>
        <v>0</v>
      </c>
      <c r="AA1518">
        <f>IF(S1518=Z1518,0,1)</f>
        <v>1</v>
      </c>
    </row>
    <row r="1519" hidden="1" spans="1:27">
      <c r="A1519">
        <v>3</v>
      </c>
      <c r="B1519">
        <v>12</v>
      </c>
      <c r="C1519" s="3">
        <v>46101</v>
      </c>
      <c r="D1519" t="s">
        <v>27</v>
      </c>
      <c r="E1519" t="s">
        <v>1638</v>
      </c>
      <c r="F1519" t="s">
        <v>185</v>
      </c>
      <c r="G1519" t="s">
        <v>30</v>
      </c>
      <c r="H1519" t="s">
        <v>51</v>
      </c>
      <c r="I1519" t="s">
        <v>146</v>
      </c>
      <c r="J1519" t="s">
        <v>146</v>
      </c>
      <c r="K1519" t="s">
        <v>64</v>
      </c>
      <c r="L1519" t="s">
        <v>147</v>
      </c>
      <c r="M1519" t="s">
        <v>148</v>
      </c>
      <c r="N1519">
        <v>18.6</v>
      </c>
      <c r="O1519">
        <v>21.4285714285714</v>
      </c>
      <c r="P1519">
        <v>173</v>
      </c>
      <c r="Q1519">
        <v>194.428571428571</v>
      </c>
      <c r="R1519">
        <v>0</v>
      </c>
      <c r="S1519">
        <v>194.428571428571</v>
      </c>
      <c r="T1519">
        <v>77</v>
      </c>
      <c r="U1519">
        <f>SUMIF(货件明细!J:J,E1519,货件明细!AP:AP)</f>
        <v>0</v>
      </c>
      <c r="V1519">
        <f>IF(U1519=T1519,0,1)</f>
        <v>1</v>
      </c>
      <c r="W1519">
        <f>T1519</f>
        <v>77</v>
      </c>
      <c r="X1519">
        <f>SUMIF(货件明细!J:J,E1519,货件明细!H:H)</f>
        <v>0</v>
      </c>
      <c r="Y1519">
        <f>N1519-X1519</f>
        <v>18.6</v>
      </c>
      <c r="Z1519">
        <f>SUMIF(货件明细!J:J,E1519,货件明细!I:I)</f>
        <v>0</v>
      </c>
      <c r="AA1519">
        <f>IF(S1519=Z1519,0,1)</f>
        <v>1</v>
      </c>
    </row>
    <row r="1520" hidden="1" spans="1:27">
      <c r="A1520">
        <v>3</v>
      </c>
      <c r="B1520">
        <v>12</v>
      </c>
      <c r="C1520" s="3">
        <v>46101</v>
      </c>
      <c r="D1520" t="s">
        <v>27</v>
      </c>
      <c r="E1520" t="s">
        <v>1639</v>
      </c>
      <c r="F1520" t="s">
        <v>62</v>
      </c>
      <c r="G1520" t="s">
        <v>30</v>
      </c>
      <c r="H1520" t="s">
        <v>51</v>
      </c>
      <c r="I1520" t="s">
        <v>146</v>
      </c>
      <c r="J1520" t="s">
        <v>146</v>
      </c>
      <c r="K1520" t="s">
        <v>64</v>
      </c>
      <c r="L1520" t="s">
        <v>147</v>
      </c>
      <c r="M1520" t="s">
        <v>148</v>
      </c>
      <c r="N1520">
        <v>18.6</v>
      </c>
      <c r="O1520">
        <v>21.4285714285714</v>
      </c>
      <c r="P1520">
        <v>187</v>
      </c>
      <c r="Q1520">
        <v>208.428571428571</v>
      </c>
      <c r="R1520">
        <v>0</v>
      </c>
      <c r="S1520">
        <v>208.428571428571</v>
      </c>
      <c r="T1520">
        <v>77</v>
      </c>
      <c r="U1520">
        <f>SUMIF(货件明细!J:J,E1520,货件明细!AP:AP)</f>
        <v>0</v>
      </c>
      <c r="V1520">
        <f>IF(U1520=T1520,0,1)</f>
        <v>1</v>
      </c>
      <c r="W1520">
        <f>T1520</f>
        <v>77</v>
      </c>
      <c r="X1520">
        <f>SUMIF(货件明细!J:J,E1520,货件明细!H:H)</f>
        <v>0</v>
      </c>
      <c r="Y1520">
        <f>N1520-X1520</f>
        <v>18.6</v>
      </c>
      <c r="Z1520">
        <f>SUMIF(货件明细!J:J,E1520,货件明细!I:I)</f>
        <v>0</v>
      </c>
      <c r="AA1520">
        <f>IF(S1520=Z1520,0,1)</f>
        <v>1</v>
      </c>
    </row>
    <row r="1521" hidden="1" spans="1:27">
      <c r="A1521">
        <v>3</v>
      </c>
      <c r="B1521">
        <v>12</v>
      </c>
      <c r="C1521" s="3">
        <v>46101</v>
      </c>
      <c r="D1521" t="s">
        <v>27</v>
      </c>
      <c r="E1521" t="s">
        <v>1640</v>
      </c>
      <c r="F1521" t="s">
        <v>76</v>
      </c>
      <c r="G1521" t="s">
        <v>72</v>
      </c>
      <c r="H1521" t="s">
        <v>51</v>
      </c>
      <c r="I1521" t="s">
        <v>146</v>
      </c>
      <c r="J1521" t="s">
        <v>146</v>
      </c>
      <c r="K1521" t="s">
        <v>64</v>
      </c>
      <c r="L1521" t="s">
        <v>147</v>
      </c>
      <c r="M1521" t="s">
        <v>1545</v>
      </c>
      <c r="N1521">
        <v>18.6</v>
      </c>
      <c r="O1521">
        <v>9.375</v>
      </c>
      <c r="P1521">
        <v>104</v>
      </c>
      <c r="Q1521">
        <v>113.375</v>
      </c>
      <c r="R1521">
        <v>0</v>
      </c>
      <c r="S1521">
        <v>113.375</v>
      </c>
      <c r="T1521">
        <v>77</v>
      </c>
      <c r="U1521">
        <f>SUMIF(货件明细!J:J,E1521,货件明细!AP:AP)</f>
        <v>0</v>
      </c>
      <c r="V1521">
        <f>IF(U1521=T1521,0,1)</f>
        <v>1</v>
      </c>
      <c r="W1521">
        <f>T1521</f>
        <v>77</v>
      </c>
      <c r="X1521">
        <f>SUMIF(货件明细!J:J,E1521,货件明细!H:H)</f>
        <v>0</v>
      </c>
      <c r="Y1521">
        <f>N1521-X1521</f>
        <v>18.6</v>
      </c>
      <c r="Z1521">
        <f>SUMIF(货件明细!J:J,E1521,货件明细!I:I)</f>
        <v>0</v>
      </c>
      <c r="AA1521">
        <f>IF(S1521=Z1521,0,1)</f>
        <v>1</v>
      </c>
    </row>
    <row r="1522" spans="1:27">
      <c r="A1522">
        <v>3</v>
      </c>
      <c r="B1522">
        <v>12</v>
      </c>
      <c r="C1522" s="3">
        <v>46101</v>
      </c>
      <c r="D1522" t="s">
        <v>27</v>
      </c>
      <c r="E1522" t="s">
        <v>1641</v>
      </c>
      <c r="F1522" t="s">
        <v>41</v>
      </c>
      <c r="G1522" t="s">
        <v>30</v>
      </c>
      <c r="H1522" t="s">
        <v>31</v>
      </c>
      <c r="I1522" t="s">
        <v>42</v>
      </c>
      <c r="J1522" t="s">
        <v>42</v>
      </c>
      <c r="K1522" t="s">
        <v>33</v>
      </c>
      <c r="L1522" t="s">
        <v>43</v>
      </c>
      <c r="M1522" t="s">
        <v>44</v>
      </c>
      <c r="N1522">
        <v>71.3</v>
      </c>
      <c r="O1522">
        <v>100</v>
      </c>
      <c r="P1522">
        <v>3603</v>
      </c>
      <c r="Q1522">
        <v>3703</v>
      </c>
      <c r="R1522">
        <v>241.026</v>
      </c>
      <c r="S1522">
        <v>3944.026</v>
      </c>
      <c r="T1522">
        <v>190</v>
      </c>
      <c r="U1522">
        <f>SUMIF(货件明细!J:J,E1522,货件明细!AP:AP)</f>
        <v>190</v>
      </c>
      <c r="V1522">
        <f>IF(U1522=T1522,0,1)</f>
        <v>0</v>
      </c>
      <c r="W1522">
        <f>T1522</f>
        <v>190</v>
      </c>
      <c r="X1522">
        <f>SUMIF(货件明细!J:J,E1522,货件明细!H:H)</f>
        <v>67.7</v>
      </c>
      <c r="Y1522">
        <f>N1522-X1522</f>
        <v>3.59999999999999</v>
      </c>
      <c r="Z1522">
        <f>SUMIF(货件明细!J:J,E1522,货件明细!I:I)</f>
        <v>3944.026</v>
      </c>
      <c r="AA1522">
        <f>IF(S1522=Z1522,0,1)</f>
        <v>0</v>
      </c>
    </row>
    <row r="1523" spans="1:27">
      <c r="A1523">
        <v>3</v>
      </c>
      <c r="B1523">
        <v>12</v>
      </c>
      <c r="C1523" s="3">
        <v>46101</v>
      </c>
      <c r="D1523" t="s">
        <v>27</v>
      </c>
      <c r="E1523" t="s">
        <v>1642</v>
      </c>
      <c r="F1523" t="s">
        <v>41</v>
      </c>
      <c r="G1523" t="s">
        <v>30</v>
      </c>
      <c r="H1523" t="s">
        <v>56</v>
      </c>
      <c r="I1523" t="s">
        <v>42</v>
      </c>
      <c r="J1523" t="s">
        <v>42</v>
      </c>
      <c r="K1523" t="s">
        <v>33</v>
      </c>
      <c r="L1523" t="s">
        <v>43</v>
      </c>
      <c r="M1523" t="s">
        <v>44</v>
      </c>
      <c r="N1523">
        <v>50.2</v>
      </c>
      <c r="O1523">
        <v>100</v>
      </c>
      <c r="P1523">
        <v>2574</v>
      </c>
      <c r="Q1523">
        <v>2674</v>
      </c>
      <c r="R1523">
        <v>291.9</v>
      </c>
      <c r="S1523">
        <v>2965.9</v>
      </c>
      <c r="T1523">
        <v>200</v>
      </c>
      <c r="U1523">
        <f>SUMIF(货件明细!J:J,E1523,货件明细!AP:AP)</f>
        <v>200</v>
      </c>
      <c r="V1523">
        <f>IF(U1523=T1523,0,1)</f>
        <v>0</v>
      </c>
      <c r="W1523">
        <f>T1523</f>
        <v>200</v>
      </c>
      <c r="X1523">
        <f>SUMIF(货件明细!J:J,E1523,货件明细!H:H)</f>
        <v>48.77</v>
      </c>
      <c r="Y1523">
        <f>N1523-X1523</f>
        <v>1.43000000000001</v>
      </c>
      <c r="Z1523">
        <f>SUMIF(货件明细!J:J,E1523,货件明细!I:I)</f>
        <v>2965.9</v>
      </c>
      <c r="AA1523">
        <f>IF(S1523=Z1523,0,1)</f>
        <v>0</v>
      </c>
    </row>
    <row r="1524" spans="1:27">
      <c r="A1524">
        <v>3</v>
      </c>
      <c r="B1524">
        <v>13</v>
      </c>
      <c r="C1524" s="3">
        <v>46104</v>
      </c>
      <c r="D1524" t="s">
        <v>27</v>
      </c>
      <c r="E1524" t="s">
        <v>1643</v>
      </c>
      <c r="F1524" t="s">
        <v>29</v>
      </c>
      <c r="G1524" t="s">
        <v>30</v>
      </c>
      <c r="H1524" t="s">
        <v>31</v>
      </c>
      <c r="I1524" t="s">
        <v>42</v>
      </c>
      <c r="J1524" t="s">
        <v>42</v>
      </c>
      <c r="K1524" t="s">
        <v>33</v>
      </c>
      <c r="L1524" t="s">
        <v>43</v>
      </c>
      <c r="M1524" t="s">
        <v>44</v>
      </c>
      <c r="N1524">
        <v>68.75</v>
      </c>
      <c r="O1524">
        <v>100</v>
      </c>
      <c r="P1524">
        <v>3575</v>
      </c>
      <c r="Q1524">
        <v>3675</v>
      </c>
      <c r="R1524">
        <v>511.52</v>
      </c>
      <c r="S1524">
        <v>4186.52</v>
      </c>
      <c r="T1524">
        <v>460</v>
      </c>
      <c r="U1524">
        <f>SUMIF(货件明细!J:J,E1524,货件明细!AP:AP)</f>
        <v>460</v>
      </c>
      <c r="V1524">
        <f>IF(U1524=T1524,0,1)</f>
        <v>0</v>
      </c>
      <c r="W1524">
        <f>T1524</f>
        <v>460</v>
      </c>
      <c r="X1524">
        <f>SUMIF(货件明细!J:J,E1524,货件明细!H:H)</f>
        <v>65.68</v>
      </c>
      <c r="Y1524">
        <f>N1524-X1524</f>
        <v>3.06999999999999</v>
      </c>
      <c r="Z1524">
        <f>SUMIF(货件明细!J:J,E1524,货件明细!I:I)</f>
        <v>4186.52</v>
      </c>
      <c r="AA1524">
        <f>IF(S1524=Z1524,0,1)</f>
        <v>0</v>
      </c>
    </row>
    <row r="1525" spans="1:27">
      <c r="A1525">
        <v>3</v>
      </c>
      <c r="B1525">
        <v>13</v>
      </c>
      <c r="C1525" s="3">
        <v>46104</v>
      </c>
      <c r="D1525" t="s">
        <v>27</v>
      </c>
      <c r="E1525" t="s">
        <v>1644</v>
      </c>
      <c r="F1525" t="s">
        <v>29</v>
      </c>
      <c r="G1525" t="s">
        <v>30</v>
      </c>
      <c r="H1525" t="s">
        <v>51</v>
      </c>
      <c r="I1525" t="s">
        <v>42</v>
      </c>
      <c r="J1525" t="s">
        <v>42</v>
      </c>
      <c r="K1525" t="s">
        <v>33</v>
      </c>
      <c r="L1525" t="s">
        <v>43</v>
      </c>
      <c r="M1525" t="s">
        <v>44</v>
      </c>
      <c r="N1525">
        <v>13.75</v>
      </c>
      <c r="O1525">
        <v>100</v>
      </c>
      <c r="P1525">
        <v>775</v>
      </c>
      <c r="Q1525">
        <v>875</v>
      </c>
      <c r="R1525">
        <v>125.656</v>
      </c>
      <c r="S1525">
        <v>1000.656</v>
      </c>
      <c r="T1525">
        <v>113</v>
      </c>
      <c r="U1525">
        <f>SUMIF(货件明细!J:J,E1525,货件明细!AP:AP)</f>
        <v>113</v>
      </c>
      <c r="V1525">
        <f>IF(U1525=T1525,0,1)</f>
        <v>0</v>
      </c>
      <c r="W1525">
        <f>T1525</f>
        <v>113</v>
      </c>
      <c r="X1525">
        <f>SUMIF(货件明细!J:J,E1525,货件明细!H:H)</f>
        <v>12.905</v>
      </c>
      <c r="Y1525">
        <f>N1525-X1525</f>
        <v>0.844999999999999</v>
      </c>
      <c r="Z1525">
        <f>SUMIF(货件明细!J:J,E1525,货件明细!I:I)</f>
        <v>1000.656</v>
      </c>
      <c r="AA1525">
        <f>IF(S1525=Z1525,0,1)</f>
        <v>0</v>
      </c>
    </row>
    <row r="1526" spans="1:27">
      <c r="A1526">
        <v>3</v>
      </c>
      <c r="B1526">
        <v>13</v>
      </c>
      <c r="C1526" s="3">
        <v>46105</v>
      </c>
      <c r="D1526" t="s">
        <v>27</v>
      </c>
      <c r="E1526" t="s">
        <v>1645</v>
      </c>
      <c r="F1526" t="s">
        <v>29</v>
      </c>
      <c r="G1526" t="s">
        <v>30</v>
      </c>
      <c r="H1526" t="s">
        <v>224</v>
      </c>
      <c r="I1526" t="s">
        <v>42</v>
      </c>
      <c r="J1526" t="s">
        <v>42</v>
      </c>
      <c r="K1526" t="s">
        <v>33</v>
      </c>
      <c r="L1526" t="s">
        <v>43</v>
      </c>
      <c r="M1526" t="s">
        <v>44</v>
      </c>
      <c r="N1526">
        <v>9.8</v>
      </c>
      <c r="O1526">
        <v>66.6666666666667</v>
      </c>
      <c r="P1526">
        <v>560</v>
      </c>
      <c r="Q1526">
        <v>626.666666666667</v>
      </c>
      <c r="R1526">
        <v>144.56</v>
      </c>
      <c r="S1526">
        <v>771.226666666667</v>
      </c>
      <c r="T1526">
        <v>130</v>
      </c>
      <c r="U1526">
        <f>SUMIF(货件明细!J:J,E1526,货件明细!AP:AP)</f>
        <v>130</v>
      </c>
      <c r="V1526">
        <f>IF(U1526=T1526,0,1)</f>
        <v>0</v>
      </c>
      <c r="W1526">
        <f>T1526</f>
        <v>130</v>
      </c>
      <c r="X1526">
        <f>SUMIF(货件明细!J:J,E1526,货件明细!H:H)</f>
        <v>8.69</v>
      </c>
      <c r="Y1526">
        <f>N1526-X1526</f>
        <v>1.11</v>
      </c>
      <c r="Z1526">
        <f>SUMIF(货件明细!J:J,E1526,货件明细!I:I)</f>
        <v>771.226666666667</v>
      </c>
      <c r="AA1526">
        <f>IF(S1526=Z1526,0,1)</f>
        <v>0</v>
      </c>
    </row>
    <row r="1527" spans="1:27">
      <c r="A1527">
        <v>3</v>
      </c>
      <c r="B1527">
        <v>13</v>
      </c>
      <c r="C1527" s="3">
        <v>46105</v>
      </c>
      <c r="D1527" t="s">
        <v>27</v>
      </c>
      <c r="E1527" t="s">
        <v>1646</v>
      </c>
      <c r="F1527" t="s">
        <v>29</v>
      </c>
      <c r="G1527" t="s">
        <v>30</v>
      </c>
      <c r="H1527" t="s">
        <v>39</v>
      </c>
      <c r="I1527" t="s">
        <v>42</v>
      </c>
      <c r="J1527" t="s">
        <v>42</v>
      </c>
      <c r="K1527" t="s">
        <v>33</v>
      </c>
      <c r="L1527" t="s">
        <v>43</v>
      </c>
      <c r="M1527" t="s">
        <v>44</v>
      </c>
      <c r="N1527">
        <v>20.75</v>
      </c>
      <c r="O1527">
        <v>66.6666666666667</v>
      </c>
      <c r="P1527">
        <v>1121</v>
      </c>
      <c r="Q1527">
        <v>1187.66666666667</v>
      </c>
      <c r="R1527">
        <v>172.916</v>
      </c>
      <c r="S1527">
        <v>1360.58266666667</v>
      </c>
      <c r="T1527">
        <v>151</v>
      </c>
      <c r="U1527">
        <f>SUMIF(货件明细!J:J,E1527,货件明细!AP:AP)</f>
        <v>151</v>
      </c>
      <c r="V1527">
        <f>IF(U1527=T1527,0,1)</f>
        <v>0</v>
      </c>
      <c r="W1527">
        <f>T1527</f>
        <v>151</v>
      </c>
      <c r="X1527">
        <f>SUMIF(货件明细!J:J,E1527,货件明细!H:H)</f>
        <v>22.374</v>
      </c>
      <c r="Y1527">
        <f>N1527-X1527</f>
        <v>-1.624</v>
      </c>
      <c r="Z1527">
        <f>SUMIF(货件明细!J:J,E1527,货件明细!I:I)</f>
        <v>1360.58266666667</v>
      </c>
      <c r="AA1527">
        <f>IF(S1527=Z1527,0,1)</f>
        <v>0</v>
      </c>
    </row>
    <row r="1528" spans="1:27">
      <c r="A1528">
        <v>3</v>
      </c>
      <c r="B1528">
        <v>13</v>
      </c>
      <c r="C1528" s="3">
        <v>46105</v>
      </c>
      <c r="D1528" t="s">
        <v>27</v>
      </c>
      <c r="E1528" t="s">
        <v>1647</v>
      </c>
      <c r="F1528" t="s">
        <v>29</v>
      </c>
      <c r="G1528" t="s">
        <v>30</v>
      </c>
      <c r="H1528" t="s">
        <v>37</v>
      </c>
      <c r="I1528" t="s">
        <v>42</v>
      </c>
      <c r="J1528" t="s">
        <v>42</v>
      </c>
      <c r="K1528" t="s">
        <v>33</v>
      </c>
      <c r="L1528" t="s">
        <v>43</v>
      </c>
      <c r="M1528" t="s">
        <v>44</v>
      </c>
      <c r="N1528">
        <v>45.25</v>
      </c>
      <c r="O1528">
        <v>66.6666666666667</v>
      </c>
      <c r="P1528">
        <v>2396</v>
      </c>
      <c r="Q1528">
        <v>2462.66666666667</v>
      </c>
      <c r="R1528">
        <v>411.44</v>
      </c>
      <c r="S1528">
        <v>2874.10666666667</v>
      </c>
      <c r="T1528">
        <v>370</v>
      </c>
      <c r="U1528">
        <f>SUMIF(货件明细!J:J,E1528,货件明细!AP:AP)</f>
        <v>370</v>
      </c>
      <c r="V1528">
        <f>IF(U1528=T1528,0,1)</f>
        <v>0</v>
      </c>
      <c r="W1528">
        <f>T1528</f>
        <v>370</v>
      </c>
      <c r="X1528">
        <f>SUMIF(货件明细!J:J,E1528,货件明细!H:H)</f>
        <v>43.383</v>
      </c>
      <c r="Y1528">
        <f>N1528-X1528</f>
        <v>1.867</v>
      </c>
      <c r="Z1528">
        <f>SUMIF(货件明细!J:J,E1528,货件明细!I:I)</f>
        <v>2874.10666666667</v>
      </c>
      <c r="AA1528">
        <f>IF(S1528=Z1528,0,1)</f>
        <v>0</v>
      </c>
    </row>
    <row r="1529" spans="1:27">
      <c r="A1529">
        <v>3</v>
      </c>
      <c r="B1529">
        <v>13</v>
      </c>
      <c r="C1529" s="3">
        <v>46105</v>
      </c>
      <c r="D1529" t="s">
        <v>27</v>
      </c>
      <c r="E1529" t="s">
        <v>1648</v>
      </c>
      <c r="F1529" t="s">
        <v>29</v>
      </c>
      <c r="G1529" t="s">
        <v>30</v>
      </c>
      <c r="H1529" t="s">
        <v>59</v>
      </c>
      <c r="I1529" t="s">
        <v>42</v>
      </c>
      <c r="J1529" t="s">
        <v>42</v>
      </c>
      <c r="K1529" t="s">
        <v>33</v>
      </c>
      <c r="L1529" t="s">
        <v>43</v>
      </c>
      <c r="M1529" t="s">
        <v>44</v>
      </c>
      <c r="N1529">
        <v>21.8</v>
      </c>
      <c r="O1529">
        <v>100</v>
      </c>
      <c r="P1529">
        <v>1197</v>
      </c>
      <c r="Q1529">
        <v>1297</v>
      </c>
      <c r="R1529">
        <v>265.768</v>
      </c>
      <c r="S1529">
        <v>1562.768</v>
      </c>
      <c r="T1529">
        <v>216</v>
      </c>
      <c r="U1529">
        <f>SUMIF(货件明细!J:J,E1529,货件明细!AP:AP)</f>
        <v>216</v>
      </c>
      <c r="V1529">
        <f>IF(U1529=T1529,0,1)</f>
        <v>0</v>
      </c>
      <c r="W1529">
        <f>T1529</f>
        <v>216</v>
      </c>
      <c r="X1529">
        <f>SUMIF(货件明细!J:J,E1529,货件明细!H:H)</f>
        <v>20.202</v>
      </c>
      <c r="Y1529">
        <f>N1529-X1529</f>
        <v>1.598</v>
      </c>
      <c r="Z1529">
        <f>SUMIF(货件明细!J:J,E1529,货件明细!I:I)</f>
        <v>1562.768</v>
      </c>
      <c r="AA1529">
        <f>IF(S1529=Z1529,0,1)</f>
        <v>0</v>
      </c>
    </row>
    <row r="1530" spans="1:27">
      <c r="A1530">
        <v>3</v>
      </c>
      <c r="B1530">
        <v>13</v>
      </c>
      <c r="C1530" s="3">
        <v>46105</v>
      </c>
      <c r="D1530" t="s">
        <v>27</v>
      </c>
      <c r="E1530" t="s">
        <v>1649</v>
      </c>
      <c r="F1530" t="s">
        <v>29</v>
      </c>
      <c r="G1530" t="s">
        <v>30</v>
      </c>
      <c r="H1530" t="s">
        <v>39</v>
      </c>
      <c r="I1530" t="s">
        <v>42</v>
      </c>
      <c r="J1530" t="s">
        <v>42</v>
      </c>
      <c r="K1530" t="s">
        <v>33</v>
      </c>
      <c r="L1530" t="s">
        <v>43</v>
      </c>
      <c r="M1530" t="s">
        <v>44</v>
      </c>
      <c r="N1530">
        <v>11.7</v>
      </c>
      <c r="O1530">
        <v>100</v>
      </c>
      <c r="P1530">
        <v>687</v>
      </c>
      <c r="Q1530">
        <v>787</v>
      </c>
      <c r="R1530">
        <v>77.84</v>
      </c>
      <c r="S1530">
        <v>864.84</v>
      </c>
      <c r="T1530">
        <v>70</v>
      </c>
      <c r="U1530">
        <f>SUMIF(货件明细!J:J,E1530,货件明细!AP:AP)</f>
        <v>70</v>
      </c>
      <c r="V1530">
        <f>IF(U1530=T1530,0,1)</f>
        <v>0</v>
      </c>
      <c r="W1530">
        <f>T1530</f>
        <v>70</v>
      </c>
      <c r="X1530">
        <f>SUMIF(货件明细!J:J,E1530,货件明细!H:H)</f>
        <v>8.19</v>
      </c>
      <c r="Y1530">
        <f>N1530-X1530</f>
        <v>3.51</v>
      </c>
      <c r="Z1530">
        <f>SUMIF(货件明细!J:J,E1530,货件明细!I:I)</f>
        <v>864.84</v>
      </c>
      <c r="AA1530">
        <f>IF(S1530=Z1530,0,1)</f>
        <v>0</v>
      </c>
    </row>
    <row r="1531" spans="1:27">
      <c r="A1531">
        <v>3</v>
      </c>
      <c r="B1531">
        <v>13</v>
      </c>
      <c r="C1531" s="3">
        <v>46106</v>
      </c>
      <c r="D1531" t="s">
        <v>27</v>
      </c>
      <c r="E1531" t="s">
        <v>1650</v>
      </c>
      <c r="F1531" t="s">
        <v>29</v>
      </c>
      <c r="G1531" t="s">
        <v>30</v>
      </c>
      <c r="H1531" t="s">
        <v>46</v>
      </c>
      <c r="I1531" t="s">
        <v>42</v>
      </c>
      <c r="J1531" t="s">
        <v>42</v>
      </c>
      <c r="K1531" t="s">
        <v>33</v>
      </c>
      <c r="L1531" t="s">
        <v>43</v>
      </c>
      <c r="M1531" t="s">
        <v>900</v>
      </c>
      <c r="N1531">
        <v>28.7</v>
      </c>
      <c r="O1531">
        <v>100</v>
      </c>
      <c r="P1531">
        <v>1579</v>
      </c>
      <c r="Q1531">
        <v>1679</v>
      </c>
      <c r="R1531">
        <v>339.16</v>
      </c>
      <c r="S1531">
        <v>2018.16</v>
      </c>
      <c r="T1531">
        <v>305</v>
      </c>
      <c r="U1531">
        <f>SUMIF(货件明细!J:J,E1531,货件明细!AP:AP)</f>
        <v>305</v>
      </c>
      <c r="V1531">
        <f>IF(U1531=T1531,0,1)</f>
        <v>0</v>
      </c>
      <c r="W1531">
        <f>T1531</f>
        <v>305</v>
      </c>
      <c r="X1531">
        <f>SUMIF(货件明细!J:J,E1531,货件明细!H:H)</f>
        <v>26.555</v>
      </c>
      <c r="Y1531">
        <f>N1531-X1531</f>
        <v>2.145</v>
      </c>
      <c r="Z1531">
        <f>SUMIF(货件明细!J:J,E1531,货件明细!I:I)</f>
        <v>2018.16</v>
      </c>
      <c r="AA1531">
        <f>IF(S1531=Z1531,0,1)</f>
        <v>0</v>
      </c>
    </row>
    <row r="1532" spans="1:27">
      <c r="A1532">
        <v>3</v>
      </c>
      <c r="B1532">
        <v>13</v>
      </c>
      <c r="C1532" s="3">
        <v>46106</v>
      </c>
      <c r="D1532" t="s">
        <v>27</v>
      </c>
      <c r="E1532" t="s">
        <v>1651</v>
      </c>
      <c r="F1532" t="s">
        <v>29</v>
      </c>
      <c r="G1532" t="s">
        <v>30</v>
      </c>
      <c r="H1532" t="s">
        <v>37</v>
      </c>
      <c r="I1532" t="s">
        <v>42</v>
      </c>
      <c r="J1532" t="s">
        <v>42</v>
      </c>
      <c r="K1532" t="s">
        <v>33</v>
      </c>
      <c r="L1532" t="s">
        <v>43</v>
      </c>
      <c r="M1532" t="s">
        <v>900</v>
      </c>
      <c r="N1532">
        <v>12.8</v>
      </c>
      <c r="O1532">
        <v>100</v>
      </c>
      <c r="P1532">
        <v>763</v>
      </c>
      <c r="Q1532">
        <v>863</v>
      </c>
      <c r="R1532">
        <v>134.552</v>
      </c>
      <c r="S1532">
        <v>997.552</v>
      </c>
      <c r="T1532">
        <v>125</v>
      </c>
      <c r="U1532">
        <f>SUMIF(货件明细!J:J,E1532,货件明细!AP:AP)</f>
        <v>125</v>
      </c>
      <c r="V1532">
        <f>IF(U1532=T1532,0,1)</f>
        <v>0</v>
      </c>
      <c r="W1532">
        <f>T1532</f>
        <v>125</v>
      </c>
      <c r="X1532">
        <f>SUMIF(货件明细!J:J,E1532,货件明细!H:H)</f>
        <v>12</v>
      </c>
      <c r="Y1532">
        <f>N1532-X1532</f>
        <v>0.800000000000001</v>
      </c>
      <c r="Z1532">
        <f>SUMIF(货件明细!J:J,E1532,货件明细!I:I)</f>
        <v>997.552</v>
      </c>
      <c r="AA1532">
        <f>IF(S1532=Z1532,0,1)</f>
        <v>0</v>
      </c>
    </row>
    <row r="1533" spans="1:27">
      <c r="A1533">
        <v>3</v>
      </c>
      <c r="B1533">
        <v>13</v>
      </c>
      <c r="C1533" s="3">
        <v>46106</v>
      </c>
      <c r="D1533" t="s">
        <v>27</v>
      </c>
      <c r="E1533" t="s">
        <v>1652</v>
      </c>
      <c r="F1533" t="s">
        <v>41</v>
      </c>
      <c r="G1533" t="s">
        <v>30</v>
      </c>
      <c r="H1533" t="s">
        <v>31</v>
      </c>
      <c r="I1533" t="s">
        <v>42</v>
      </c>
      <c r="J1533" t="s">
        <v>42</v>
      </c>
      <c r="K1533" t="s">
        <v>33</v>
      </c>
      <c r="L1533" t="s">
        <v>43</v>
      </c>
      <c r="M1533" t="s">
        <v>44</v>
      </c>
      <c r="N1533">
        <v>17.65</v>
      </c>
      <c r="O1533">
        <v>116.666666666667</v>
      </c>
      <c r="P1533">
        <v>1056</v>
      </c>
      <c r="Q1533">
        <v>1172.66666666667</v>
      </c>
      <c r="R1533">
        <v>149.008</v>
      </c>
      <c r="S1533">
        <v>1321.67466666667</v>
      </c>
      <c r="T1533">
        <v>134</v>
      </c>
      <c r="U1533">
        <f>SUMIF(货件明细!J:J,E1533,货件明细!AP:AP)</f>
        <v>134</v>
      </c>
      <c r="V1533">
        <f>IF(U1533=T1533,0,1)</f>
        <v>0</v>
      </c>
      <c r="W1533">
        <f>T1533</f>
        <v>134</v>
      </c>
      <c r="X1533">
        <f>SUMIF(货件明细!J:J,E1533,货件明细!H:H)</f>
        <v>16.874</v>
      </c>
      <c r="Y1533">
        <f>N1533-X1533</f>
        <v>0.776</v>
      </c>
      <c r="Z1533">
        <f>SUMIF(货件明细!J:J,E1533,货件明细!I:I)</f>
        <v>1321.67466666667</v>
      </c>
      <c r="AA1533">
        <f>IF(S1533=Z1533,0,1)</f>
        <v>0</v>
      </c>
    </row>
    <row r="1534" spans="1:27">
      <c r="A1534">
        <v>3</v>
      </c>
      <c r="B1534">
        <v>13</v>
      </c>
      <c r="C1534" s="3">
        <v>46106</v>
      </c>
      <c r="D1534" t="s">
        <v>27</v>
      </c>
      <c r="E1534" t="s">
        <v>1653</v>
      </c>
      <c r="F1534" t="s">
        <v>41</v>
      </c>
      <c r="G1534" t="s">
        <v>30</v>
      </c>
      <c r="H1534" t="s">
        <v>56</v>
      </c>
      <c r="I1534" t="s">
        <v>42</v>
      </c>
      <c r="J1534" t="s">
        <v>42</v>
      </c>
      <c r="K1534" t="s">
        <v>33</v>
      </c>
      <c r="L1534" t="s">
        <v>43</v>
      </c>
      <c r="M1534" t="s">
        <v>44</v>
      </c>
      <c r="N1534">
        <v>74.5</v>
      </c>
      <c r="O1534">
        <v>116.666666666667</v>
      </c>
      <c r="P1534">
        <v>4162.5</v>
      </c>
      <c r="Q1534">
        <v>4279.16666666667</v>
      </c>
      <c r="R1534">
        <v>410.05</v>
      </c>
      <c r="S1534">
        <v>4689.21666666667</v>
      </c>
      <c r="T1534">
        <v>305</v>
      </c>
      <c r="U1534">
        <f>SUMIF(货件明细!J:J,E1534,货件明细!AP:AP)</f>
        <v>305</v>
      </c>
      <c r="V1534">
        <f>IF(U1534=T1534,0,1)</f>
        <v>0</v>
      </c>
      <c r="W1534">
        <f>T1534</f>
        <v>305</v>
      </c>
      <c r="X1534">
        <f>SUMIF(货件明细!J:J,E1534,货件明细!H:H)</f>
        <v>70.505</v>
      </c>
      <c r="Y1534">
        <f>N1534-X1534</f>
        <v>3.995</v>
      </c>
      <c r="Z1534">
        <f>SUMIF(货件明细!J:J,E1534,货件明细!I:I)</f>
        <v>4689.21666666667</v>
      </c>
      <c r="AA1534">
        <f>IF(S1534=Z1534,0,1)</f>
        <v>0</v>
      </c>
    </row>
    <row r="1535" spans="1:27">
      <c r="A1535">
        <v>3</v>
      </c>
      <c r="B1535">
        <v>13</v>
      </c>
      <c r="C1535" s="3">
        <v>46106</v>
      </c>
      <c r="D1535" t="s">
        <v>27</v>
      </c>
      <c r="E1535" t="s">
        <v>1654</v>
      </c>
      <c r="F1535" t="s">
        <v>41</v>
      </c>
      <c r="G1535" t="s">
        <v>30</v>
      </c>
      <c r="H1535" t="s">
        <v>56</v>
      </c>
      <c r="I1535" t="s">
        <v>42</v>
      </c>
      <c r="J1535" t="s">
        <v>42</v>
      </c>
      <c r="K1535" t="s">
        <v>33</v>
      </c>
      <c r="L1535" t="s">
        <v>43</v>
      </c>
      <c r="M1535" t="s">
        <v>44</v>
      </c>
      <c r="N1535">
        <v>84.5</v>
      </c>
      <c r="O1535">
        <v>116.666666666667</v>
      </c>
      <c r="P1535">
        <v>4697.5</v>
      </c>
      <c r="Q1535">
        <v>4814.16666666667</v>
      </c>
      <c r="R1535">
        <v>594.92</v>
      </c>
      <c r="S1535">
        <v>5409.08666666667</v>
      </c>
      <c r="T1535">
        <v>535</v>
      </c>
      <c r="U1535">
        <f>SUMIF(货件明细!J:J,E1535,货件明细!AP:AP)</f>
        <v>535</v>
      </c>
      <c r="V1535">
        <f>IF(U1535=T1535,0,1)</f>
        <v>0</v>
      </c>
      <c r="W1535">
        <f>T1535</f>
        <v>535</v>
      </c>
      <c r="X1535">
        <f>SUMIF(货件明细!J:J,E1535,货件明细!H:H)</f>
        <v>80.06</v>
      </c>
      <c r="Y1535">
        <f>N1535-X1535</f>
        <v>4.44</v>
      </c>
      <c r="Z1535">
        <f>SUMIF(货件明细!J:J,E1535,货件明细!I:I)</f>
        <v>5409.08666666667</v>
      </c>
      <c r="AA1535">
        <f>IF(S1535=Z1535,0,1)</f>
        <v>0</v>
      </c>
    </row>
    <row r="1536" spans="1:27">
      <c r="A1536">
        <v>3</v>
      </c>
      <c r="B1536">
        <v>13</v>
      </c>
      <c r="C1536" s="3">
        <v>46107</v>
      </c>
      <c r="D1536" t="s">
        <v>27</v>
      </c>
      <c r="E1536" t="s">
        <v>1655</v>
      </c>
      <c r="F1536" t="s">
        <v>29</v>
      </c>
      <c r="G1536" t="s">
        <v>30</v>
      </c>
      <c r="H1536" t="s">
        <v>39</v>
      </c>
      <c r="I1536" t="s">
        <v>42</v>
      </c>
      <c r="J1536" t="s">
        <v>42</v>
      </c>
      <c r="K1536" t="s">
        <v>33</v>
      </c>
      <c r="L1536" t="s">
        <v>43</v>
      </c>
      <c r="M1536" t="s">
        <v>900</v>
      </c>
      <c r="N1536">
        <v>28.8</v>
      </c>
      <c r="O1536">
        <v>66.6666666666667</v>
      </c>
      <c r="P1536">
        <v>1732</v>
      </c>
      <c r="Q1536">
        <v>1798.66666666667</v>
      </c>
      <c r="R1536">
        <v>266.88</v>
      </c>
      <c r="S1536">
        <v>2065.54666666667</v>
      </c>
      <c r="T1536">
        <v>240</v>
      </c>
      <c r="U1536">
        <f>SUMIF(货件明细!J:J,E1536,货件明细!AP:AP)</f>
        <v>240</v>
      </c>
      <c r="V1536">
        <f>IF(U1536=T1536,0,1)</f>
        <v>0</v>
      </c>
      <c r="W1536">
        <f>T1536</f>
        <v>240</v>
      </c>
      <c r="X1536">
        <f>SUMIF(货件明细!J:J,E1536,货件明细!H:H)</f>
        <v>27.96</v>
      </c>
      <c r="Y1536">
        <f>N1536-X1536</f>
        <v>0.84</v>
      </c>
      <c r="Z1536">
        <f>SUMIF(货件明细!J:J,E1536,货件明细!I:I)</f>
        <v>2065.54666666667</v>
      </c>
      <c r="AA1536">
        <f>IF(S1536=Z1536,0,1)</f>
        <v>0</v>
      </c>
    </row>
    <row r="1537" spans="1:27">
      <c r="A1537">
        <v>3</v>
      </c>
      <c r="B1537">
        <v>13</v>
      </c>
      <c r="C1537" s="3">
        <v>46107</v>
      </c>
      <c r="D1537" t="s">
        <v>27</v>
      </c>
      <c r="E1537" t="s">
        <v>1656</v>
      </c>
      <c r="F1537" t="s">
        <v>29</v>
      </c>
      <c r="G1537" t="s">
        <v>30</v>
      </c>
      <c r="H1537" t="s">
        <v>51</v>
      </c>
      <c r="I1537" t="s">
        <v>42</v>
      </c>
      <c r="J1537" t="s">
        <v>42</v>
      </c>
      <c r="K1537" t="s">
        <v>33</v>
      </c>
      <c r="L1537" t="s">
        <v>43</v>
      </c>
      <c r="M1537" t="s">
        <v>900</v>
      </c>
      <c r="N1537">
        <v>16.75</v>
      </c>
      <c r="O1537">
        <v>66.6666666666667</v>
      </c>
      <c r="P1537">
        <v>1036</v>
      </c>
      <c r="Q1537">
        <v>1102.66666666667</v>
      </c>
      <c r="R1537">
        <v>101.192</v>
      </c>
      <c r="S1537">
        <v>1203.85866666667</v>
      </c>
      <c r="T1537">
        <v>91</v>
      </c>
      <c r="U1537">
        <f>SUMIF(货件明细!J:J,E1537,货件明细!AP:AP)</f>
        <v>91</v>
      </c>
      <c r="V1537">
        <f>IF(U1537=T1537,0,1)</f>
        <v>0</v>
      </c>
      <c r="W1537">
        <f>T1537</f>
        <v>91</v>
      </c>
      <c r="X1537">
        <f>SUMIF(货件明细!J:J,E1537,货件明细!H:H)</f>
        <v>16.218</v>
      </c>
      <c r="Y1537">
        <f>N1537-X1537</f>
        <v>0.532</v>
      </c>
      <c r="Z1537">
        <f>SUMIF(货件明细!J:J,E1537,货件明细!I:I)</f>
        <v>1203.85866666667</v>
      </c>
      <c r="AA1537">
        <f>IF(S1537=Z1537,0,1)</f>
        <v>0</v>
      </c>
    </row>
    <row r="1538" spans="1:27">
      <c r="A1538">
        <v>3</v>
      </c>
      <c r="B1538">
        <v>13</v>
      </c>
      <c r="C1538" s="3">
        <v>46107</v>
      </c>
      <c r="D1538" t="s">
        <v>27</v>
      </c>
      <c r="E1538" t="s">
        <v>1657</v>
      </c>
      <c r="F1538" t="s">
        <v>29</v>
      </c>
      <c r="G1538" t="s">
        <v>30</v>
      </c>
      <c r="H1538" t="s">
        <v>54</v>
      </c>
      <c r="I1538" t="s">
        <v>42</v>
      </c>
      <c r="J1538" t="s">
        <v>42</v>
      </c>
      <c r="K1538" t="s">
        <v>33</v>
      </c>
      <c r="L1538" t="s">
        <v>43</v>
      </c>
      <c r="M1538" t="s">
        <v>900</v>
      </c>
      <c r="N1538">
        <v>47.55</v>
      </c>
      <c r="O1538">
        <v>66.6666666666667</v>
      </c>
      <c r="P1538">
        <v>2834</v>
      </c>
      <c r="Q1538">
        <v>2900.66666666667</v>
      </c>
      <c r="R1538">
        <v>289.12</v>
      </c>
      <c r="S1538">
        <v>3189.78666666667</v>
      </c>
      <c r="T1538">
        <v>260</v>
      </c>
      <c r="U1538">
        <f>SUMIF(货件明细!J:J,E1538,货件明细!AP:AP)</f>
        <v>260</v>
      </c>
      <c r="V1538">
        <f>IF(U1538=T1538,0,1)</f>
        <v>0</v>
      </c>
      <c r="W1538">
        <f>T1538</f>
        <v>260</v>
      </c>
      <c r="X1538">
        <f>SUMIF(货件明细!J:J,E1538,货件明细!H:H)</f>
        <v>45.04</v>
      </c>
      <c r="Y1538">
        <f>N1538-X1538</f>
        <v>2.50999999999999</v>
      </c>
      <c r="Z1538">
        <f>SUMIF(货件明细!J:J,E1538,货件明细!I:I)</f>
        <v>3189.78666666667</v>
      </c>
      <c r="AA1538">
        <f>IF(S1538=Z1538,0,1)</f>
        <v>0</v>
      </c>
    </row>
    <row r="1539" hidden="1" spans="1:27">
      <c r="A1539">
        <v>3</v>
      </c>
      <c r="B1539">
        <v>13</v>
      </c>
      <c r="C1539" s="3">
        <v>46108</v>
      </c>
      <c r="D1539" t="s">
        <v>27</v>
      </c>
      <c r="E1539" t="s">
        <v>1658</v>
      </c>
      <c r="F1539" t="s">
        <v>203</v>
      </c>
      <c r="G1539" t="s">
        <v>72</v>
      </c>
      <c r="H1539" t="s">
        <v>59</v>
      </c>
      <c r="I1539" t="s">
        <v>63</v>
      </c>
      <c r="J1539" t="s">
        <v>63</v>
      </c>
      <c r="K1539" t="s">
        <v>64</v>
      </c>
      <c r="L1539" t="s">
        <v>65</v>
      </c>
      <c r="M1539" t="s">
        <v>1456</v>
      </c>
      <c r="N1539">
        <v>14.45</v>
      </c>
      <c r="O1539">
        <v>21.5384615384615</v>
      </c>
      <c r="P1539">
        <v>53.25</v>
      </c>
      <c r="Q1539">
        <v>74.7884615384615</v>
      </c>
      <c r="R1539">
        <v>222.4</v>
      </c>
      <c r="S1539">
        <v>297.188461538462</v>
      </c>
      <c r="T1539">
        <v>102</v>
      </c>
      <c r="U1539">
        <f>SUMIF(货件明细!J:J,E1539,货件明细!AP:AP)</f>
        <v>0</v>
      </c>
      <c r="V1539">
        <f>IF(U1539=T1539,0,1)</f>
        <v>1</v>
      </c>
      <c r="W1539">
        <f>T1539</f>
        <v>102</v>
      </c>
      <c r="X1539">
        <f>SUMIF(货件明细!J:J,E1539,货件明细!H:H)</f>
        <v>0</v>
      </c>
      <c r="Y1539">
        <f>N1539-X1539</f>
        <v>14.45</v>
      </c>
      <c r="Z1539">
        <f>SUMIF(货件明细!J:J,E1539,货件明细!I:I)</f>
        <v>0</v>
      </c>
      <c r="AA1539">
        <f>IF(S1539=Z1539,0,1)</f>
        <v>1</v>
      </c>
    </row>
    <row r="1540" hidden="1" spans="1:27">
      <c r="A1540">
        <v>3</v>
      </c>
      <c r="B1540">
        <v>13</v>
      </c>
      <c r="C1540" s="3">
        <v>46108</v>
      </c>
      <c r="D1540" t="s">
        <v>27</v>
      </c>
      <c r="E1540" t="s">
        <v>1659</v>
      </c>
      <c r="F1540" t="s">
        <v>203</v>
      </c>
      <c r="G1540" t="s">
        <v>72</v>
      </c>
      <c r="H1540" t="s">
        <v>78</v>
      </c>
      <c r="I1540" t="s">
        <v>63</v>
      </c>
      <c r="J1540" t="s">
        <v>63</v>
      </c>
      <c r="K1540" t="s">
        <v>64</v>
      </c>
      <c r="L1540" t="s">
        <v>65</v>
      </c>
      <c r="M1540" t="s">
        <v>1456</v>
      </c>
      <c r="N1540">
        <v>12.95</v>
      </c>
      <c r="O1540">
        <v>21.5384615384615</v>
      </c>
      <c r="P1540">
        <v>63.9</v>
      </c>
      <c r="Q1540">
        <v>85.4384615384615</v>
      </c>
      <c r="R1540">
        <v>203.218</v>
      </c>
      <c r="S1540">
        <v>288.656461538462</v>
      </c>
      <c r="T1540">
        <v>86</v>
      </c>
      <c r="U1540">
        <f>SUMIF(货件明细!J:J,E1540,货件明细!AP:AP)</f>
        <v>0</v>
      </c>
      <c r="V1540">
        <f>IF(U1540=T1540,0,1)</f>
        <v>1</v>
      </c>
      <c r="W1540">
        <f>T1540</f>
        <v>86</v>
      </c>
      <c r="X1540">
        <f>SUMIF(货件明细!J:J,E1540,货件明细!H:H)</f>
        <v>0</v>
      </c>
      <c r="Y1540">
        <f>N1540-X1540</f>
        <v>12.95</v>
      </c>
      <c r="Z1540">
        <f>SUMIF(货件明细!J:J,E1540,货件明细!I:I)</f>
        <v>0</v>
      </c>
      <c r="AA1540">
        <f>IF(S1540=Z1540,0,1)</f>
        <v>1</v>
      </c>
    </row>
    <row r="1541" hidden="1" spans="1:27">
      <c r="A1541">
        <v>3</v>
      </c>
      <c r="B1541">
        <v>13</v>
      </c>
      <c r="C1541" s="3">
        <v>46108</v>
      </c>
      <c r="D1541" t="s">
        <v>27</v>
      </c>
      <c r="E1541" t="s">
        <v>1660</v>
      </c>
      <c r="F1541" t="s">
        <v>138</v>
      </c>
      <c r="G1541" t="s">
        <v>69</v>
      </c>
      <c r="H1541" t="s">
        <v>39</v>
      </c>
      <c r="I1541" t="s">
        <v>63</v>
      </c>
      <c r="J1541" t="s">
        <v>63</v>
      </c>
      <c r="K1541" t="s">
        <v>64</v>
      </c>
      <c r="L1541" t="s">
        <v>65</v>
      </c>
      <c r="M1541" t="s">
        <v>1235</v>
      </c>
      <c r="N1541">
        <v>11.8</v>
      </c>
      <c r="O1541">
        <v>23</v>
      </c>
      <c r="P1541">
        <v>67.6</v>
      </c>
      <c r="Q1541">
        <v>90.6</v>
      </c>
      <c r="R1541">
        <v>0</v>
      </c>
      <c r="S1541">
        <v>90.6</v>
      </c>
      <c r="T1541">
        <v>55</v>
      </c>
      <c r="U1541">
        <f>SUMIF(货件明细!J:J,E1541,货件明细!AP:AP)</f>
        <v>0</v>
      </c>
      <c r="V1541">
        <f>IF(U1541=T1541,0,1)</f>
        <v>1</v>
      </c>
      <c r="W1541">
        <f>T1541</f>
        <v>55</v>
      </c>
      <c r="X1541">
        <f>SUMIF(货件明细!J:J,E1541,货件明细!H:H)</f>
        <v>0</v>
      </c>
      <c r="Y1541">
        <f>N1541-X1541</f>
        <v>11.8</v>
      </c>
      <c r="Z1541">
        <f>SUMIF(货件明细!J:J,E1541,货件明细!I:I)</f>
        <v>0</v>
      </c>
      <c r="AA1541">
        <f>IF(S1541=Z1541,0,1)</f>
        <v>1</v>
      </c>
    </row>
    <row r="1542" hidden="1" spans="1:27">
      <c r="A1542">
        <v>3</v>
      </c>
      <c r="B1542">
        <v>13</v>
      </c>
      <c r="C1542" s="3">
        <v>46108</v>
      </c>
      <c r="D1542" t="s">
        <v>27</v>
      </c>
      <c r="E1542" t="s">
        <v>1661</v>
      </c>
      <c r="F1542" t="s">
        <v>198</v>
      </c>
      <c r="G1542" t="s">
        <v>69</v>
      </c>
      <c r="H1542" t="s">
        <v>39</v>
      </c>
      <c r="I1542" t="s">
        <v>63</v>
      </c>
      <c r="J1542" t="s">
        <v>63</v>
      </c>
      <c r="K1542" t="s">
        <v>64</v>
      </c>
      <c r="L1542" t="s">
        <v>65</v>
      </c>
      <c r="M1542" t="s">
        <v>1235</v>
      </c>
      <c r="N1542">
        <v>11.8</v>
      </c>
      <c r="O1542">
        <v>23</v>
      </c>
      <c r="P1542">
        <v>67.6</v>
      </c>
      <c r="Q1542">
        <v>90.6</v>
      </c>
      <c r="R1542">
        <v>0</v>
      </c>
      <c r="S1542">
        <v>90.6</v>
      </c>
      <c r="T1542">
        <v>55</v>
      </c>
      <c r="U1542">
        <f>SUMIF(货件明细!J:J,E1542,货件明细!AP:AP)</f>
        <v>0</v>
      </c>
      <c r="V1542">
        <f>IF(U1542=T1542,0,1)</f>
        <v>1</v>
      </c>
      <c r="W1542">
        <f>T1542</f>
        <v>55</v>
      </c>
      <c r="X1542">
        <f>SUMIF(货件明细!J:J,E1542,货件明细!H:H)</f>
        <v>0</v>
      </c>
      <c r="Y1542">
        <f>N1542-X1542</f>
        <v>11.8</v>
      </c>
      <c r="Z1542">
        <f>SUMIF(货件明细!J:J,E1542,货件明细!I:I)</f>
        <v>0</v>
      </c>
      <c r="AA1542">
        <f>IF(S1542=Z1542,0,1)</f>
        <v>1</v>
      </c>
    </row>
    <row r="1543" hidden="1" spans="1:27">
      <c r="A1543">
        <v>3</v>
      </c>
      <c r="B1543">
        <v>13</v>
      </c>
      <c r="C1543" s="3">
        <v>46108</v>
      </c>
      <c r="D1543" t="s">
        <v>27</v>
      </c>
      <c r="E1543" t="s">
        <v>1662</v>
      </c>
      <c r="F1543" t="s">
        <v>74</v>
      </c>
      <c r="G1543" t="s">
        <v>30</v>
      </c>
      <c r="H1543" t="s">
        <v>39</v>
      </c>
      <c r="I1543" t="s">
        <v>63</v>
      </c>
      <c r="J1543" t="s">
        <v>63</v>
      </c>
      <c r="K1543" t="s">
        <v>64</v>
      </c>
      <c r="L1543" t="s">
        <v>65</v>
      </c>
      <c r="M1543" t="s">
        <v>1235</v>
      </c>
      <c r="N1543">
        <v>11.8</v>
      </c>
      <c r="O1543">
        <v>23</v>
      </c>
      <c r="P1543">
        <v>72.2</v>
      </c>
      <c r="Q1543">
        <v>95.2</v>
      </c>
      <c r="R1543">
        <v>0</v>
      </c>
      <c r="S1543">
        <v>95.2</v>
      </c>
      <c r="T1543">
        <v>55</v>
      </c>
      <c r="U1543">
        <f>SUMIF(货件明细!J:J,E1543,货件明细!AP:AP)</f>
        <v>0</v>
      </c>
      <c r="V1543">
        <f>IF(U1543=T1543,0,1)</f>
        <v>1</v>
      </c>
      <c r="W1543">
        <f>T1543</f>
        <v>55</v>
      </c>
      <c r="X1543">
        <f>SUMIF(货件明细!J:J,E1543,货件明细!H:H)</f>
        <v>0</v>
      </c>
      <c r="Y1543">
        <f>N1543-X1543</f>
        <v>11.8</v>
      </c>
      <c r="Z1543">
        <f>SUMIF(货件明细!J:J,E1543,货件明细!I:I)</f>
        <v>0</v>
      </c>
      <c r="AA1543">
        <f>IF(S1543=Z1543,0,1)</f>
        <v>1</v>
      </c>
    </row>
    <row r="1544" hidden="1" spans="1:27">
      <c r="A1544">
        <v>3</v>
      </c>
      <c r="B1544">
        <v>13</v>
      </c>
      <c r="C1544" s="3">
        <v>46108</v>
      </c>
      <c r="D1544" t="s">
        <v>27</v>
      </c>
      <c r="E1544" t="s">
        <v>1663</v>
      </c>
      <c r="F1544" t="s">
        <v>98</v>
      </c>
      <c r="G1544" t="s">
        <v>72</v>
      </c>
      <c r="H1544" t="s">
        <v>39</v>
      </c>
      <c r="I1544" t="s">
        <v>63</v>
      </c>
      <c r="J1544" t="s">
        <v>63</v>
      </c>
      <c r="K1544" t="s">
        <v>64</v>
      </c>
      <c r="L1544" t="s">
        <v>65</v>
      </c>
      <c r="M1544" t="s">
        <v>1235</v>
      </c>
      <c r="N1544">
        <v>11.8</v>
      </c>
      <c r="O1544">
        <v>23</v>
      </c>
      <c r="P1544">
        <v>56.6</v>
      </c>
      <c r="Q1544">
        <v>79.6</v>
      </c>
      <c r="R1544">
        <v>0</v>
      </c>
      <c r="S1544">
        <v>79.6</v>
      </c>
      <c r="T1544">
        <v>55</v>
      </c>
      <c r="U1544">
        <f>SUMIF(货件明细!J:J,E1544,货件明细!AP:AP)</f>
        <v>0</v>
      </c>
      <c r="V1544">
        <f>IF(U1544=T1544,0,1)</f>
        <v>1</v>
      </c>
      <c r="W1544">
        <f>T1544</f>
        <v>55</v>
      </c>
      <c r="X1544">
        <f>SUMIF(货件明细!J:J,E1544,货件明细!H:H)</f>
        <v>0</v>
      </c>
      <c r="Y1544">
        <f>N1544-X1544</f>
        <v>11.8</v>
      </c>
      <c r="Z1544">
        <f>SUMIF(货件明细!J:J,E1544,货件明细!I:I)</f>
        <v>0</v>
      </c>
      <c r="AA1544">
        <f>IF(S1544=Z1544,0,1)</f>
        <v>1</v>
      </c>
    </row>
    <row r="1545" hidden="1" spans="1:27">
      <c r="A1545">
        <v>3</v>
      </c>
      <c r="B1545">
        <v>13</v>
      </c>
      <c r="C1545" s="3">
        <v>46108</v>
      </c>
      <c r="D1545" t="s">
        <v>27</v>
      </c>
      <c r="E1545" t="s">
        <v>1664</v>
      </c>
      <c r="F1545" t="s">
        <v>239</v>
      </c>
      <c r="G1545" t="s">
        <v>72</v>
      </c>
      <c r="H1545" t="s">
        <v>39</v>
      </c>
      <c r="I1545" t="s">
        <v>63</v>
      </c>
      <c r="J1545" t="s">
        <v>63</v>
      </c>
      <c r="K1545" t="s">
        <v>64</v>
      </c>
      <c r="L1545" t="s">
        <v>65</v>
      </c>
      <c r="M1545" t="s">
        <v>1235</v>
      </c>
      <c r="N1545">
        <v>11.8</v>
      </c>
      <c r="O1545">
        <v>23</v>
      </c>
      <c r="P1545">
        <v>56.6</v>
      </c>
      <c r="Q1545">
        <v>79.6</v>
      </c>
      <c r="R1545">
        <v>0</v>
      </c>
      <c r="S1545">
        <v>79.6</v>
      </c>
      <c r="T1545">
        <v>55</v>
      </c>
      <c r="U1545">
        <f>SUMIF(货件明细!J:J,E1545,货件明细!AP:AP)</f>
        <v>0</v>
      </c>
      <c r="V1545">
        <f>IF(U1545=T1545,0,1)</f>
        <v>1</v>
      </c>
      <c r="W1545">
        <f>T1545</f>
        <v>55</v>
      </c>
      <c r="X1545">
        <f>SUMIF(货件明细!J:J,E1545,货件明细!H:H)</f>
        <v>0</v>
      </c>
      <c r="Y1545">
        <f>N1545-X1545</f>
        <v>11.8</v>
      </c>
      <c r="Z1545">
        <f>SUMIF(货件明细!J:J,E1545,货件明细!I:I)</f>
        <v>0</v>
      </c>
      <c r="AA1545">
        <f>IF(S1545=Z1545,0,1)</f>
        <v>1</v>
      </c>
    </row>
    <row r="1546" hidden="1" spans="1:27">
      <c r="A1546">
        <v>3</v>
      </c>
      <c r="B1546">
        <v>13</v>
      </c>
      <c r="C1546" s="3">
        <v>46108</v>
      </c>
      <c r="D1546" t="s">
        <v>27</v>
      </c>
      <c r="E1546" t="s">
        <v>1665</v>
      </c>
      <c r="F1546" t="s">
        <v>203</v>
      </c>
      <c r="G1546" t="s">
        <v>72</v>
      </c>
      <c r="H1546" t="s">
        <v>31</v>
      </c>
      <c r="I1546" t="s">
        <v>63</v>
      </c>
      <c r="J1546" t="s">
        <v>63</v>
      </c>
      <c r="K1546" t="s">
        <v>64</v>
      </c>
      <c r="L1546" t="s">
        <v>65</v>
      </c>
      <c r="M1546" t="s">
        <v>1456</v>
      </c>
      <c r="N1546">
        <v>32.65</v>
      </c>
      <c r="O1546">
        <v>21.5384615384615</v>
      </c>
      <c r="P1546">
        <v>170.4</v>
      </c>
      <c r="Q1546">
        <v>191.938461538462</v>
      </c>
      <c r="R1546">
        <v>665.115</v>
      </c>
      <c r="S1546">
        <v>857.053461538462</v>
      </c>
      <c r="T1546">
        <v>312</v>
      </c>
      <c r="U1546">
        <f>SUMIF(货件明细!J:J,E1546,货件明细!AP:AP)</f>
        <v>0</v>
      </c>
      <c r="V1546">
        <f>IF(U1546=T1546,0,1)</f>
        <v>1</v>
      </c>
      <c r="W1546">
        <f>T1546</f>
        <v>312</v>
      </c>
      <c r="X1546">
        <f>SUMIF(货件明细!J:J,E1546,货件明细!H:H)</f>
        <v>0</v>
      </c>
      <c r="Y1546">
        <f>N1546-X1546</f>
        <v>32.65</v>
      </c>
      <c r="Z1546">
        <f>SUMIF(货件明细!J:J,E1546,货件明细!I:I)</f>
        <v>0</v>
      </c>
      <c r="AA1546">
        <f>IF(S1546=Z1546,0,1)</f>
        <v>1</v>
      </c>
    </row>
    <row r="1547" hidden="1" spans="1:27">
      <c r="A1547">
        <v>3</v>
      </c>
      <c r="B1547">
        <v>13</v>
      </c>
      <c r="C1547" s="3">
        <v>46108</v>
      </c>
      <c r="D1547" t="s">
        <v>27</v>
      </c>
      <c r="E1547" t="s">
        <v>1666</v>
      </c>
      <c r="F1547" t="s">
        <v>203</v>
      </c>
      <c r="G1547" t="s">
        <v>72</v>
      </c>
      <c r="H1547" t="s">
        <v>56</v>
      </c>
      <c r="I1547" t="s">
        <v>63</v>
      </c>
      <c r="J1547" t="s">
        <v>63</v>
      </c>
      <c r="K1547" t="s">
        <v>64</v>
      </c>
      <c r="L1547" t="s">
        <v>65</v>
      </c>
      <c r="M1547" t="s">
        <v>1456</v>
      </c>
      <c r="N1547">
        <v>14.05</v>
      </c>
      <c r="O1547">
        <v>21.5384615384615</v>
      </c>
      <c r="P1547">
        <v>74.55</v>
      </c>
      <c r="Q1547">
        <v>96.0884615384616</v>
      </c>
      <c r="R1547">
        <v>158.043</v>
      </c>
      <c r="S1547">
        <v>254.131461538462</v>
      </c>
      <c r="T1547">
        <v>68</v>
      </c>
      <c r="U1547">
        <f>SUMIF(货件明细!J:J,E1547,货件明细!AP:AP)</f>
        <v>0</v>
      </c>
      <c r="V1547">
        <f>IF(U1547=T1547,0,1)</f>
        <v>1</v>
      </c>
      <c r="W1547">
        <f>T1547</f>
        <v>68</v>
      </c>
      <c r="X1547">
        <f>SUMIF(货件明细!J:J,E1547,货件明细!H:H)</f>
        <v>0</v>
      </c>
      <c r="Y1547">
        <f>N1547-X1547</f>
        <v>14.05</v>
      </c>
      <c r="Z1547">
        <f>SUMIF(货件明细!J:J,E1547,货件明细!I:I)</f>
        <v>0</v>
      </c>
      <c r="AA1547">
        <f>IF(S1547=Z1547,0,1)</f>
        <v>1</v>
      </c>
    </row>
    <row r="1548" hidden="1" spans="1:27">
      <c r="A1548">
        <v>3</v>
      </c>
      <c r="B1548">
        <v>13</v>
      </c>
      <c r="C1548" s="3">
        <v>46108</v>
      </c>
      <c r="D1548" t="s">
        <v>27</v>
      </c>
      <c r="E1548" t="s">
        <v>1667</v>
      </c>
      <c r="F1548" t="s">
        <v>138</v>
      </c>
      <c r="G1548" t="s">
        <v>69</v>
      </c>
      <c r="H1548" t="s">
        <v>37</v>
      </c>
      <c r="I1548" t="s">
        <v>63</v>
      </c>
      <c r="J1548" t="s">
        <v>63</v>
      </c>
      <c r="K1548" t="s">
        <v>64</v>
      </c>
      <c r="L1548" t="s">
        <v>65</v>
      </c>
      <c r="M1548" t="s">
        <v>1235</v>
      </c>
      <c r="N1548">
        <v>15.1</v>
      </c>
      <c r="O1548">
        <v>23</v>
      </c>
      <c r="P1548">
        <v>135.2</v>
      </c>
      <c r="Q1548">
        <v>158.2</v>
      </c>
      <c r="R1548">
        <v>0</v>
      </c>
      <c r="S1548">
        <v>158.2</v>
      </c>
      <c r="T1548">
        <v>112</v>
      </c>
      <c r="U1548">
        <f>SUMIF(货件明细!J:J,E1548,货件明细!AP:AP)</f>
        <v>0</v>
      </c>
      <c r="V1548">
        <f>IF(U1548=T1548,0,1)</f>
        <v>1</v>
      </c>
      <c r="W1548">
        <f>T1548</f>
        <v>112</v>
      </c>
      <c r="X1548">
        <f>SUMIF(货件明细!J:J,E1548,货件明细!H:H)</f>
        <v>0</v>
      </c>
      <c r="Y1548">
        <f>N1548-X1548</f>
        <v>15.1</v>
      </c>
      <c r="Z1548">
        <f>SUMIF(货件明细!J:J,E1548,货件明细!I:I)</f>
        <v>0</v>
      </c>
      <c r="AA1548">
        <f>IF(S1548=Z1548,0,1)</f>
        <v>1</v>
      </c>
    </row>
    <row r="1549" hidden="1" spans="1:27">
      <c r="A1549">
        <v>3</v>
      </c>
      <c r="B1549">
        <v>13</v>
      </c>
      <c r="C1549" s="3">
        <v>46108</v>
      </c>
      <c r="D1549" t="s">
        <v>27</v>
      </c>
      <c r="E1549" t="s">
        <v>1668</v>
      </c>
      <c r="F1549" t="s">
        <v>198</v>
      </c>
      <c r="G1549" t="s">
        <v>69</v>
      </c>
      <c r="H1549" t="s">
        <v>37</v>
      </c>
      <c r="I1549" t="s">
        <v>63</v>
      </c>
      <c r="J1549" t="s">
        <v>63</v>
      </c>
      <c r="K1549" t="s">
        <v>64</v>
      </c>
      <c r="L1549" t="s">
        <v>65</v>
      </c>
      <c r="M1549" t="s">
        <v>1235</v>
      </c>
      <c r="N1549">
        <v>15.1</v>
      </c>
      <c r="O1549">
        <v>23</v>
      </c>
      <c r="P1549">
        <v>135.2</v>
      </c>
      <c r="Q1549">
        <v>158.2</v>
      </c>
      <c r="R1549">
        <v>0</v>
      </c>
      <c r="S1549">
        <v>158.2</v>
      </c>
      <c r="T1549">
        <v>112</v>
      </c>
      <c r="U1549">
        <f>SUMIF(货件明细!J:J,E1549,货件明细!AP:AP)</f>
        <v>0</v>
      </c>
      <c r="V1549">
        <f>IF(U1549=T1549,0,1)</f>
        <v>1</v>
      </c>
      <c r="W1549">
        <f>T1549</f>
        <v>112</v>
      </c>
      <c r="X1549">
        <f>SUMIF(货件明细!J:J,E1549,货件明细!H:H)</f>
        <v>0</v>
      </c>
      <c r="Y1549">
        <f>N1549-X1549</f>
        <v>15.1</v>
      </c>
      <c r="Z1549">
        <f>SUMIF(货件明细!J:J,E1549,货件明细!I:I)</f>
        <v>0</v>
      </c>
      <c r="AA1549">
        <f>IF(S1549=Z1549,0,1)</f>
        <v>1</v>
      </c>
    </row>
    <row r="1550" hidden="1" spans="1:27">
      <c r="A1550">
        <v>3</v>
      </c>
      <c r="B1550">
        <v>13</v>
      </c>
      <c r="C1550" s="3">
        <v>46108</v>
      </c>
      <c r="D1550" t="s">
        <v>27</v>
      </c>
      <c r="E1550" t="s">
        <v>1669</v>
      </c>
      <c r="F1550" t="s">
        <v>74</v>
      </c>
      <c r="G1550" t="s">
        <v>30</v>
      </c>
      <c r="H1550" t="s">
        <v>37</v>
      </c>
      <c r="I1550" t="s">
        <v>63</v>
      </c>
      <c r="J1550" t="s">
        <v>63</v>
      </c>
      <c r="K1550" t="s">
        <v>64</v>
      </c>
      <c r="L1550" t="s">
        <v>65</v>
      </c>
      <c r="M1550" t="s">
        <v>1235</v>
      </c>
      <c r="N1550">
        <v>15.1</v>
      </c>
      <c r="O1550">
        <v>23</v>
      </c>
      <c r="P1550">
        <v>144.4</v>
      </c>
      <c r="Q1550">
        <v>167.4</v>
      </c>
      <c r="R1550">
        <v>0</v>
      </c>
      <c r="S1550">
        <v>167.4</v>
      </c>
      <c r="T1550">
        <v>112</v>
      </c>
      <c r="U1550">
        <f>SUMIF(货件明细!J:J,E1550,货件明细!AP:AP)</f>
        <v>0</v>
      </c>
      <c r="V1550">
        <f>IF(U1550=T1550,0,1)</f>
        <v>1</v>
      </c>
      <c r="W1550">
        <f>T1550</f>
        <v>112</v>
      </c>
      <c r="X1550">
        <f>SUMIF(货件明细!J:J,E1550,货件明细!H:H)</f>
        <v>0</v>
      </c>
      <c r="Y1550">
        <f>N1550-X1550</f>
        <v>15.1</v>
      </c>
      <c r="Z1550">
        <f>SUMIF(货件明细!J:J,E1550,货件明细!I:I)</f>
        <v>0</v>
      </c>
      <c r="AA1550">
        <f>IF(S1550=Z1550,0,1)</f>
        <v>1</v>
      </c>
    </row>
    <row r="1551" hidden="1" spans="1:27">
      <c r="A1551">
        <v>3</v>
      </c>
      <c r="B1551">
        <v>13</v>
      </c>
      <c r="C1551" s="3">
        <v>46108</v>
      </c>
      <c r="D1551" t="s">
        <v>27</v>
      </c>
      <c r="E1551" t="s">
        <v>1670</v>
      </c>
      <c r="F1551" t="s">
        <v>98</v>
      </c>
      <c r="G1551" t="s">
        <v>72</v>
      </c>
      <c r="H1551" t="s">
        <v>37</v>
      </c>
      <c r="I1551" t="s">
        <v>63</v>
      </c>
      <c r="J1551" t="s">
        <v>63</v>
      </c>
      <c r="K1551" t="s">
        <v>64</v>
      </c>
      <c r="L1551" t="s">
        <v>65</v>
      </c>
      <c r="M1551" t="s">
        <v>1235</v>
      </c>
      <c r="N1551">
        <v>15.1</v>
      </c>
      <c r="O1551">
        <v>23</v>
      </c>
      <c r="P1551">
        <v>113.2</v>
      </c>
      <c r="Q1551">
        <v>136.2</v>
      </c>
      <c r="R1551">
        <v>0</v>
      </c>
      <c r="S1551">
        <v>136.2</v>
      </c>
      <c r="T1551">
        <v>112</v>
      </c>
      <c r="U1551">
        <f>SUMIF(货件明细!J:J,E1551,货件明细!AP:AP)</f>
        <v>0</v>
      </c>
      <c r="V1551">
        <f>IF(U1551=T1551,0,1)</f>
        <v>1</v>
      </c>
      <c r="W1551">
        <f>T1551</f>
        <v>112</v>
      </c>
      <c r="X1551">
        <f>SUMIF(货件明细!J:J,E1551,货件明细!H:H)</f>
        <v>0</v>
      </c>
      <c r="Y1551">
        <f>N1551-X1551</f>
        <v>15.1</v>
      </c>
      <c r="Z1551">
        <f>SUMIF(货件明细!J:J,E1551,货件明细!I:I)</f>
        <v>0</v>
      </c>
      <c r="AA1551">
        <f>IF(S1551=Z1551,0,1)</f>
        <v>1</v>
      </c>
    </row>
    <row r="1552" hidden="1" spans="1:27">
      <c r="A1552">
        <v>3</v>
      </c>
      <c r="B1552">
        <v>13</v>
      </c>
      <c r="C1552" s="3">
        <v>46108</v>
      </c>
      <c r="D1552" t="s">
        <v>27</v>
      </c>
      <c r="E1552" t="s">
        <v>1671</v>
      </c>
      <c r="F1552" t="s">
        <v>239</v>
      </c>
      <c r="G1552" t="s">
        <v>72</v>
      </c>
      <c r="H1552" t="s">
        <v>37</v>
      </c>
      <c r="I1552" t="s">
        <v>63</v>
      </c>
      <c r="J1552" t="s">
        <v>63</v>
      </c>
      <c r="K1552" t="s">
        <v>64</v>
      </c>
      <c r="L1552" t="s">
        <v>65</v>
      </c>
      <c r="M1552" t="s">
        <v>1235</v>
      </c>
      <c r="N1552">
        <v>15.1</v>
      </c>
      <c r="O1552">
        <v>23</v>
      </c>
      <c r="P1552">
        <v>99.05</v>
      </c>
      <c r="Q1552">
        <v>122.05</v>
      </c>
      <c r="R1552">
        <v>0</v>
      </c>
      <c r="S1552">
        <v>122.05</v>
      </c>
      <c r="T1552">
        <v>112</v>
      </c>
      <c r="U1552">
        <f>SUMIF(货件明细!J:J,E1552,货件明细!AP:AP)</f>
        <v>0</v>
      </c>
      <c r="V1552">
        <f>IF(U1552=T1552,0,1)</f>
        <v>1</v>
      </c>
      <c r="W1552">
        <f>T1552</f>
        <v>112</v>
      </c>
      <c r="X1552">
        <f>SUMIF(货件明细!J:J,E1552,货件明细!H:H)</f>
        <v>0</v>
      </c>
      <c r="Y1552">
        <f>N1552-X1552</f>
        <v>15.1</v>
      </c>
      <c r="Z1552">
        <f>SUMIF(货件明细!J:J,E1552,货件明细!I:I)</f>
        <v>0</v>
      </c>
      <c r="AA1552">
        <f>IF(S1552=Z1552,0,1)</f>
        <v>1</v>
      </c>
    </row>
    <row r="1553" hidden="1" spans="1:27">
      <c r="A1553">
        <v>3</v>
      </c>
      <c r="B1553">
        <v>13</v>
      </c>
      <c r="C1553" s="3">
        <v>46108</v>
      </c>
      <c r="D1553" t="s">
        <v>27</v>
      </c>
      <c r="E1553" t="s">
        <v>1672</v>
      </c>
      <c r="F1553" t="s">
        <v>203</v>
      </c>
      <c r="G1553" t="s">
        <v>72</v>
      </c>
      <c r="H1553" t="s">
        <v>39</v>
      </c>
      <c r="I1553" t="s">
        <v>63</v>
      </c>
      <c r="J1553" t="s">
        <v>63</v>
      </c>
      <c r="K1553" t="s">
        <v>64</v>
      </c>
      <c r="L1553" t="s">
        <v>65</v>
      </c>
      <c r="M1553" t="s">
        <v>1456</v>
      </c>
      <c r="N1553">
        <v>11.25</v>
      </c>
      <c r="O1553">
        <v>21.5384615384615</v>
      </c>
      <c r="P1553">
        <v>53.25</v>
      </c>
      <c r="Q1553">
        <v>74.7884615384615</v>
      </c>
      <c r="R1553">
        <v>90.211</v>
      </c>
      <c r="S1553">
        <v>164.999461538462</v>
      </c>
      <c r="T1553">
        <v>35</v>
      </c>
      <c r="U1553">
        <f>SUMIF(货件明细!J:J,E1553,货件明细!AP:AP)</f>
        <v>0</v>
      </c>
      <c r="V1553">
        <f>IF(U1553=T1553,0,1)</f>
        <v>1</v>
      </c>
      <c r="W1553">
        <f>T1553</f>
        <v>35</v>
      </c>
      <c r="X1553">
        <f>SUMIF(货件明细!J:J,E1553,货件明细!H:H)</f>
        <v>0</v>
      </c>
      <c r="Y1553">
        <f>N1553-X1553</f>
        <v>11.25</v>
      </c>
      <c r="Z1553">
        <f>SUMIF(货件明细!J:J,E1553,货件明细!I:I)</f>
        <v>0</v>
      </c>
      <c r="AA1553">
        <f>IF(S1553=Z1553,0,1)</f>
        <v>1</v>
      </c>
    </row>
    <row r="1554" hidden="1" spans="1:27">
      <c r="A1554">
        <v>3</v>
      </c>
      <c r="B1554">
        <v>13</v>
      </c>
      <c r="C1554" s="3">
        <v>46108</v>
      </c>
      <c r="D1554" t="s">
        <v>27</v>
      </c>
      <c r="E1554" t="s">
        <v>1673</v>
      </c>
      <c r="F1554" t="s">
        <v>203</v>
      </c>
      <c r="G1554" t="s">
        <v>72</v>
      </c>
      <c r="H1554" t="s">
        <v>56</v>
      </c>
      <c r="I1554" t="s">
        <v>1674</v>
      </c>
      <c r="J1554" t="s">
        <v>1140</v>
      </c>
      <c r="K1554" t="s">
        <v>64</v>
      </c>
      <c r="L1554" t="s">
        <v>147</v>
      </c>
      <c r="M1554" t="s">
        <v>1142</v>
      </c>
      <c r="N1554">
        <v>17.4</v>
      </c>
      <c r="O1554">
        <v>75</v>
      </c>
      <c r="P1554">
        <v>195</v>
      </c>
      <c r="Q1554">
        <v>270</v>
      </c>
      <c r="R1554">
        <v>150.12</v>
      </c>
      <c r="S1554">
        <v>420.12</v>
      </c>
      <c r="T1554">
        <v>60</v>
      </c>
      <c r="U1554">
        <f>SUMIF(货件明细!J:J,E1554,货件明细!AP:AP)</f>
        <v>0</v>
      </c>
      <c r="V1554">
        <f>IF(U1554=T1554,0,1)</f>
        <v>1</v>
      </c>
      <c r="W1554">
        <f>T1554</f>
        <v>60</v>
      </c>
      <c r="X1554">
        <f>SUMIF(货件明细!J:J,E1554,货件明细!H:H)</f>
        <v>0</v>
      </c>
      <c r="Y1554">
        <f>N1554-X1554</f>
        <v>17.4</v>
      </c>
      <c r="Z1554">
        <f>SUMIF(货件明细!J:J,E1554,货件明细!I:I)</f>
        <v>0</v>
      </c>
      <c r="AA1554">
        <f>IF(S1554=Z1554,0,1)</f>
        <v>1</v>
      </c>
    </row>
    <row r="1555" hidden="1" spans="1:27">
      <c r="A1555">
        <v>3</v>
      </c>
      <c r="B1555">
        <v>13</v>
      </c>
      <c r="C1555" s="3">
        <v>46108</v>
      </c>
      <c r="D1555" t="s">
        <v>27</v>
      </c>
      <c r="E1555" t="s">
        <v>1675</v>
      </c>
      <c r="F1555" t="s">
        <v>203</v>
      </c>
      <c r="G1555" t="s">
        <v>72</v>
      </c>
      <c r="H1555" t="s">
        <v>37</v>
      </c>
      <c r="I1555" t="s">
        <v>63</v>
      </c>
      <c r="J1555" t="s">
        <v>1140</v>
      </c>
      <c r="K1555" t="s">
        <v>64</v>
      </c>
      <c r="L1555" t="s">
        <v>147</v>
      </c>
      <c r="M1555" t="s">
        <v>1142</v>
      </c>
      <c r="N1555">
        <v>16.45</v>
      </c>
      <c r="O1555">
        <v>75</v>
      </c>
      <c r="P1555">
        <v>136.5</v>
      </c>
      <c r="Q1555">
        <v>211.5</v>
      </c>
      <c r="R1555">
        <v>218.786</v>
      </c>
      <c r="S1555">
        <v>430.286</v>
      </c>
      <c r="T1555">
        <v>96</v>
      </c>
      <c r="U1555">
        <f>SUMIF(货件明细!J:J,E1555,货件明细!AP:AP)</f>
        <v>0</v>
      </c>
      <c r="V1555">
        <f>IF(U1555=T1555,0,1)</f>
        <v>1</v>
      </c>
      <c r="W1555">
        <f>T1555</f>
        <v>96</v>
      </c>
      <c r="X1555">
        <f>SUMIF(货件明细!J:J,E1555,货件明细!H:H)</f>
        <v>0</v>
      </c>
      <c r="Y1555">
        <f>N1555-X1555</f>
        <v>16.45</v>
      </c>
      <c r="Z1555">
        <f>SUMIF(货件明细!J:J,E1555,货件明细!I:I)</f>
        <v>0</v>
      </c>
      <c r="AA1555">
        <f>IF(S1555=Z1555,0,1)</f>
        <v>1</v>
      </c>
    </row>
    <row r="1556" hidden="1" spans="1:27">
      <c r="A1556">
        <v>3</v>
      </c>
      <c r="B1556">
        <v>13</v>
      </c>
      <c r="C1556" s="3">
        <v>46108</v>
      </c>
      <c r="D1556" t="s">
        <v>27</v>
      </c>
      <c r="E1556" t="s">
        <v>1676</v>
      </c>
      <c r="F1556" t="s">
        <v>203</v>
      </c>
      <c r="G1556" t="s">
        <v>72</v>
      </c>
      <c r="H1556" t="s">
        <v>37</v>
      </c>
      <c r="I1556" t="s">
        <v>1674</v>
      </c>
      <c r="J1556" t="s">
        <v>146</v>
      </c>
      <c r="K1556" t="s">
        <v>64</v>
      </c>
      <c r="L1556" t="s">
        <v>65</v>
      </c>
      <c r="M1556" t="s">
        <v>93</v>
      </c>
      <c r="N1556">
        <v>10.25</v>
      </c>
      <c r="O1556">
        <v>25.5555555555556</v>
      </c>
      <c r="P1556">
        <v>54.4</v>
      </c>
      <c r="Q1556">
        <v>79.9555555555555</v>
      </c>
      <c r="R1556">
        <v>202.245</v>
      </c>
      <c r="S1556">
        <v>282.200555555556</v>
      </c>
      <c r="T1556">
        <v>82</v>
      </c>
      <c r="U1556">
        <f>SUMIF(货件明细!J:J,E1556,货件明细!AP:AP)</f>
        <v>0</v>
      </c>
      <c r="V1556">
        <f>IF(U1556=T1556,0,1)</f>
        <v>1</v>
      </c>
      <c r="W1556">
        <f>T1556</f>
        <v>82</v>
      </c>
      <c r="X1556">
        <f>SUMIF(货件明细!J:J,E1556,货件明细!H:H)</f>
        <v>0</v>
      </c>
      <c r="Y1556">
        <f>N1556-X1556</f>
        <v>10.25</v>
      </c>
      <c r="Z1556">
        <f>SUMIF(货件明细!J:J,E1556,货件明细!I:I)</f>
        <v>0</v>
      </c>
      <c r="AA1556">
        <f>IF(S1556=Z1556,0,1)</f>
        <v>1</v>
      </c>
    </row>
    <row r="1557" hidden="1" spans="1:27">
      <c r="A1557">
        <v>3</v>
      </c>
      <c r="B1557">
        <v>13</v>
      </c>
      <c r="C1557" s="3">
        <v>46108</v>
      </c>
      <c r="D1557" t="s">
        <v>27</v>
      </c>
      <c r="E1557" t="s">
        <v>1677</v>
      </c>
      <c r="F1557" t="s">
        <v>203</v>
      </c>
      <c r="G1557" t="s">
        <v>72</v>
      </c>
      <c r="H1557" t="s">
        <v>31</v>
      </c>
      <c r="I1557" t="s">
        <v>1674</v>
      </c>
      <c r="J1557" t="s">
        <v>146</v>
      </c>
      <c r="K1557" t="s">
        <v>64</v>
      </c>
      <c r="L1557" t="s">
        <v>65</v>
      </c>
      <c r="M1557" t="s">
        <v>93</v>
      </c>
      <c r="N1557">
        <v>14.7</v>
      </c>
      <c r="O1557">
        <v>25.5555555555556</v>
      </c>
      <c r="P1557">
        <v>108.8</v>
      </c>
      <c r="Q1557">
        <v>134.355555555556</v>
      </c>
      <c r="R1557">
        <v>156.375</v>
      </c>
      <c r="S1557">
        <v>290.730555555556</v>
      </c>
      <c r="T1557">
        <v>75</v>
      </c>
      <c r="U1557">
        <f>SUMIF(货件明细!J:J,E1557,货件明细!AP:AP)</f>
        <v>0</v>
      </c>
      <c r="V1557">
        <f>IF(U1557=T1557,0,1)</f>
        <v>1</v>
      </c>
      <c r="W1557">
        <f>T1557</f>
        <v>75</v>
      </c>
      <c r="X1557">
        <f>SUMIF(货件明细!J:J,E1557,货件明细!H:H)</f>
        <v>0</v>
      </c>
      <c r="Y1557">
        <f>N1557-X1557</f>
        <v>14.7</v>
      </c>
      <c r="Z1557">
        <f>SUMIF(货件明细!J:J,E1557,货件明细!I:I)</f>
        <v>0</v>
      </c>
      <c r="AA1557">
        <f>IF(S1557=Z1557,0,1)</f>
        <v>1</v>
      </c>
    </row>
    <row r="1558" hidden="1" spans="1:27">
      <c r="A1558">
        <v>3</v>
      </c>
      <c r="B1558">
        <v>13</v>
      </c>
      <c r="C1558" s="3">
        <v>46108</v>
      </c>
      <c r="D1558" t="s">
        <v>27</v>
      </c>
      <c r="E1558" t="s">
        <v>1678</v>
      </c>
      <c r="F1558" t="s">
        <v>203</v>
      </c>
      <c r="G1558" t="s">
        <v>72</v>
      </c>
      <c r="H1558" t="s">
        <v>39</v>
      </c>
      <c r="I1558" t="s">
        <v>1674</v>
      </c>
      <c r="J1558" t="s">
        <v>146</v>
      </c>
      <c r="K1558" t="s">
        <v>64</v>
      </c>
      <c r="L1558" t="s">
        <v>65</v>
      </c>
      <c r="M1558" t="s">
        <v>93</v>
      </c>
      <c r="N1558">
        <v>5.4</v>
      </c>
      <c r="O1558">
        <v>25.5555555555556</v>
      </c>
      <c r="P1558">
        <v>40.8</v>
      </c>
      <c r="Q1558">
        <v>66.3555555555556</v>
      </c>
      <c r="R1558">
        <v>62.55</v>
      </c>
      <c r="S1558">
        <v>128.905555555556</v>
      </c>
      <c r="T1558">
        <v>30</v>
      </c>
      <c r="U1558">
        <f>SUMIF(货件明细!J:J,E1558,货件明细!AP:AP)</f>
        <v>0</v>
      </c>
      <c r="V1558">
        <f>IF(U1558=T1558,0,1)</f>
        <v>1</v>
      </c>
      <c r="W1558">
        <f>T1558</f>
        <v>30</v>
      </c>
      <c r="X1558">
        <f>SUMIF(货件明细!J:J,E1558,货件明细!H:H)</f>
        <v>0</v>
      </c>
      <c r="Y1558">
        <f>N1558-X1558</f>
        <v>5.4</v>
      </c>
      <c r="Z1558">
        <f>SUMIF(货件明细!J:J,E1558,货件明细!I:I)</f>
        <v>0</v>
      </c>
      <c r="AA1558">
        <f>IF(S1558=Z1558,0,1)</f>
        <v>1</v>
      </c>
    </row>
    <row r="1559" hidden="1" spans="1:27">
      <c r="A1559">
        <v>3</v>
      </c>
      <c r="B1559">
        <v>13</v>
      </c>
      <c r="C1559" s="3">
        <v>46108</v>
      </c>
      <c r="D1559" t="s">
        <v>27</v>
      </c>
      <c r="E1559" t="s">
        <v>1679</v>
      </c>
      <c r="F1559" t="s">
        <v>203</v>
      </c>
      <c r="G1559" t="s">
        <v>72</v>
      </c>
      <c r="H1559" t="s">
        <v>59</v>
      </c>
      <c r="I1559" t="s">
        <v>1674</v>
      </c>
      <c r="J1559" t="s">
        <v>146</v>
      </c>
      <c r="K1559" t="s">
        <v>64</v>
      </c>
      <c r="L1559" t="s">
        <v>65</v>
      </c>
      <c r="M1559" t="s">
        <v>93</v>
      </c>
      <c r="N1559">
        <v>28</v>
      </c>
      <c r="O1559">
        <v>25.5555555555556</v>
      </c>
      <c r="P1559">
        <v>149.6</v>
      </c>
      <c r="Q1559">
        <v>175.155555555556</v>
      </c>
      <c r="R1559">
        <v>592.14</v>
      </c>
      <c r="S1559">
        <v>767.295555555556</v>
      </c>
      <c r="T1559">
        <v>276</v>
      </c>
      <c r="U1559">
        <f>SUMIF(货件明细!J:J,E1559,货件明细!AP:AP)</f>
        <v>0</v>
      </c>
      <c r="V1559">
        <f>IF(U1559=T1559,0,1)</f>
        <v>1</v>
      </c>
      <c r="W1559">
        <f>T1559</f>
        <v>276</v>
      </c>
      <c r="X1559">
        <f>SUMIF(货件明细!J:J,E1559,货件明细!H:H)</f>
        <v>0</v>
      </c>
      <c r="Y1559">
        <f>N1559-X1559</f>
        <v>28</v>
      </c>
      <c r="Z1559">
        <f>SUMIF(货件明细!J:J,E1559,货件明细!I:I)</f>
        <v>0</v>
      </c>
      <c r="AA1559">
        <f>IF(S1559=Z1559,0,1)</f>
        <v>1</v>
      </c>
    </row>
    <row r="1560" hidden="1" spans="1:27">
      <c r="A1560">
        <v>3</v>
      </c>
      <c r="B1560">
        <v>13</v>
      </c>
      <c r="C1560" s="3">
        <v>46108</v>
      </c>
      <c r="D1560" t="s">
        <v>27</v>
      </c>
      <c r="E1560" t="s">
        <v>1680</v>
      </c>
      <c r="F1560" t="s">
        <v>138</v>
      </c>
      <c r="G1560" t="s">
        <v>69</v>
      </c>
      <c r="H1560" t="s">
        <v>37</v>
      </c>
      <c r="I1560" t="s">
        <v>63</v>
      </c>
      <c r="J1560" t="s">
        <v>146</v>
      </c>
      <c r="K1560" t="s">
        <v>64</v>
      </c>
      <c r="L1560" t="s">
        <v>147</v>
      </c>
      <c r="M1560" t="s">
        <v>1545</v>
      </c>
      <c r="N1560">
        <v>27.7</v>
      </c>
      <c r="O1560">
        <v>7.14285714285714</v>
      </c>
      <c r="P1560">
        <v>172.7</v>
      </c>
      <c r="Q1560">
        <v>179.842857142857</v>
      </c>
      <c r="R1560">
        <v>0</v>
      </c>
      <c r="S1560">
        <v>179.842857142857</v>
      </c>
      <c r="T1560">
        <v>214</v>
      </c>
      <c r="U1560">
        <f>SUMIF(货件明细!J:J,E1560,货件明细!AP:AP)</f>
        <v>0</v>
      </c>
      <c r="V1560">
        <f>IF(U1560=T1560,0,1)</f>
        <v>1</v>
      </c>
      <c r="W1560">
        <f>T1560</f>
        <v>214</v>
      </c>
      <c r="X1560">
        <f>SUMIF(货件明细!J:J,E1560,货件明细!H:H)</f>
        <v>0</v>
      </c>
      <c r="Y1560">
        <f>N1560-X1560</f>
        <v>27.7</v>
      </c>
      <c r="Z1560">
        <f>SUMIF(货件明细!J:J,E1560,货件明细!I:I)</f>
        <v>0</v>
      </c>
      <c r="AA1560">
        <f>IF(S1560=Z1560,0,1)</f>
        <v>1</v>
      </c>
    </row>
    <row r="1561" hidden="1" spans="1:27">
      <c r="A1561">
        <v>3</v>
      </c>
      <c r="B1561">
        <v>13</v>
      </c>
      <c r="C1561" s="3">
        <v>46108</v>
      </c>
      <c r="D1561" t="s">
        <v>27</v>
      </c>
      <c r="E1561" t="s">
        <v>1681</v>
      </c>
      <c r="F1561" t="s">
        <v>198</v>
      </c>
      <c r="G1561" t="s">
        <v>69</v>
      </c>
      <c r="H1561" t="s">
        <v>37</v>
      </c>
      <c r="I1561" t="s">
        <v>63</v>
      </c>
      <c r="J1561" t="s">
        <v>146</v>
      </c>
      <c r="K1561" t="s">
        <v>64</v>
      </c>
      <c r="L1561" t="s">
        <v>147</v>
      </c>
      <c r="M1561" t="s">
        <v>1545</v>
      </c>
      <c r="N1561">
        <v>27.7</v>
      </c>
      <c r="O1561">
        <v>7.14285714285714</v>
      </c>
      <c r="P1561">
        <v>157</v>
      </c>
      <c r="Q1561">
        <v>164.142857142857</v>
      </c>
      <c r="R1561">
        <v>0</v>
      </c>
      <c r="S1561">
        <v>164.142857142857</v>
      </c>
      <c r="T1561">
        <v>214</v>
      </c>
      <c r="U1561">
        <f>SUMIF(货件明细!J:J,E1561,货件明细!AP:AP)</f>
        <v>0</v>
      </c>
      <c r="V1561">
        <f>IF(U1561=T1561,0,1)</f>
        <v>1</v>
      </c>
      <c r="W1561">
        <f>T1561</f>
        <v>214</v>
      </c>
      <c r="X1561">
        <f>SUMIF(货件明细!J:J,E1561,货件明细!H:H)</f>
        <v>0</v>
      </c>
      <c r="Y1561">
        <f>N1561-X1561</f>
        <v>27.7</v>
      </c>
      <c r="Z1561">
        <f>SUMIF(货件明细!J:J,E1561,货件明细!I:I)</f>
        <v>0</v>
      </c>
      <c r="AA1561">
        <f>IF(S1561=Z1561,0,1)</f>
        <v>1</v>
      </c>
    </row>
    <row r="1562" hidden="1" spans="1:27">
      <c r="A1562">
        <v>3</v>
      </c>
      <c r="B1562">
        <v>13</v>
      </c>
      <c r="C1562" s="3">
        <v>46108</v>
      </c>
      <c r="D1562" t="s">
        <v>27</v>
      </c>
      <c r="E1562" t="s">
        <v>1682</v>
      </c>
      <c r="F1562" t="s">
        <v>74</v>
      </c>
      <c r="G1562" t="s">
        <v>30</v>
      </c>
      <c r="H1562" t="s">
        <v>37</v>
      </c>
      <c r="I1562" t="s">
        <v>63</v>
      </c>
      <c r="J1562" t="s">
        <v>146</v>
      </c>
      <c r="K1562" t="s">
        <v>64</v>
      </c>
      <c r="L1562" t="s">
        <v>147</v>
      </c>
      <c r="M1562" t="s">
        <v>148</v>
      </c>
      <c r="N1562">
        <v>27.7</v>
      </c>
      <c r="O1562">
        <v>8.33333333333333</v>
      </c>
      <c r="P1562">
        <v>179</v>
      </c>
      <c r="Q1562">
        <v>187.333333333333</v>
      </c>
      <c r="R1562">
        <v>0</v>
      </c>
      <c r="S1562">
        <v>187.333333333333</v>
      </c>
      <c r="T1562">
        <v>214</v>
      </c>
      <c r="U1562">
        <f>SUMIF(货件明细!J:J,E1562,货件明细!AP:AP)</f>
        <v>0</v>
      </c>
      <c r="V1562">
        <f>IF(U1562=T1562,0,1)</f>
        <v>1</v>
      </c>
      <c r="W1562">
        <f>T1562</f>
        <v>214</v>
      </c>
      <c r="X1562">
        <f>SUMIF(货件明细!J:J,E1562,货件明细!H:H)</f>
        <v>0</v>
      </c>
      <c r="Y1562">
        <f>N1562-X1562</f>
        <v>27.7</v>
      </c>
      <c r="Z1562">
        <f>SUMIF(货件明细!J:J,E1562,货件明细!I:I)</f>
        <v>0</v>
      </c>
      <c r="AA1562">
        <f>IF(S1562=Z1562,0,1)</f>
        <v>1</v>
      </c>
    </row>
    <row r="1563" hidden="1" spans="1:27">
      <c r="A1563">
        <v>3</v>
      </c>
      <c r="B1563">
        <v>13</v>
      </c>
      <c r="C1563" s="3">
        <v>46108</v>
      </c>
      <c r="D1563" t="s">
        <v>27</v>
      </c>
      <c r="E1563" t="s">
        <v>1683</v>
      </c>
      <c r="F1563" t="s">
        <v>98</v>
      </c>
      <c r="G1563" t="s">
        <v>72</v>
      </c>
      <c r="H1563" t="s">
        <v>37</v>
      </c>
      <c r="I1563" t="s">
        <v>63</v>
      </c>
      <c r="J1563" t="s">
        <v>146</v>
      </c>
      <c r="K1563" t="s">
        <v>64</v>
      </c>
      <c r="L1563" t="s">
        <v>147</v>
      </c>
      <c r="M1563" t="s">
        <v>1545</v>
      </c>
      <c r="N1563">
        <v>27.7</v>
      </c>
      <c r="O1563">
        <v>4.05405405405405</v>
      </c>
      <c r="P1563">
        <v>120</v>
      </c>
      <c r="Q1563">
        <v>124.054054054054</v>
      </c>
      <c r="R1563">
        <v>0</v>
      </c>
      <c r="S1563">
        <v>124.054054054054</v>
      </c>
      <c r="T1563">
        <v>214</v>
      </c>
      <c r="U1563">
        <f>SUMIF(货件明细!J:J,E1563,货件明细!AP:AP)</f>
        <v>0</v>
      </c>
      <c r="V1563">
        <f>IF(U1563=T1563,0,1)</f>
        <v>1</v>
      </c>
      <c r="W1563">
        <f>T1563</f>
        <v>214</v>
      </c>
      <c r="X1563">
        <f>SUMIF(货件明细!J:J,E1563,货件明细!H:H)</f>
        <v>0</v>
      </c>
      <c r="Y1563">
        <f>N1563-X1563</f>
        <v>27.7</v>
      </c>
      <c r="Z1563">
        <f>SUMIF(货件明细!J:J,E1563,货件明细!I:I)</f>
        <v>0</v>
      </c>
      <c r="AA1563">
        <f>IF(S1563=Z1563,0,1)</f>
        <v>1</v>
      </c>
    </row>
    <row r="1564" hidden="1" spans="1:27">
      <c r="A1564">
        <v>3</v>
      </c>
      <c r="B1564">
        <v>13</v>
      </c>
      <c r="C1564" s="3">
        <v>46108</v>
      </c>
      <c r="D1564" t="s">
        <v>27</v>
      </c>
      <c r="E1564" t="s">
        <v>1684</v>
      </c>
      <c r="F1564" t="s">
        <v>239</v>
      </c>
      <c r="G1564" t="s">
        <v>72</v>
      </c>
      <c r="H1564" t="s">
        <v>37</v>
      </c>
      <c r="I1564" t="s">
        <v>63</v>
      </c>
      <c r="J1564" t="s">
        <v>146</v>
      </c>
      <c r="K1564" t="s">
        <v>64</v>
      </c>
      <c r="L1564" t="s">
        <v>147</v>
      </c>
      <c r="M1564" t="s">
        <v>1545</v>
      </c>
      <c r="N1564">
        <v>27.7</v>
      </c>
      <c r="O1564">
        <v>4.05405405405405</v>
      </c>
      <c r="P1564">
        <v>120</v>
      </c>
      <c r="Q1564">
        <v>124.054054054054</v>
      </c>
      <c r="R1564">
        <v>0</v>
      </c>
      <c r="S1564">
        <v>124.054054054054</v>
      </c>
      <c r="T1564">
        <v>214</v>
      </c>
      <c r="U1564">
        <f>SUMIF(货件明细!J:J,E1564,货件明细!AP:AP)</f>
        <v>0</v>
      </c>
      <c r="V1564">
        <f>IF(U1564=T1564,0,1)</f>
        <v>1</v>
      </c>
      <c r="W1564">
        <f>T1564</f>
        <v>214</v>
      </c>
      <c r="X1564">
        <f>SUMIF(货件明细!J:J,E1564,货件明细!H:H)</f>
        <v>0</v>
      </c>
      <c r="Y1564">
        <f>N1564-X1564</f>
        <v>27.7</v>
      </c>
      <c r="Z1564">
        <f>SUMIF(货件明细!J:J,E1564,货件明细!I:I)</f>
        <v>0</v>
      </c>
      <c r="AA1564">
        <f>IF(S1564=Z1564,0,1)</f>
        <v>1</v>
      </c>
    </row>
    <row r="1565" hidden="1" spans="1:27">
      <c r="A1565">
        <v>3</v>
      </c>
      <c r="B1565">
        <v>13</v>
      </c>
      <c r="C1565" s="3">
        <v>46108</v>
      </c>
      <c r="D1565" t="s">
        <v>27</v>
      </c>
      <c r="E1565" t="s">
        <v>1685</v>
      </c>
      <c r="F1565" t="s">
        <v>138</v>
      </c>
      <c r="G1565" t="s">
        <v>69</v>
      </c>
      <c r="H1565" t="s">
        <v>31</v>
      </c>
      <c r="I1565" t="s">
        <v>63</v>
      </c>
      <c r="J1565" t="s">
        <v>146</v>
      </c>
      <c r="K1565" t="s">
        <v>64</v>
      </c>
      <c r="L1565" t="s">
        <v>147</v>
      </c>
      <c r="M1565" t="s">
        <v>1545</v>
      </c>
      <c r="N1565">
        <v>11.4</v>
      </c>
      <c r="O1565">
        <v>7.14285714285714</v>
      </c>
      <c r="P1565">
        <v>78.5</v>
      </c>
      <c r="Q1565">
        <v>85.6428571428571</v>
      </c>
      <c r="R1565">
        <v>0</v>
      </c>
      <c r="S1565">
        <v>85.6428571428571</v>
      </c>
      <c r="T1565">
        <v>86</v>
      </c>
      <c r="U1565">
        <f>SUMIF(货件明细!J:J,E1565,货件明细!AP:AP)</f>
        <v>0</v>
      </c>
      <c r="V1565">
        <f>IF(U1565=T1565,0,1)</f>
        <v>1</v>
      </c>
      <c r="W1565">
        <f>T1565</f>
        <v>86</v>
      </c>
      <c r="X1565">
        <f>SUMIF(货件明细!J:J,E1565,货件明细!H:H)</f>
        <v>0</v>
      </c>
      <c r="Y1565">
        <f>N1565-X1565</f>
        <v>11.4</v>
      </c>
      <c r="Z1565">
        <f>SUMIF(货件明细!J:J,E1565,货件明细!I:I)</f>
        <v>0</v>
      </c>
      <c r="AA1565">
        <f>IF(S1565=Z1565,0,1)</f>
        <v>1</v>
      </c>
    </row>
    <row r="1566" hidden="1" spans="1:27">
      <c r="A1566">
        <v>3</v>
      </c>
      <c r="B1566">
        <v>13</v>
      </c>
      <c r="C1566" s="3">
        <v>46108</v>
      </c>
      <c r="D1566" t="s">
        <v>27</v>
      </c>
      <c r="E1566" t="s">
        <v>1686</v>
      </c>
      <c r="F1566" t="s">
        <v>198</v>
      </c>
      <c r="G1566" t="s">
        <v>69</v>
      </c>
      <c r="H1566" t="s">
        <v>31</v>
      </c>
      <c r="I1566" t="s">
        <v>63</v>
      </c>
      <c r="J1566" t="s">
        <v>146</v>
      </c>
      <c r="K1566" t="s">
        <v>64</v>
      </c>
      <c r="L1566" t="s">
        <v>147</v>
      </c>
      <c r="M1566" t="s">
        <v>1545</v>
      </c>
      <c r="N1566">
        <v>11.4</v>
      </c>
      <c r="O1566">
        <v>7.14285714285714</v>
      </c>
      <c r="P1566">
        <v>78.5</v>
      </c>
      <c r="Q1566">
        <v>85.6428571428571</v>
      </c>
      <c r="R1566">
        <v>0</v>
      </c>
      <c r="S1566">
        <v>85.6428571428571</v>
      </c>
      <c r="T1566">
        <v>86</v>
      </c>
      <c r="U1566">
        <f>SUMIF(货件明细!J:J,E1566,货件明细!AP:AP)</f>
        <v>0</v>
      </c>
      <c r="V1566">
        <f>IF(U1566=T1566,0,1)</f>
        <v>1</v>
      </c>
      <c r="W1566">
        <f>T1566</f>
        <v>86</v>
      </c>
      <c r="X1566">
        <f>SUMIF(货件明细!J:J,E1566,货件明细!H:H)</f>
        <v>0</v>
      </c>
      <c r="Y1566">
        <f>N1566-X1566</f>
        <v>11.4</v>
      </c>
      <c r="Z1566">
        <f>SUMIF(货件明细!J:J,E1566,货件明细!I:I)</f>
        <v>0</v>
      </c>
      <c r="AA1566">
        <f>IF(S1566=Z1566,0,1)</f>
        <v>1</v>
      </c>
    </row>
    <row r="1567" hidden="1" spans="1:27">
      <c r="A1567">
        <v>3</v>
      </c>
      <c r="B1567">
        <v>13</v>
      </c>
      <c r="C1567" s="3">
        <v>46108</v>
      </c>
      <c r="D1567" t="s">
        <v>27</v>
      </c>
      <c r="E1567" t="s">
        <v>1687</v>
      </c>
      <c r="F1567" t="s">
        <v>74</v>
      </c>
      <c r="G1567" t="s">
        <v>30</v>
      </c>
      <c r="H1567" t="s">
        <v>31</v>
      </c>
      <c r="I1567" t="s">
        <v>63</v>
      </c>
      <c r="J1567" t="s">
        <v>146</v>
      </c>
      <c r="K1567" t="s">
        <v>64</v>
      </c>
      <c r="L1567" t="s">
        <v>147</v>
      </c>
      <c r="M1567" t="s">
        <v>148</v>
      </c>
      <c r="N1567">
        <v>11.4</v>
      </c>
      <c r="O1567">
        <v>8.33333333333333</v>
      </c>
      <c r="P1567">
        <v>89.5</v>
      </c>
      <c r="Q1567">
        <v>97.8333333333333</v>
      </c>
      <c r="R1567">
        <v>0</v>
      </c>
      <c r="S1567">
        <v>97.8333333333333</v>
      </c>
      <c r="T1567">
        <v>86</v>
      </c>
      <c r="U1567">
        <f>SUMIF(货件明细!J:J,E1567,货件明细!AP:AP)</f>
        <v>0</v>
      </c>
      <c r="V1567">
        <f>IF(U1567=T1567,0,1)</f>
        <v>1</v>
      </c>
      <c r="W1567">
        <f>T1567</f>
        <v>86</v>
      </c>
      <c r="X1567">
        <f>SUMIF(货件明细!J:J,E1567,货件明细!H:H)</f>
        <v>0</v>
      </c>
      <c r="Y1567">
        <f>N1567-X1567</f>
        <v>11.4</v>
      </c>
      <c r="Z1567">
        <f>SUMIF(货件明细!J:J,E1567,货件明细!I:I)</f>
        <v>0</v>
      </c>
      <c r="AA1567">
        <f>IF(S1567=Z1567,0,1)</f>
        <v>1</v>
      </c>
    </row>
    <row r="1568" hidden="1" spans="1:27">
      <c r="A1568">
        <v>3</v>
      </c>
      <c r="B1568">
        <v>13</v>
      </c>
      <c r="C1568" s="3">
        <v>46108</v>
      </c>
      <c r="D1568" t="s">
        <v>27</v>
      </c>
      <c r="E1568" t="s">
        <v>1688</v>
      </c>
      <c r="F1568" t="s">
        <v>98</v>
      </c>
      <c r="G1568" t="s">
        <v>72</v>
      </c>
      <c r="H1568" t="s">
        <v>31</v>
      </c>
      <c r="I1568" t="s">
        <v>63</v>
      </c>
      <c r="J1568" t="s">
        <v>146</v>
      </c>
      <c r="K1568" t="s">
        <v>64</v>
      </c>
      <c r="L1568" t="s">
        <v>147</v>
      </c>
      <c r="M1568" t="s">
        <v>1545</v>
      </c>
      <c r="N1568">
        <v>11.4</v>
      </c>
      <c r="O1568">
        <v>4.05405405405405</v>
      </c>
      <c r="P1568">
        <v>60</v>
      </c>
      <c r="Q1568">
        <v>64.054054054054</v>
      </c>
      <c r="R1568">
        <v>0</v>
      </c>
      <c r="S1568">
        <v>64.054054054054</v>
      </c>
      <c r="T1568">
        <v>86</v>
      </c>
      <c r="U1568">
        <f>SUMIF(货件明细!J:J,E1568,货件明细!AP:AP)</f>
        <v>0</v>
      </c>
      <c r="V1568">
        <f>IF(U1568=T1568,0,1)</f>
        <v>1</v>
      </c>
      <c r="W1568">
        <f>T1568</f>
        <v>86</v>
      </c>
      <c r="X1568">
        <f>SUMIF(货件明细!J:J,E1568,货件明细!H:H)</f>
        <v>0</v>
      </c>
      <c r="Y1568">
        <f>N1568-X1568</f>
        <v>11.4</v>
      </c>
      <c r="Z1568">
        <f>SUMIF(货件明细!J:J,E1568,货件明细!I:I)</f>
        <v>0</v>
      </c>
      <c r="AA1568">
        <f>IF(S1568=Z1568,0,1)</f>
        <v>1</v>
      </c>
    </row>
    <row r="1569" hidden="1" spans="1:27">
      <c r="A1569">
        <v>3</v>
      </c>
      <c r="B1569">
        <v>13</v>
      </c>
      <c r="C1569" s="3">
        <v>46108</v>
      </c>
      <c r="D1569" t="s">
        <v>27</v>
      </c>
      <c r="E1569" t="s">
        <v>1689</v>
      </c>
      <c r="F1569" t="s">
        <v>239</v>
      </c>
      <c r="G1569" t="s">
        <v>72</v>
      </c>
      <c r="H1569" t="s">
        <v>31</v>
      </c>
      <c r="I1569" t="s">
        <v>63</v>
      </c>
      <c r="J1569" t="s">
        <v>146</v>
      </c>
      <c r="K1569" t="s">
        <v>64</v>
      </c>
      <c r="L1569" t="s">
        <v>147</v>
      </c>
      <c r="M1569" t="s">
        <v>1545</v>
      </c>
      <c r="N1569">
        <v>11.4</v>
      </c>
      <c r="O1569">
        <v>4.05405405405405</v>
      </c>
      <c r="P1569">
        <v>60</v>
      </c>
      <c r="Q1569">
        <v>64.054054054054</v>
      </c>
      <c r="R1569">
        <v>0</v>
      </c>
      <c r="S1569">
        <v>64.054054054054</v>
      </c>
      <c r="T1569">
        <v>86</v>
      </c>
      <c r="U1569">
        <f>SUMIF(货件明细!J:J,E1569,货件明细!AP:AP)</f>
        <v>0</v>
      </c>
      <c r="V1569">
        <f>IF(U1569=T1569,0,1)</f>
        <v>1</v>
      </c>
      <c r="W1569">
        <f>T1569</f>
        <v>86</v>
      </c>
      <c r="X1569">
        <f>SUMIF(货件明细!J:J,E1569,货件明细!H:H)</f>
        <v>0</v>
      </c>
      <c r="Y1569">
        <f>N1569-X1569</f>
        <v>11.4</v>
      </c>
      <c r="Z1569">
        <f>SUMIF(货件明细!J:J,E1569,货件明细!I:I)</f>
        <v>0</v>
      </c>
      <c r="AA1569">
        <f>IF(S1569=Z1569,0,1)</f>
        <v>1</v>
      </c>
    </row>
    <row r="1570" hidden="1" spans="1:27">
      <c r="A1570">
        <v>3</v>
      </c>
      <c r="B1570">
        <v>13</v>
      </c>
      <c r="C1570" s="3">
        <v>46108</v>
      </c>
      <c r="D1570" t="s">
        <v>27</v>
      </c>
      <c r="E1570" t="s">
        <v>1690</v>
      </c>
      <c r="F1570" t="s">
        <v>138</v>
      </c>
      <c r="G1570" t="s">
        <v>69</v>
      </c>
      <c r="H1570" t="s">
        <v>39</v>
      </c>
      <c r="I1570" t="s">
        <v>63</v>
      </c>
      <c r="J1570" t="s">
        <v>146</v>
      </c>
      <c r="K1570" t="s">
        <v>64</v>
      </c>
      <c r="L1570" t="s">
        <v>147</v>
      </c>
      <c r="M1570" t="s">
        <v>1545</v>
      </c>
      <c r="N1570">
        <v>19.05</v>
      </c>
      <c r="O1570">
        <v>7.14285714285714</v>
      </c>
      <c r="P1570">
        <v>109.9</v>
      </c>
      <c r="Q1570">
        <v>117.042857142857</v>
      </c>
      <c r="R1570">
        <v>0</v>
      </c>
      <c r="S1570">
        <v>117.042857142857</v>
      </c>
      <c r="T1570">
        <v>46</v>
      </c>
      <c r="U1570">
        <f>SUMIF(货件明细!J:J,E1570,货件明细!AP:AP)</f>
        <v>0</v>
      </c>
      <c r="V1570">
        <f>IF(U1570=T1570,0,1)</f>
        <v>1</v>
      </c>
      <c r="W1570">
        <f>T1570</f>
        <v>46</v>
      </c>
      <c r="X1570">
        <f>SUMIF(货件明细!J:J,E1570,货件明细!H:H)</f>
        <v>0</v>
      </c>
      <c r="Y1570">
        <f>N1570-X1570</f>
        <v>19.05</v>
      </c>
      <c r="Z1570">
        <f>SUMIF(货件明细!J:J,E1570,货件明细!I:I)</f>
        <v>0</v>
      </c>
      <c r="AA1570">
        <f>IF(S1570=Z1570,0,1)</f>
        <v>1</v>
      </c>
    </row>
    <row r="1571" hidden="1" spans="1:27">
      <c r="A1571">
        <v>3</v>
      </c>
      <c r="B1571">
        <v>13</v>
      </c>
      <c r="C1571" s="3">
        <v>46108</v>
      </c>
      <c r="D1571" t="s">
        <v>27</v>
      </c>
      <c r="E1571" t="s">
        <v>1691</v>
      </c>
      <c r="F1571" t="s">
        <v>198</v>
      </c>
      <c r="G1571" t="s">
        <v>69</v>
      </c>
      <c r="H1571" t="s">
        <v>39</v>
      </c>
      <c r="I1571" t="s">
        <v>63</v>
      </c>
      <c r="J1571" t="s">
        <v>146</v>
      </c>
      <c r="K1571" t="s">
        <v>64</v>
      </c>
      <c r="L1571" t="s">
        <v>147</v>
      </c>
      <c r="M1571" t="s">
        <v>1545</v>
      </c>
      <c r="N1571">
        <v>19.05</v>
      </c>
      <c r="O1571">
        <v>7.14285714285714</v>
      </c>
      <c r="P1571">
        <v>109.9</v>
      </c>
      <c r="Q1571">
        <v>117.042857142857</v>
      </c>
      <c r="R1571">
        <v>0</v>
      </c>
      <c r="S1571">
        <v>117.042857142857</v>
      </c>
      <c r="T1571">
        <v>46</v>
      </c>
      <c r="U1571">
        <f>SUMIF(货件明细!J:J,E1571,货件明细!AP:AP)</f>
        <v>0</v>
      </c>
      <c r="V1571">
        <f>IF(U1571=T1571,0,1)</f>
        <v>1</v>
      </c>
      <c r="W1571">
        <f>T1571</f>
        <v>46</v>
      </c>
      <c r="X1571">
        <f>SUMIF(货件明细!J:J,E1571,货件明细!H:H)</f>
        <v>0</v>
      </c>
      <c r="Y1571">
        <f>N1571-X1571</f>
        <v>19.05</v>
      </c>
      <c r="Z1571">
        <f>SUMIF(货件明细!J:J,E1571,货件明细!I:I)</f>
        <v>0</v>
      </c>
      <c r="AA1571">
        <f>IF(S1571=Z1571,0,1)</f>
        <v>1</v>
      </c>
    </row>
    <row r="1572" hidden="1" spans="1:27">
      <c r="A1572">
        <v>3</v>
      </c>
      <c r="B1572">
        <v>13</v>
      </c>
      <c r="C1572" s="3">
        <v>46108</v>
      </c>
      <c r="D1572" t="s">
        <v>27</v>
      </c>
      <c r="E1572" t="s">
        <v>1692</v>
      </c>
      <c r="F1572" t="s">
        <v>74</v>
      </c>
      <c r="G1572" t="s">
        <v>30</v>
      </c>
      <c r="H1572" t="s">
        <v>39</v>
      </c>
      <c r="I1572" t="s">
        <v>63</v>
      </c>
      <c r="J1572" t="s">
        <v>146</v>
      </c>
      <c r="K1572" t="s">
        <v>64</v>
      </c>
      <c r="L1572" t="s">
        <v>147</v>
      </c>
      <c r="M1572" t="s">
        <v>148</v>
      </c>
      <c r="N1572">
        <v>19.05</v>
      </c>
      <c r="O1572">
        <v>8.33333333333333</v>
      </c>
      <c r="P1572">
        <v>125.3</v>
      </c>
      <c r="Q1572">
        <v>133.633333333333</v>
      </c>
      <c r="R1572">
        <v>0</v>
      </c>
      <c r="S1572">
        <v>133.633333333333</v>
      </c>
      <c r="T1572">
        <v>46</v>
      </c>
      <c r="U1572">
        <f>SUMIF(货件明细!J:J,E1572,货件明细!AP:AP)</f>
        <v>0</v>
      </c>
      <c r="V1572">
        <f>IF(U1572=T1572,0,1)</f>
        <v>1</v>
      </c>
      <c r="W1572">
        <f>T1572</f>
        <v>46</v>
      </c>
      <c r="X1572">
        <f>SUMIF(货件明细!J:J,E1572,货件明细!H:H)</f>
        <v>0</v>
      </c>
      <c r="Y1572">
        <f>N1572-X1572</f>
        <v>19.05</v>
      </c>
      <c r="Z1572">
        <f>SUMIF(货件明细!J:J,E1572,货件明细!I:I)</f>
        <v>0</v>
      </c>
      <c r="AA1572">
        <f>IF(S1572=Z1572,0,1)</f>
        <v>1</v>
      </c>
    </row>
    <row r="1573" hidden="1" spans="1:27">
      <c r="A1573">
        <v>3</v>
      </c>
      <c r="B1573">
        <v>13</v>
      </c>
      <c r="C1573" s="3">
        <v>46108</v>
      </c>
      <c r="D1573" t="s">
        <v>27</v>
      </c>
      <c r="E1573" t="s">
        <v>1693</v>
      </c>
      <c r="F1573" t="s">
        <v>98</v>
      </c>
      <c r="G1573" t="s">
        <v>72</v>
      </c>
      <c r="H1573" t="s">
        <v>39</v>
      </c>
      <c r="I1573" t="s">
        <v>63</v>
      </c>
      <c r="J1573" t="s">
        <v>146</v>
      </c>
      <c r="K1573" t="s">
        <v>64</v>
      </c>
      <c r="L1573" t="s">
        <v>147</v>
      </c>
      <c r="M1573" t="s">
        <v>1545</v>
      </c>
      <c r="N1573">
        <v>19.05</v>
      </c>
      <c r="O1573">
        <v>4.05405405405405</v>
      </c>
      <c r="P1573">
        <v>84</v>
      </c>
      <c r="Q1573">
        <v>88.0540540540541</v>
      </c>
      <c r="R1573">
        <v>0</v>
      </c>
      <c r="S1573">
        <v>88.0540540540541</v>
      </c>
      <c r="T1573">
        <v>46</v>
      </c>
      <c r="U1573">
        <f>SUMIF(货件明细!J:J,E1573,货件明细!AP:AP)</f>
        <v>0</v>
      </c>
      <c r="V1573">
        <f>IF(U1573=T1573,0,1)</f>
        <v>1</v>
      </c>
      <c r="W1573">
        <f>T1573</f>
        <v>46</v>
      </c>
      <c r="X1573">
        <f>SUMIF(货件明细!J:J,E1573,货件明细!H:H)</f>
        <v>0</v>
      </c>
      <c r="Y1573">
        <f>N1573-X1573</f>
        <v>19.05</v>
      </c>
      <c r="Z1573">
        <f>SUMIF(货件明细!J:J,E1573,货件明细!I:I)</f>
        <v>0</v>
      </c>
      <c r="AA1573">
        <f>IF(S1573=Z1573,0,1)</f>
        <v>1</v>
      </c>
    </row>
    <row r="1574" hidden="1" spans="1:27">
      <c r="A1574">
        <v>3</v>
      </c>
      <c r="B1574">
        <v>13</v>
      </c>
      <c r="C1574" s="3">
        <v>46108</v>
      </c>
      <c r="D1574" t="s">
        <v>27</v>
      </c>
      <c r="E1574" t="s">
        <v>1694</v>
      </c>
      <c r="F1574" t="s">
        <v>715</v>
      </c>
      <c r="G1574" t="s">
        <v>69</v>
      </c>
      <c r="H1574" t="s">
        <v>31</v>
      </c>
      <c r="I1574" t="s">
        <v>1674</v>
      </c>
      <c r="J1574" t="s">
        <v>146</v>
      </c>
      <c r="K1574" t="s">
        <v>64</v>
      </c>
      <c r="L1574" t="s">
        <v>147</v>
      </c>
      <c r="M1574" t="s">
        <v>1545</v>
      </c>
      <c r="N1574">
        <v>10.7</v>
      </c>
      <c r="O1574">
        <v>7.14285714285714</v>
      </c>
      <c r="P1574">
        <v>62.8</v>
      </c>
      <c r="Q1574">
        <v>69.9428571428572</v>
      </c>
      <c r="R1574">
        <v>0</v>
      </c>
      <c r="S1574">
        <v>69.9428571428572</v>
      </c>
      <c r="T1574">
        <v>70</v>
      </c>
      <c r="U1574">
        <f>SUMIF(货件明细!J:J,E1574,货件明细!AP:AP)</f>
        <v>0</v>
      </c>
      <c r="V1574">
        <f>IF(U1574=T1574,0,1)</f>
        <v>1</v>
      </c>
      <c r="W1574">
        <f>T1574</f>
        <v>70</v>
      </c>
      <c r="X1574">
        <f>SUMIF(货件明细!J:J,E1574,货件明细!H:H)</f>
        <v>0</v>
      </c>
      <c r="Y1574">
        <f>N1574-X1574</f>
        <v>10.7</v>
      </c>
      <c r="Z1574">
        <f>SUMIF(货件明细!J:J,E1574,货件明细!I:I)</f>
        <v>0</v>
      </c>
      <c r="AA1574">
        <f>IF(S1574=Z1574,0,1)</f>
        <v>1</v>
      </c>
    </row>
    <row r="1575" hidden="1" spans="1:27">
      <c r="A1575">
        <v>3</v>
      </c>
      <c r="B1575">
        <v>13</v>
      </c>
      <c r="C1575" s="3">
        <v>46108</v>
      </c>
      <c r="D1575" t="s">
        <v>27</v>
      </c>
      <c r="E1575" t="s">
        <v>1695</v>
      </c>
      <c r="F1575" t="s">
        <v>143</v>
      </c>
      <c r="G1575" t="s">
        <v>72</v>
      </c>
      <c r="H1575" t="s">
        <v>31</v>
      </c>
      <c r="I1575" t="s">
        <v>1674</v>
      </c>
      <c r="J1575" t="s">
        <v>146</v>
      </c>
      <c r="K1575" t="s">
        <v>64</v>
      </c>
      <c r="L1575" t="s">
        <v>147</v>
      </c>
      <c r="M1575" t="s">
        <v>1545</v>
      </c>
      <c r="N1575">
        <v>10.7</v>
      </c>
      <c r="O1575">
        <v>4.05405405405405</v>
      </c>
      <c r="P1575">
        <v>48</v>
      </c>
      <c r="Q1575">
        <v>52.0540540540541</v>
      </c>
      <c r="R1575">
        <v>0</v>
      </c>
      <c r="S1575">
        <v>52.0540540540541</v>
      </c>
      <c r="T1575">
        <v>70</v>
      </c>
      <c r="U1575">
        <f>SUMIF(货件明细!J:J,E1575,货件明细!AP:AP)</f>
        <v>0</v>
      </c>
      <c r="V1575">
        <f>IF(U1575=T1575,0,1)</f>
        <v>1</v>
      </c>
      <c r="W1575">
        <f>T1575</f>
        <v>70</v>
      </c>
      <c r="X1575">
        <f>SUMIF(货件明细!J:J,E1575,货件明细!H:H)</f>
        <v>0</v>
      </c>
      <c r="Y1575">
        <f>N1575-X1575</f>
        <v>10.7</v>
      </c>
      <c r="Z1575">
        <f>SUMIF(货件明细!J:J,E1575,货件明细!I:I)</f>
        <v>0</v>
      </c>
      <c r="AA1575">
        <f>IF(S1575=Z1575,0,1)</f>
        <v>1</v>
      </c>
    </row>
    <row r="1576" hidden="1" spans="1:27">
      <c r="A1576">
        <v>3</v>
      </c>
      <c r="B1576">
        <v>13</v>
      </c>
      <c r="C1576" s="3">
        <v>46108</v>
      </c>
      <c r="D1576" t="s">
        <v>27</v>
      </c>
      <c r="E1576" t="s">
        <v>1696</v>
      </c>
      <c r="F1576" t="s">
        <v>200</v>
      </c>
      <c r="G1576" t="s">
        <v>30</v>
      </c>
      <c r="H1576" t="s">
        <v>31</v>
      </c>
      <c r="I1576" t="s">
        <v>1674</v>
      </c>
      <c r="J1576" t="s">
        <v>146</v>
      </c>
      <c r="K1576" t="s">
        <v>64</v>
      </c>
      <c r="L1576" t="s">
        <v>147</v>
      </c>
      <c r="M1576" t="s">
        <v>148</v>
      </c>
      <c r="N1576">
        <v>10.7</v>
      </c>
      <c r="O1576">
        <v>10.7142857142857</v>
      </c>
      <c r="P1576">
        <v>118.789473684211</v>
      </c>
      <c r="Q1576">
        <v>129.503759398496</v>
      </c>
      <c r="R1576">
        <v>0</v>
      </c>
      <c r="S1576">
        <v>129.503759398496</v>
      </c>
      <c r="T1576">
        <v>70</v>
      </c>
      <c r="U1576">
        <f>SUMIF(货件明细!J:J,E1576,货件明细!AP:AP)</f>
        <v>0</v>
      </c>
      <c r="V1576">
        <f>IF(U1576=T1576,0,1)</f>
        <v>1</v>
      </c>
      <c r="W1576">
        <f>T1576</f>
        <v>70</v>
      </c>
      <c r="X1576">
        <f>SUMIF(货件明细!J:J,E1576,货件明细!H:H)</f>
        <v>0</v>
      </c>
      <c r="Y1576">
        <f>N1576-X1576</f>
        <v>10.7</v>
      </c>
      <c r="Z1576">
        <f>SUMIF(货件明细!J:J,E1576,货件明细!I:I)</f>
        <v>0</v>
      </c>
      <c r="AA1576">
        <f>IF(S1576=Z1576,0,1)</f>
        <v>1</v>
      </c>
    </row>
    <row r="1577" hidden="1" spans="1:27">
      <c r="A1577">
        <v>3</v>
      </c>
      <c r="B1577">
        <v>13</v>
      </c>
      <c r="C1577" s="3">
        <v>46108</v>
      </c>
      <c r="D1577" t="s">
        <v>27</v>
      </c>
      <c r="E1577" t="s">
        <v>1697</v>
      </c>
      <c r="F1577" t="s">
        <v>74</v>
      </c>
      <c r="G1577" t="s">
        <v>30</v>
      </c>
      <c r="H1577" t="s">
        <v>31</v>
      </c>
      <c r="I1577" t="s">
        <v>1674</v>
      </c>
      <c r="J1577" t="s">
        <v>146</v>
      </c>
      <c r="K1577" t="s">
        <v>64</v>
      </c>
      <c r="L1577" t="s">
        <v>147</v>
      </c>
      <c r="M1577" t="s">
        <v>148</v>
      </c>
      <c r="N1577">
        <v>10.7</v>
      </c>
      <c r="O1577">
        <v>8.33333333333333</v>
      </c>
      <c r="P1577">
        <v>71.6</v>
      </c>
      <c r="Q1577">
        <v>79.9333333333333</v>
      </c>
      <c r="R1577">
        <v>0</v>
      </c>
      <c r="S1577">
        <v>79.9333333333333</v>
      </c>
      <c r="T1577">
        <v>70</v>
      </c>
      <c r="U1577">
        <f>SUMIF(货件明细!J:J,E1577,货件明细!AP:AP)</f>
        <v>0</v>
      </c>
      <c r="V1577">
        <f>IF(U1577=T1577,0,1)</f>
        <v>1</v>
      </c>
      <c r="W1577">
        <f>T1577</f>
        <v>70</v>
      </c>
      <c r="X1577">
        <f>SUMIF(货件明细!J:J,E1577,货件明细!H:H)</f>
        <v>0</v>
      </c>
      <c r="Y1577">
        <f>N1577-X1577</f>
        <v>10.7</v>
      </c>
      <c r="Z1577">
        <f>SUMIF(货件明细!J:J,E1577,货件明细!I:I)</f>
        <v>0</v>
      </c>
      <c r="AA1577">
        <f>IF(S1577=Z1577,0,1)</f>
        <v>1</v>
      </c>
    </row>
    <row r="1578" hidden="1" spans="1:27">
      <c r="A1578">
        <v>3</v>
      </c>
      <c r="B1578">
        <v>13</v>
      </c>
      <c r="C1578" s="3">
        <v>46108</v>
      </c>
      <c r="D1578" t="s">
        <v>27</v>
      </c>
      <c r="E1578" t="s">
        <v>1698</v>
      </c>
      <c r="F1578" t="s">
        <v>76</v>
      </c>
      <c r="G1578" t="s">
        <v>72</v>
      </c>
      <c r="H1578" t="s">
        <v>31</v>
      </c>
      <c r="I1578" t="s">
        <v>1674</v>
      </c>
      <c r="J1578" t="s">
        <v>146</v>
      </c>
      <c r="K1578" t="s">
        <v>64</v>
      </c>
      <c r="L1578" t="s">
        <v>147</v>
      </c>
      <c r="M1578" t="s">
        <v>1545</v>
      </c>
      <c r="N1578">
        <v>10.7</v>
      </c>
      <c r="O1578">
        <v>4.05405405405405</v>
      </c>
      <c r="P1578">
        <v>43.2</v>
      </c>
      <c r="Q1578">
        <v>47.2540540540541</v>
      </c>
      <c r="R1578">
        <v>0</v>
      </c>
      <c r="S1578">
        <v>47.2540540540541</v>
      </c>
      <c r="T1578">
        <v>70</v>
      </c>
      <c r="U1578">
        <f>SUMIF(货件明细!J:J,E1578,货件明细!AP:AP)</f>
        <v>0</v>
      </c>
      <c r="V1578">
        <f>IF(U1578=T1578,0,1)</f>
        <v>1</v>
      </c>
      <c r="W1578">
        <f>T1578</f>
        <v>70</v>
      </c>
      <c r="X1578">
        <f>SUMIF(货件明细!J:J,E1578,货件明细!H:H)</f>
        <v>0</v>
      </c>
      <c r="Y1578">
        <f>N1578-X1578</f>
        <v>10.7</v>
      </c>
      <c r="Z1578">
        <f>SUMIF(货件明细!J:J,E1578,货件明细!I:I)</f>
        <v>0</v>
      </c>
      <c r="AA1578">
        <f>IF(S1578=Z1578,0,1)</f>
        <v>1</v>
      </c>
    </row>
    <row r="1579" hidden="1" spans="1:27">
      <c r="A1579">
        <v>3</v>
      </c>
      <c r="B1579">
        <v>13</v>
      </c>
      <c r="C1579" s="3">
        <v>46108</v>
      </c>
      <c r="D1579" t="s">
        <v>27</v>
      </c>
      <c r="E1579" t="s">
        <v>1699</v>
      </c>
      <c r="F1579" t="s">
        <v>76</v>
      </c>
      <c r="G1579" t="s">
        <v>72</v>
      </c>
      <c r="H1579" t="s">
        <v>37</v>
      </c>
      <c r="I1579" t="s">
        <v>1674</v>
      </c>
      <c r="J1579" t="s">
        <v>146</v>
      </c>
      <c r="K1579" t="s">
        <v>64</v>
      </c>
      <c r="L1579" t="s">
        <v>147</v>
      </c>
      <c r="M1579" t="s">
        <v>1545</v>
      </c>
      <c r="N1579">
        <v>30.35</v>
      </c>
      <c r="O1579">
        <v>4.05405405405405</v>
      </c>
      <c r="P1579">
        <v>118.8</v>
      </c>
      <c r="Q1579">
        <v>122.854054054054</v>
      </c>
      <c r="R1579">
        <v>0</v>
      </c>
      <c r="S1579">
        <v>122.854054054054</v>
      </c>
      <c r="T1579">
        <v>168</v>
      </c>
      <c r="U1579">
        <f>SUMIF(货件明细!J:J,E1579,货件明细!AP:AP)</f>
        <v>0</v>
      </c>
      <c r="V1579">
        <f>IF(U1579=T1579,0,1)</f>
        <v>1</v>
      </c>
      <c r="W1579">
        <f>T1579</f>
        <v>168</v>
      </c>
      <c r="X1579">
        <f>SUMIF(货件明细!J:J,E1579,货件明细!H:H)</f>
        <v>0</v>
      </c>
      <c r="Y1579">
        <f>N1579-X1579</f>
        <v>30.35</v>
      </c>
      <c r="Z1579">
        <f>SUMIF(货件明细!J:J,E1579,货件明细!I:I)</f>
        <v>0</v>
      </c>
      <c r="AA1579">
        <f>IF(S1579=Z1579,0,1)</f>
        <v>1</v>
      </c>
    </row>
    <row r="1580" hidden="1" spans="1:27">
      <c r="A1580">
        <v>3</v>
      </c>
      <c r="B1580">
        <v>13</v>
      </c>
      <c r="C1580" s="3">
        <v>46108</v>
      </c>
      <c r="D1580" t="s">
        <v>27</v>
      </c>
      <c r="E1580" t="s">
        <v>1700</v>
      </c>
      <c r="F1580" t="s">
        <v>715</v>
      </c>
      <c r="G1580" t="s">
        <v>69</v>
      </c>
      <c r="H1580" t="s">
        <v>51</v>
      </c>
      <c r="I1580" t="s">
        <v>1674</v>
      </c>
      <c r="J1580" t="s">
        <v>146</v>
      </c>
      <c r="K1580" t="s">
        <v>64</v>
      </c>
      <c r="L1580" t="s">
        <v>147</v>
      </c>
      <c r="M1580" t="s">
        <v>1545</v>
      </c>
      <c r="N1580">
        <v>12.8</v>
      </c>
      <c r="O1580">
        <v>7.14285714285714</v>
      </c>
      <c r="P1580">
        <v>78.5</v>
      </c>
      <c r="Q1580">
        <v>85.6428571428571</v>
      </c>
      <c r="R1580">
        <v>0</v>
      </c>
      <c r="S1580">
        <v>85.6428571428571</v>
      </c>
      <c r="T1580">
        <v>74</v>
      </c>
      <c r="U1580">
        <f>SUMIF(货件明细!J:J,E1580,货件明细!AP:AP)</f>
        <v>0</v>
      </c>
      <c r="V1580">
        <f>IF(U1580=T1580,0,1)</f>
        <v>1</v>
      </c>
      <c r="W1580">
        <f>T1580</f>
        <v>74</v>
      </c>
      <c r="X1580">
        <f>SUMIF(货件明细!J:J,E1580,货件明细!H:H)</f>
        <v>0</v>
      </c>
      <c r="Y1580">
        <f>N1580-X1580</f>
        <v>12.8</v>
      </c>
      <c r="Z1580">
        <f>SUMIF(货件明细!J:J,E1580,货件明细!I:I)</f>
        <v>0</v>
      </c>
      <c r="AA1580">
        <f>IF(S1580=Z1580,0,1)</f>
        <v>1</v>
      </c>
    </row>
    <row r="1581" hidden="1" spans="1:27">
      <c r="A1581">
        <v>3</v>
      </c>
      <c r="B1581">
        <v>13</v>
      </c>
      <c r="C1581" s="3">
        <v>46108</v>
      </c>
      <c r="D1581" t="s">
        <v>27</v>
      </c>
      <c r="E1581" t="s">
        <v>1701</v>
      </c>
      <c r="F1581" t="s">
        <v>143</v>
      </c>
      <c r="G1581" t="s">
        <v>72</v>
      </c>
      <c r="H1581" t="s">
        <v>51</v>
      </c>
      <c r="I1581" t="s">
        <v>1674</v>
      </c>
      <c r="J1581" t="s">
        <v>146</v>
      </c>
      <c r="K1581" t="s">
        <v>64</v>
      </c>
      <c r="L1581" t="s">
        <v>147</v>
      </c>
      <c r="M1581" t="s">
        <v>1545</v>
      </c>
      <c r="N1581">
        <v>12.8</v>
      </c>
      <c r="O1581">
        <v>4.05405405405405</v>
      </c>
      <c r="P1581">
        <v>60</v>
      </c>
      <c r="Q1581">
        <v>64.054054054054</v>
      </c>
      <c r="R1581">
        <v>0</v>
      </c>
      <c r="S1581">
        <v>64.054054054054</v>
      </c>
      <c r="T1581">
        <v>74</v>
      </c>
      <c r="U1581">
        <f>SUMIF(货件明细!J:J,E1581,货件明细!AP:AP)</f>
        <v>0</v>
      </c>
      <c r="V1581">
        <f>IF(U1581=T1581,0,1)</f>
        <v>1</v>
      </c>
      <c r="W1581">
        <f>T1581</f>
        <v>74</v>
      </c>
      <c r="X1581">
        <f>SUMIF(货件明细!J:J,E1581,货件明细!H:H)</f>
        <v>0</v>
      </c>
      <c r="Y1581">
        <f>N1581-X1581</f>
        <v>12.8</v>
      </c>
      <c r="Z1581">
        <f>SUMIF(货件明细!J:J,E1581,货件明细!I:I)</f>
        <v>0</v>
      </c>
      <c r="AA1581">
        <f>IF(S1581=Z1581,0,1)</f>
        <v>1</v>
      </c>
    </row>
    <row r="1582" hidden="1" spans="1:27">
      <c r="A1582">
        <v>3</v>
      </c>
      <c r="B1582">
        <v>13</v>
      </c>
      <c r="C1582" s="3">
        <v>46108</v>
      </c>
      <c r="D1582" t="s">
        <v>27</v>
      </c>
      <c r="E1582" t="s">
        <v>1702</v>
      </c>
      <c r="F1582" t="s">
        <v>200</v>
      </c>
      <c r="G1582" t="s">
        <v>30</v>
      </c>
      <c r="H1582" t="s">
        <v>51</v>
      </c>
      <c r="I1582" t="s">
        <v>1674</v>
      </c>
      <c r="J1582" t="s">
        <v>146</v>
      </c>
      <c r="K1582" t="s">
        <v>64</v>
      </c>
      <c r="L1582" t="s">
        <v>147</v>
      </c>
      <c r="M1582" t="s">
        <v>148</v>
      </c>
      <c r="N1582">
        <v>12.8</v>
      </c>
      <c r="O1582">
        <v>10.7142857142857</v>
      </c>
      <c r="P1582">
        <v>118.789473684211</v>
      </c>
      <c r="Q1582">
        <v>129.503759398496</v>
      </c>
      <c r="R1582">
        <v>0</v>
      </c>
      <c r="S1582">
        <v>129.503759398496</v>
      </c>
      <c r="T1582">
        <v>74</v>
      </c>
      <c r="U1582">
        <f>SUMIF(货件明细!J:J,E1582,货件明细!AP:AP)</f>
        <v>0</v>
      </c>
      <c r="V1582">
        <f>IF(U1582=T1582,0,1)</f>
        <v>1</v>
      </c>
      <c r="W1582">
        <f>T1582</f>
        <v>74</v>
      </c>
      <c r="X1582">
        <f>SUMIF(货件明细!J:J,E1582,货件明细!H:H)</f>
        <v>0</v>
      </c>
      <c r="Y1582">
        <f>N1582-X1582</f>
        <v>12.8</v>
      </c>
      <c r="Z1582">
        <f>SUMIF(货件明细!J:J,E1582,货件明细!I:I)</f>
        <v>0</v>
      </c>
      <c r="AA1582">
        <f>IF(S1582=Z1582,0,1)</f>
        <v>1</v>
      </c>
    </row>
    <row r="1583" hidden="1" spans="1:27">
      <c r="A1583">
        <v>3</v>
      </c>
      <c r="B1583">
        <v>13</v>
      </c>
      <c r="C1583" s="3">
        <v>46108</v>
      </c>
      <c r="D1583" t="s">
        <v>27</v>
      </c>
      <c r="E1583" t="s">
        <v>1703</v>
      </c>
      <c r="F1583" t="s">
        <v>74</v>
      </c>
      <c r="G1583" t="s">
        <v>30</v>
      </c>
      <c r="H1583" t="s">
        <v>51</v>
      </c>
      <c r="I1583" t="s">
        <v>1674</v>
      </c>
      <c r="J1583" t="s">
        <v>146</v>
      </c>
      <c r="K1583" t="s">
        <v>64</v>
      </c>
      <c r="L1583" t="s">
        <v>147</v>
      </c>
      <c r="M1583" t="s">
        <v>148</v>
      </c>
      <c r="N1583">
        <v>12.8</v>
      </c>
      <c r="O1583">
        <v>8.33333333333333</v>
      </c>
      <c r="P1583">
        <v>89.5</v>
      </c>
      <c r="Q1583">
        <v>97.8333333333333</v>
      </c>
      <c r="R1583">
        <v>0</v>
      </c>
      <c r="S1583">
        <v>97.8333333333333</v>
      </c>
      <c r="T1583">
        <v>74</v>
      </c>
      <c r="U1583">
        <f>SUMIF(货件明细!J:J,E1583,货件明细!AP:AP)</f>
        <v>0</v>
      </c>
      <c r="V1583">
        <f>IF(U1583=T1583,0,1)</f>
        <v>1</v>
      </c>
      <c r="W1583">
        <f>T1583</f>
        <v>74</v>
      </c>
      <c r="X1583">
        <f>SUMIF(货件明细!J:J,E1583,货件明细!H:H)</f>
        <v>0</v>
      </c>
      <c r="Y1583">
        <f>N1583-X1583</f>
        <v>12.8</v>
      </c>
      <c r="Z1583">
        <f>SUMIF(货件明细!J:J,E1583,货件明细!I:I)</f>
        <v>0</v>
      </c>
      <c r="AA1583">
        <f>IF(S1583=Z1583,0,1)</f>
        <v>1</v>
      </c>
    </row>
    <row r="1584" hidden="1" spans="1:27">
      <c r="A1584">
        <v>3</v>
      </c>
      <c r="B1584">
        <v>13</v>
      </c>
      <c r="C1584" s="3">
        <v>46108</v>
      </c>
      <c r="D1584" t="s">
        <v>27</v>
      </c>
      <c r="E1584" t="s">
        <v>1704</v>
      </c>
      <c r="F1584" t="s">
        <v>76</v>
      </c>
      <c r="G1584" t="s">
        <v>72</v>
      </c>
      <c r="H1584" t="s">
        <v>51</v>
      </c>
      <c r="I1584" t="s">
        <v>1674</v>
      </c>
      <c r="J1584" t="s">
        <v>146</v>
      </c>
      <c r="K1584" t="s">
        <v>64</v>
      </c>
      <c r="L1584" t="s">
        <v>147</v>
      </c>
      <c r="M1584" t="s">
        <v>1545</v>
      </c>
      <c r="N1584">
        <v>12.8</v>
      </c>
      <c r="O1584">
        <v>4.05405405405405</v>
      </c>
      <c r="P1584">
        <v>54</v>
      </c>
      <c r="Q1584">
        <v>58.0540540540541</v>
      </c>
      <c r="R1584">
        <v>0</v>
      </c>
      <c r="S1584">
        <v>58.0540540540541</v>
      </c>
      <c r="T1584">
        <v>74</v>
      </c>
      <c r="U1584">
        <f>SUMIF(货件明细!J:J,E1584,货件明细!AP:AP)</f>
        <v>0</v>
      </c>
      <c r="V1584">
        <f>IF(U1584=T1584,0,1)</f>
        <v>1</v>
      </c>
      <c r="W1584">
        <f>T1584</f>
        <v>74</v>
      </c>
      <c r="X1584">
        <f>SUMIF(货件明细!J:J,E1584,货件明细!H:H)</f>
        <v>0</v>
      </c>
      <c r="Y1584">
        <f>N1584-X1584</f>
        <v>12.8</v>
      </c>
      <c r="Z1584">
        <f>SUMIF(货件明细!J:J,E1584,货件明细!I:I)</f>
        <v>0</v>
      </c>
      <c r="AA1584">
        <f>IF(S1584=Z1584,0,1)</f>
        <v>1</v>
      </c>
    </row>
    <row r="1585" hidden="1" spans="1:27">
      <c r="A1585">
        <v>3</v>
      </c>
      <c r="B1585">
        <v>13</v>
      </c>
      <c r="C1585" s="3">
        <v>46108</v>
      </c>
      <c r="D1585" t="s">
        <v>27</v>
      </c>
      <c r="E1585" t="s">
        <v>1705</v>
      </c>
      <c r="F1585" t="s">
        <v>715</v>
      </c>
      <c r="G1585" t="s">
        <v>69</v>
      </c>
      <c r="H1585" t="s">
        <v>39</v>
      </c>
      <c r="I1585" t="s">
        <v>1674</v>
      </c>
      <c r="J1585" t="s">
        <v>146</v>
      </c>
      <c r="K1585" t="s">
        <v>64</v>
      </c>
      <c r="L1585" t="s">
        <v>147</v>
      </c>
      <c r="M1585" t="s">
        <v>1545</v>
      </c>
      <c r="N1585">
        <v>11.3</v>
      </c>
      <c r="O1585">
        <v>7.14285714285714</v>
      </c>
      <c r="P1585">
        <v>78.5</v>
      </c>
      <c r="Q1585">
        <v>85.6428571428571</v>
      </c>
      <c r="R1585">
        <v>0</v>
      </c>
      <c r="S1585">
        <v>85.6428571428571</v>
      </c>
      <c r="T1585">
        <v>46</v>
      </c>
      <c r="U1585">
        <f>SUMIF(货件明细!J:J,E1585,货件明细!AP:AP)</f>
        <v>0</v>
      </c>
      <c r="V1585">
        <f>IF(U1585=T1585,0,1)</f>
        <v>1</v>
      </c>
      <c r="W1585">
        <f>T1585</f>
        <v>46</v>
      </c>
      <c r="X1585">
        <f>SUMIF(货件明细!J:J,E1585,货件明细!H:H)</f>
        <v>0</v>
      </c>
      <c r="Y1585">
        <f>N1585-X1585</f>
        <v>11.3</v>
      </c>
      <c r="Z1585">
        <f>SUMIF(货件明细!J:J,E1585,货件明细!I:I)</f>
        <v>0</v>
      </c>
      <c r="AA1585">
        <f>IF(S1585=Z1585,0,1)</f>
        <v>1</v>
      </c>
    </row>
    <row r="1586" hidden="1" spans="1:27">
      <c r="A1586">
        <v>3</v>
      </c>
      <c r="B1586">
        <v>13</v>
      </c>
      <c r="C1586" s="3">
        <v>46108</v>
      </c>
      <c r="D1586" t="s">
        <v>27</v>
      </c>
      <c r="E1586" t="s">
        <v>1706</v>
      </c>
      <c r="F1586" t="s">
        <v>143</v>
      </c>
      <c r="G1586" t="s">
        <v>72</v>
      </c>
      <c r="H1586" t="s">
        <v>39</v>
      </c>
      <c r="I1586" t="s">
        <v>1674</v>
      </c>
      <c r="J1586" t="s">
        <v>146</v>
      </c>
      <c r="K1586" t="s">
        <v>64</v>
      </c>
      <c r="L1586" t="s">
        <v>147</v>
      </c>
      <c r="M1586" t="s">
        <v>1545</v>
      </c>
      <c r="N1586">
        <v>11.3</v>
      </c>
      <c r="O1586">
        <v>4.05405405405405</v>
      </c>
      <c r="P1586">
        <v>60</v>
      </c>
      <c r="Q1586">
        <v>64.054054054054</v>
      </c>
      <c r="R1586">
        <v>0</v>
      </c>
      <c r="S1586">
        <v>64.054054054054</v>
      </c>
      <c r="T1586">
        <v>46</v>
      </c>
      <c r="U1586">
        <f>SUMIF(货件明细!J:J,E1586,货件明细!AP:AP)</f>
        <v>0</v>
      </c>
      <c r="V1586">
        <f>IF(U1586=T1586,0,1)</f>
        <v>1</v>
      </c>
      <c r="W1586">
        <f>T1586</f>
        <v>46</v>
      </c>
      <c r="X1586">
        <f>SUMIF(货件明细!J:J,E1586,货件明细!H:H)</f>
        <v>0</v>
      </c>
      <c r="Y1586">
        <f>N1586-X1586</f>
        <v>11.3</v>
      </c>
      <c r="Z1586">
        <f>SUMIF(货件明细!J:J,E1586,货件明细!I:I)</f>
        <v>0</v>
      </c>
      <c r="AA1586">
        <f>IF(S1586=Z1586,0,1)</f>
        <v>1</v>
      </c>
    </row>
    <row r="1587" hidden="1" spans="1:27">
      <c r="A1587">
        <v>3</v>
      </c>
      <c r="B1587">
        <v>13</v>
      </c>
      <c r="C1587" s="3">
        <v>46108</v>
      </c>
      <c r="D1587" t="s">
        <v>27</v>
      </c>
      <c r="E1587" t="s">
        <v>1707</v>
      </c>
      <c r="F1587" t="s">
        <v>200</v>
      </c>
      <c r="G1587" t="s">
        <v>30</v>
      </c>
      <c r="H1587" t="s">
        <v>39</v>
      </c>
      <c r="I1587" t="s">
        <v>1674</v>
      </c>
      <c r="J1587" t="s">
        <v>146</v>
      </c>
      <c r="K1587" t="s">
        <v>64</v>
      </c>
      <c r="L1587" t="s">
        <v>147</v>
      </c>
      <c r="M1587" t="s">
        <v>148</v>
      </c>
      <c r="N1587">
        <v>11.3</v>
      </c>
      <c r="O1587">
        <v>10.7142857142857</v>
      </c>
      <c r="P1587">
        <v>118.789473684211</v>
      </c>
      <c r="Q1587">
        <v>129.503759398496</v>
      </c>
      <c r="R1587">
        <v>0</v>
      </c>
      <c r="S1587">
        <v>129.503759398496</v>
      </c>
      <c r="T1587">
        <v>46</v>
      </c>
      <c r="U1587">
        <f>SUMIF(货件明细!J:J,E1587,货件明细!AP:AP)</f>
        <v>0</v>
      </c>
      <c r="V1587">
        <f>IF(U1587=T1587,0,1)</f>
        <v>1</v>
      </c>
      <c r="W1587">
        <f>T1587</f>
        <v>46</v>
      </c>
      <c r="X1587">
        <f>SUMIF(货件明细!J:J,E1587,货件明细!H:H)</f>
        <v>0</v>
      </c>
      <c r="Y1587">
        <f>N1587-X1587</f>
        <v>11.3</v>
      </c>
      <c r="Z1587">
        <f>SUMIF(货件明细!J:J,E1587,货件明细!I:I)</f>
        <v>0</v>
      </c>
      <c r="AA1587">
        <f>IF(S1587=Z1587,0,1)</f>
        <v>1</v>
      </c>
    </row>
    <row r="1588" hidden="1" spans="1:27">
      <c r="A1588">
        <v>3</v>
      </c>
      <c r="B1588">
        <v>13</v>
      </c>
      <c r="C1588" s="3">
        <v>46108</v>
      </c>
      <c r="D1588" t="s">
        <v>27</v>
      </c>
      <c r="E1588" t="s">
        <v>1708</v>
      </c>
      <c r="F1588" t="s">
        <v>76</v>
      </c>
      <c r="G1588" t="s">
        <v>72</v>
      </c>
      <c r="H1588" t="s">
        <v>39</v>
      </c>
      <c r="I1588" t="s">
        <v>1674</v>
      </c>
      <c r="J1588" t="s">
        <v>146</v>
      </c>
      <c r="K1588" t="s">
        <v>64</v>
      </c>
      <c r="L1588" t="s">
        <v>147</v>
      </c>
      <c r="M1588" t="s">
        <v>1545</v>
      </c>
      <c r="N1588">
        <v>11.3</v>
      </c>
      <c r="O1588">
        <v>4.05405405405405</v>
      </c>
      <c r="P1588">
        <v>54</v>
      </c>
      <c r="Q1588">
        <v>58.0540540540541</v>
      </c>
      <c r="R1588">
        <v>0</v>
      </c>
      <c r="S1588">
        <v>58.0540540540541</v>
      </c>
      <c r="T1588">
        <v>46</v>
      </c>
      <c r="U1588">
        <f>SUMIF(货件明细!J:J,E1588,货件明细!AP:AP)</f>
        <v>0</v>
      </c>
      <c r="V1588">
        <f>IF(U1588=T1588,0,1)</f>
        <v>1</v>
      </c>
      <c r="W1588">
        <f>T1588</f>
        <v>46</v>
      </c>
      <c r="X1588">
        <f>SUMIF(货件明细!J:J,E1588,货件明细!H:H)</f>
        <v>0</v>
      </c>
      <c r="Y1588">
        <f>N1588-X1588</f>
        <v>11.3</v>
      </c>
      <c r="Z1588">
        <f>SUMIF(货件明细!J:J,E1588,货件明细!I:I)</f>
        <v>0</v>
      </c>
      <c r="AA1588">
        <f>IF(S1588=Z1588,0,1)</f>
        <v>1</v>
      </c>
    </row>
    <row r="1589" hidden="1" spans="1:27">
      <c r="A1589">
        <v>3</v>
      </c>
      <c r="B1589">
        <v>13</v>
      </c>
      <c r="C1589" s="3">
        <v>46108</v>
      </c>
      <c r="D1589" t="s">
        <v>27</v>
      </c>
      <c r="E1589" t="s">
        <v>1709</v>
      </c>
      <c r="F1589" t="s">
        <v>74</v>
      </c>
      <c r="G1589" t="s">
        <v>30</v>
      </c>
      <c r="H1589" t="s">
        <v>39</v>
      </c>
      <c r="I1589" t="s">
        <v>1674</v>
      </c>
      <c r="J1589" t="s">
        <v>146</v>
      </c>
      <c r="K1589" t="s">
        <v>64</v>
      </c>
      <c r="L1589" t="s">
        <v>147</v>
      </c>
      <c r="M1589" t="s">
        <v>148</v>
      </c>
      <c r="N1589">
        <v>11.55</v>
      </c>
      <c r="O1589">
        <v>8.33333333333333</v>
      </c>
      <c r="P1589">
        <v>89.5</v>
      </c>
      <c r="Q1589">
        <v>97.8333333333333</v>
      </c>
      <c r="R1589">
        <v>0</v>
      </c>
      <c r="S1589">
        <v>97.8333333333333</v>
      </c>
      <c r="T1589">
        <v>48</v>
      </c>
      <c r="U1589">
        <f>SUMIF(货件明细!J:J,E1589,货件明细!AP:AP)</f>
        <v>0</v>
      </c>
      <c r="V1589">
        <f>IF(U1589=T1589,0,1)</f>
        <v>1</v>
      </c>
      <c r="W1589">
        <f>T1589</f>
        <v>48</v>
      </c>
      <c r="X1589">
        <f>SUMIF(货件明细!J:J,E1589,货件明细!H:H)</f>
        <v>0</v>
      </c>
      <c r="Y1589">
        <f>N1589-X1589</f>
        <v>11.55</v>
      </c>
      <c r="Z1589">
        <f>SUMIF(货件明细!J:J,E1589,货件明细!I:I)</f>
        <v>0</v>
      </c>
      <c r="AA1589">
        <f>IF(S1589=Z1589,0,1)</f>
        <v>1</v>
      </c>
    </row>
    <row r="1590" hidden="1" spans="1:27">
      <c r="A1590">
        <v>3</v>
      </c>
      <c r="B1590">
        <v>13</v>
      </c>
      <c r="C1590" s="3">
        <v>46108</v>
      </c>
      <c r="D1590" t="s">
        <v>27</v>
      </c>
      <c r="E1590" t="s">
        <v>1710</v>
      </c>
      <c r="F1590" t="s">
        <v>203</v>
      </c>
      <c r="G1590" t="s">
        <v>72</v>
      </c>
      <c r="H1590" t="s">
        <v>59</v>
      </c>
      <c r="I1590" t="s">
        <v>1674</v>
      </c>
      <c r="J1590" t="s">
        <v>146</v>
      </c>
      <c r="K1590" t="s">
        <v>64</v>
      </c>
      <c r="L1590" t="s">
        <v>147</v>
      </c>
      <c r="M1590" t="s">
        <v>1545</v>
      </c>
      <c r="N1590">
        <v>21.65</v>
      </c>
      <c r="O1590">
        <v>75</v>
      </c>
      <c r="P1590">
        <v>118.8</v>
      </c>
      <c r="Q1590">
        <v>193.8</v>
      </c>
      <c r="R1590">
        <v>521.25</v>
      </c>
      <c r="S1590">
        <v>715.05</v>
      </c>
      <c r="T1590">
        <v>250</v>
      </c>
      <c r="U1590">
        <f>SUMIF(货件明细!J:J,E1590,货件明细!AP:AP)</f>
        <v>0</v>
      </c>
      <c r="V1590">
        <f>IF(U1590=T1590,0,1)</f>
        <v>1</v>
      </c>
      <c r="W1590">
        <f>T1590</f>
        <v>250</v>
      </c>
      <c r="X1590">
        <f>SUMIF(货件明细!J:J,E1590,货件明细!H:H)</f>
        <v>0</v>
      </c>
      <c r="Y1590">
        <f>N1590-X1590</f>
        <v>21.65</v>
      </c>
      <c r="Z1590">
        <f>SUMIF(货件明细!J:J,E1590,货件明细!I:I)</f>
        <v>0</v>
      </c>
      <c r="AA1590">
        <f>IF(S1590=Z1590,0,1)</f>
        <v>1</v>
      </c>
    </row>
    <row r="1591" hidden="1" spans="1:27">
      <c r="A1591">
        <v>3</v>
      </c>
      <c r="B1591">
        <v>13</v>
      </c>
      <c r="C1591" s="3">
        <v>46108</v>
      </c>
      <c r="D1591" t="s">
        <v>27</v>
      </c>
      <c r="E1591" t="s">
        <v>1711</v>
      </c>
      <c r="F1591" t="s">
        <v>250</v>
      </c>
      <c r="G1591" t="s">
        <v>72</v>
      </c>
      <c r="H1591" t="s">
        <v>224</v>
      </c>
      <c r="I1591" t="s">
        <v>1674</v>
      </c>
      <c r="J1591" t="s">
        <v>146</v>
      </c>
      <c r="K1591" t="s">
        <v>64</v>
      </c>
      <c r="L1591" t="s">
        <v>147</v>
      </c>
      <c r="M1591" t="s">
        <v>1545</v>
      </c>
      <c r="N1591">
        <v>14.1</v>
      </c>
      <c r="O1591">
        <v>4.05405405405405</v>
      </c>
      <c r="P1591">
        <v>120</v>
      </c>
      <c r="Q1591">
        <v>124.054054054054</v>
      </c>
      <c r="R1591">
        <v>0</v>
      </c>
      <c r="S1591">
        <v>124.054054054054</v>
      </c>
      <c r="T1591">
        <v>101</v>
      </c>
      <c r="U1591">
        <f>SUMIF(货件明细!J:J,E1591,货件明细!AP:AP)</f>
        <v>0</v>
      </c>
      <c r="V1591">
        <f>IF(U1591=T1591,0,1)</f>
        <v>1</v>
      </c>
      <c r="W1591">
        <f>T1591</f>
        <v>101</v>
      </c>
      <c r="X1591">
        <f>SUMIF(货件明细!J:J,E1591,货件明细!H:H)</f>
        <v>0</v>
      </c>
      <c r="Y1591">
        <f>N1591-X1591</f>
        <v>14.1</v>
      </c>
      <c r="Z1591">
        <f>SUMIF(货件明细!J:J,E1591,货件明细!I:I)</f>
        <v>0</v>
      </c>
      <c r="AA1591">
        <f>IF(S1591=Z1591,0,1)</f>
        <v>1</v>
      </c>
    </row>
    <row r="1592" hidden="1" spans="1:27">
      <c r="A1592">
        <v>3</v>
      </c>
      <c r="B1592">
        <v>13</v>
      </c>
      <c r="C1592" s="3">
        <v>46108</v>
      </c>
      <c r="D1592" t="s">
        <v>27</v>
      </c>
      <c r="E1592" t="s">
        <v>1712</v>
      </c>
      <c r="F1592" t="s">
        <v>143</v>
      </c>
      <c r="G1592" t="s">
        <v>72</v>
      </c>
      <c r="H1592" t="s">
        <v>224</v>
      </c>
      <c r="I1592" t="s">
        <v>1674</v>
      </c>
      <c r="J1592" t="s">
        <v>146</v>
      </c>
      <c r="K1592" t="s">
        <v>64</v>
      </c>
      <c r="L1592" t="s">
        <v>147</v>
      </c>
      <c r="M1592" t="s">
        <v>1545</v>
      </c>
      <c r="N1592">
        <v>14.1</v>
      </c>
      <c r="O1592">
        <v>4.05405405405405</v>
      </c>
      <c r="P1592">
        <v>84</v>
      </c>
      <c r="Q1592">
        <v>88.0540540540541</v>
      </c>
      <c r="R1592">
        <v>0</v>
      </c>
      <c r="S1592">
        <v>88.0540540540541</v>
      </c>
      <c r="T1592">
        <v>101</v>
      </c>
      <c r="U1592">
        <f>SUMIF(货件明细!J:J,E1592,货件明细!AP:AP)</f>
        <v>0</v>
      </c>
      <c r="V1592">
        <f>IF(U1592=T1592,0,1)</f>
        <v>1</v>
      </c>
      <c r="W1592">
        <f>T1592</f>
        <v>101</v>
      </c>
      <c r="X1592">
        <f>SUMIF(货件明细!J:J,E1592,货件明细!H:H)</f>
        <v>0</v>
      </c>
      <c r="Y1592">
        <f>N1592-X1592</f>
        <v>14.1</v>
      </c>
      <c r="Z1592">
        <f>SUMIF(货件明细!J:J,E1592,货件明细!I:I)</f>
        <v>0</v>
      </c>
      <c r="AA1592">
        <f>IF(S1592=Z1592,0,1)</f>
        <v>1</v>
      </c>
    </row>
    <row r="1593" hidden="1" spans="1:27">
      <c r="A1593">
        <v>3</v>
      </c>
      <c r="B1593">
        <v>13</v>
      </c>
      <c r="C1593" s="3">
        <v>46108</v>
      </c>
      <c r="D1593" t="s">
        <v>27</v>
      </c>
      <c r="E1593" t="s">
        <v>1713</v>
      </c>
      <c r="F1593" t="s">
        <v>200</v>
      </c>
      <c r="G1593" t="s">
        <v>30</v>
      </c>
      <c r="H1593" t="s">
        <v>224</v>
      </c>
      <c r="I1593" t="s">
        <v>1674</v>
      </c>
      <c r="J1593" t="s">
        <v>146</v>
      </c>
      <c r="K1593" t="s">
        <v>64</v>
      </c>
      <c r="L1593" t="s">
        <v>147</v>
      </c>
      <c r="M1593" t="s">
        <v>148</v>
      </c>
      <c r="N1593">
        <v>14.1</v>
      </c>
      <c r="O1593">
        <v>10.7142857142857</v>
      </c>
      <c r="P1593">
        <v>118.789473684211</v>
      </c>
      <c r="Q1593">
        <v>129.503759398496</v>
      </c>
      <c r="R1593">
        <v>0</v>
      </c>
      <c r="S1593">
        <v>129.503759398496</v>
      </c>
      <c r="T1593">
        <v>101</v>
      </c>
      <c r="U1593">
        <f>SUMIF(货件明细!J:J,E1593,货件明细!AP:AP)</f>
        <v>0</v>
      </c>
      <c r="V1593">
        <f>IF(U1593=T1593,0,1)</f>
        <v>1</v>
      </c>
      <c r="W1593">
        <f>T1593</f>
        <v>101</v>
      </c>
      <c r="X1593">
        <f>SUMIF(货件明细!J:J,E1593,货件明细!H:H)</f>
        <v>0</v>
      </c>
      <c r="Y1593">
        <f>N1593-X1593</f>
        <v>14.1</v>
      </c>
      <c r="Z1593">
        <f>SUMIF(货件明细!J:J,E1593,货件明细!I:I)</f>
        <v>0</v>
      </c>
      <c r="AA1593">
        <f>IF(S1593=Z1593,0,1)</f>
        <v>1</v>
      </c>
    </row>
    <row r="1594" hidden="1" spans="1:27">
      <c r="A1594">
        <v>3</v>
      </c>
      <c r="B1594">
        <v>13</v>
      </c>
      <c r="C1594" s="3">
        <v>46108</v>
      </c>
      <c r="D1594" t="s">
        <v>27</v>
      </c>
      <c r="E1594" t="s">
        <v>1714</v>
      </c>
      <c r="F1594" t="s">
        <v>74</v>
      </c>
      <c r="G1594" t="s">
        <v>30</v>
      </c>
      <c r="H1594" t="s">
        <v>224</v>
      </c>
      <c r="I1594" t="s">
        <v>1674</v>
      </c>
      <c r="J1594" t="s">
        <v>146</v>
      </c>
      <c r="K1594" t="s">
        <v>64</v>
      </c>
      <c r="L1594" t="s">
        <v>147</v>
      </c>
      <c r="M1594" t="s">
        <v>148</v>
      </c>
      <c r="N1594">
        <v>14.1</v>
      </c>
      <c r="O1594">
        <v>8.33333333333333</v>
      </c>
      <c r="P1594">
        <v>125.3</v>
      </c>
      <c r="Q1594">
        <v>133.633333333333</v>
      </c>
      <c r="R1594">
        <v>0</v>
      </c>
      <c r="S1594">
        <v>133.633333333333</v>
      </c>
      <c r="T1594">
        <v>101</v>
      </c>
      <c r="U1594">
        <f>SUMIF(货件明细!J:J,E1594,货件明细!AP:AP)</f>
        <v>0</v>
      </c>
      <c r="V1594">
        <f>IF(U1594=T1594,0,1)</f>
        <v>1</v>
      </c>
      <c r="W1594">
        <f>T1594</f>
        <v>101</v>
      </c>
      <c r="X1594">
        <f>SUMIF(货件明细!J:J,E1594,货件明细!H:H)</f>
        <v>0</v>
      </c>
      <c r="Y1594">
        <f>N1594-X1594</f>
        <v>14.1</v>
      </c>
      <c r="Z1594">
        <f>SUMIF(货件明细!J:J,E1594,货件明细!I:I)</f>
        <v>0</v>
      </c>
      <c r="AA1594">
        <f>IF(S1594=Z1594,0,1)</f>
        <v>1</v>
      </c>
    </row>
    <row r="1595" hidden="1" spans="1:27">
      <c r="A1595">
        <v>3</v>
      </c>
      <c r="B1595">
        <v>13</v>
      </c>
      <c r="C1595" s="3">
        <v>46108</v>
      </c>
      <c r="D1595" t="s">
        <v>27</v>
      </c>
      <c r="E1595" t="s">
        <v>1715</v>
      </c>
      <c r="F1595" t="s">
        <v>76</v>
      </c>
      <c r="G1595" t="s">
        <v>72</v>
      </c>
      <c r="H1595" t="s">
        <v>224</v>
      </c>
      <c r="I1595" t="s">
        <v>1674</v>
      </c>
      <c r="J1595" t="s">
        <v>146</v>
      </c>
      <c r="K1595" t="s">
        <v>64</v>
      </c>
      <c r="L1595" t="s">
        <v>147</v>
      </c>
      <c r="M1595" t="s">
        <v>1545</v>
      </c>
      <c r="N1595">
        <v>14.1</v>
      </c>
      <c r="O1595">
        <v>4.05405405405405</v>
      </c>
      <c r="P1595">
        <v>75.6</v>
      </c>
      <c r="Q1595">
        <v>79.6540540540541</v>
      </c>
      <c r="R1595">
        <v>0</v>
      </c>
      <c r="S1595">
        <v>79.6540540540541</v>
      </c>
      <c r="T1595">
        <v>101</v>
      </c>
      <c r="U1595">
        <f>SUMIF(货件明细!J:J,E1595,货件明细!AP:AP)</f>
        <v>0</v>
      </c>
      <c r="V1595">
        <f>IF(U1595=T1595,0,1)</f>
        <v>1</v>
      </c>
      <c r="W1595">
        <f>T1595</f>
        <v>101</v>
      </c>
      <c r="X1595">
        <f>SUMIF(货件明细!J:J,E1595,货件明细!H:H)</f>
        <v>0</v>
      </c>
      <c r="Y1595">
        <f>N1595-X1595</f>
        <v>14.1</v>
      </c>
      <c r="Z1595">
        <f>SUMIF(货件明细!J:J,E1595,货件明细!I:I)</f>
        <v>0</v>
      </c>
      <c r="AA1595">
        <f>IF(S1595=Z1595,0,1)</f>
        <v>1</v>
      </c>
    </row>
    <row r="1596" hidden="1" spans="1:27">
      <c r="A1596">
        <v>3</v>
      </c>
      <c r="B1596">
        <v>13</v>
      </c>
      <c r="C1596" s="3">
        <v>46108</v>
      </c>
      <c r="D1596" t="s">
        <v>27</v>
      </c>
      <c r="E1596" t="s">
        <v>1716</v>
      </c>
      <c r="F1596" t="s">
        <v>715</v>
      </c>
      <c r="G1596" t="s">
        <v>69</v>
      </c>
      <c r="H1596" t="s">
        <v>46</v>
      </c>
      <c r="I1596" t="s">
        <v>1674</v>
      </c>
      <c r="J1596" t="s">
        <v>146</v>
      </c>
      <c r="K1596" t="s">
        <v>64</v>
      </c>
      <c r="L1596" t="s">
        <v>147</v>
      </c>
      <c r="M1596" t="s">
        <v>1545</v>
      </c>
      <c r="N1596">
        <v>9.45</v>
      </c>
      <c r="O1596">
        <v>7.14285714285714</v>
      </c>
      <c r="P1596">
        <v>78.5</v>
      </c>
      <c r="Q1596">
        <v>85.6428571428571</v>
      </c>
      <c r="R1596">
        <v>0</v>
      </c>
      <c r="S1596">
        <v>85.6428571428571</v>
      </c>
      <c r="T1596">
        <v>108</v>
      </c>
      <c r="U1596">
        <f>SUMIF(货件明细!J:J,E1596,货件明细!AP:AP)</f>
        <v>0</v>
      </c>
      <c r="V1596">
        <f>IF(U1596=T1596,0,1)</f>
        <v>1</v>
      </c>
      <c r="W1596">
        <f>T1596</f>
        <v>108</v>
      </c>
      <c r="X1596">
        <f>SUMIF(货件明细!J:J,E1596,货件明细!H:H)</f>
        <v>0</v>
      </c>
      <c r="Y1596">
        <f>N1596-X1596</f>
        <v>9.45</v>
      </c>
      <c r="Z1596">
        <f>SUMIF(货件明细!J:J,E1596,货件明细!I:I)</f>
        <v>0</v>
      </c>
      <c r="AA1596">
        <f>IF(S1596=Z1596,0,1)</f>
        <v>1</v>
      </c>
    </row>
    <row r="1597" hidden="1" spans="1:27">
      <c r="A1597">
        <v>3</v>
      </c>
      <c r="B1597">
        <v>13</v>
      </c>
      <c r="C1597" s="3">
        <v>46108</v>
      </c>
      <c r="D1597" t="s">
        <v>27</v>
      </c>
      <c r="E1597" t="s">
        <v>1717</v>
      </c>
      <c r="F1597" t="s">
        <v>143</v>
      </c>
      <c r="G1597" t="s">
        <v>72</v>
      </c>
      <c r="H1597" t="s">
        <v>46</v>
      </c>
      <c r="I1597" t="s">
        <v>1674</v>
      </c>
      <c r="J1597" t="s">
        <v>146</v>
      </c>
      <c r="K1597" t="s">
        <v>64</v>
      </c>
      <c r="L1597" t="s">
        <v>147</v>
      </c>
      <c r="M1597" t="s">
        <v>1545</v>
      </c>
      <c r="N1597">
        <v>9.45</v>
      </c>
      <c r="O1597">
        <v>4.05405405405405</v>
      </c>
      <c r="P1597">
        <v>60</v>
      </c>
      <c r="Q1597">
        <v>64.054054054054</v>
      </c>
      <c r="R1597">
        <v>0</v>
      </c>
      <c r="S1597">
        <v>64.054054054054</v>
      </c>
      <c r="T1597">
        <v>108</v>
      </c>
      <c r="U1597">
        <f>SUMIF(货件明细!J:J,E1597,货件明细!AP:AP)</f>
        <v>0</v>
      </c>
      <c r="V1597">
        <f>IF(U1597=T1597,0,1)</f>
        <v>1</v>
      </c>
      <c r="W1597">
        <f>T1597</f>
        <v>108</v>
      </c>
      <c r="X1597">
        <f>SUMIF(货件明细!J:J,E1597,货件明细!H:H)</f>
        <v>0</v>
      </c>
      <c r="Y1597">
        <f>N1597-X1597</f>
        <v>9.45</v>
      </c>
      <c r="Z1597">
        <f>SUMIF(货件明细!J:J,E1597,货件明细!I:I)</f>
        <v>0</v>
      </c>
      <c r="AA1597">
        <f>IF(S1597=Z1597,0,1)</f>
        <v>1</v>
      </c>
    </row>
    <row r="1598" hidden="1" spans="1:27">
      <c r="A1598">
        <v>3</v>
      </c>
      <c r="B1598">
        <v>13</v>
      </c>
      <c r="C1598" s="3">
        <v>46108</v>
      </c>
      <c r="D1598" t="s">
        <v>27</v>
      </c>
      <c r="E1598" t="s">
        <v>1718</v>
      </c>
      <c r="F1598" t="s">
        <v>200</v>
      </c>
      <c r="G1598" t="s">
        <v>30</v>
      </c>
      <c r="H1598" t="s">
        <v>46</v>
      </c>
      <c r="I1598" t="s">
        <v>1674</v>
      </c>
      <c r="J1598" t="s">
        <v>146</v>
      </c>
      <c r="K1598" t="s">
        <v>64</v>
      </c>
      <c r="L1598" t="s">
        <v>147</v>
      </c>
      <c r="M1598" t="s">
        <v>148</v>
      </c>
      <c r="N1598">
        <v>9.45</v>
      </c>
      <c r="O1598">
        <v>10.7142857142857</v>
      </c>
      <c r="P1598">
        <v>118.789473684211</v>
      </c>
      <c r="Q1598">
        <v>129.503759398496</v>
      </c>
      <c r="R1598">
        <v>0</v>
      </c>
      <c r="S1598">
        <v>129.503759398496</v>
      </c>
      <c r="T1598">
        <v>108</v>
      </c>
      <c r="U1598">
        <f>SUMIF(货件明细!J:J,E1598,货件明细!AP:AP)</f>
        <v>0</v>
      </c>
      <c r="V1598">
        <f>IF(U1598=T1598,0,1)</f>
        <v>1</v>
      </c>
      <c r="W1598">
        <f>T1598</f>
        <v>108</v>
      </c>
      <c r="X1598">
        <f>SUMIF(货件明细!J:J,E1598,货件明细!H:H)</f>
        <v>0</v>
      </c>
      <c r="Y1598">
        <f>N1598-X1598</f>
        <v>9.45</v>
      </c>
      <c r="Z1598">
        <f>SUMIF(货件明细!J:J,E1598,货件明细!I:I)</f>
        <v>0</v>
      </c>
      <c r="AA1598">
        <f>IF(S1598=Z1598,0,1)</f>
        <v>1</v>
      </c>
    </row>
    <row r="1599" hidden="1" spans="1:27">
      <c r="A1599">
        <v>3</v>
      </c>
      <c r="B1599">
        <v>13</v>
      </c>
      <c r="C1599" s="3">
        <v>46108</v>
      </c>
      <c r="D1599" t="s">
        <v>27</v>
      </c>
      <c r="E1599" t="s">
        <v>1719</v>
      </c>
      <c r="F1599" t="s">
        <v>74</v>
      </c>
      <c r="G1599" t="s">
        <v>30</v>
      </c>
      <c r="H1599" t="s">
        <v>46</v>
      </c>
      <c r="I1599" t="s">
        <v>1674</v>
      </c>
      <c r="J1599" t="s">
        <v>146</v>
      </c>
      <c r="K1599" t="s">
        <v>64</v>
      </c>
      <c r="L1599" t="s">
        <v>147</v>
      </c>
      <c r="M1599" t="s">
        <v>148</v>
      </c>
      <c r="N1599">
        <v>9.45</v>
      </c>
      <c r="O1599">
        <v>8.33333333333333</v>
      </c>
      <c r="P1599">
        <v>89.5</v>
      </c>
      <c r="Q1599">
        <v>97.8333333333333</v>
      </c>
      <c r="R1599">
        <v>0</v>
      </c>
      <c r="S1599">
        <v>97.8333333333333</v>
      </c>
      <c r="T1599">
        <v>108</v>
      </c>
      <c r="U1599">
        <f>SUMIF(货件明细!J:J,E1599,货件明细!AP:AP)</f>
        <v>0</v>
      </c>
      <c r="V1599">
        <f>IF(U1599=T1599,0,1)</f>
        <v>1</v>
      </c>
      <c r="W1599">
        <f>T1599</f>
        <v>108</v>
      </c>
      <c r="X1599">
        <f>SUMIF(货件明细!J:J,E1599,货件明细!H:H)</f>
        <v>0</v>
      </c>
      <c r="Y1599">
        <f>N1599-X1599</f>
        <v>9.45</v>
      </c>
      <c r="Z1599">
        <f>SUMIF(货件明细!J:J,E1599,货件明细!I:I)</f>
        <v>0</v>
      </c>
      <c r="AA1599">
        <f>IF(S1599=Z1599,0,1)</f>
        <v>1</v>
      </c>
    </row>
    <row r="1600" hidden="1" spans="1:27">
      <c r="A1600">
        <v>3</v>
      </c>
      <c r="B1600">
        <v>13</v>
      </c>
      <c r="C1600" s="3">
        <v>46108</v>
      </c>
      <c r="D1600" t="s">
        <v>27</v>
      </c>
      <c r="E1600" t="s">
        <v>1720</v>
      </c>
      <c r="F1600" t="s">
        <v>76</v>
      </c>
      <c r="G1600" t="s">
        <v>72</v>
      </c>
      <c r="H1600" t="s">
        <v>46</v>
      </c>
      <c r="I1600" t="s">
        <v>1674</v>
      </c>
      <c r="J1600" t="s">
        <v>146</v>
      </c>
      <c r="K1600" t="s">
        <v>64</v>
      </c>
      <c r="L1600" t="s">
        <v>147</v>
      </c>
      <c r="M1600" t="s">
        <v>1545</v>
      </c>
      <c r="N1600">
        <v>9.45</v>
      </c>
      <c r="O1600">
        <v>4.05405405405405</v>
      </c>
      <c r="P1600">
        <v>54</v>
      </c>
      <c r="Q1600">
        <v>58.0540540540541</v>
      </c>
      <c r="R1600">
        <v>0</v>
      </c>
      <c r="S1600">
        <v>58.0540540540541</v>
      </c>
      <c r="T1600">
        <v>108</v>
      </c>
      <c r="U1600">
        <f>SUMIF(货件明细!J:J,E1600,货件明细!AP:AP)</f>
        <v>0</v>
      </c>
      <c r="V1600">
        <f>IF(U1600=T1600,0,1)</f>
        <v>1</v>
      </c>
      <c r="W1600">
        <f>T1600</f>
        <v>108</v>
      </c>
      <c r="X1600">
        <f>SUMIF(货件明细!J:J,E1600,货件明细!H:H)</f>
        <v>0</v>
      </c>
      <c r="Y1600">
        <f>N1600-X1600</f>
        <v>9.45</v>
      </c>
      <c r="Z1600">
        <f>SUMIF(货件明细!J:J,E1600,货件明细!I:I)</f>
        <v>0</v>
      </c>
      <c r="AA1600">
        <f>IF(S1600=Z1600,0,1)</f>
        <v>1</v>
      </c>
    </row>
    <row r="1601" hidden="1" spans="1:27">
      <c r="A1601">
        <v>3</v>
      </c>
      <c r="B1601">
        <v>13</v>
      </c>
      <c r="C1601" s="3">
        <v>46108</v>
      </c>
      <c r="D1601" t="s">
        <v>27</v>
      </c>
      <c r="E1601" t="s">
        <v>1721</v>
      </c>
      <c r="F1601" t="s">
        <v>715</v>
      </c>
      <c r="G1601" t="s">
        <v>69</v>
      </c>
      <c r="H1601" t="s">
        <v>54</v>
      </c>
      <c r="I1601" t="s">
        <v>1674</v>
      </c>
      <c r="J1601" t="s">
        <v>146</v>
      </c>
      <c r="K1601" t="s">
        <v>64</v>
      </c>
      <c r="L1601" t="s">
        <v>147</v>
      </c>
      <c r="M1601" t="s">
        <v>1545</v>
      </c>
      <c r="N1601">
        <v>16.2</v>
      </c>
      <c r="O1601">
        <v>7.14285714285714</v>
      </c>
      <c r="P1601">
        <v>141.3</v>
      </c>
      <c r="Q1601">
        <v>148.442857142857</v>
      </c>
      <c r="R1601">
        <v>0</v>
      </c>
      <c r="S1601">
        <v>148.442857142857</v>
      </c>
      <c r="T1601">
        <v>74</v>
      </c>
      <c r="U1601">
        <f>SUMIF(货件明细!J:J,E1601,货件明细!AP:AP)</f>
        <v>0</v>
      </c>
      <c r="V1601">
        <f>IF(U1601=T1601,0,1)</f>
        <v>1</v>
      </c>
      <c r="W1601">
        <f>T1601</f>
        <v>74</v>
      </c>
      <c r="X1601">
        <f>SUMIF(货件明细!J:J,E1601,货件明细!H:H)</f>
        <v>0</v>
      </c>
      <c r="Y1601">
        <f>N1601-X1601</f>
        <v>16.2</v>
      </c>
      <c r="Z1601">
        <f>SUMIF(货件明细!J:J,E1601,货件明细!I:I)</f>
        <v>0</v>
      </c>
      <c r="AA1601">
        <f>IF(S1601=Z1601,0,1)</f>
        <v>1</v>
      </c>
    </row>
    <row r="1602" hidden="1" spans="1:27">
      <c r="A1602">
        <v>3</v>
      </c>
      <c r="B1602">
        <v>13</v>
      </c>
      <c r="C1602" s="3">
        <v>46108</v>
      </c>
      <c r="D1602" t="s">
        <v>27</v>
      </c>
      <c r="E1602" t="s">
        <v>1722</v>
      </c>
      <c r="F1602" t="s">
        <v>143</v>
      </c>
      <c r="G1602" t="s">
        <v>72</v>
      </c>
      <c r="H1602" t="s">
        <v>54</v>
      </c>
      <c r="I1602" t="s">
        <v>1674</v>
      </c>
      <c r="J1602" t="s">
        <v>146</v>
      </c>
      <c r="K1602" t="s">
        <v>64</v>
      </c>
      <c r="L1602" t="s">
        <v>147</v>
      </c>
      <c r="M1602" t="s">
        <v>1545</v>
      </c>
      <c r="N1602">
        <v>16.2</v>
      </c>
      <c r="O1602">
        <v>4.05405405405405</v>
      </c>
      <c r="P1602">
        <v>120</v>
      </c>
      <c r="Q1602">
        <v>124.054054054054</v>
      </c>
      <c r="R1602">
        <v>0</v>
      </c>
      <c r="S1602">
        <v>124.054054054054</v>
      </c>
      <c r="T1602">
        <v>74</v>
      </c>
      <c r="U1602">
        <f>SUMIF(货件明细!J:J,E1602,货件明细!AP:AP)</f>
        <v>0</v>
      </c>
      <c r="V1602">
        <f>IF(U1602=T1602,0,1)</f>
        <v>1</v>
      </c>
      <c r="W1602">
        <f>T1602</f>
        <v>74</v>
      </c>
      <c r="X1602">
        <f>SUMIF(货件明细!J:J,E1602,货件明细!H:H)</f>
        <v>0</v>
      </c>
      <c r="Y1602">
        <f>N1602-X1602</f>
        <v>16.2</v>
      </c>
      <c r="Z1602">
        <f>SUMIF(货件明细!J:J,E1602,货件明细!I:I)</f>
        <v>0</v>
      </c>
      <c r="AA1602">
        <f>IF(S1602=Z1602,0,1)</f>
        <v>1</v>
      </c>
    </row>
    <row r="1603" hidden="1" spans="1:27">
      <c r="A1603">
        <v>3</v>
      </c>
      <c r="B1603">
        <v>13</v>
      </c>
      <c r="C1603" s="3">
        <v>46108</v>
      </c>
      <c r="D1603" t="s">
        <v>27</v>
      </c>
      <c r="E1603" t="s">
        <v>1723</v>
      </c>
      <c r="F1603" t="s">
        <v>200</v>
      </c>
      <c r="G1603" t="s">
        <v>30</v>
      </c>
      <c r="H1603" t="s">
        <v>54</v>
      </c>
      <c r="I1603" t="s">
        <v>1674</v>
      </c>
      <c r="J1603" t="s">
        <v>146</v>
      </c>
      <c r="K1603" t="s">
        <v>64</v>
      </c>
      <c r="L1603" t="s">
        <v>147</v>
      </c>
      <c r="M1603" t="s">
        <v>148</v>
      </c>
      <c r="N1603">
        <v>16.2</v>
      </c>
      <c r="O1603">
        <v>10.7142857142857</v>
      </c>
      <c r="P1603">
        <v>118.789473684211</v>
      </c>
      <c r="Q1603">
        <v>129.503759398496</v>
      </c>
      <c r="R1603">
        <v>0</v>
      </c>
      <c r="S1603">
        <v>129.503759398496</v>
      </c>
      <c r="T1603">
        <v>74</v>
      </c>
      <c r="U1603">
        <f>SUMIF(货件明细!J:J,E1603,货件明细!AP:AP)</f>
        <v>0</v>
      </c>
      <c r="V1603">
        <f>IF(U1603=T1603,0,1)</f>
        <v>1</v>
      </c>
      <c r="W1603">
        <f>T1603</f>
        <v>74</v>
      </c>
      <c r="X1603">
        <f>SUMIF(货件明细!J:J,E1603,货件明细!H:H)</f>
        <v>0</v>
      </c>
      <c r="Y1603">
        <f>N1603-X1603</f>
        <v>16.2</v>
      </c>
      <c r="Z1603">
        <f>SUMIF(货件明细!J:J,E1603,货件明细!I:I)</f>
        <v>0</v>
      </c>
      <c r="AA1603">
        <f>IF(S1603=Z1603,0,1)</f>
        <v>1</v>
      </c>
    </row>
    <row r="1604" hidden="1" spans="1:27">
      <c r="A1604">
        <v>3</v>
      </c>
      <c r="B1604">
        <v>13</v>
      </c>
      <c r="C1604" s="3">
        <v>46108</v>
      </c>
      <c r="D1604" t="s">
        <v>27</v>
      </c>
      <c r="E1604" t="s">
        <v>1724</v>
      </c>
      <c r="F1604" t="s">
        <v>74</v>
      </c>
      <c r="G1604" t="s">
        <v>30</v>
      </c>
      <c r="H1604" t="s">
        <v>54</v>
      </c>
      <c r="I1604" t="s">
        <v>1674</v>
      </c>
      <c r="J1604" t="s">
        <v>146</v>
      </c>
      <c r="K1604" t="s">
        <v>64</v>
      </c>
      <c r="L1604" t="s">
        <v>147</v>
      </c>
      <c r="M1604" t="s">
        <v>148</v>
      </c>
      <c r="N1604">
        <v>16.2</v>
      </c>
      <c r="O1604">
        <v>8.33333333333333</v>
      </c>
      <c r="P1604">
        <v>179</v>
      </c>
      <c r="Q1604">
        <v>187.333333333333</v>
      </c>
      <c r="R1604">
        <v>0</v>
      </c>
      <c r="S1604">
        <v>187.333333333333</v>
      </c>
      <c r="T1604">
        <v>74</v>
      </c>
      <c r="U1604">
        <f>SUMIF(货件明细!J:J,E1604,货件明细!AP:AP)</f>
        <v>0</v>
      </c>
      <c r="V1604">
        <f>IF(U1604=T1604,0,1)</f>
        <v>1</v>
      </c>
      <c r="W1604">
        <f>T1604</f>
        <v>74</v>
      </c>
      <c r="X1604">
        <f>SUMIF(货件明细!J:J,E1604,货件明细!H:H)</f>
        <v>0</v>
      </c>
      <c r="Y1604">
        <f>N1604-X1604</f>
        <v>16.2</v>
      </c>
      <c r="Z1604">
        <f>SUMIF(货件明细!J:J,E1604,货件明细!I:I)</f>
        <v>0</v>
      </c>
      <c r="AA1604">
        <f>IF(S1604=Z1604,0,1)</f>
        <v>1</v>
      </c>
    </row>
    <row r="1605" hidden="1" spans="1:27">
      <c r="A1605">
        <v>3</v>
      </c>
      <c r="B1605">
        <v>13</v>
      </c>
      <c r="C1605" s="3">
        <v>46108</v>
      </c>
      <c r="D1605" t="s">
        <v>27</v>
      </c>
      <c r="E1605" t="s">
        <v>1725</v>
      </c>
      <c r="F1605" t="s">
        <v>76</v>
      </c>
      <c r="G1605" t="s">
        <v>72</v>
      </c>
      <c r="H1605" t="s">
        <v>54</v>
      </c>
      <c r="I1605" t="s">
        <v>1674</v>
      </c>
      <c r="J1605" t="s">
        <v>146</v>
      </c>
      <c r="K1605" t="s">
        <v>64</v>
      </c>
      <c r="L1605" t="s">
        <v>147</v>
      </c>
      <c r="M1605" t="s">
        <v>1545</v>
      </c>
      <c r="N1605">
        <v>16.2</v>
      </c>
      <c r="O1605">
        <v>4.05405405405405</v>
      </c>
      <c r="P1605">
        <v>108</v>
      </c>
      <c r="Q1605">
        <v>112.054054054054</v>
      </c>
      <c r="R1605">
        <v>0</v>
      </c>
      <c r="S1605">
        <v>112.054054054054</v>
      </c>
      <c r="T1605">
        <v>74</v>
      </c>
      <c r="U1605">
        <f>SUMIF(货件明细!J:J,E1605,货件明细!AP:AP)</f>
        <v>0</v>
      </c>
      <c r="V1605">
        <f>IF(U1605=T1605,0,1)</f>
        <v>1</v>
      </c>
      <c r="W1605">
        <f>T1605</f>
        <v>74</v>
      </c>
      <c r="X1605">
        <f>SUMIF(货件明细!J:J,E1605,货件明细!H:H)</f>
        <v>0</v>
      </c>
      <c r="Y1605">
        <f>N1605-X1605</f>
        <v>16.2</v>
      </c>
      <c r="Z1605">
        <f>SUMIF(货件明细!J:J,E1605,货件明细!I:I)</f>
        <v>0</v>
      </c>
      <c r="AA1605">
        <f>IF(S1605=Z1605,0,1)</f>
        <v>1</v>
      </c>
    </row>
    <row r="1606" hidden="1" spans="1:27">
      <c r="A1606">
        <v>3</v>
      </c>
      <c r="B1606">
        <v>13</v>
      </c>
      <c r="C1606" s="3">
        <v>46108</v>
      </c>
      <c r="D1606" t="s">
        <v>27</v>
      </c>
      <c r="E1606" t="s">
        <v>1726</v>
      </c>
      <c r="F1606" t="s">
        <v>715</v>
      </c>
      <c r="G1606" t="s">
        <v>69</v>
      </c>
      <c r="H1606" t="s">
        <v>51</v>
      </c>
      <c r="I1606" t="s">
        <v>1674</v>
      </c>
      <c r="J1606" t="s">
        <v>146</v>
      </c>
      <c r="K1606" t="s">
        <v>64</v>
      </c>
      <c r="L1606" t="s">
        <v>147</v>
      </c>
      <c r="M1606" t="s">
        <v>1545</v>
      </c>
      <c r="N1606">
        <v>20</v>
      </c>
      <c r="O1606">
        <v>7.14285714285714</v>
      </c>
      <c r="P1606">
        <v>125.6</v>
      </c>
      <c r="Q1606">
        <v>132.742857142857</v>
      </c>
      <c r="R1606">
        <v>0</v>
      </c>
      <c r="S1606">
        <v>132.742857142857</v>
      </c>
      <c r="T1606">
        <v>125</v>
      </c>
      <c r="U1606">
        <f>SUMIF(货件明细!J:J,E1606,货件明细!AP:AP)</f>
        <v>0</v>
      </c>
      <c r="V1606">
        <f>IF(U1606=T1606,0,1)</f>
        <v>1</v>
      </c>
      <c r="W1606">
        <f>T1606</f>
        <v>125</v>
      </c>
      <c r="X1606">
        <f>SUMIF(货件明细!J:J,E1606,货件明细!H:H)</f>
        <v>0</v>
      </c>
      <c r="Y1606">
        <f>N1606-X1606</f>
        <v>20</v>
      </c>
      <c r="Z1606">
        <f>SUMIF(货件明细!J:J,E1606,货件明细!I:I)</f>
        <v>0</v>
      </c>
      <c r="AA1606">
        <f>IF(S1606=Z1606,0,1)</f>
        <v>1</v>
      </c>
    </row>
    <row r="1607" hidden="1" spans="1:27">
      <c r="A1607">
        <v>3</v>
      </c>
      <c r="B1607">
        <v>13</v>
      </c>
      <c r="C1607" s="3">
        <v>46108</v>
      </c>
      <c r="D1607" t="s">
        <v>27</v>
      </c>
      <c r="E1607" t="s">
        <v>1727</v>
      </c>
      <c r="F1607" t="s">
        <v>143</v>
      </c>
      <c r="G1607" t="s">
        <v>72</v>
      </c>
      <c r="H1607" t="s">
        <v>51</v>
      </c>
      <c r="I1607" t="s">
        <v>1674</v>
      </c>
      <c r="J1607" t="s">
        <v>146</v>
      </c>
      <c r="K1607" t="s">
        <v>64</v>
      </c>
      <c r="L1607" t="s">
        <v>147</v>
      </c>
      <c r="M1607" t="s">
        <v>1545</v>
      </c>
      <c r="N1607">
        <v>20</v>
      </c>
      <c r="O1607">
        <v>4.05405405405405</v>
      </c>
      <c r="P1607">
        <v>96</v>
      </c>
      <c r="Q1607">
        <v>100.054054054054</v>
      </c>
      <c r="R1607">
        <v>0</v>
      </c>
      <c r="S1607">
        <v>100.054054054054</v>
      </c>
      <c r="T1607">
        <v>125</v>
      </c>
      <c r="U1607">
        <f>SUMIF(货件明细!J:J,E1607,货件明细!AP:AP)</f>
        <v>0</v>
      </c>
      <c r="V1607">
        <f>IF(U1607=T1607,0,1)</f>
        <v>1</v>
      </c>
      <c r="W1607">
        <f>T1607</f>
        <v>125</v>
      </c>
      <c r="X1607">
        <f>SUMIF(货件明细!J:J,E1607,货件明细!H:H)</f>
        <v>0</v>
      </c>
      <c r="Y1607">
        <f>N1607-X1607</f>
        <v>20</v>
      </c>
      <c r="Z1607">
        <f>SUMIF(货件明细!J:J,E1607,货件明细!I:I)</f>
        <v>0</v>
      </c>
      <c r="AA1607">
        <f>IF(S1607=Z1607,0,1)</f>
        <v>1</v>
      </c>
    </row>
    <row r="1608" hidden="1" spans="1:27">
      <c r="A1608">
        <v>3</v>
      </c>
      <c r="B1608">
        <v>13</v>
      </c>
      <c r="C1608" s="3">
        <v>46108</v>
      </c>
      <c r="D1608" t="s">
        <v>27</v>
      </c>
      <c r="E1608" t="s">
        <v>1728</v>
      </c>
      <c r="F1608" t="s">
        <v>200</v>
      </c>
      <c r="G1608" t="s">
        <v>30</v>
      </c>
      <c r="H1608" t="s">
        <v>51</v>
      </c>
      <c r="I1608" t="s">
        <v>1674</v>
      </c>
      <c r="J1608" t="s">
        <v>146</v>
      </c>
      <c r="K1608" t="s">
        <v>64</v>
      </c>
      <c r="L1608" t="s">
        <v>147</v>
      </c>
      <c r="M1608" t="s">
        <v>148</v>
      </c>
      <c r="N1608">
        <v>20</v>
      </c>
      <c r="O1608">
        <v>10.7142857142857</v>
      </c>
      <c r="P1608">
        <v>118.789473684211</v>
      </c>
      <c r="Q1608">
        <v>129.503759398496</v>
      </c>
      <c r="R1608">
        <v>0</v>
      </c>
      <c r="S1608">
        <v>129.503759398496</v>
      </c>
      <c r="T1608">
        <v>125</v>
      </c>
      <c r="U1608">
        <f>SUMIF(货件明细!J:J,E1608,货件明细!AP:AP)</f>
        <v>0</v>
      </c>
      <c r="V1608">
        <f>IF(U1608=T1608,0,1)</f>
        <v>1</v>
      </c>
      <c r="W1608">
        <f>T1608</f>
        <v>125</v>
      </c>
      <c r="X1608">
        <f>SUMIF(货件明细!J:J,E1608,货件明细!H:H)</f>
        <v>0</v>
      </c>
      <c r="Y1608">
        <f>N1608-X1608</f>
        <v>20</v>
      </c>
      <c r="Z1608">
        <f>SUMIF(货件明细!J:J,E1608,货件明细!I:I)</f>
        <v>0</v>
      </c>
      <c r="AA1608">
        <f>IF(S1608=Z1608,0,1)</f>
        <v>1</v>
      </c>
    </row>
    <row r="1609" hidden="1" spans="1:27">
      <c r="A1609">
        <v>3</v>
      </c>
      <c r="B1609">
        <v>13</v>
      </c>
      <c r="C1609" s="3">
        <v>46108</v>
      </c>
      <c r="D1609" t="s">
        <v>27</v>
      </c>
      <c r="E1609" t="s">
        <v>1729</v>
      </c>
      <c r="F1609" t="s">
        <v>74</v>
      </c>
      <c r="G1609" t="s">
        <v>30</v>
      </c>
      <c r="H1609" t="s">
        <v>51</v>
      </c>
      <c r="I1609" t="s">
        <v>1674</v>
      </c>
      <c r="J1609" t="s">
        <v>146</v>
      </c>
      <c r="K1609" t="s">
        <v>64</v>
      </c>
      <c r="L1609" t="s">
        <v>147</v>
      </c>
      <c r="M1609" t="s">
        <v>148</v>
      </c>
      <c r="N1609">
        <v>20</v>
      </c>
      <c r="O1609">
        <v>8.33333333333333</v>
      </c>
      <c r="P1609">
        <v>143.2</v>
      </c>
      <c r="Q1609">
        <v>151.533333333333</v>
      </c>
      <c r="R1609">
        <v>0</v>
      </c>
      <c r="S1609">
        <v>151.533333333333</v>
      </c>
      <c r="T1609">
        <v>125</v>
      </c>
      <c r="U1609">
        <f>SUMIF(货件明细!J:J,E1609,货件明细!AP:AP)</f>
        <v>0</v>
      </c>
      <c r="V1609">
        <f>IF(U1609=T1609,0,1)</f>
        <v>1</v>
      </c>
      <c r="W1609">
        <f>T1609</f>
        <v>125</v>
      </c>
      <c r="X1609">
        <f>SUMIF(货件明细!J:J,E1609,货件明细!H:H)</f>
        <v>0</v>
      </c>
      <c r="Y1609">
        <f>N1609-X1609</f>
        <v>20</v>
      </c>
      <c r="Z1609">
        <f>SUMIF(货件明细!J:J,E1609,货件明细!I:I)</f>
        <v>0</v>
      </c>
      <c r="AA1609">
        <f>IF(S1609=Z1609,0,1)</f>
        <v>1</v>
      </c>
    </row>
    <row r="1610" hidden="1" spans="1:27">
      <c r="A1610">
        <v>3</v>
      </c>
      <c r="B1610">
        <v>13</v>
      </c>
      <c r="C1610" s="3">
        <v>46108</v>
      </c>
      <c r="D1610" t="s">
        <v>27</v>
      </c>
      <c r="E1610" t="s">
        <v>1730</v>
      </c>
      <c r="F1610" t="s">
        <v>76</v>
      </c>
      <c r="G1610" t="s">
        <v>72</v>
      </c>
      <c r="H1610" t="s">
        <v>51</v>
      </c>
      <c r="I1610" t="s">
        <v>1674</v>
      </c>
      <c r="J1610" t="s">
        <v>146</v>
      </c>
      <c r="K1610" t="s">
        <v>64</v>
      </c>
      <c r="L1610" t="s">
        <v>147</v>
      </c>
      <c r="M1610" t="s">
        <v>1545</v>
      </c>
      <c r="N1610">
        <v>20</v>
      </c>
      <c r="O1610">
        <v>4.05405405405405</v>
      </c>
      <c r="P1610">
        <v>97.2</v>
      </c>
      <c r="Q1610">
        <v>101.254054054054</v>
      </c>
      <c r="R1610">
        <v>0</v>
      </c>
      <c r="S1610">
        <v>101.254054054054</v>
      </c>
      <c r="T1610">
        <v>125</v>
      </c>
      <c r="U1610">
        <f>SUMIF(货件明细!J:J,E1610,货件明细!AP:AP)</f>
        <v>0</v>
      </c>
      <c r="V1610">
        <f>IF(U1610=T1610,0,1)</f>
        <v>1</v>
      </c>
      <c r="W1610">
        <f>T1610</f>
        <v>125</v>
      </c>
      <c r="X1610">
        <f>SUMIF(货件明细!J:J,E1610,货件明细!H:H)</f>
        <v>0</v>
      </c>
      <c r="Y1610">
        <f>N1610-X1610</f>
        <v>20</v>
      </c>
      <c r="Z1610">
        <f>SUMIF(货件明细!J:J,E1610,货件明细!I:I)</f>
        <v>0</v>
      </c>
      <c r="AA1610">
        <f>IF(S1610=Z1610,0,1)</f>
        <v>1</v>
      </c>
    </row>
    <row r="1611" hidden="1" spans="1:27">
      <c r="A1611">
        <v>3</v>
      </c>
      <c r="B1611">
        <v>13</v>
      </c>
      <c r="C1611" s="3">
        <v>46108</v>
      </c>
      <c r="D1611" t="s">
        <v>27</v>
      </c>
      <c r="E1611" t="s">
        <v>1731</v>
      </c>
      <c r="F1611" t="s">
        <v>715</v>
      </c>
      <c r="G1611" t="s">
        <v>69</v>
      </c>
      <c r="H1611" t="s">
        <v>37</v>
      </c>
      <c r="I1611" t="s">
        <v>1674</v>
      </c>
      <c r="J1611" t="s">
        <v>146</v>
      </c>
      <c r="K1611" t="s">
        <v>64</v>
      </c>
      <c r="L1611" t="s">
        <v>147</v>
      </c>
      <c r="M1611" t="s">
        <v>1545</v>
      </c>
      <c r="N1611">
        <v>14.35</v>
      </c>
      <c r="O1611">
        <v>7.14285714285714</v>
      </c>
      <c r="P1611">
        <v>94.2</v>
      </c>
      <c r="Q1611">
        <v>101.342857142857</v>
      </c>
      <c r="R1611">
        <v>0</v>
      </c>
      <c r="S1611">
        <v>101.342857142857</v>
      </c>
      <c r="T1611">
        <v>127</v>
      </c>
      <c r="U1611">
        <f>SUMIF(货件明细!J:J,E1611,货件明细!AP:AP)</f>
        <v>0</v>
      </c>
      <c r="V1611">
        <f>IF(U1611=T1611,0,1)</f>
        <v>1</v>
      </c>
      <c r="W1611">
        <f>T1611</f>
        <v>127</v>
      </c>
      <c r="X1611">
        <f>SUMIF(货件明细!J:J,E1611,货件明细!H:H)</f>
        <v>0</v>
      </c>
      <c r="Y1611">
        <f>N1611-X1611</f>
        <v>14.35</v>
      </c>
      <c r="Z1611">
        <f>SUMIF(货件明细!J:J,E1611,货件明细!I:I)</f>
        <v>0</v>
      </c>
      <c r="AA1611">
        <f>IF(S1611=Z1611,0,1)</f>
        <v>1</v>
      </c>
    </row>
    <row r="1612" hidden="1" spans="1:27">
      <c r="A1612">
        <v>3</v>
      </c>
      <c r="B1612">
        <v>13</v>
      </c>
      <c r="C1612" s="3">
        <v>46108</v>
      </c>
      <c r="D1612" t="s">
        <v>27</v>
      </c>
      <c r="E1612" t="s">
        <v>1732</v>
      </c>
      <c r="F1612" t="s">
        <v>143</v>
      </c>
      <c r="G1612" t="s">
        <v>72</v>
      </c>
      <c r="H1612" t="s">
        <v>37</v>
      </c>
      <c r="I1612" t="s">
        <v>1674</v>
      </c>
      <c r="J1612" t="s">
        <v>146</v>
      </c>
      <c r="K1612" t="s">
        <v>64</v>
      </c>
      <c r="L1612" t="s">
        <v>147</v>
      </c>
      <c r="M1612" t="s">
        <v>1545</v>
      </c>
      <c r="N1612">
        <v>14.35</v>
      </c>
      <c r="O1612">
        <v>4.05405405405405</v>
      </c>
      <c r="P1612">
        <v>72</v>
      </c>
      <c r="Q1612">
        <v>76.054054054054</v>
      </c>
      <c r="R1612">
        <v>0</v>
      </c>
      <c r="S1612">
        <v>76.054054054054</v>
      </c>
      <c r="T1612">
        <v>127</v>
      </c>
      <c r="U1612">
        <f>SUMIF(货件明细!J:J,E1612,货件明细!AP:AP)</f>
        <v>0</v>
      </c>
      <c r="V1612">
        <f>IF(U1612=T1612,0,1)</f>
        <v>1</v>
      </c>
      <c r="W1612">
        <f>T1612</f>
        <v>127</v>
      </c>
      <c r="X1612">
        <f>SUMIF(货件明细!J:J,E1612,货件明细!H:H)</f>
        <v>0</v>
      </c>
      <c r="Y1612">
        <f>N1612-X1612</f>
        <v>14.35</v>
      </c>
      <c r="Z1612">
        <f>SUMIF(货件明细!J:J,E1612,货件明细!I:I)</f>
        <v>0</v>
      </c>
      <c r="AA1612">
        <f>IF(S1612=Z1612,0,1)</f>
        <v>1</v>
      </c>
    </row>
    <row r="1613" hidden="1" spans="1:27">
      <c r="A1613">
        <v>3</v>
      </c>
      <c r="B1613">
        <v>13</v>
      </c>
      <c r="C1613" s="3">
        <v>46108</v>
      </c>
      <c r="D1613" t="s">
        <v>27</v>
      </c>
      <c r="E1613" t="s">
        <v>1733</v>
      </c>
      <c r="F1613" t="s">
        <v>200</v>
      </c>
      <c r="G1613" t="s">
        <v>30</v>
      </c>
      <c r="H1613" t="s">
        <v>37</v>
      </c>
      <c r="I1613" t="s">
        <v>1674</v>
      </c>
      <c r="J1613" t="s">
        <v>146</v>
      </c>
      <c r="K1613" t="s">
        <v>64</v>
      </c>
      <c r="L1613" t="s">
        <v>147</v>
      </c>
      <c r="M1613" t="s">
        <v>148</v>
      </c>
      <c r="N1613">
        <v>14.35</v>
      </c>
      <c r="O1613">
        <v>10.7142857142857</v>
      </c>
      <c r="P1613">
        <v>118.789473684211</v>
      </c>
      <c r="Q1613">
        <v>129.503759398496</v>
      </c>
      <c r="R1613">
        <v>0</v>
      </c>
      <c r="S1613">
        <v>129.503759398496</v>
      </c>
      <c r="T1613">
        <v>127</v>
      </c>
      <c r="U1613">
        <f>SUMIF(货件明细!J:J,E1613,货件明细!AP:AP)</f>
        <v>0</v>
      </c>
      <c r="V1613">
        <f>IF(U1613=T1613,0,1)</f>
        <v>1</v>
      </c>
      <c r="W1613">
        <f>T1613</f>
        <v>127</v>
      </c>
      <c r="X1613">
        <f>SUMIF(货件明细!J:J,E1613,货件明细!H:H)</f>
        <v>0</v>
      </c>
      <c r="Y1613">
        <f>N1613-X1613</f>
        <v>14.35</v>
      </c>
      <c r="Z1613">
        <f>SUMIF(货件明细!J:J,E1613,货件明细!I:I)</f>
        <v>0</v>
      </c>
      <c r="AA1613">
        <f>IF(S1613=Z1613,0,1)</f>
        <v>1</v>
      </c>
    </row>
    <row r="1614" hidden="1" spans="1:27">
      <c r="A1614">
        <v>3</v>
      </c>
      <c r="B1614">
        <v>13</v>
      </c>
      <c r="C1614" s="3">
        <v>46108</v>
      </c>
      <c r="D1614" t="s">
        <v>27</v>
      </c>
      <c r="E1614" t="s">
        <v>1734</v>
      </c>
      <c r="F1614" t="s">
        <v>74</v>
      </c>
      <c r="G1614" t="s">
        <v>30</v>
      </c>
      <c r="H1614" t="s">
        <v>37</v>
      </c>
      <c r="I1614" t="s">
        <v>1674</v>
      </c>
      <c r="J1614" t="s">
        <v>146</v>
      </c>
      <c r="K1614" t="s">
        <v>64</v>
      </c>
      <c r="L1614" t="s">
        <v>147</v>
      </c>
      <c r="M1614" t="s">
        <v>148</v>
      </c>
      <c r="N1614">
        <v>14.35</v>
      </c>
      <c r="O1614">
        <v>8.33333333333333</v>
      </c>
      <c r="P1614">
        <v>107.4</v>
      </c>
      <c r="Q1614">
        <v>115.733333333333</v>
      </c>
      <c r="R1614">
        <v>0</v>
      </c>
      <c r="S1614">
        <v>115.733333333333</v>
      </c>
      <c r="T1614">
        <v>127</v>
      </c>
      <c r="U1614">
        <f>SUMIF(货件明细!J:J,E1614,货件明细!AP:AP)</f>
        <v>0</v>
      </c>
      <c r="V1614">
        <f>IF(U1614=T1614,0,1)</f>
        <v>1</v>
      </c>
      <c r="W1614">
        <f>T1614</f>
        <v>127</v>
      </c>
      <c r="X1614">
        <f>SUMIF(货件明细!J:J,E1614,货件明细!H:H)</f>
        <v>0</v>
      </c>
      <c r="Y1614">
        <f>N1614-X1614</f>
        <v>14.35</v>
      </c>
      <c r="Z1614">
        <f>SUMIF(货件明细!J:J,E1614,货件明细!I:I)</f>
        <v>0</v>
      </c>
      <c r="AA1614">
        <f>IF(S1614=Z1614,0,1)</f>
        <v>1</v>
      </c>
    </row>
    <row r="1615" hidden="1" spans="1:27">
      <c r="A1615">
        <v>3</v>
      </c>
      <c r="B1615">
        <v>13</v>
      </c>
      <c r="C1615" s="3">
        <v>46108</v>
      </c>
      <c r="D1615" t="s">
        <v>27</v>
      </c>
      <c r="E1615" t="s">
        <v>1735</v>
      </c>
      <c r="F1615" t="s">
        <v>76</v>
      </c>
      <c r="G1615" t="s">
        <v>72</v>
      </c>
      <c r="H1615" t="s">
        <v>37</v>
      </c>
      <c r="I1615" t="s">
        <v>1674</v>
      </c>
      <c r="J1615" t="s">
        <v>146</v>
      </c>
      <c r="K1615" t="s">
        <v>64</v>
      </c>
      <c r="L1615" t="s">
        <v>147</v>
      </c>
      <c r="M1615" t="s">
        <v>1545</v>
      </c>
      <c r="N1615">
        <v>14.35</v>
      </c>
      <c r="O1615">
        <v>4.05405405405405</v>
      </c>
      <c r="P1615">
        <v>64.8</v>
      </c>
      <c r="Q1615">
        <v>68.854054054054</v>
      </c>
      <c r="R1615">
        <v>0</v>
      </c>
      <c r="S1615">
        <v>68.854054054054</v>
      </c>
      <c r="T1615">
        <v>127</v>
      </c>
      <c r="U1615">
        <f>SUMIF(货件明细!J:J,E1615,货件明细!AP:AP)</f>
        <v>0</v>
      </c>
      <c r="V1615">
        <f>IF(U1615=T1615,0,1)</f>
        <v>1</v>
      </c>
      <c r="W1615">
        <f>T1615</f>
        <v>127</v>
      </c>
      <c r="X1615">
        <f>SUMIF(货件明细!J:J,E1615,货件明细!H:H)</f>
        <v>0</v>
      </c>
      <c r="Y1615">
        <f>N1615-X1615</f>
        <v>14.35</v>
      </c>
      <c r="Z1615">
        <f>SUMIF(货件明细!J:J,E1615,货件明细!I:I)</f>
        <v>0</v>
      </c>
      <c r="AA1615">
        <f>IF(S1615=Z1615,0,1)</f>
        <v>1</v>
      </c>
    </row>
    <row r="1616" hidden="1" spans="1:27">
      <c r="A1616">
        <v>3</v>
      </c>
      <c r="B1616">
        <v>13</v>
      </c>
      <c r="C1616" s="3">
        <v>46108</v>
      </c>
      <c r="D1616" t="s">
        <v>27</v>
      </c>
      <c r="E1616" t="s">
        <v>1736</v>
      </c>
      <c r="F1616" t="s">
        <v>715</v>
      </c>
      <c r="G1616" t="s">
        <v>69</v>
      </c>
      <c r="H1616" t="s">
        <v>39</v>
      </c>
      <c r="I1616" t="s">
        <v>1674</v>
      </c>
      <c r="J1616" t="s">
        <v>146</v>
      </c>
      <c r="K1616" t="s">
        <v>64</v>
      </c>
      <c r="L1616" t="s">
        <v>147</v>
      </c>
      <c r="M1616" t="s">
        <v>1545</v>
      </c>
      <c r="N1616">
        <v>14.85</v>
      </c>
      <c r="O1616">
        <v>7.14285714285714</v>
      </c>
      <c r="P1616">
        <v>94.2</v>
      </c>
      <c r="Q1616">
        <v>101.342857142857</v>
      </c>
      <c r="R1616">
        <v>0</v>
      </c>
      <c r="S1616">
        <v>101.342857142857</v>
      </c>
      <c r="T1616">
        <v>79</v>
      </c>
      <c r="U1616">
        <f>SUMIF(货件明细!J:J,E1616,货件明细!AP:AP)</f>
        <v>0</v>
      </c>
      <c r="V1616">
        <f>IF(U1616=T1616,0,1)</f>
        <v>1</v>
      </c>
      <c r="W1616">
        <f>T1616</f>
        <v>79</v>
      </c>
      <c r="X1616">
        <f>SUMIF(货件明细!J:J,E1616,货件明细!H:H)</f>
        <v>0</v>
      </c>
      <c r="Y1616">
        <f>N1616-X1616</f>
        <v>14.85</v>
      </c>
      <c r="Z1616">
        <f>SUMIF(货件明细!J:J,E1616,货件明细!I:I)</f>
        <v>0</v>
      </c>
      <c r="AA1616">
        <f>IF(S1616=Z1616,0,1)</f>
        <v>1</v>
      </c>
    </row>
    <row r="1617" hidden="1" spans="1:27">
      <c r="A1617">
        <v>3</v>
      </c>
      <c r="B1617">
        <v>13</v>
      </c>
      <c r="C1617" s="3">
        <v>46108</v>
      </c>
      <c r="D1617" t="s">
        <v>27</v>
      </c>
      <c r="E1617" t="s">
        <v>1737</v>
      </c>
      <c r="F1617" t="s">
        <v>143</v>
      </c>
      <c r="G1617" t="s">
        <v>72</v>
      </c>
      <c r="H1617" t="s">
        <v>39</v>
      </c>
      <c r="I1617" t="s">
        <v>1674</v>
      </c>
      <c r="J1617" t="s">
        <v>146</v>
      </c>
      <c r="K1617" t="s">
        <v>64</v>
      </c>
      <c r="L1617" t="s">
        <v>147</v>
      </c>
      <c r="M1617" t="s">
        <v>1545</v>
      </c>
      <c r="N1617">
        <v>14.85</v>
      </c>
      <c r="O1617">
        <v>4.05405405405405</v>
      </c>
      <c r="P1617">
        <v>72</v>
      </c>
      <c r="Q1617">
        <v>76.054054054054</v>
      </c>
      <c r="R1617">
        <v>0</v>
      </c>
      <c r="S1617">
        <v>76.054054054054</v>
      </c>
      <c r="T1617">
        <v>79</v>
      </c>
      <c r="U1617">
        <f>SUMIF(货件明细!J:J,E1617,货件明细!AP:AP)</f>
        <v>0</v>
      </c>
      <c r="V1617">
        <f>IF(U1617=T1617,0,1)</f>
        <v>1</v>
      </c>
      <c r="W1617">
        <f>T1617</f>
        <v>79</v>
      </c>
      <c r="X1617">
        <f>SUMIF(货件明细!J:J,E1617,货件明细!H:H)</f>
        <v>0</v>
      </c>
      <c r="Y1617">
        <f>N1617-X1617</f>
        <v>14.85</v>
      </c>
      <c r="Z1617">
        <f>SUMIF(货件明细!J:J,E1617,货件明细!I:I)</f>
        <v>0</v>
      </c>
      <c r="AA1617">
        <f>IF(S1617=Z1617,0,1)</f>
        <v>1</v>
      </c>
    </row>
    <row r="1618" hidden="1" spans="1:27">
      <c r="A1618">
        <v>3</v>
      </c>
      <c r="B1618">
        <v>13</v>
      </c>
      <c r="C1618" s="3">
        <v>46108</v>
      </c>
      <c r="D1618" t="s">
        <v>27</v>
      </c>
      <c r="E1618" t="s">
        <v>1738</v>
      </c>
      <c r="F1618" t="s">
        <v>200</v>
      </c>
      <c r="G1618" t="s">
        <v>30</v>
      </c>
      <c r="H1618" t="s">
        <v>39</v>
      </c>
      <c r="I1618" t="s">
        <v>1674</v>
      </c>
      <c r="J1618" t="s">
        <v>146</v>
      </c>
      <c r="K1618" t="s">
        <v>64</v>
      </c>
      <c r="L1618" t="s">
        <v>147</v>
      </c>
      <c r="M1618" t="s">
        <v>148</v>
      </c>
      <c r="N1618">
        <v>14.85</v>
      </c>
      <c r="O1618">
        <v>10.7142857142857</v>
      </c>
      <c r="P1618">
        <v>118.789473684211</v>
      </c>
      <c r="Q1618">
        <v>129.503759398496</v>
      </c>
      <c r="R1618">
        <v>0</v>
      </c>
      <c r="S1618">
        <v>129.503759398496</v>
      </c>
      <c r="T1618">
        <v>79</v>
      </c>
      <c r="U1618">
        <f>SUMIF(货件明细!J:J,E1618,货件明细!AP:AP)</f>
        <v>0</v>
      </c>
      <c r="V1618">
        <f>IF(U1618=T1618,0,1)</f>
        <v>1</v>
      </c>
      <c r="W1618">
        <f>T1618</f>
        <v>79</v>
      </c>
      <c r="X1618">
        <f>SUMIF(货件明细!J:J,E1618,货件明细!H:H)</f>
        <v>0</v>
      </c>
      <c r="Y1618">
        <f>N1618-X1618</f>
        <v>14.85</v>
      </c>
      <c r="Z1618">
        <f>SUMIF(货件明细!J:J,E1618,货件明细!I:I)</f>
        <v>0</v>
      </c>
      <c r="AA1618">
        <f>IF(S1618=Z1618,0,1)</f>
        <v>1</v>
      </c>
    </row>
    <row r="1619" hidden="1" spans="1:27">
      <c r="A1619">
        <v>3</v>
      </c>
      <c r="B1619">
        <v>13</v>
      </c>
      <c r="C1619" s="3">
        <v>46108</v>
      </c>
      <c r="D1619" t="s">
        <v>27</v>
      </c>
      <c r="E1619" t="s">
        <v>1739</v>
      </c>
      <c r="F1619" t="s">
        <v>74</v>
      </c>
      <c r="G1619" t="s">
        <v>30</v>
      </c>
      <c r="H1619" t="s">
        <v>39</v>
      </c>
      <c r="I1619" t="s">
        <v>1674</v>
      </c>
      <c r="J1619" t="s">
        <v>146</v>
      </c>
      <c r="K1619" t="s">
        <v>64</v>
      </c>
      <c r="L1619" t="s">
        <v>147</v>
      </c>
      <c r="M1619" t="s">
        <v>148</v>
      </c>
      <c r="N1619">
        <v>14.85</v>
      </c>
      <c r="O1619">
        <v>8.33333333333333</v>
      </c>
      <c r="P1619">
        <v>107.4</v>
      </c>
      <c r="Q1619">
        <v>115.733333333333</v>
      </c>
      <c r="R1619">
        <v>0</v>
      </c>
      <c r="S1619">
        <v>115.733333333333</v>
      </c>
      <c r="T1619">
        <v>79</v>
      </c>
      <c r="U1619">
        <f>SUMIF(货件明细!J:J,E1619,货件明细!AP:AP)</f>
        <v>0</v>
      </c>
      <c r="V1619">
        <f>IF(U1619=T1619,0,1)</f>
        <v>1</v>
      </c>
      <c r="W1619">
        <f>T1619</f>
        <v>79</v>
      </c>
      <c r="X1619">
        <f>SUMIF(货件明细!J:J,E1619,货件明细!H:H)</f>
        <v>0</v>
      </c>
      <c r="Y1619">
        <f>N1619-X1619</f>
        <v>14.85</v>
      </c>
      <c r="Z1619">
        <f>SUMIF(货件明细!J:J,E1619,货件明细!I:I)</f>
        <v>0</v>
      </c>
      <c r="AA1619">
        <f>IF(S1619=Z1619,0,1)</f>
        <v>1</v>
      </c>
    </row>
    <row r="1620" hidden="1" spans="1:27">
      <c r="A1620">
        <v>3</v>
      </c>
      <c r="B1620">
        <v>13</v>
      </c>
      <c r="C1620" s="3">
        <v>46108</v>
      </c>
      <c r="D1620" t="s">
        <v>27</v>
      </c>
      <c r="E1620" t="s">
        <v>1740</v>
      </c>
      <c r="F1620" t="s">
        <v>76</v>
      </c>
      <c r="G1620" t="s">
        <v>72</v>
      </c>
      <c r="H1620" t="s">
        <v>39</v>
      </c>
      <c r="I1620" t="s">
        <v>1674</v>
      </c>
      <c r="J1620" t="s">
        <v>146</v>
      </c>
      <c r="K1620" t="s">
        <v>64</v>
      </c>
      <c r="L1620" t="s">
        <v>147</v>
      </c>
      <c r="M1620" t="s">
        <v>1545</v>
      </c>
      <c r="N1620">
        <v>14.85</v>
      </c>
      <c r="O1620">
        <v>4.05405405405405</v>
      </c>
      <c r="P1620">
        <v>64.8</v>
      </c>
      <c r="Q1620">
        <v>68.854054054054</v>
      </c>
      <c r="R1620">
        <v>0</v>
      </c>
      <c r="S1620">
        <v>68.854054054054</v>
      </c>
      <c r="T1620">
        <v>79</v>
      </c>
      <c r="U1620">
        <f>SUMIF(货件明细!J:J,E1620,货件明细!AP:AP)</f>
        <v>0</v>
      </c>
      <c r="V1620">
        <f>IF(U1620=T1620,0,1)</f>
        <v>1</v>
      </c>
      <c r="W1620">
        <f>T1620</f>
        <v>79</v>
      </c>
      <c r="X1620">
        <f>SUMIF(货件明细!J:J,E1620,货件明细!H:H)</f>
        <v>0</v>
      </c>
      <c r="Y1620">
        <f>N1620-X1620</f>
        <v>14.85</v>
      </c>
      <c r="Z1620">
        <f>SUMIF(货件明细!J:J,E1620,货件明细!I:I)</f>
        <v>0</v>
      </c>
      <c r="AA1620">
        <f>IF(S1620=Z1620,0,1)</f>
        <v>1</v>
      </c>
    </row>
    <row r="1621" hidden="1" spans="1:27">
      <c r="A1621">
        <v>3</v>
      </c>
      <c r="B1621">
        <v>13</v>
      </c>
      <c r="C1621" s="3">
        <v>46108</v>
      </c>
      <c r="D1621" t="s">
        <v>27</v>
      </c>
      <c r="E1621" t="s">
        <v>1741</v>
      </c>
      <c r="F1621" t="s">
        <v>203</v>
      </c>
      <c r="G1621" t="s">
        <v>72</v>
      </c>
      <c r="H1621" t="s">
        <v>78</v>
      </c>
      <c r="I1621" t="s">
        <v>1674</v>
      </c>
      <c r="J1621" t="s">
        <v>146</v>
      </c>
      <c r="K1621" t="s">
        <v>64</v>
      </c>
      <c r="L1621" t="s">
        <v>147</v>
      </c>
      <c r="M1621" t="s">
        <v>1545</v>
      </c>
      <c r="N1621">
        <v>35.75</v>
      </c>
      <c r="O1621">
        <v>75</v>
      </c>
      <c r="P1621">
        <v>183.6</v>
      </c>
      <c r="Q1621">
        <v>258.6</v>
      </c>
      <c r="R1621">
        <v>521.25</v>
      </c>
      <c r="S1621">
        <v>779.85</v>
      </c>
      <c r="T1621">
        <v>250</v>
      </c>
      <c r="U1621">
        <f>SUMIF(货件明细!J:J,E1621,货件明细!AP:AP)</f>
        <v>0</v>
      </c>
      <c r="V1621">
        <f>IF(U1621=T1621,0,1)</f>
        <v>1</v>
      </c>
      <c r="W1621">
        <f>T1621</f>
        <v>250</v>
      </c>
      <c r="X1621">
        <f>SUMIF(货件明细!J:J,E1621,货件明细!H:H)</f>
        <v>0</v>
      </c>
      <c r="Y1621">
        <f>N1621-X1621</f>
        <v>35.75</v>
      </c>
      <c r="Z1621">
        <f>SUMIF(货件明细!J:J,E1621,货件明细!I:I)</f>
        <v>0</v>
      </c>
      <c r="AA1621">
        <f>IF(S1621=Z1621,0,1)</f>
        <v>1</v>
      </c>
    </row>
    <row r="1622" hidden="1" spans="1:27">
      <c r="A1622">
        <v>3</v>
      </c>
      <c r="B1622">
        <v>13</v>
      </c>
      <c r="C1622" s="3">
        <v>46108</v>
      </c>
      <c r="D1622" t="s">
        <v>27</v>
      </c>
      <c r="E1622" t="s">
        <v>1742</v>
      </c>
      <c r="F1622" t="s">
        <v>715</v>
      </c>
      <c r="G1622" t="s">
        <v>69</v>
      </c>
      <c r="H1622" t="s">
        <v>31</v>
      </c>
      <c r="I1622" t="s">
        <v>1674</v>
      </c>
      <c r="J1622" t="s">
        <v>146</v>
      </c>
      <c r="K1622" t="s">
        <v>64</v>
      </c>
      <c r="L1622" t="s">
        <v>147</v>
      </c>
      <c r="M1622" t="s">
        <v>1545</v>
      </c>
      <c r="N1622">
        <v>36.85</v>
      </c>
      <c r="O1622">
        <v>7.14285714285714</v>
      </c>
      <c r="P1622">
        <v>251.2</v>
      </c>
      <c r="Q1622">
        <v>258.342857142857</v>
      </c>
      <c r="R1622">
        <v>0</v>
      </c>
      <c r="S1622">
        <v>258.342857142857</v>
      </c>
      <c r="T1622">
        <v>232</v>
      </c>
      <c r="U1622">
        <f>SUMIF(货件明细!J:J,E1622,货件明细!AP:AP)</f>
        <v>0</v>
      </c>
      <c r="V1622">
        <f>IF(U1622=T1622,0,1)</f>
        <v>1</v>
      </c>
      <c r="W1622">
        <f>T1622</f>
        <v>232</v>
      </c>
      <c r="X1622">
        <f>SUMIF(货件明细!J:J,E1622,货件明细!H:H)</f>
        <v>0</v>
      </c>
      <c r="Y1622">
        <f>N1622-X1622</f>
        <v>36.85</v>
      </c>
      <c r="Z1622">
        <f>SUMIF(货件明细!J:J,E1622,货件明细!I:I)</f>
        <v>0</v>
      </c>
      <c r="AA1622">
        <f>IF(S1622=Z1622,0,1)</f>
        <v>1</v>
      </c>
    </row>
    <row r="1623" hidden="1" spans="1:27">
      <c r="A1623">
        <v>3</v>
      </c>
      <c r="B1623">
        <v>13</v>
      </c>
      <c r="C1623" s="3">
        <v>46108</v>
      </c>
      <c r="D1623" t="s">
        <v>27</v>
      </c>
      <c r="E1623" t="s">
        <v>1743</v>
      </c>
      <c r="F1623" t="s">
        <v>143</v>
      </c>
      <c r="G1623" t="s">
        <v>72</v>
      </c>
      <c r="H1623" t="s">
        <v>31</v>
      </c>
      <c r="I1623" t="s">
        <v>1674</v>
      </c>
      <c r="J1623" t="s">
        <v>146</v>
      </c>
      <c r="K1623" t="s">
        <v>64</v>
      </c>
      <c r="L1623" t="s">
        <v>147</v>
      </c>
      <c r="M1623" t="s">
        <v>1545</v>
      </c>
      <c r="N1623">
        <v>36.85</v>
      </c>
      <c r="O1623">
        <v>4.05405405405405</v>
      </c>
      <c r="P1623">
        <v>192</v>
      </c>
      <c r="Q1623">
        <v>196.054054054054</v>
      </c>
      <c r="R1623">
        <v>0</v>
      </c>
      <c r="S1623">
        <v>196.054054054054</v>
      </c>
      <c r="T1623">
        <v>232</v>
      </c>
      <c r="U1623">
        <f>SUMIF(货件明细!J:J,E1623,货件明细!AP:AP)</f>
        <v>0</v>
      </c>
      <c r="V1623">
        <f>IF(U1623=T1623,0,1)</f>
        <v>1</v>
      </c>
      <c r="W1623">
        <f>T1623</f>
        <v>232</v>
      </c>
      <c r="X1623">
        <f>SUMIF(货件明细!J:J,E1623,货件明细!H:H)</f>
        <v>0</v>
      </c>
      <c r="Y1623">
        <f>N1623-X1623</f>
        <v>36.85</v>
      </c>
      <c r="Z1623">
        <f>SUMIF(货件明细!J:J,E1623,货件明细!I:I)</f>
        <v>0</v>
      </c>
      <c r="AA1623">
        <f>IF(S1623=Z1623,0,1)</f>
        <v>1</v>
      </c>
    </row>
    <row r="1624" hidden="1" spans="1:27">
      <c r="A1624">
        <v>3</v>
      </c>
      <c r="B1624">
        <v>13</v>
      </c>
      <c r="C1624" s="3">
        <v>46108</v>
      </c>
      <c r="D1624" t="s">
        <v>27</v>
      </c>
      <c r="E1624" t="s">
        <v>1744</v>
      </c>
      <c r="F1624" t="s">
        <v>200</v>
      </c>
      <c r="G1624" t="s">
        <v>30</v>
      </c>
      <c r="H1624" t="s">
        <v>31</v>
      </c>
      <c r="I1624" t="s">
        <v>1674</v>
      </c>
      <c r="J1624" t="s">
        <v>146</v>
      </c>
      <c r="K1624" t="s">
        <v>64</v>
      </c>
      <c r="L1624" t="s">
        <v>147</v>
      </c>
      <c r="M1624" t="s">
        <v>148</v>
      </c>
      <c r="N1624">
        <v>36.85</v>
      </c>
      <c r="O1624">
        <v>10.7142857142857</v>
      </c>
      <c r="P1624">
        <v>237.578947368421</v>
      </c>
      <c r="Q1624">
        <v>248.293233082707</v>
      </c>
      <c r="R1624">
        <v>0</v>
      </c>
      <c r="S1624">
        <v>248.293233082707</v>
      </c>
      <c r="T1624">
        <v>232</v>
      </c>
      <c r="U1624">
        <f>SUMIF(货件明细!J:J,E1624,货件明细!AP:AP)</f>
        <v>0</v>
      </c>
      <c r="V1624">
        <f>IF(U1624=T1624,0,1)</f>
        <v>1</v>
      </c>
      <c r="W1624">
        <f>T1624</f>
        <v>232</v>
      </c>
      <c r="X1624">
        <f>SUMIF(货件明细!J:J,E1624,货件明细!H:H)</f>
        <v>0</v>
      </c>
      <c r="Y1624">
        <f>N1624-X1624</f>
        <v>36.85</v>
      </c>
      <c r="Z1624">
        <f>SUMIF(货件明细!J:J,E1624,货件明细!I:I)</f>
        <v>0</v>
      </c>
      <c r="AA1624">
        <f>IF(S1624=Z1624,0,1)</f>
        <v>1</v>
      </c>
    </row>
    <row r="1625" hidden="1" spans="1:27">
      <c r="A1625">
        <v>3</v>
      </c>
      <c r="B1625">
        <v>13</v>
      </c>
      <c r="C1625" s="3">
        <v>46108</v>
      </c>
      <c r="D1625" t="s">
        <v>27</v>
      </c>
      <c r="E1625" t="s">
        <v>1745</v>
      </c>
      <c r="F1625" t="s">
        <v>74</v>
      </c>
      <c r="G1625" t="s">
        <v>30</v>
      </c>
      <c r="H1625" t="s">
        <v>31</v>
      </c>
      <c r="I1625" t="s">
        <v>1674</v>
      </c>
      <c r="J1625" t="s">
        <v>146</v>
      </c>
      <c r="K1625" t="s">
        <v>64</v>
      </c>
      <c r="L1625" t="s">
        <v>147</v>
      </c>
      <c r="M1625" t="s">
        <v>148</v>
      </c>
      <c r="N1625">
        <v>36.85</v>
      </c>
      <c r="O1625">
        <v>8.33333333333333</v>
      </c>
      <c r="P1625">
        <v>286.4</v>
      </c>
      <c r="Q1625">
        <v>294.733333333333</v>
      </c>
      <c r="R1625">
        <v>0</v>
      </c>
      <c r="S1625">
        <v>294.733333333333</v>
      </c>
      <c r="T1625">
        <v>232</v>
      </c>
      <c r="U1625">
        <f>SUMIF(货件明细!J:J,E1625,货件明细!AP:AP)</f>
        <v>0</v>
      </c>
      <c r="V1625">
        <f>IF(U1625=T1625,0,1)</f>
        <v>1</v>
      </c>
      <c r="W1625">
        <f>T1625</f>
        <v>232</v>
      </c>
      <c r="X1625">
        <f>SUMIF(货件明细!J:J,E1625,货件明细!H:H)</f>
        <v>0</v>
      </c>
      <c r="Y1625">
        <f>N1625-X1625</f>
        <v>36.85</v>
      </c>
      <c r="Z1625">
        <f>SUMIF(货件明细!J:J,E1625,货件明细!I:I)</f>
        <v>0</v>
      </c>
      <c r="AA1625">
        <f>IF(S1625=Z1625,0,1)</f>
        <v>1</v>
      </c>
    </row>
    <row r="1626" hidden="1" spans="1:27">
      <c r="A1626">
        <v>3</v>
      </c>
      <c r="B1626">
        <v>13</v>
      </c>
      <c r="C1626" s="3">
        <v>46108</v>
      </c>
      <c r="D1626" t="s">
        <v>27</v>
      </c>
      <c r="E1626" t="s">
        <v>1746</v>
      </c>
      <c r="F1626" t="s">
        <v>76</v>
      </c>
      <c r="G1626" t="s">
        <v>72</v>
      </c>
      <c r="H1626" t="s">
        <v>31</v>
      </c>
      <c r="I1626" t="s">
        <v>1674</v>
      </c>
      <c r="J1626" t="s">
        <v>146</v>
      </c>
      <c r="K1626" t="s">
        <v>64</v>
      </c>
      <c r="L1626" t="s">
        <v>147</v>
      </c>
      <c r="M1626" t="s">
        <v>1545</v>
      </c>
      <c r="N1626">
        <v>36.85</v>
      </c>
      <c r="O1626">
        <v>4.05405405405405</v>
      </c>
      <c r="P1626">
        <v>172.8</v>
      </c>
      <c r="Q1626">
        <v>176.854054054054</v>
      </c>
      <c r="R1626">
        <v>0</v>
      </c>
      <c r="S1626">
        <v>176.854054054054</v>
      </c>
      <c r="T1626">
        <v>232</v>
      </c>
      <c r="U1626">
        <f>SUMIF(货件明细!J:J,E1626,货件明细!AP:AP)</f>
        <v>0</v>
      </c>
      <c r="V1626">
        <f>IF(U1626=T1626,0,1)</f>
        <v>1</v>
      </c>
      <c r="W1626">
        <f>T1626</f>
        <v>232</v>
      </c>
      <c r="X1626">
        <f>SUMIF(货件明细!J:J,E1626,货件明细!H:H)</f>
        <v>0</v>
      </c>
      <c r="Y1626">
        <f>N1626-X1626</f>
        <v>36.85</v>
      </c>
      <c r="Z1626">
        <f>SUMIF(货件明细!J:J,E1626,货件明细!I:I)</f>
        <v>0</v>
      </c>
      <c r="AA1626">
        <f>IF(S1626=Z1626,0,1)</f>
        <v>1</v>
      </c>
    </row>
    <row r="1627" hidden="1" spans="1:27">
      <c r="A1627">
        <v>3</v>
      </c>
      <c r="B1627">
        <v>13</v>
      </c>
      <c r="C1627" s="3">
        <v>46108</v>
      </c>
      <c r="D1627" t="s">
        <v>27</v>
      </c>
      <c r="E1627" t="s">
        <v>1747</v>
      </c>
      <c r="F1627" t="s">
        <v>715</v>
      </c>
      <c r="G1627" t="s">
        <v>69</v>
      </c>
      <c r="H1627" t="s">
        <v>56</v>
      </c>
      <c r="I1627" t="s">
        <v>1674</v>
      </c>
      <c r="J1627" t="s">
        <v>146</v>
      </c>
      <c r="K1627" t="s">
        <v>64</v>
      </c>
      <c r="L1627" t="s">
        <v>147</v>
      </c>
      <c r="M1627" t="s">
        <v>1545</v>
      </c>
      <c r="N1627">
        <v>65.35</v>
      </c>
      <c r="O1627">
        <v>7.14285714285714</v>
      </c>
      <c r="P1627">
        <v>408.2</v>
      </c>
      <c r="Q1627">
        <v>415.342857142857</v>
      </c>
      <c r="R1627">
        <v>0</v>
      </c>
      <c r="S1627">
        <v>415.342857142857</v>
      </c>
      <c r="T1627">
        <v>341</v>
      </c>
      <c r="U1627">
        <f>SUMIF(货件明细!J:J,E1627,货件明细!AP:AP)</f>
        <v>0</v>
      </c>
      <c r="V1627">
        <f>IF(U1627=T1627,0,1)</f>
        <v>1</v>
      </c>
      <c r="W1627">
        <f>T1627</f>
        <v>341</v>
      </c>
      <c r="X1627">
        <f>SUMIF(货件明细!J:J,E1627,货件明细!H:H)</f>
        <v>0</v>
      </c>
      <c r="Y1627">
        <f>N1627-X1627</f>
        <v>65.35</v>
      </c>
      <c r="Z1627">
        <f>SUMIF(货件明细!J:J,E1627,货件明细!I:I)</f>
        <v>0</v>
      </c>
      <c r="AA1627">
        <f>IF(S1627=Z1627,0,1)</f>
        <v>1</v>
      </c>
    </row>
    <row r="1628" hidden="1" spans="1:27">
      <c r="A1628">
        <v>3</v>
      </c>
      <c r="B1628">
        <v>13</v>
      </c>
      <c r="C1628" s="3">
        <v>46108</v>
      </c>
      <c r="D1628" t="s">
        <v>27</v>
      </c>
      <c r="E1628" t="s">
        <v>1748</v>
      </c>
      <c r="F1628" t="s">
        <v>143</v>
      </c>
      <c r="G1628" t="s">
        <v>72</v>
      </c>
      <c r="H1628" t="s">
        <v>56</v>
      </c>
      <c r="I1628" t="s">
        <v>1674</v>
      </c>
      <c r="J1628" t="s">
        <v>146</v>
      </c>
      <c r="K1628" t="s">
        <v>64</v>
      </c>
      <c r="L1628" t="s">
        <v>147</v>
      </c>
      <c r="M1628" t="s">
        <v>1545</v>
      </c>
      <c r="N1628">
        <v>65.35</v>
      </c>
      <c r="O1628">
        <v>4.05405405405405</v>
      </c>
      <c r="P1628">
        <v>312</v>
      </c>
      <c r="Q1628">
        <v>316.054054054054</v>
      </c>
      <c r="R1628">
        <v>0</v>
      </c>
      <c r="S1628">
        <v>316.054054054054</v>
      </c>
      <c r="T1628">
        <v>341</v>
      </c>
      <c r="U1628">
        <f>SUMIF(货件明细!J:J,E1628,货件明细!AP:AP)</f>
        <v>0</v>
      </c>
      <c r="V1628">
        <f>IF(U1628=T1628,0,1)</f>
        <v>1</v>
      </c>
      <c r="W1628">
        <f>T1628</f>
        <v>341</v>
      </c>
      <c r="X1628">
        <f>SUMIF(货件明细!J:J,E1628,货件明细!H:H)</f>
        <v>0</v>
      </c>
      <c r="Y1628">
        <f>N1628-X1628</f>
        <v>65.35</v>
      </c>
      <c r="Z1628">
        <f>SUMIF(货件明细!J:J,E1628,货件明细!I:I)</f>
        <v>0</v>
      </c>
      <c r="AA1628">
        <f>IF(S1628=Z1628,0,1)</f>
        <v>1</v>
      </c>
    </row>
    <row r="1629" hidden="1" spans="1:27">
      <c r="A1629">
        <v>3</v>
      </c>
      <c r="B1629">
        <v>13</v>
      </c>
      <c r="C1629" s="3">
        <v>46108</v>
      </c>
      <c r="D1629" t="s">
        <v>27</v>
      </c>
      <c r="E1629" t="s">
        <v>1749</v>
      </c>
      <c r="F1629" t="s">
        <v>200</v>
      </c>
      <c r="G1629" t="s">
        <v>30</v>
      </c>
      <c r="H1629" t="s">
        <v>56</v>
      </c>
      <c r="I1629" t="s">
        <v>1674</v>
      </c>
      <c r="J1629" t="s">
        <v>146</v>
      </c>
      <c r="K1629" t="s">
        <v>64</v>
      </c>
      <c r="L1629" t="s">
        <v>147</v>
      </c>
      <c r="M1629" t="s">
        <v>148</v>
      </c>
      <c r="N1629">
        <v>65.35</v>
      </c>
      <c r="O1629">
        <v>10.7142857142857</v>
      </c>
      <c r="P1629">
        <v>475.157894736842</v>
      </c>
      <c r="Q1629">
        <v>485.872180451128</v>
      </c>
      <c r="R1629">
        <v>0</v>
      </c>
      <c r="S1629">
        <v>485.872180451128</v>
      </c>
      <c r="T1629">
        <v>341</v>
      </c>
      <c r="U1629">
        <f>SUMIF(货件明细!J:J,E1629,货件明细!AP:AP)</f>
        <v>0</v>
      </c>
      <c r="V1629">
        <f>IF(U1629=T1629,0,1)</f>
        <v>1</v>
      </c>
      <c r="W1629">
        <f>T1629</f>
        <v>341</v>
      </c>
      <c r="X1629">
        <f>SUMIF(货件明细!J:J,E1629,货件明细!H:H)</f>
        <v>0</v>
      </c>
      <c r="Y1629">
        <f>N1629-X1629</f>
        <v>65.35</v>
      </c>
      <c r="Z1629">
        <f>SUMIF(货件明细!J:J,E1629,货件明细!I:I)</f>
        <v>0</v>
      </c>
      <c r="AA1629">
        <f>IF(S1629=Z1629,0,1)</f>
        <v>1</v>
      </c>
    </row>
    <row r="1630" hidden="1" spans="1:27">
      <c r="A1630">
        <v>3</v>
      </c>
      <c r="B1630">
        <v>13</v>
      </c>
      <c r="C1630" s="3">
        <v>46108</v>
      </c>
      <c r="D1630" t="s">
        <v>27</v>
      </c>
      <c r="E1630" t="s">
        <v>1750</v>
      </c>
      <c r="F1630" t="s">
        <v>74</v>
      </c>
      <c r="G1630" t="s">
        <v>30</v>
      </c>
      <c r="H1630" t="s">
        <v>56</v>
      </c>
      <c r="I1630" t="s">
        <v>1674</v>
      </c>
      <c r="J1630" t="s">
        <v>146</v>
      </c>
      <c r="K1630" t="s">
        <v>64</v>
      </c>
      <c r="L1630" t="s">
        <v>147</v>
      </c>
      <c r="M1630" t="s">
        <v>148</v>
      </c>
      <c r="N1630">
        <v>65.35</v>
      </c>
      <c r="O1630">
        <v>8.33333333333333</v>
      </c>
      <c r="P1630">
        <v>483.3</v>
      </c>
      <c r="Q1630">
        <v>491.633333333333</v>
      </c>
      <c r="R1630">
        <v>0</v>
      </c>
      <c r="S1630">
        <v>491.633333333333</v>
      </c>
      <c r="T1630">
        <v>341</v>
      </c>
      <c r="U1630">
        <f>SUMIF(货件明细!J:J,E1630,货件明细!AP:AP)</f>
        <v>0</v>
      </c>
      <c r="V1630">
        <f>IF(U1630=T1630,0,1)</f>
        <v>1</v>
      </c>
      <c r="W1630">
        <f>T1630</f>
        <v>341</v>
      </c>
      <c r="X1630">
        <f>SUMIF(货件明细!J:J,E1630,货件明细!H:H)</f>
        <v>0</v>
      </c>
      <c r="Y1630">
        <f>N1630-X1630</f>
        <v>65.35</v>
      </c>
      <c r="Z1630">
        <f>SUMIF(货件明细!J:J,E1630,货件明细!I:I)</f>
        <v>0</v>
      </c>
      <c r="AA1630">
        <f>IF(S1630=Z1630,0,1)</f>
        <v>1</v>
      </c>
    </row>
    <row r="1631" hidden="1" spans="1:27">
      <c r="A1631">
        <v>3</v>
      </c>
      <c r="B1631">
        <v>13</v>
      </c>
      <c r="C1631" s="3">
        <v>46108</v>
      </c>
      <c r="D1631" t="s">
        <v>27</v>
      </c>
      <c r="E1631" t="s">
        <v>1751</v>
      </c>
      <c r="F1631" t="s">
        <v>76</v>
      </c>
      <c r="G1631" t="s">
        <v>72</v>
      </c>
      <c r="H1631" t="s">
        <v>56</v>
      </c>
      <c r="I1631" t="s">
        <v>1674</v>
      </c>
      <c r="J1631" t="s">
        <v>146</v>
      </c>
      <c r="K1631" t="s">
        <v>64</v>
      </c>
      <c r="L1631" t="s">
        <v>147</v>
      </c>
      <c r="M1631" t="s">
        <v>1545</v>
      </c>
      <c r="N1631">
        <v>65.35</v>
      </c>
      <c r="O1631">
        <v>4.05405405405405</v>
      </c>
      <c r="P1631">
        <v>280.8</v>
      </c>
      <c r="Q1631">
        <v>284.854054054054</v>
      </c>
      <c r="R1631">
        <v>0</v>
      </c>
      <c r="S1631">
        <v>284.854054054054</v>
      </c>
      <c r="T1631">
        <v>341</v>
      </c>
      <c r="U1631">
        <f>SUMIF(货件明细!J:J,E1631,货件明细!AP:AP)</f>
        <v>0</v>
      </c>
      <c r="V1631">
        <f>IF(U1631=T1631,0,1)</f>
        <v>1</v>
      </c>
      <c r="W1631">
        <f>T1631</f>
        <v>341</v>
      </c>
      <c r="X1631">
        <f>SUMIF(货件明细!J:J,E1631,货件明细!H:H)</f>
        <v>0</v>
      </c>
      <c r="Y1631">
        <f>N1631-X1631</f>
        <v>65.35</v>
      </c>
      <c r="Z1631">
        <f>SUMIF(货件明细!J:J,E1631,货件明细!I:I)</f>
        <v>0</v>
      </c>
      <c r="AA1631">
        <f>IF(S1631=Z1631,0,1)</f>
        <v>1</v>
      </c>
    </row>
    <row r="1632" hidden="1" spans="1:27">
      <c r="A1632">
        <v>3</v>
      </c>
      <c r="B1632">
        <v>13</v>
      </c>
      <c r="C1632" s="3">
        <v>46108</v>
      </c>
      <c r="D1632" t="s">
        <v>27</v>
      </c>
      <c r="E1632" t="s">
        <v>1752</v>
      </c>
      <c r="F1632" t="s">
        <v>715</v>
      </c>
      <c r="G1632" t="s">
        <v>69</v>
      </c>
      <c r="H1632" t="s">
        <v>54</v>
      </c>
      <c r="I1632" t="s">
        <v>1674</v>
      </c>
      <c r="J1632" t="s">
        <v>146</v>
      </c>
      <c r="K1632" t="s">
        <v>64</v>
      </c>
      <c r="L1632" t="s">
        <v>147</v>
      </c>
      <c r="M1632" t="s">
        <v>1545</v>
      </c>
      <c r="N1632">
        <v>14.65</v>
      </c>
      <c r="O1632">
        <v>7.14285714285714</v>
      </c>
      <c r="P1632">
        <v>94.2</v>
      </c>
      <c r="Q1632">
        <v>101.342857142857</v>
      </c>
      <c r="R1632">
        <v>0</v>
      </c>
      <c r="S1632">
        <v>101.342857142857</v>
      </c>
      <c r="T1632">
        <v>95</v>
      </c>
      <c r="U1632">
        <f>SUMIF(货件明细!J:J,E1632,货件明细!AP:AP)</f>
        <v>0</v>
      </c>
      <c r="V1632">
        <f>IF(U1632=T1632,0,1)</f>
        <v>1</v>
      </c>
      <c r="W1632">
        <f>T1632</f>
        <v>95</v>
      </c>
      <c r="X1632">
        <f>SUMIF(货件明细!J:J,E1632,货件明细!H:H)</f>
        <v>0</v>
      </c>
      <c r="Y1632">
        <f>N1632-X1632</f>
        <v>14.65</v>
      </c>
      <c r="Z1632">
        <f>SUMIF(货件明细!J:J,E1632,货件明细!I:I)</f>
        <v>0</v>
      </c>
      <c r="AA1632">
        <f>IF(S1632=Z1632,0,1)</f>
        <v>1</v>
      </c>
    </row>
    <row r="1633" hidden="1" spans="1:27">
      <c r="A1633">
        <v>3</v>
      </c>
      <c r="B1633">
        <v>13</v>
      </c>
      <c r="C1633" s="3">
        <v>46108</v>
      </c>
      <c r="D1633" t="s">
        <v>27</v>
      </c>
      <c r="E1633" t="s">
        <v>1753</v>
      </c>
      <c r="F1633" t="s">
        <v>143</v>
      </c>
      <c r="G1633" t="s">
        <v>72</v>
      </c>
      <c r="H1633" t="s">
        <v>54</v>
      </c>
      <c r="I1633" t="s">
        <v>1674</v>
      </c>
      <c r="J1633" t="s">
        <v>146</v>
      </c>
      <c r="K1633" t="s">
        <v>64</v>
      </c>
      <c r="L1633" t="s">
        <v>147</v>
      </c>
      <c r="M1633" t="s">
        <v>1545</v>
      </c>
      <c r="N1633">
        <v>14.65</v>
      </c>
      <c r="O1633">
        <v>4.05405405405405</v>
      </c>
      <c r="P1633">
        <v>72</v>
      </c>
      <c r="Q1633">
        <v>76.054054054054</v>
      </c>
      <c r="R1633">
        <v>0</v>
      </c>
      <c r="S1633">
        <v>76.054054054054</v>
      </c>
      <c r="T1633">
        <v>95</v>
      </c>
      <c r="U1633">
        <f>SUMIF(货件明细!J:J,E1633,货件明细!AP:AP)</f>
        <v>0</v>
      </c>
      <c r="V1633">
        <f>IF(U1633=T1633,0,1)</f>
        <v>1</v>
      </c>
      <c r="W1633">
        <f>T1633</f>
        <v>95</v>
      </c>
      <c r="X1633">
        <f>SUMIF(货件明细!J:J,E1633,货件明细!H:H)</f>
        <v>0</v>
      </c>
      <c r="Y1633">
        <f>N1633-X1633</f>
        <v>14.65</v>
      </c>
      <c r="Z1633">
        <f>SUMIF(货件明细!J:J,E1633,货件明细!I:I)</f>
        <v>0</v>
      </c>
      <c r="AA1633">
        <f>IF(S1633=Z1633,0,1)</f>
        <v>1</v>
      </c>
    </row>
    <row r="1634" hidden="1" spans="1:27">
      <c r="A1634">
        <v>3</v>
      </c>
      <c r="B1634">
        <v>13</v>
      </c>
      <c r="C1634" s="3">
        <v>46108</v>
      </c>
      <c r="D1634" t="s">
        <v>27</v>
      </c>
      <c r="E1634" t="s">
        <v>1754</v>
      </c>
      <c r="F1634" t="s">
        <v>200</v>
      </c>
      <c r="G1634" t="s">
        <v>30</v>
      </c>
      <c r="H1634" t="s">
        <v>54</v>
      </c>
      <c r="I1634" t="s">
        <v>1674</v>
      </c>
      <c r="J1634" t="s">
        <v>146</v>
      </c>
      <c r="K1634" t="s">
        <v>64</v>
      </c>
      <c r="L1634" t="s">
        <v>147</v>
      </c>
      <c r="M1634" t="s">
        <v>148</v>
      </c>
      <c r="N1634">
        <v>14.65</v>
      </c>
      <c r="O1634">
        <v>10.7142857142857</v>
      </c>
      <c r="P1634">
        <v>118.789473684211</v>
      </c>
      <c r="Q1634">
        <v>129.503759398496</v>
      </c>
      <c r="R1634">
        <v>0</v>
      </c>
      <c r="S1634">
        <v>129.503759398496</v>
      </c>
      <c r="T1634">
        <v>95</v>
      </c>
      <c r="U1634">
        <f>SUMIF(货件明细!J:J,E1634,货件明细!AP:AP)</f>
        <v>0</v>
      </c>
      <c r="V1634">
        <f>IF(U1634=T1634,0,1)</f>
        <v>1</v>
      </c>
      <c r="W1634">
        <f>T1634</f>
        <v>95</v>
      </c>
      <c r="X1634">
        <f>SUMIF(货件明细!J:J,E1634,货件明细!H:H)</f>
        <v>0</v>
      </c>
      <c r="Y1634">
        <f>N1634-X1634</f>
        <v>14.65</v>
      </c>
      <c r="Z1634">
        <f>SUMIF(货件明细!J:J,E1634,货件明细!I:I)</f>
        <v>0</v>
      </c>
      <c r="AA1634">
        <f>IF(S1634=Z1634,0,1)</f>
        <v>1</v>
      </c>
    </row>
    <row r="1635" hidden="1" spans="1:27">
      <c r="A1635">
        <v>3</v>
      </c>
      <c r="B1635">
        <v>13</v>
      </c>
      <c r="C1635" s="3">
        <v>46108</v>
      </c>
      <c r="D1635" t="s">
        <v>27</v>
      </c>
      <c r="E1635" t="s">
        <v>1755</v>
      </c>
      <c r="F1635" t="s">
        <v>74</v>
      </c>
      <c r="G1635" t="s">
        <v>30</v>
      </c>
      <c r="H1635" t="s">
        <v>54</v>
      </c>
      <c r="I1635" t="s">
        <v>1674</v>
      </c>
      <c r="J1635" t="s">
        <v>146</v>
      </c>
      <c r="K1635" t="s">
        <v>64</v>
      </c>
      <c r="L1635" t="s">
        <v>147</v>
      </c>
      <c r="M1635" t="s">
        <v>148</v>
      </c>
      <c r="N1635">
        <v>14.65</v>
      </c>
      <c r="O1635">
        <v>8.33333333333333</v>
      </c>
      <c r="P1635">
        <v>107.4</v>
      </c>
      <c r="Q1635">
        <v>115.733333333333</v>
      </c>
      <c r="R1635">
        <v>0</v>
      </c>
      <c r="S1635">
        <v>115.733333333333</v>
      </c>
      <c r="T1635">
        <v>95</v>
      </c>
      <c r="U1635">
        <f>SUMIF(货件明细!J:J,E1635,货件明细!AP:AP)</f>
        <v>0</v>
      </c>
      <c r="V1635">
        <f>IF(U1635=T1635,0,1)</f>
        <v>1</v>
      </c>
      <c r="W1635">
        <f>T1635</f>
        <v>95</v>
      </c>
      <c r="X1635">
        <f>SUMIF(货件明细!J:J,E1635,货件明细!H:H)</f>
        <v>0</v>
      </c>
      <c r="Y1635">
        <f>N1635-X1635</f>
        <v>14.65</v>
      </c>
      <c r="Z1635">
        <f>SUMIF(货件明细!J:J,E1635,货件明细!I:I)</f>
        <v>0</v>
      </c>
      <c r="AA1635">
        <f>IF(S1635=Z1635,0,1)</f>
        <v>1</v>
      </c>
    </row>
    <row r="1636" hidden="1" spans="1:27">
      <c r="A1636">
        <v>3</v>
      </c>
      <c r="B1636">
        <v>13</v>
      </c>
      <c r="C1636" s="3">
        <v>46108</v>
      </c>
      <c r="D1636" t="s">
        <v>27</v>
      </c>
      <c r="E1636" t="s">
        <v>1756</v>
      </c>
      <c r="F1636" t="s">
        <v>76</v>
      </c>
      <c r="G1636" t="s">
        <v>72</v>
      </c>
      <c r="H1636" t="s">
        <v>54</v>
      </c>
      <c r="I1636" t="s">
        <v>1674</v>
      </c>
      <c r="J1636" t="s">
        <v>146</v>
      </c>
      <c r="K1636" t="s">
        <v>64</v>
      </c>
      <c r="L1636" t="s">
        <v>147</v>
      </c>
      <c r="M1636" t="s">
        <v>1545</v>
      </c>
      <c r="N1636">
        <v>14.65</v>
      </c>
      <c r="O1636">
        <v>4.05405405405405</v>
      </c>
      <c r="P1636">
        <v>64.8</v>
      </c>
      <c r="Q1636">
        <v>68.854054054054</v>
      </c>
      <c r="R1636">
        <v>0</v>
      </c>
      <c r="S1636">
        <v>68.854054054054</v>
      </c>
      <c r="T1636">
        <v>95</v>
      </c>
      <c r="U1636">
        <f>SUMIF(货件明细!J:J,E1636,货件明细!AP:AP)</f>
        <v>0</v>
      </c>
      <c r="V1636">
        <f>IF(U1636=T1636,0,1)</f>
        <v>1</v>
      </c>
      <c r="W1636">
        <f>T1636</f>
        <v>95</v>
      </c>
      <c r="X1636">
        <f>SUMIF(货件明细!J:J,E1636,货件明细!H:H)</f>
        <v>0</v>
      </c>
      <c r="Y1636">
        <f>N1636-X1636</f>
        <v>14.65</v>
      </c>
      <c r="Z1636">
        <f>SUMIF(货件明细!J:J,E1636,货件明细!I:I)</f>
        <v>0</v>
      </c>
      <c r="AA1636">
        <f>IF(S1636=Z1636,0,1)</f>
        <v>1</v>
      </c>
    </row>
    <row r="1637" hidden="1" spans="1:27">
      <c r="A1637">
        <v>3</v>
      </c>
      <c r="B1637">
        <v>13</v>
      </c>
      <c r="C1637" s="3">
        <v>46108</v>
      </c>
      <c r="D1637" t="s">
        <v>27</v>
      </c>
      <c r="E1637" t="s">
        <v>1757</v>
      </c>
      <c r="F1637" t="s">
        <v>239</v>
      </c>
      <c r="G1637" t="s">
        <v>72</v>
      </c>
      <c r="H1637" t="s">
        <v>39</v>
      </c>
      <c r="I1637" t="s">
        <v>63</v>
      </c>
      <c r="J1637" t="s">
        <v>146</v>
      </c>
      <c r="K1637" t="s">
        <v>64</v>
      </c>
      <c r="L1637" t="s">
        <v>147</v>
      </c>
      <c r="M1637" t="s">
        <v>1545</v>
      </c>
      <c r="N1637">
        <v>19.05</v>
      </c>
      <c r="O1637">
        <v>4.05405405405405</v>
      </c>
      <c r="P1637">
        <v>84</v>
      </c>
      <c r="Q1637">
        <v>88.0540540540541</v>
      </c>
      <c r="R1637">
        <v>0</v>
      </c>
      <c r="S1637">
        <v>88.0540540540541</v>
      </c>
      <c r="T1637">
        <v>46</v>
      </c>
      <c r="U1637">
        <f>SUMIF(货件明细!J:J,E1637,货件明细!AP:AP)</f>
        <v>0</v>
      </c>
      <c r="V1637">
        <f>IF(U1637=T1637,0,1)</f>
        <v>1</v>
      </c>
      <c r="W1637">
        <f>T1637</f>
        <v>46</v>
      </c>
      <c r="X1637">
        <f>SUMIF(货件明细!J:J,E1637,货件明细!H:H)</f>
        <v>0</v>
      </c>
      <c r="Y1637">
        <f>N1637-X1637</f>
        <v>19.05</v>
      </c>
      <c r="Z1637">
        <f>SUMIF(货件明细!J:J,E1637,货件明细!I:I)</f>
        <v>0</v>
      </c>
      <c r="AA1637">
        <f>IF(S1637=Z1637,0,1)</f>
        <v>1</v>
      </c>
    </row>
    <row r="1638" hidden="1" spans="1:27">
      <c r="A1638">
        <v>3</v>
      </c>
      <c r="B1638">
        <v>13</v>
      </c>
      <c r="C1638" s="3">
        <v>46108</v>
      </c>
      <c r="D1638" t="s">
        <v>27</v>
      </c>
      <c r="E1638" t="s">
        <v>1758</v>
      </c>
      <c r="F1638" t="s">
        <v>138</v>
      </c>
      <c r="G1638" t="s">
        <v>69</v>
      </c>
      <c r="H1638" t="s">
        <v>51</v>
      </c>
      <c r="I1638" t="s">
        <v>63</v>
      </c>
      <c r="J1638" t="s">
        <v>146</v>
      </c>
      <c r="K1638" t="s">
        <v>64</v>
      </c>
      <c r="L1638" t="s">
        <v>147</v>
      </c>
      <c r="M1638" t="s">
        <v>1545</v>
      </c>
      <c r="N1638">
        <v>11.3</v>
      </c>
      <c r="O1638">
        <v>7.14285714285714</v>
      </c>
      <c r="P1638">
        <v>125.6</v>
      </c>
      <c r="Q1638">
        <v>132.742857142857</v>
      </c>
      <c r="R1638">
        <v>0</v>
      </c>
      <c r="S1638">
        <v>132.742857142857</v>
      </c>
      <c r="T1638">
        <v>78</v>
      </c>
      <c r="U1638">
        <f>SUMIF(货件明细!J:J,E1638,货件明细!AP:AP)</f>
        <v>0</v>
      </c>
      <c r="V1638">
        <f>IF(U1638=T1638,0,1)</f>
        <v>1</v>
      </c>
      <c r="W1638">
        <f>T1638</f>
        <v>78</v>
      </c>
      <c r="X1638">
        <f>SUMIF(货件明细!J:J,E1638,货件明细!H:H)</f>
        <v>0</v>
      </c>
      <c r="Y1638">
        <f>N1638-X1638</f>
        <v>11.3</v>
      </c>
      <c r="Z1638">
        <f>SUMIF(货件明细!J:J,E1638,货件明细!I:I)</f>
        <v>0</v>
      </c>
      <c r="AA1638">
        <f>IF(S1638=Z1638,0,1)</f>
        <v>1</v>
      </c>
    </row>
    <row r="1639" hidden="1" spans="1:27">
      <c r="A1639">
        <v>3</v>
      </c>
      <c r="B1639">
        <v>13</v>
      </c>
      <c r="C1639" s="3">
        <v>46108</v>
      </c>
      <c r="D1639" t="s">
        <v>27</v>
      </c>
      <c r="E1639" t="s">
        <v>1759</v>
      </c>
      <c r="F1639" t="s">
        <v>198</v>
      </c>
      <c r="G1639" t="s">
        <v>69</v>
      </c>
      <c r="H1639" t="s">
        <v>51</v>
      </c>
      <c r="I1639" t="s">
        <v>63</v>
      </c>
      <c r="J1639" t="s">
        <v>146</v>
      </c>
      <c r="K1639" t="s">
        <v>64</v>
      </c>
      <c r="L1639" t="s">
        <v>147</v>
      </c>
      <c r="M1639" t="s">
        <v>1545</v>
      </c>
      <c r="N1639">
        <v>11.3</v>
      </c>
      <c r="O1639">
        <v>7.14285714285714</v>
      </c>
      <c r="P1639">
        <v>125.6</v>
      </c>
      <c r="Q1639">
        <v>132.742857142857</v>
      </c>
      <c r="R1639">
        <v>0</v>
      </c>
      <c r="S1639">
        <v>132.742857142857</v>
      </c>
      <c r="T1639">
        <v>78</v>
      </c>
      <c r="U1639">
        <f>SUMIF(货件明细!J:J,E1639,货件明细!AP:AP)</f>
        <v>0</v>
      </c>
      <c r="V1639">
        <f>IF(U1639=T1639,0,1)</f>
        <v>1</v>
      </c>
      <c r="W1639">
        <f>T1639</f>
        <v>78</v>
      </c>
      <c r="X1639">
        <f>SUMIF(货件明细!J:J,E1639,货件明细!H:H)</f>
        <v>0</v>
      </c>
      <c r="Y1639">
        <f>N1639-X1639</f>
        <v>11.3</v>
      </c>
      <c r="Z1639">
        <f>SUMIF(货件明细!J:J,E1639,货件明细!I:I)</f>
        <v>0</v>
      </c>
      <c r="AA1639">
        <f>IF(S1639=Z1639,0,1)</f>
        <v>1</v>
      </c>
    </row>
    <row r="1640" hidden="1" spans="1:27">
      <c r="A1640">
        <v>3</v>
      </c>
      <c r="B1640">
        <v>13</v>
      </c>
      <c r="C1640" s="3">
        <v>46108</v>
      </c>
      <c r="D1640" t="s">
        <v>27</v>
      </c>
      <c r="E1640" t="s">
        <v>1760</v>
      </c>
      <c r="F1640" t="s">
        <v>74</v>
      </c>
      <c r="G1640" t="s">
        <v>30</v>
      </c>
      <c r="H1640" t="s">
        <v>51</v>
      </c>
      <c r="I1640" t="s">
        <v>63</v>
      </c>
      <c r="J1640" t="s">
        <v>146</v>
      </c>
      <c r="K1640" t="s">
        <v>64</v>
      </c>
      <c r="L1640" t="s">
        <v>147</v>
      </c>
      <c r="M1640" t="s">
        <v>148</v>
      </c>
      <c r="N1640">
        <v>11.3</v>
      </c>
      <c r="O1640">
        <v>8.33333333333333</v>
      </c>
      <c r="P1640">
        <v>143.2</v>
      </c>
      <c r="Q1640">
        <v>151.533333333333</v>
      </c>
      <c r="R1640">
        <v>0</v>
      </c>
      <c r="S1640">
        <v>151.533333333333</v>
      </c>
      <c r="T1640">
        <v>78</v>
      </c>
      <c r="U1640">
        <f>SUMIF(货件明细!J:J,E1640,货件明细!AP:AP)</f>
        <v>0</v>
      </c>
      <c r="V1640">
        <f>IF(U1640=T1640,0,1)</f>
        <v>1</v>
      </c>
      <c r="W1640">
        <f>T1640</f>
        <v>78</v>
      </c>
      <c r="X1640">
        <f>SUMIF(货件明细!J:J,E1640,货件明细!H:H)</f>
        <v>0</v>
      </c>
      <c r="Y1640">
        <f>N1640-X1640</f>
        <v>11.3</v>
      </c>
      <c r="Z1640">
        <f>SUMIF(货件明细!J:J,E1640,货件明细!I:I)</f>
        <v>0</v>
      </c>
      <c r="AA1640">
        <f>IF(S1640=Z1640,0,1)</f>
        <v>1</v>
      </c>
    </row>
    <row r="1641" hidden="1" spans="1:27">
      <c r="A1641">
        <v>3</v>
      </c>
      <c r="B1641">
        <v>13</v>
      </c>
      <c r="C1641" s="3">
        <v>46108</v>
      </c>
      <c r="D1641" t="s">
        <v>27</v>
      </c>
      <c r="E1641" t="s">
        <v>1761</v>
      </c>
      <c r="F1641" t="s">
        <v>98</v>
      </c>
      <c r="G1641" t="s">
        <v>72</v>
      </c>
      <c r="H1641" t="s">
        <v>51</v>
      </c>
      <c r="I1641" t="s">
        <v>63</v>
      </c>
      <c r="J1641" t="s">
        <v>146</v>
      </c>
      <c r="K1641" t="s">
        <v>64</v>
      </c>
      <c r="L1641" t="s">
        <v>147</v>
      </c>
      <c r="M1641" t="s">
        <v>1545</v>
      </c>
      <c r="N1641">
        <v>11.3</v>
      </c>
      <c r="O1641">
        <v>4.05405405405405</v>
      </c>
      <c r="P1641">
        <v>96</v>
      </c>
      <c r="Q1641">
        <v>100.054054054054</v>
      </c>
      <c r="R1641">
        <v>0</v>
      </c>
      <c r="S1641">
        <v>100.054054054054</v>
      </c>
      <c r="T1641">
        <v>78</v>
      </c>
      <c r="U1641">
        <f>SUMIF(货件明细!J:J,E1641,货件明细!AP:AP)</f>
        <v>0</v>
      </c>
      <c r="V1641">
        <f>IF(U1641=T1641,0,1)</f>
        <v>1</v>
      </c>
      <c r="W1641">
        <f>T1641</f>
        <v>78</v>
      </c>
      <c r="X1641">
        <f>SUMIF(货件明细!J:J,E1641,货件明细!H:H)</f>
        <v>0</v>
      </c>
      <c r="Y1641">
        <f>N1641-X1641</f>
        <v>11.3</v>
      </c>
      <c r="Z1641">
        <f>SUMIF(货件明细!J:J,E1641,货件明细!I:I)</f>
        <v>0</v>
      </c>
      <c r="AA1641">
        <f>IF(S1641=Z1641,0,1)</f>
        <v>1</v>
      </c>
    </row>
    <row r="1642" hidden="1" spans="1:27">
      <c r="A1642">
        <v>3</v>
      </c>
      <c r="B1642">
        <v>13</v>
      </c>
      <c r="C1642" s="3">
        <v>46108</v>
      </c>
      <c r="D1642" t="s">
        <v>27</v>
      </c>
      <c r="E1642" t="s">
        <v>1762</v>
      </c>
      <c r="F1642" t="s">
        <v>239</v>
      </c>
      <c r="G1642" t="s">
        <v>72</v>
      </c>
      <c r="H1642" t="s">
        <v>51</v>
      </c>
      <c r="I1642" t="s">
        <v>63</v>
      </c>
      <c r="J1642" t="s">
        <v>146</v>
      </c>
      <c r="K1642" t="s">
        <v>64</v>
      </c>
      <c r="L1642" t="s">
        <v>147</v>
      </c>
      <c r="M1642" t="s">
        <v>1545</v>
      </c>
      <c r="N1642">
        <v>11.3</v>
      </c>
      <c r="O1642">
        <v>4.05405405405405</v>
      </c>
      <c r="P1642">
        <v>96</v>
      </c>
      <c r="Q1642">
        <v>100.054054054054</v>
      </c>
      <c r="R1642">
        <v>0</v>
      </c>
      <c r="S1642">
        <v>100.054054054054</v>
      </c>
      <c r="T1642">
        <v>78</v>
      </c>
      <c r="U1642">
        <f>SUMIF(货件明细!J:J,E1642,货件明细!AP:AP)</f>
        <v>0</v>
      </c>
      <c r="V1642">
        <f>IF(U1642=T1642,0,1)</f>
        <v>1</v>
      </c>
      <c r="W1642">
        <f>T1642</f>
        <v>78</v>
      </c>
      <c r="X1642">
        <f>SUMIF(货件明细!J:J,E1642,货件明细!H:H)</f>
        <v>0</v>
      </c>
      <c r="Y1642">
        <f>N1642-X1642</f>
        <v>11.3</v>
      </c>
      <c r="Z1642">
        <f>SUMIF(货件明细!J:J,E1642,货件明细!I:I)</f>
        <v>0</v>
      </c>
      <c r="AA1642">
        <f>IF(S1642=Z1642,0,1)</f>
        <v>1</v>
      </c>
    </row>
    <row r="1643" hidden="1" spans="1:27">
      <c r="A1643">
        <v>3</v>
      </c>
      <c r="B1643">
        <v>13</v>
      </c>
      <c r="C1643" s="3">
        <v>46108</v>
      </c>
      <c r="D1643" t="s">
        <v>27</v>
      </c>
      <c r="E1643" t="s">
        <v>1763</v>
      </c>
      <c r="F1643" t="s">
        <v>715</v>
      </c>
      <c r="G1643" t="s">
        <v>69</v>
      </c>
      <c r="H1643" t="s">
        <v>37</v>
      </c>
      <c r="I1643" t="s">
        <v>1674</v>
      </c>
      <c r="J1643" t="s">
        <v>146</v>
      </c>
      <c r="K1643" t="s">
        <v>64</v>
      </c>
      <c r="L1643" t="s">
        <v>147</v>
      </c>
      <c r="M1643" t="s">
        <v>1545</v>
      </c>
      <c r="N1643">
        <v>30.35</v>
      </c>
      <c r="O1643">
        <v>7.14285714285714</v>
      </c>
      <c r="P1643">
        <v>172.7</v>
      </c>
      <c r="Q1643">
        <v>179.842857142857</v>
      </c>
      <c r="R1643">
        <v>0</v>
      </c>
      <c r="S1643">
        <v>179.842857142857</v>
      </c>
      <c r="T1643">
        <v>168</v>
      </c>
      <c r="U1643">
        <f>SUMIF(货件明细!J:J,E1643,货件明细!AP:AP)</f>
        <v>0</v>
      </c>
      <c r="V1643">
        <f>IF(U1643=T1643,0,1)</f>
        <v>1</v>
      </c>
      <c r="W1643">
        <f>T1643</f>
        <v>168</v>
      </c>
      <c r="X1643">
        <f>SUMIF(货件明细!J:J,E1643,货件明细!H:H)</f>
        <v>0</v>
      </c>
      <c r="Y1643">
        <f>N1643-X1643</f>
        <v>30.35</v>
      </c>
      <c r="Z1643">
        <f>SUMIF(货件明细!J:J,E1643,货件明细!I:I)</f>
        <v>0</v>
      </c>
      <c r="AA1643">
        <f>IF(S1643=Z1643,0,1)</f>
        <v>1</v>
      </c>
    </row>
    <row r="1644" hidden="1" spans="1:27">
      <c r="A1644">
        <v>3</v>
      </c>
      <c r="B1644">
        <v>13</v>
      </c>
      <c r="C1644" s="3">
        <v>46108</v>
      </c>
      <c r="D1644" t="s">
        <v>27</v>
      </c>
      <c r="E1644" t="s">
        <v>1764</v>
      </c>
      <c r="F1644" t="s">
        <v>143</v>
      </c>
      <c r="G1644" t="s">
        <v>72</v>
      </c>
      <c r="H1644" t="s">
        <v>37</v>
      </c>
      <c r="I1644" t="s">
        <v>1674</v>
      </c>
      <c r="J1644" t="s">
        <v>146</v>
      </c>
      <c r="K1644" t="s">
        <v>64</v>
      </c>
      <c r="L1644" t="s">
        <v>147</v>
      </c>
      <c r="M1644" t="s">
        <v>1545</v>
      </c>
      <c r="N1644">
        <v>30.35</v>
      </c>
      <c r="O1644">
        <v>4.05405405405405</v>
      </c>
      <c r="P1644">
        <v>132</v>
      </c>
      <c r="Q1644">
        <v>136.054054054054</v>
      </c>
      <c r="R1644">
        <v>0</v>
      </c>
      <c r="S1644">
        <v>136.054054054054</v>
      </c>
      <c r="T1644">
        <v>168</v>
      </c>
      <c r="U1644">
        <f>SUMIF(货件明细!J:J,E1644,货件明细!AP:AP)</f>
        <v>0</v>
      </c>
      <c r="V1644">
        <f>IF(U1644=T1644,0,1)</f>
        <v>1</v>
      </c>
      <c r="W1644">
        <f>T1644</f>
        <v>168</v>
      </c>
      <c r="X1644">
        <f>SUMIF(货件明细!J:J,E1644,货件明细!H:H)</f>
        <v>0</v>
      </c>
      <c r="Y1644">
        <f>N1644-X1644</f>
        <v>30.35</v>
      </c>
      <c r="Z1644">
        <f>SUMIF(货件明细!J:J,E1644,货件明细!I:I)</f>
        <v>0</v>
      </c>
      <c r="AA1644">
        <f>IF(S1644=Z1644,0,1)</f>
        <v>1</v>
      </c>
    </row>
    <row r="1645" hidden="1" spans="1:27">
      <c r="A1645">
        <v>3</v>
      </c>
      <c r="B1645">
        <v>13</v>
      </c>
      <c r="C1645" s="3">
        <v>46108</v>
      </c>
      <c r="D1645" t="s">
        <v>27</v>
      </c>
      <c r="E1645" t="s">
        <v>1765</v>
      </c>
      <c r="F1645" t="s">
        <v>200</v>
      </c>
      <c r="G1645" t="s">
        <v>30</v>
      </c>
      <c r="H1645" t="s">
        <v>37</v>
      </c>
      <c r="I1645" t="s">
        <v>1674</v>
      </c>
      <c r="J1645" t="s">
        <v>146</v>
      </c>
      <c r="K1645" t="s">
        <v>64</v>
      </c>
      <c r="L1645" t="s">
        <v>147</v>
      </c>
      <c r="M1645" t="s">
        <v>148</v>
      </c>
      <c r="N1645">
        <v>30.35</v>
      </c>
      <c r="O1645">
        <v>10.7142857142857</v>
      </c>
      <c r="P1645">
        <v>237.578947368421</v>
      </c>
      <c r="Q1645">
        <v>248.293233082707</v>
      </c>
      <c r="R1645">
        <v>0</v>
      </c>
      <c r="S1645">
        <v>248.293233082707</v>
      </c>
      <c r="T1645">
        <v>168</v>
      </c>
      <c r="U1645">
        <f>SUMIF(货件明细!J:J,E1645,货件明细!AP:AP)</f>
        <v>0</v>
      </c>
      <c r="V1645">
        <f>IF(U1645=T1645,0,1)</f>
        <v>1</v>
      </c>
      <c r="W1645">
        <f>T1645</f>
        <v>168</v>
      </c>
      <c r="X1645">
        <f>SUMIF(货件明细!J:J,E1645,货件明细!H:H)</f>
        <v>0</v>
      </c>
      <c r="Y1645">
        <f>N1645-X1645</f>
        <v>30.35</v>
      </c>
      <c r="Z1645">
        <f>SUMIF(货件明细!J:J,E1645,货件明细!I:I)</f>
        <v>0</v>
      </c>
      <c r="AA1645">
        <f>IF(S1645=Z1645,0,1)</f>
        <v>1</v>
      </c>
    </row>
    <row r="1646" hidden="1" spans="1:27">
      <c r="A1646">
        <v>3</v>
      </c>
      <c r="B1646">
        <v>13</v>
      </c>
      <c r="C1646" s="3">
        <v>46108</v>
      </c>
      <c r="D1646" t="s">
        <v>27</v>
      </c>
      <c r="E1646" t="s">
        <v>1766</v>
      </c>
      <c r="F1646" t="s">
        <v>74</v>
      </c>
      <c r="G1646" t="s">
        <v>30</v>
      </c>
      <c r="H1646" t="s">
        <v>37</v>
      </c>
      <c r="I1646" t="s">
        <v>1674</v>
      </c>
      <c r="J1646" t="s">
        <v>146</v>
      </c>
      <c r="K1646" t="s">
        <v>64</v>
      </c>
      <c r="L1646" t="s">
        <v>147</v>
      </c>
      <c r="M1646" t="s">
        <v>148</v>
      </c>
      <c r="N1646">
        <v>30.35</v>
      </c>
      <c r="O1646">
        <v>8.33333333333333</v>
      </c>
      <c r="P1646">
        <v>196.9</v>
      </c>
      <c r="Q1646">
        <v>205.233333333333</v>
      </c>
      <c r="R1646">
        <v>0</v>
      </c>
      <c r="S1646">
        <v>205.233333333333</v>
      </c>
      <c r="T1646">
        <v>168</v>
      </c>
      <c r="U1646">
        <f>SUMIF(货件明细!J:J,E1646,货件明细!AP:AP)</f>
        <v>0</v>
      </c>
      <c r="V1646">
        <f>IF(U1646=T1646,0,1)</f>
        <v>1</v>
      </c>
      <c r="W1646">
        <f>T1646</f>
        <v>168</v>
      </c>
      <c r="X1646">
        <f>SUMIF(货件明细!J:J,E1646,货件明细!H:H)</f>
        <v>0</v>
      </c>
      <c r="Y1646">
        <f>N1646-X1646</f>
        <v>30.35</v>
      </c>
      <c r="Z1646">
        <f>SUMIF(货件明细!J:J,E1646,货件明细!I:I)</f>
        <v>0</v>
      </c>
      <c r="AA1646">
        <f>IF(S1646=Z1646,0,1)</f>
        <v>1</v>
      </c>
    </row>
    <row r="1647" hidden="1" spans="1:27">
      <c r="A1647">
        <v>3</v>
      </c>
      <c r="B1647">
        <v>13</v>
      </c>
      <c r="C1647" s="3">
        <v>46108</v>
      </c>
      <c r="D1647" t="s">
        <v>27</v>
      </c>
      <c r="E1647" t="s">
        <v>1767</v>
      </c>
      <c r="F1647" t="s">
        <v>715</v>
      </c>
      <c r="G1647" t="s">
        <v>69</v>
      </c>
      <c r="H1647" t="s">
        <v>51</v>
      </c>
      <c r="I1647" t="s">
        <v>1674</v>
      </c>
      <c r="J1647" t="s">
        <v>146</v>
      </c>
      <c r="K1647" t="s">
        <v>64</v>
      </c>
      <c r="L1647" t="s">
        <v>147</v>
      </c>
      <c r="M1647" t="s">
        <v>1545</v>
      </c>
      <c r="N1647">
        <v>11.25</v>
      </c>
      <c r="O1647">
        <v>7.14285714285714</v>
      </c>
      <c r="P1647">
        <v>78.5</v>
      </c>
      <c r="Q1647">
        <v>85.6428571428571</v>
      </c>
      <c r="R1647">
        <v>0</v>
      </c>
      <c r="S1647">
        <v>85.6428571428571</v>
      </c>
      <c r="T1647">
        <v>77</v>
      </c>
      <c r="U1647">
        <f>SUMIF(货件明细!J:J,E1647,货件明细!AP:AP)</f>
        <v>0</v>
      </c>
      <c r="V1647">
        <f>IF(U1647=T1647,0,1)</f>
        <v>1</v>
      </c>
      <c r="W1647">
        <f>T1647</f>
        <v>77</v>
      </c>
      <c r="X1647">
        <f>SUMIF(货件明细!J:J,E1647,货件明细!H:H)</f>
        <v>0</v>
      </c>
      <c r="Y1647">
        <f>N1647-X1647</f>
        <v>11.25</v>
      </c>
      <c r="Z1647">
        <f>SUMIF(货件明细!J:J,E1647,货件明细!I:I)</f>
        <v>0</v>
      </c>
      <c r="AA1647">
        <f>IF(S1647=Z1647,0,1)</f>
        <v>1</v>
      </c>
    </row>
    <row r="1648" hidden="1" spans="1:27">
      <c r="A1648">
        <v>3</v>
      </c>
      <c r="B1648">
        <v>13</v>
      </c>
      <c r="C1648" s="3">
        <v>46108</v>
      </c>
      <c r="D1648" t="s">
        <v>27</v>
      </c>
      <c r="E1648" t="s">
        <v>1768</v>
      </c>
      <c r="F1648" t="s">
        <v>143</v>
      </c>
      <c r="G1648" t="s">
        <v>72</v>
      </c>
      <c r="H1648" t="s">
        <v>51</v>
      </c>
      <c r="I1648" t="s">
        <v>1674</v>
      </c>
      <c r="J1648" t="s">
        <v>146</v>
      </c>
      <c r="K1648" t="s">
        <v>64</v>
      </c>
      <c r="L1648" t="s">
        <v>147</v>
      </c>
      <c r="M1648" t="s">
        <v>1545</v>
      </c>
      <c r="N1648">
        <v>11.25</v>
      </c>
      <c r="O1648">
        <v>4.05405405405405</v>
      </c>
      <c r="P1648">
        <v>60</v>
      </c>
      <c r="Q1648">
        <v>64.054054054054</v>
      </c>
      <c r="R1648">
        <v>0</v>
      </c>
      <c r="S1648">
        <v>64.054054054054</v>
      </c>
      <c r="T1648">
        <v>77</v>
      </c>
      <c r="U1648">
        <f>SUMIF(货件明细!J:J,E1648,货件明细!AP:AP)</f>
        <v>0</v>
      </c>
      <c r="V1648">
        <f>IF(U1648=T1648,0,1)</f>
        <v>1</v>
      </c>
      <c r="W1648">
        <f>T1648</f>
        <v>77</v>
      </c>
      <c r="X1648">
        <f>SUMIF(货件明细!J:J,E1648,货件明细!H:H)</f>
        <v>0</v>
      </c>
      <c r="Y1648">
        <f>N1648-X1648</f>
        <v>11.25</v>
      </c>
      <c r="Z1648">
        <f>SUMIF(货件明细!J:J,E1648,货件明细!I:I)</f>
        <v>0</v>
      </c>
      <c r="AA1648">
        <f>IF(S1648=Z1648,0,1)</f>
        <v>1</v>
      </c>
    </row>
    <row r="1649" hidden="1" spans="1:27">
      <c r="A1649">
        <v>3</v>
      </c>
      <c r="B1649">
        <v>13</v>
      </c>
      <c r="C1649" s="3">
        <v>46108</v>
      </c>
      <c r="D1649" t="s">
        <v>27</v>
      </c>
      <c r="E1649" t="s">
        <v>1769</v>
      </c>
      <c r="F1649" t="s">
        <v>200</v>
      </c>
      <c r="G1649" t="s">
        <v>30</v>
      </c>
      <c r="H1649" t="s">
        <v>51</v>
      </c>
      <c r="I1649" t="s">
        <v>1674</v>
      </c>
      <c r="J1649" t="s">
        <v>146</v>
      </c>
      <c r="K1649" t="s">
        <v>64</v>
      </c>
      <c r="L1649" t="s">
        <v>147</v>
      </c>
      <c r="M1649" t="s">
        <v>148</v>
      </c>
      <c r="N1649">
        <v>11.25</v>
      </c>
      <c r="O1649">
        <v>10.7142857142857</v>
      </c>
      <c r="P1649">
        <v>118.789473684211</v>
      </c>
      <c r="Q1649">
        <v>129.503759398496</v>
      </c>
      <c r="R1649">
        <v>0</v>
      </c>
      <c r="S1649">
        <v>129.503759398496</v>
      </c>
      <c r="T1649">
        <v>77</v>
      </c>
      <c r="U1649">
        <f>SUMIF(货件明细!J:J,E1649,货件明细!AP:AP)</f>
        <v>0</v>
      </c>
      <c r="V1649">
        <f>IF(U1649=T1649,0,1)</f>
        <v>1</v>
      </c>
      <c r="W1649">
        <f>T1649</f>
        <v>77</v>
      </c>
      <c r="X1649">
        <f>SUMIF(货件明细!J:J,E1649,货件明细!H:H)</f>
        <v>0</v>
      </c>
      <c r="Y1649">
        <f>N1649-X1649</f>
        <v>11.25</v>
      </c>
      <c r="Z1649">
        <f>SUMIF(货件明细!J:J,E1649,货件明细!I:I)</f>
        <v>0</v>
      </c>
      <c r="AA1649">
        <f>IF(S1649=Z1649,0,1)</f>
        <v>1</v>
      </c>
    </row>
    <row r="1650" hidden="1" spans="1:27">
      <c r="A1650">
        <v>3</v>
      </c>
      <c r="B1650">
        <v>13</v>
      </c>
      <c r="C1650" s="3">
        <v>46108</v>
      </c>
      <c r="D1650" t="s">
        <v>27</v>
      </c>
      <c r="E1650" t="s">
        <v>1770</v>
      </c>
      <c r="F1650" t="s">
        <v>74</v>
      </c>
      <c r="G1650" t="s">
        <v>30</v>
      </c>
      <c r="H1650" t="s">
        <v>51</v>
      </c>
      <c r="I1650" t="s">
        <v>1674</v>
      </c>
      <c r="J1650" t="s">
        <v>146</v>
      </c>
      <c r="K1650" t="s">
        <v>64</v>
      </c>
      <c r="L1650" t="s">
        <v>147</v>
      </c>
      <c r="M1650" t="s">
        <v>148</v>
      </c>
      <c r="N1650">
        <v>11.25</v>
      </c>
      <c r="O1650">
        <v>8.33333333333333</v>
      </c>
      <c r="P1650">
        <v>89.5</v>
      </c>
      <c r="Q1650">
        <v>97.8333333333333</v>
      </c>
      <c r="R1650">
        <v>0</v>
      </c>
      <c r="S1650">
        <v>97.8333333333333</v>
      </c>
      <c r="T1650">
        <v>77</v>
      </c>
      <c r="U1650">
        <f>SUMIF(货件明细!J:J,E1650,货件明细!AP:AP)</f>
        <v>0</v>
      </c>
      <c r="V1650">
        <f>IF(U1650=T1650,0,1)</f>
        <v>1</v>
      </c>
      <c r="W1650">
        <f>T1650</f>
        <v>77</v>
      </c>
      <c r="X1650">
        <f>SUMIF(货件明细!J:J,E1650,货件明细!H:H)</f>
        <v>0</v>
      </c>
      <c r="Y1650">
        <f>N1650-X1650</f>
        <v>11.25</v>
      </c>
      <c r="Z1650">
        <f>SUMIF(货件明细!J:J,E1650,货件明细!I:I)</f>
        <v>0</v>
      </c>
      <c r="AA1650">
        <f>IF(S1650=Z1650,0,1)</f>
        <v>1</v>
      </c>
    </row>
    <row r="1651" hidden="1" spans="1:27">
      <c r="A1651">
        <v>3</v>
      </c>
      <c r="B1651">
        <v>13</v>
      </c>
      <c r="C1651" s="3">
        <v>46108</v>
      </c>
      <c r="D1651" t="s">
        <v>27</v>
      </c>
      <c r="E1651" t="s">
        <v>1771</v>
      </c>
      <c r="F1651" t="s">
        <v>76</v>
      </c>
      <c r="G1651" t="s">
        <v>72</v>
      </c>
      <c r="H1651" t="s">
        <v>51</v>
      </c>
      <c r="I1651" t="s">
        <v>1674</v>
      </c>
      <c r="J1651" t="s">
        <v>146</v>
      </c>
      <c r="K1651" t="s">
        <v>64</v>
      </c>
      <c r="L1651" t="s">
        <v>147</v>
      </c>
      <c r="M1651" t="s">
        <v>1545</v>
      </c>
      <c r="N1651">
        <v>11.25</v>
      </c>
      <c r="O1651">
        <v>4.05405405405405</v>
      </c>
      <c r="P1651">
        <v>54</v>
      </c>
      <c r="Q1651">
        <v>58.0540540540541</v>
      </c>
      <c r="R1651">
        <v>0</v>
      </c>
      <c r="S1651">
        <v>58.0540540540541</v>
      </c>
      <c r="T1651">
        <v>77</v>
      </c>
      <c r="U1651">
        <f>SUMIF(货件明细!J:J,E1651,货件明细!AP:AP)</f>
        <v>0</v>
      </c>
      <c r="V1651">
        <f>IF(U1651=T1651,0,1)</f>
        <v>1</v>
      </c>
      <c r="W1651">
        <f>T1651</f>
        <v>77</v>
      </c>
      <c r="X1651">
        <f>SUMIF(货件明细!J:J,E1651,货件明细!H:H)</f>
        <v>0</v>
      </c>
      <c r="Y1651">
        <f>N1651-X1651</f>
        <v>11.25</v>
      </c>
      <c r="Z1651">
        <f>SUMIF(货件明细!J:J,E1651,货件明细!I:I)</f>
        <v>0</v>
      </c>
      <c r="AA1651">
        <f>IF(S1651=Z1651,0,1)</f>
        <v>1</v>
      </c>
    </row>
    <row r="1652" hidden="1" spans="1:27">
      <c r="A1652">
        <v>3</v>
      </c>
      <c r="B1652">
        <v>13</v>
      </c>
      <c r="C1652" s="3">
        <v>46108</v>
      </c>
      <c r="D1652" t="s">
        <v>88</v>
      </c>
      <c r="E1652" t="s">
        <v>1772</v>
      </c>
      <c r="F1652" t="s">
        <v>211</v>
      </c>
      <c r="G1652" t="s">
        <v>72</v>
      </c>
      <c r="H1652" t="s">
        <v>54</v>
      </c>
      <c r="I1652" t="s">
        <v>63</v>
      </c>
      <c r="J1652" t="s">
        <v>63</v>
      </c>
      <c r="K1652" t="s">
        <v>64</v>
      </c>
      <c r="L1652" t="s">
        <v>147</v>
      </c>
      <c r="M1652" t="s">
        <v>774</v>
      </c>
      <c r="N1652">
        <v>101.8</v>
      </c>
      <c r="O1652">
        <v>15</v>
      </c>
      <c r="P1652">
        <v>520.481927710843</v>
      </c>
      <c r="Q1652">
        <v>535.481927710843</v>
      </c>
      <c r="R1652">
        <v>0</v>
      </c>
      <c r="S1652">
        <v>535.481927710843</v>
      </c>
      <c r="T1652">
        <v>720</v>
      </c>
      <c r="U1652">
        <f>SUMIF(货件明细!J:J,E1652,货件明细!AP:AP)</f>
        <v>0</v>
      </c>
      <c r="V1652">
        <f>IF(U1652=T1652,0,1)</f>
        <v>1</v>
      </c>
      <c r="W1652">
        <f>T1652</f>
        <v>720</v>
      </c>
      <c r="X1652">
        <f>SUMIF(货件明细!J:J,E1652,货件明细!H:H)</f>
        <v>0</v>
      </c>
      <c r="Y1652">
        <f>N1652-X1652</f>
        <v>101.8</v>
      </c>
      <c r="Z1652">
        <f>SUMIF(货件明细!J:J,E1652,货件明细!I:I)</f>
        <v>0</v>
      </c>
      <c r="AA1652">
        <f>IF(S1652=Z1652,0,1)</f>
        <v>1</v>
      </c>
    </row>
    <row r="1653" hidden="1" spans="1:27">
      <c r="A1653">
        <v>3</v>
      </c>
      <c r="B1653">
        <v>13</v>
      </c>
      <c r="C1653" s="3">
        <v>46108</v>
      </c>
      <c r="D1653" t="s">
        <v>88</v>
      </c>
      <c r="E1653" t="s">
        <v>1773</v>
      </c>
      <c r="F1653" t="s">
        <v>211</v>
      </c>
      <c r="G1653" t="s">
        <v>72</v>
      </c>
      <c r="H1653" t="s">
        <v>54</v>
      </c>
      <c r="I1653" t="s">
        <v>63</v>
      </c>
      <c r="J1653" t="s">
        <v>63</v>
      </c>
      <c r="K1653" t="s">
        <v>64</v>
      </c>
      <c r="L1653" t="s">
        <v>147</v>
      </c>
      <c r="M1653" t="s">
        <v>774</v>
      </c>
      <c r="N1653">
        <v>143.4</v>
      </c>
      <c r="O1653">
        <v>15</v>
      </c>
      <c r="P1653">
        <v>520.481927710843</v>
      </c>
      <c r="Q1653">
        <v>535.481927710843</v>
      </c>
      <c r="R1653">
        <v>0</v>
      </c>
      <c r="S1653">
        <v>535.481927710843</v>
      </c>
      <c r="T1653">
        <v>440</v>
      </c>
      <c r="U1653">
        <f>SUMIF(货件明细!J:J,E1653,货件明细!AP:AP)</f>
        <v>0</v>
      </c>
      <c r="V1653">
        <f>IF(U1653=T1653,0,1)</f>
        <v>1</v>
      </c>
      <c r="W1653">
        <f>T1653</f>
        <v>440</v>
      </c>
      <c r="X1653">
        <f>SUMIF(货件明细!J:J,E1653,货件明细!H:H)</f>
        <v>0</v>
      </c>
      <c r="Y1653">
        <f>N1653-X1653</f>
        <v>143.4</v>
      </c>
      <c r="Z1653">
        <f>SUMIF(货件明细!J:J,E1653,货件明细!I:I)</f>
        <v>0</v>
      </c>
      <c r="AA1653">
        <f>IF(S1653=Z1653,0,1)</f>
        <v>1</v>
      </c>
    </row>
    <row r="1654" hidden="1" spans="1:27">
      <c r="A1654">
        <v>3</v>
      </c>
      <c r="B1654">
        <v>13</v>
      </c>
      <c r="C1654" s="3">
        <v>46108</v>
      </c>
      <c r="D1654" t="s">
        <v>88</v>
      </c>
      <c r="E1654" t="s">
        <v>1774</v>
      </c>
      <c r="F1654" t="s">
        <v>211</v>
      </c>
      <c r="G1654" t="s">
        <v>72</v>
      </c>
      <c r="H1654" t="s">
        <v>78</v>
      </c>
      <c r="I1654" t="s">
        <v>63</v>
      </c>
      <c r="J1654" t="s">
        <v>63</v>
      </c>
      <c r="K1654" t="s">
        <v>64</v>
      </c>
      <c r="L1654" t="s">
        <v>147</v>
      </c>
      <c r="M1654" t="s">
        <v>774</v>
      </c>
      <c r="N1654">
        <v>71.45</v>
      </c>
      <c r="O1654">
        <v>15</v>
      </c>
      <c r="P1654">
        <v>312.289156626506</v>
      </c>
      <c r="Q1654">
        <v>327.289156626506</v>
      </c>
      <c r="R1654">
        <v>0</v>
      </c>
      <c r="S1654">
        <v>327.289156626506</v>
      </c>
      <c r="T1654">
        <v>430</v>
      </c>
      <c r="U1654">
        <f>SUMIF(货件明细!J:J,E1654,货件明细!AP:AP)</f>
        <v>0</v>
      </c>
      <c r="V1654">
        <f>IF(U1654=T1654,0,1)</f>
        <v>1</v>
      </c>
      <c r="W1654">
        <f>T1654</f>
        <v>430</v>
      </c>
      <c r="X1654">
        <f>SUMIF(货件明细!J:J,E1654,货件明细!H:H)</f>
        <v>0</v>
      </c>
      <c r="Y1654">
        <f>N1654-X1654</f>
        <v>71.45</v>
      </c>
      <c r="Z1654">
        <f>SUMIF(货件明细!J:J,E1654,货件明细!I:I)</f>
        <v>0</v>
      </c>
      <c r="AA1654">
        <f>IF(S1654=Z1654,0,1)</f>
        <v>1</v>
      </c>
    </row>
    <row r="1655" hidden="1" spans="1:27">
      <c r="A1655">
        <v>3</v>
      </c>
      <c r="B1655">
        <v>13</v>
      </c>
      <c r="C1655" s="3">
        <v>46108</v>
      </c>
      <c r="D1655" t="s">
        <v>88</v>
      </c>
      <c r="E1655" t="s">
        <v>1775</v>
      </c>
      <c r="F1655" t="s">
        <v>211</v>
      </c>
      <c r="G1655" t="s">
        <v>72</v>
      </c>
      <c r="H1655" t="s">
        <v>56</v>
      </c>
      <c r="I1655" t="s">
        <v>63</v>
      </c>
      <c r="J1655" t="s">
        <v>63</v>
      </c>
      <c r="K1655" t="s">
        <v>64</v>
      </c>
      <c r="L1655" t="s">
        <v>147</v>
      </c>
      <c r="M1655" t="s">
        <v>774</v>
      </c>
      <c r="N1655">
        <v>218.85</v>
      </c>
      <c r="O1655">
        <v>15</v>
      </c>
      <c r="P1655">
        <v>936.867469879518</v>
      </c>
      <c r="Q1655">
        <v>951.867469879518</v>
      </c>
      <c r="R1655">
        <v>0</v>
      </c>
      <c r="S1655">
        <v>951.867469879518</v>
      </c>
      <c r="T1655">
        <v>1290</v>
      </c>
      <c r="U1655">
        <f>SUMIF(货件明细!J:J,E1655,货件明细!AP:AP)</f>
        <v>0</v>
      </c>
      <c r="V1655">
        <f>IF(U1655=T1655,0,1)</f>
        <v>1</v>
      </c>
      <c r="W1655">
        <f>T1655</f>
        <v>1290</v>
      </c>
      <c r="X1655">
        <f>SUMIF(货件明细!J:J,E1655,货件明细!H:H)</f>
        <v>0</v>
      </c>
      <c r="Y1655">
        <f>N1655-X1655</f>
        <v>218.85</v>
      </c>
      <c r="Z1655">
        <f>SUMIF(货件明细!J:J,E1655,货件明细!I:I)</f>
        <v>0</v>
      </c>
      <c r="AA1655">
        <f>IF(S1655=Z1655,0,1)</f>
        <v>1</v>
      </c>
    </row>
    <row r="1656" hidden="1" spans="1:27">
      <c r="A1656">
        <v>3</v>
      </c>
      <c r="B1656">
        <v>13</v>
      </c>
      <c r="C1656" s="3">
        <v>46108</v>
      </c>
      <c r="D1656" t="s">
        <v>88</v>
      </c>
      <c r="E1656" t="s">
        <v>1776</v>
      </c>
      <c r="F1656" t="s">
        <v>211</v>
      </c>
      <c r="G1656" t="s">
        <v>72</v>
      </c>
      <c r="H1656" t="s">
        <v>39</v>
      </c>
      <c r="I1656" t="s">
        <v>63</v>
      </c>
      <c r="J1656" t="s">
        <v>63</v>
      </c>
      <c r="K1656" t="s">
        <v>64</v>
      </c>
      <c r="L1656" t="s">
        <v>147</v>
      </c>
      <c r="M1656" t="s">
        <v>774</v>
      </c>
      <c r="N1656">
        <v>257.55</v>
      </c>
      <c r="O1656">
        <v>15</v>
      </c>
      <c r="P1656">
        <v>936.867469879518</v>
      </c>
      <c r="Q1656">
        <v>951.867469879518</v>
      </c>
      <c r="R1656">
        <v>0</v>
      </c>
      <c r="S1656">
        <v>951.867469879518</v>
      </c>
      <c r="T1656">
        <v>566</v>
      </c>
      <c r="U1656">
        <f>SUMIF(货件明细!J:J,E1656,货件明细!AP:AP)</f>
        <v>0</v>
      </c>
      <c r="V1656">
        <f>IF(U1656=T1656,0,1)</f>
        <v>1</v>
      </c>
      <c r="W1656">
        <f>T1656</f>
        <v>566</v>
      </c>
      <c r="X1656">
        <f>SUMIF(货件明细!J:J,E1656,货件明细!H:H)</f>
        <v>0</v>
      </c>
      <c r="Y1656">
        <f>N1656-X1656</f>
        <v>257.55</v>
      </c>
      <c r="Z1656">
        <f>SUMIF(货件明细!J:J,E1656,货件明细!I:I)</f>
        <v>0</v>
      </c>
      <c r="AA1656">
        <f>IF(S1656=Z1656,0,1)</f>
        <v>1</v>
      </c>
    </row>
    <row r="1657" hidden="1" spans="1:27">
      <c r="A1657">
        <v>3</v>
      </c>
      <c r="B1657">
        <v>13</v>
      </c>
      <c r="C1657" s="3">
        <v>46108</v>
      </c>
      <c r="D1657" t="s">
        <v>88</v>
      </c>
      <c r="E1657" t="s">
        <v>1777</v>
      </c>
      <c r="F1657" t="s">
        <v>211</v>
      </c>
      <c r="G1657" t="s">
        <v>72</v>
      </c>
      <c r="H1657" t="s">
        <v>37</v>
      </c>
      <c r="I1657" t="s">
        <v>63</v>
      </c>
      <c r="J1657" t="s">
        <v>63</v>
      </c>
      <c r="K1657" t="s">
        <v>64</v>
      </c>
      <c r="L1657" t="s">
        <v>147</v>
      </c>
      <c r="M1657" t="s">
        <v>774</v>
      </c>
      <c r="N1657">
        <v>301.7</v>
      </c>
      <c r="O1657">
        <v>15</v>
      </c>
      <c r="P1657">
        <v>1353.25301204819</v>
      </c>
      <c r="Q1657">
        <v>1368.25301204819</v>
      </c>
      <c r="R1657">
        <v>0</v>
      </c>
      <c r="S1657">
        <v>1368.25301204819</v>
      </c>
      <c r="T1657">
        <v>2600</v>
      </c>
      <c r="U1657">
        <f>SUMIF(货件明细!J:J,E1657,货件明细!AP:AP)</f>
        <v>0</v>
      </c>
      <c r="V1657">
        <f>IF(U1657=T1657,0,1)</f>
        <v>1</v>
      </c>
      <c r="W1657">
        <f>T1657</f>
        <v>2600</v>
      </c>
      <c r="X1657">
        <f>SUMIF(货件明细!J:J,E1657,货件明细!H:H)</f>
        <v>0</v>
      </c>
      <c r="Y1657">
        <f>N1657-X1657</f>
        <v>301.7</v>
      </c>
      <c r="Z1657">
        <f>SUMIF(货件明细!J:J,E1657,货件明细!I:I)</f>
        <v>0</v>
      </c>
      <c r="AA1657">
        <f>IF(S1657=Z1657,0,1)</f>
        <v>1</v>
      </c>
    </row>
    <row r="1658" hidden="1" spans="1:27">
      <c r="A1658">
        <v>3</v>
      </c>
      <c r="B1658">
        <v>13</v>
      </c>
      <c r="C1658" s="3">
        <v>46108</v>
      </c>
      <c r="D1658" t="s">
        <v>88</v>
      </c>
      <c r="E1658" t="s">
        <v>1778</v>
      </c>
      <c r="F1658" t="s">
        <v>211</v>
      </c>
      <c r="G1658" t="s">
        <v>72</v>
      </c>
      <c r="H1658" t="s">
        <v>37</v>
      </c>
      <c r="I1658" t="s">
        <v>63</v>
      </c>
      <c r="J1658" t="s">
        <v>63</v>
      </c>
      <c r="K1658" t="s">
        <v>64</v>
      </c>
      <c r="L1658" t="s">
        <v>147</v>
      </c>
      <c r="M1658" t="s">
        <v>774</v>
      </c>
      <c r="N1658">
        <v>316.15</v>
      </c>
      <c r="O1658">
        <v>15</v>
      </c>
      <c r="P1658">
        <v>1353.25301204819</v>
      </c>
      <c r="Q1658">
        <v>1368.25301204819</v>
      </c>
      <c r="R1658">
        <v>0</v>
      </c>
      <c r="S1658">
        <v>1368.25301204819</v>
      </c>
      <c r="T1658">
        <v>2149</v>
      </c>
      <c r="U1658">
        <f>SUMIF(货件明细!J:J,E1658,货件明细!AP:AP)</f>
        <v>0</v>
      </c>
      <c r="V1658">
        <f>IF(U1658=T1658,0,1)</f>
        <v>1</v>
      </c>
      <c r="W1658">
        <f>T1658</f>
        <v>2149</v>
      </c>
      <c r="X1658">
        <f>SUMIF(货件明细!J:J,E1658,货件明细!H:H)</f>
        <v>0</v>
      </c>
      <c r="Y1658">
        <f>N1658-X1658</f>
        <v>316.15</v>
      </c>
      <c r="Z1658">
        <f>SUMIF(货件明细!J:J,E1658,货件明细!I:I)</f>
        <v>0</v>
      </c>
      <c r="AA1658">
        <f>IF(S1658=Z1658,0,1)</f>
        <v>1</v>
      </c>
    </row>
    <row r="1659" hidden="1" spans="1:27">
      <c r="A1659">
        <v>3</v>
      </c>
      <c r="B1659">
        <v>13</v>
      </c>
      <c r="C1659" s="3">
        <v>46108</v>
      </c>
      <c r="D1659" t="s">
        <v>88</v>
      </c>
      <c r="E1659" t="s">
        <v>1779</v>
      </c>
      <c r="F1659" t="s">
        <v>211</v>
      </c>
      <c r="G1659" t="s">
        <v>72</v>
      </c>
      <c r="H1659" t="s">
        <v>51</v>
      </c>
      <c r="I1659" t="s">
        <v>63</v>
      </c>
      <c r="J1659" t="s">
        <v>63</v>
      </c>
      <c r="K1659" t="s">
        <v>64</v>
      </c>
      <c r="L1659" t="s">
        <v>147</v>
      </c>
      <c r="M1659" t="s">
        <v>774</v>
      </c>
      <c r="N1659">
        <v>267.95</v>
      </c>
      <c r="O1659">
        <v>15</v>
      </c>
      <c r="P1659">
        <v>832.771084337349</v>
      </c>
      <c r="Q1659">
        <v>847.771084337349</v>
      </c>
      <c r="R1659">
        <v>0</v>
      </c>
      <c r="S1659">
        <v>847.771084337349</v>
      </c>
      <c r="T1659">
        <v>1016</v>
      </c>
      <c r="U1659">
        <f>SUMIF(货件明细!J:J,E1659,货件明细!AP:AP)</f>
        <v>0</v>
      </c>
      <c r="V1659">
        <f>IF(U1659=T1659,0,1)</f>
        <v>1</v>
      </c>
      <c r="W1659">
        <f>T1659</f>
        <v>1016</v>
      </c>
      <c r="X1659">
        <f>SUMIF(货件明细!J:J,E1659,货件明细!H:H)</f>
        <v>0</v>
      </c>
      <c r="Y1659">
        <f>N1659-X1659</f>
        <v>267.95</v>
      </c>
      <c r="Z1659">
        <f>SUMIF(货件明细!J:J,E1659,货件明细!I:I)</f>
        <v>0</v>
      </c>
      <c r="AA1659">
        <f>IF(S1659=Z1659,0,1)</f>
        <v>1</v>
      </c>
    </row>
    <row r="1660" hidden="1" spans="1:27">
      <c r="A1660">
        <v>3</v>
      </c>
      <c r="B1660">
        <v>13</v>
      </c>
      <c r="C1660" s="3">
        <v>46108</v>
      </c>
      <c r="D1660" t="s">
        <v>88</v>
      </c>
      <c r="E1660" t="s">
        <v>1780</v>
      </c>
      <c r="F1660" t="s">
        <v>211</v>
      </c>
      <c r="G1660" t="s">
        <v>72</v>
      </c>
      <c r="H1660" t="s">
        <v>31</v>
      </c>
      <c r="I1660" t="s">
        <v>63</v>
      </c>
      <c r="J1660" t="s">
        <v>63</v>
      </c>
      <c r="K1660" t="s">
        <v>64</v>
      </c>
      <c r="L1660" t="s">
        <v>147</v>
      </c>
      <c r="M1660" t="s">
        <v>774</v>
      </c>
      <c r="N1660">
        <v>278.65</v>
      </c>
      <c r="O1660">
        <v>15</v>
      </c>
      <c r="P1660">
        <v>832.771084337349</v>
      </c>
      <c r="Q1660">
        <v>847.771084337349</v>
      </c>
      <c r="R1660">
        <v>0</v>
      </c>
      <c r="S1660">
        <v>847.771084337349</v>
      </c>
      <c r="T1660">
        <v>660</v>
      </c>
      <c r="U1660">
        <f>SUMIF(货件明细!J:J,E1660,货件明细!AP:AP)</f>
        <v>0</v>
      </c>
      <c r="V1660">
        <f>IF(U1660=T1660,0,1)</f>
        <v>1</v>
      </c>
      <c r="W1660">
        <f>T1660</f>
        <v>660</v>
      </c>
      <c r="X1660">
        <f>SUMIF(货件明细!J:J,E1660,货件明细!H:H)</f>
        <v>0</v>
      </c>
      <c r="Y1660">
        <f>N1660-X1660</f>
        <v>278.65</v>
      </c>
      <c r="Z1660">
        <f>SUMIF(货件明细!J:J,E1660,货件明细!I:I)</f>
        <v>0</v>
      </c>
      <c r="AA1660">
        <f>IF(S1660=Z1660,0,1)</f>
        <v>1</v>
      </c>
    </row>
    <row r="1661" hidden="1" spans="1:27">
      <c r="A1661">
        <v>3</v>
      </c>
      <c r="B1661">
        <v>13</v>
      </c>
      <c r="C1661" s="3">
        <v>46108</v>
      </c>
      <c r="D1661" t="s">
        <v>88</v>
      </c>
      <c r="E1661" t="s">
        <v>1781</v>
      </c>
      <c r="F1661" t="s">
        <v>211</v>
      </c>
      <c r="G1661" t="s">
        <v>72</v>
      </c>
      <c r="H1661" t="s">
        <v>51</v>
      </c>
      <c r="I1661" t="s">
        <v>63</v>
      </c>
      <c r="J1661" t="s">
        <v>63</v>
      </c>
      <c r="K1661" t="s">
        <v>64</v>
      </c>
      <c r="L1661" t="s">
        <v>147</v>
      </c>
      <c r="M1661" t="s">
        <v>774</v>
      </c>
      <c r="N1661">
        <v>269.15</v>
      </c>
      <c r="O1661">
        <v>15</v>
      </c>
      <c r="P1661">
        <v>1040.96385542169</v>
      </c>
      <c r="Q1661">
        <v>1055.96385542169</v>
      </c>
      <c r="R1661">
        <v>0</v>
      </c>
      <c r="S1661">
        <v>1055.96385542169</v>
      </c>
      <c r="T1661">
        <v>716</v>
      </c>
      <c r="U1661">
        <f>SUMIF(货件明细!J:J,E1661,货件明细!AP:AP)</f>
        <v>0</v>
      </c>
      <c r="V1661">
        <f>IF(U1661=T1661,0,1)</f>
        <v>1</v>
      </c>
      <c r="W1661">
        <f>T1661</f>
        <v>716</v>
      </c>
      <c r="X1661">
        <f>SUMIF(货件明细!J:J,E1661,货件明细!H:H)</f>
        <v>0</v>
      </c>
      <c r="Y1661">
        <f>N1661-X1661</f>
        <v>269.15</v>
      </c>
      <c r="Z1661">
        <f>SUMIF(货件明细!J:J,E1661,货件明细!I:I)</f>
        <v>0</v>
      </c>
      <c r="AA1661">
        <f>IF(S1661=Z1661,0,1)</f>
        <v>1</v>
      </c>
    </row>
    <row r="1662" hidden="1" spans="1:27">
      <c r="A1662">
        <v>3</v>
      </c>
      <c r="B1662">
        <v>13</v>
      </c>
      <c r="C1662" s="3">
        <v>46108</v>
      </c>
      <c r="D1662" t="s">
        <v>88</v>
      </c>
      <c r="E1662" t="s">
        <v>1782</v>
      </c>
      <c r="F1662" t="s">
        <v>427</v>
      </c>
      <c r="G1662" t="s">
        <v>72</v>
      </c>
      <c r="H1662" t="s">
        <v>37</v>
      </c>
      <c r="I1662" t="s">
        <v>63</v>
      </c>
      <c r="J1662" t="s">
        <v>63</v>
      </c>
      <c r="K1662" t="s">
        <v>64</v>
      </c>
      <c r="L1662" t="s">
        <v>65</v>
      </c>
      <c r="M1662" t="s">
        <v>1456</v>
      </c>
      <c r="N1662">
        <v>114.25</v>
      </c>
      <c r="O1662">
        <v>21.5384615384615</v>
      </c>
      <c r="P1662">
        <v>436.789473684211</v>
      </c>
      <c r="Q1662">
        <v>458.327935222672</v>
      </c>
      <c r="R1662">
        <v>0</v>
      </c>
      <c r="S1662">
        <v>458.327935222672</v>
      </c>
      <c r="T1662">
        <v>620</v>
      </c>
      <c r="U1662">
        <f>SUMIF(货件明细!J:J,E1662,货件明细!AP:AP)</f>
        <v>0</v>
      </c>
      <c r="V1662">
        <f>IF(U1662=T1662,0,1)</f>
        <v>1</v>
      </c>
      <c r="W1662">
        <f>T1662</f>
        <v>620</v>
      </c>
      <c r="X1662">
        <f>SUMIF(货件明细!J:J,E1662,货件明细!H:H)</f>
        <v>0</v>
      </c>
      <c r="Y1662">
        <f>N1662-X1662</f>
        <v>114.25</v>
      </c>
      <c r="Z1662">
        <f>SUMIF(货件明细!J:J,E1662,货件明细!I:I)</f>
        <v>0</v>
      </c>
      <c r="AA1662">
        <f>IF(S1662=Z1662,0,1)</f>
        <v>1</v>
      </c>
    </row>
    <row r="1663" hidden="1" spans="1:27">
      <c r="A1663">
        <v>3</v>
      </c>
      <c r="B1663">
        <v>13</v>
      </c>
      <c r="C1663" s="3">
        <v>46108</v>
      </c>
      <c r="D1663" t="s">
        <v>88</v>
      </c>
      <c r="E1663" t="s">
        <v>1783</v>
      </c>
      <c r="F1663" t="s">
        <v>427</v>
      </c>
      <c r="G1663" t="s">
        <v>72</v>
      </c>
      <c r="H1663" t="s">
        <v>31</v>
      </c>
      <c r="I1663" t="s">
        <v>63</v>
      </c>
      <c r="J1663" t="s">
        <v>63</v>
      </c>
      <c r="K1663" t="s">
        <v>64</v>
      </c>
      <c r="L1663" t="s">
        <v>65</v>
      </c>
      <c r="M1663" t="s">
        <v>1456</v>
      </c>
      <c r="N1663">
        <v>12.85</v>
      </c>
      <c r="O1663">
        <v>21.5384615384615</v>
      </c>
      <c r="P1663">
        <v>109.197368421053</v>
      </c>
      <c r="Q1663">
        <v>130.735829959514</v>
      </c>
      <c r="R1663">
        <v>0</v>
      </c>
      <c r="S1663">
        <v>130.735829959514</v>
      </c>
      <c r="T1663">
        <v>34</v>
      </c>
      <c r="U1663">
        <f>SUMIF(货件明细!J:J,E1663,货件明细!AP:AP)</f>
        <v>0</v>
      </c>
      <c r="V1663">
        <f>IF(U1663=T1663,0,1)</f>
        <v>1</v>
      </c>
      <c r="W1663">
        <f>T1663</f>
        <v>34</v>
      </c>
      <c r="X1663">
        <f>SUMIF(货件明细!J:J,E1663,货件明细!H:H)</f>
        <v>0</v>
      </c>
      <c r="Y1663">
        <f>N1663-X1663</f>
        <v>12.85</v>
      </c>
      <c r="Z1663">
        <f>SUMIF(货件明细!J:J,E1663,货件明细!I:I)</f>
        <v>0</v>
      </c>
      <c r="AA1663">
        <f>IF(S1663=Z1663,0,1)</f>
        <v>1</v>
      </c>
    </row>
    <row r="1664" hidden="1" spans="1:27">
      <c r="A1664">
        <v>3</v>
      </c>
      <c r="B1664">
        <v>13</v>
      </c>
      <c r="C1664" s="3">
        <v>46108</v>
      </c>
      <c r="D1664" t="s">
        <v>88</v>
      </c>
      <c r="E1664" t="s">
        <v>1784</v>
      </c>
      <c r="F1664" t="s">
        <v>427</v>
      </c>
      <c r="G1664" t="s">
        <v>72</v>
      </c>
      <c r="H1664" t="s">
        <v>51</v>
      </c>
      <c r="I1664" t="s">
        <v>63</v>
      </c>
      <c r="J1664" t="s">
        <v>63</v>
      </c>
      <c r="K1664" t="s">
        <v>64</v>
      </c>
      <c r="L1664" t="s">
        <v>65</v>
      </c>
      <c r="M1664" t="s">
        <v>1456</v>
      </c>
      <c r="N1664">
        <v>5.15</v>
      </c>
      <c r="O1664">
        <v>21.5384615384615</v>
      </c>
      <c r="P1664">
        <v>54.5986842105263</v>
      </c>
      <c r="Q1664">
        <v>76.1371457489878</v>
      </c>
      <c r="R1664">
        <v>0</v>
      </c>
      <c r="S1664">
        <v>76.1371457489878</v>
      </c>
      <c r="T1664">
        <v>31</v>
      </c>
      <c r="U1664">
        <f>SUMIF(货件明细!J:J,E1664,货件明细!AP:AP)</f>
        <v>0</v>
      </c>
      <c r="V1664">
        <f>IF(U1664=T1664,0,1)</f>
        <v>1</v>
      </c>
      <c r="W1664">
        <f>T1664</f>
        <v>31</v>
      </c>
      <c r="X1664">
        <f>SUMIF(货件明细!J:J,E1664,货件明细!H:H)</f>
        <v>0</v>
      </c>
      <c r="Y1664">
        <f>N1664-X1664</f>
        <v>5.15</v>
      </c>
      <c r="Z1664">
        <f>SUMIF(货件明细!J:J,E1664,货件明细!I:I)</f>
        <v>0</v>
      </c>
      <c r="AA1664">
        <f>IF(S1664=Z1664,0,1)</f>
        <v>1</v>
      </c>
    </row>
    <row r="1665" hidden="1" spans="1:27">
      <c r="A1665">
        <v>3</v>
      </c>
      <c r="B1665">
        <v>13</v>
      </c>
      <c r="C1665" s="3">
        <v>46108</v>
      </c>
      <c r="D1665" t="s">
        <v>88</v>
      </c>
      <c r="E1665" t="s">
        <v>1785</v>
      </c>
      <c r="F1665" t="s">
        <v>427</v>
      </c>
      <c r="G1665" t="s">
        <v>72</v>
      </c>
      <c r="H1665" t="s">
        <v>54</v>
      </c>
      <c r="I1665" t="s">
        <v>63</v>
      </c>
      <c r="J1665" t="s">
        <v>63</v>
      </c>
      <c r="K1665" t="s">
        <v>64</v>
      </c>
      <c r="L1665" t="s">
        <v>65</v>
      </c>
      <c r="M1665" t="s">
        <v>1456</v>
      </c>
      <c r="N1665">
        <v>8.9</v>
      </c>
      <c r="O1665">
        <v>21.5384615384615</v>
      </c>
      <c r="P1665">
        <v>54.5986842105263</v>
      </c>
      <c r="Q1665">
        <v>76.1371457489878</v>
      </c>
      <c r="R1665">
        <v>0</v>
      </c>
      <c r="S1665">
        <v>76.1371457489878</v>
      </c>
      <c r="T1665">
        <v>85</v>
      </c>
      <c r="U1665">
        <f>SUMIF(货件明细!J:J,E1665,货件明细!AP:AP)</f>
        <v>0</v>
      </c>
      <c r="V1665">
        <f>IF(U1665=T1665,0,1)</f>
        <v>1</v>
      </c>
      <c r="W1665">
        <f>T1665</f>
        <v>85</v>
      </c>
      <c r="X1665">
        <f>SUMIF(货件明细!J:J,E1665,货件明细!H:H)</f>
        <v>0</v>
      </c>
      <c r="Y1665">
        <f>N1665-X1665</f>
        <v>8.9</v>
      </c>
      <c r="Z1665">
        <f>SUMIF(货件明细!J:J,E1665,货件明细!I:I)</f>
        <v>0</v>
      </c>
      <c r="AA1665">
        <f>IF(S1665=Z1665,0,1)</f>
        <v>1</v>
      </c>
    </row>
    <row r="1666" hidden="1" spans="1:27">
      <c r="A1666">
        <v>3</v>
      </c>
      <c r="B1666">
        <v>13</v>
      </c>
      <c r="C1666" s="3">
        <v>46108</v>
      </c>
      <c r="D1666" t="s">
        <v>88</v>
      </c>
      <c r="E1666" t="s">
        <v>1786</v>
      </c>
      <c r="F1666" t="s">
        <v>427</v>
      </c>
      <c r="G1666" t="s">
        <v>72</v>
      </c>
      <c r="H1666" t="s">
        <v>78</v>
      </c>
      <c r="I1666" t="s">
        <v>63</v>
      </c>
      <c r="J1666" t="s">
        <v>63</v>
      </c>
      <c r="K1666" t="s">
        <v>64</v>
      </c>
      <c r="L1666" t="s">
        <v>65</v>
      </c>
      <c r="M1666" t="s">
        <v>1456</v>
      </c>
      <c r="N1666">
        <v>119.85</v>
      </c>
      <c r="O1666">
        <v>21.5384615384615</v>
      </c>
      <c r="P1666">
        <v>600.585526315789</v>
      </c>
      <c r="Q1666">
        <v>622.123987854251</v>
      </c>
      <c r="R1666">
        <v>0</v>
      </c>
      <c r="S1666">
        <v>622.123987854251</v>
      </c>
      <c r="T1666">
        <v>852</v>
      </c>
      <c r="U1666">
        <f>SUMIF(货件明细!J:J,E1666,货件明细!AP:AP)</f>
        <v>0</v>
      </c>
      <c r="V1666">
        <f>IF(U1666=T1666,0,1)</f>
        <v>1</v>
      </c>
      <c r="W1666">
        <f>T1666</f>
        <v>852</v>
      </c>
      <c r="X1666">
        <f>SUMIF(货件明细!J:J,E1666,货件明细!H:H)</f>
        <v>0</v>
      </c>
      <c r="Y1666">
        <f>N1666-X1666</f>
        <v>119.85</v>
      </c>
      <c r="Z1666">
        <f>SUMIF(货件明细!J:J,E1666,货件明细!I:I)</f>
        <v>0</v>
      </c>
      <c r="AA1666">
        <f>IF(S1666=Z1666,0,1)</f>
        <v>1</v>
      </c>
    </row>
    <row r="1667" hidden="1" spans="1:27">
      <c r="A1667">
        <v>3</v>
      </c>
      <c r="B1667">
        <v>13</v>
      </c>
      <c r="C1667" s="3">
        <v>46108</v>
      </c>
      <c r="D1667" t="s">
        <v>88</v>
      </c>
      <c r="E1667" t="s">
        <v>1787</v>
      </c>
      <c r="F1667" t="s">
        <v>427</v>
      </c>
      <c r="G1667" t="s">
        <v>72</v>
      </c>
      <c r="H1667" t="s">
        <v>59</v>
      </c>
      <c r="I1667" t="s">
        <v>63</v>
      </c>
      <c r="J1667" t="s">
        <v>63</v>
      </c>
      <c r="K1667" t="s">
        <v>64</v>
      </c>
      <c r="L1667" t="s">
        <v>65</v>
      </c>
      <c r="M1667" t="s">
        <v>1456</v>
      </c>
      <c r="N1667">
        <v>63.7</v>
      </c>
      <c r="O1667">
        <v>21.5384615384615</v>
      </c>
      <c r="P1667">
        <v>327.592105263158</v>
      </c>
      <c r="Q1667">
        <v>349.130566801619</v>
      </c>
      <c r="R1667">
        <v>0</v>
      </c>
      <c r="S1667">
        <v>349.130566801619</v>
      </c>
      <c r="T1667">
        <v>630</v>
      </c>
      <c r="U1667">
        <f>SUMIF(货件明细!J:J,E1667,货件明细!AP:AP)</f>
        <v>0</v>
      </c>
      <c r="V1667">
        <f>IF(U1667=T1667,0,1)</f>
        <v>1</v>
      </c>
      <c r="W1667">
        <f>T1667</f>
        <v>630</v>
      </c>
      <c r="X1667">
        <f>SUMIF(货件明细!J:J,E1667,货件明细!H:H)</f>
        <v>0</v>
      </c>
      <c r="Y1667">
        <f>N1667-X1667</f>
        <v>63.7</v>
      </c>
      <c r="Z1667">
        <f>SUMIF(货件明细!J:J,E1667,货件明细!I:I)</f>
        <v>0</v>
      </c>
      <c r="AA1667">
        <f>IF(S1667=Z1667,0,1)</f>
        <v>1</v>
      </c>
    </row>
    <row r="1668" hidden="1" spans="1:27">
      <c r="A1668">
        <v>3</v>
      </c>
      <c r="B1668">
        <v>13</v>
      </c>
      <c r="C1668" s="3">
        <v>46108</v>
      </c>
      <c r="D1668" t="s">
        <v>88</v>
      </c>
      <c r="E1668" t="s">
        <v>1788</v>
      </c>
      <c r="F1668" t="s">
        <v>427</v>
      </c>
      <c r="G1668" t="s">
        <v>72</v>
      </c>
      <c r="H1668" t="s">
        <v>39</v>
      </c>
      <c r="I1668" t="s">
        <v>63</v>
      </c>
      <c r="J1668" t="s">
        <v>63</v>
      </c>
      <c r="K1668" t="s">
        <v>64</v>
      </c>
      <c r="L1668" t="s">
        <v>65</v>
      </c>
      <c r="M1668" t="s">
        <v>1456</v>
      </c>
      <c r="N1668">
        <v>50.3</v>
      </c>
      <c r="O1668">
        <v>21.5384615384615</v>
      </c>
      <c r="P1668">
        <v>218.394736842105</v>
      </c>
      <c r="Q1668">
        <v>239.933198380567</v>
      </c>
      <c r="R1668">
        <v>0</v>
      </c>
      <c r="S1668">
        <v>239.933198380567</v>
      </c>
      <c r="T1668">
        <v>220</v>
      </c>
      <c r="U1668">
        <f>SUMIF(货件明细!J:J,E1668,货件明细!AP:AP)</f>
        <v>0</v>
      </c>
      <c r="V1668">
        <f>IF(U1668=T1668,0,1)</f>
        <v>1</v>
      </c>
      <c r="W1668">
        <f>T1668</f>
        <v>220</v>
      </c>
      <c r="X1668">
        <f>SUMIF(货件明细!J:J,E1668,货件明细!H:H)</f>
        <v>0</v>
      </c>
      <c r="Y1668">
        <f>N1668-X1668</f>
        <v>50.3</v>
      </c>
      <c r="Z1668">
        <f>SUMIF(货件明细!J:J,E1668,货件明细!I:I)</f>
        <v>0</v>
      </c>
      <c r="AA1668">
        <f>IF(S1668=Z1668,0,1)</f>
        <v>1</v>
      </c>
    </row>
    <row r="1669" hidden="1" spans="1:27">
      <c r="A1669">
        <v>3</v>
      </c>
      <c r="B1669">
        <v>13</v>
      </c>
      <c r="C1669" s="3">
        <v>46108</v>
      </c>
      <c r="D1669" t="s">
        <v>88</v>
      </c>
      <c r="E1669" t="s">
        <v>1789</v>
      </c>
      <c r="F1669" t="s">
        <v>427</v>
      </c>
      <c r="G1669" t="s">
        <v>72</v>
      </c>
      <c r="H1669" t="s">
        <v>56</v>
      </c>
      <c r="I1669" t="s">
        <v>63</v>
      </c>
      <c r="J1669" t="s">
        <v>63</v>
      </c>
      <c r="K1669" t="s">
        <v>64</v>
      </c>
      <c r="L1669" t="s">
        <v>65</v>
      </c>
      <c r="M1669" t="s">
        <v>1456</v>
      </c>
      <c r="N1669">
        <v>56.75</v>
      </c>
      <c r="O1669">
        <v>21.5384615384615</v>
      </c>
      <c r="P1669">
        <v>272.993421052632</v>
      </c>
      <c r="Q1669">
        <v>294.531882591093</v>
      </c>
      <c r="R1669">
        <v>0</v>
      </c>
      <c r="S1669">
        <v>294.531882591093</v>
      </c>
      <c r="T1669">
        <v>188</v>
      </c>
      <c r="U1669">
        <f>SUMIF(货件明细!J:J,E1669,货件明细!AP:AP)</f>
        <v>0</v>
      </c>
      <c r="V1669">
        <f>IF(U1669=T1669,0,1)</f>
        <v>1</v>
      </c>
      <c r="W1669">
        <f>T1669</f>
        <v>188</v>
      </c>
      <c r="X1669">
        <f>SUMIF(货件明细!J:J,E1669,货件明细!H:H)</f>
        <v>0</v>
      </c>
      <c r="Y1669">
        <f>N1669-X1669</f>
        <v>56.75</v>
      </c>
      <c r="Z1669">
        <f>SUMIF(货件明细!J:J,E1669,货件明细!I:I)</f>
        <v>0</v>
      </c>
      <c r="AA1669">
        <f>IF(S1669=Z1669,0,1)</f>
        <v>1</v>
      </c>
    </row>
    <row r="1670" hidden="1" spans="1:27">
      <c r="A1670">
        <v>3</v>
      </c>
      <c r="B1670">
        <v>13</v>
      </c>
      <c r="C1670" s="3">
        <v>46108</v>
      </c>
      <c r="D1670" t="s">
        <v>88</v>
      </c>
      <c r="E1670" t="s">
        <v>1790</v>
      </c>
      <c r="F1670" t="s">
        <v>211</v>
      </c>
      <c r="G1670" t="s">
        <v>72</v>
      </c>
      <c r="H1670" t="s">
        <v>224</v>
      </c>
      <c r="I1670" t="s">
        <v>63</v>
      </c>
      <c r="J1670" t="s">
        <v>146</v>
      </c>
      <c r="K1670" t="s">
        <v>64</v>
      </c>
      <c r="L1670" t="s">
        <v>65</v>
      </c>
      <c r="M1670" t="s">
        <v>93</v>
      </c>
      <c r="N1670">
        <v>7.5</v>
      </c>
      <c r="O1670">
        <v>25.5555555555556</v>
      </c>
      <c r="P1670">
        <v>54.8</v>
      </c>
      <c r="Q1670">
        <v>80.3555555555556</v>
      </c>
      <c r="R1670">
        <v>0</v>
      </c>
      <c r="S1670">
        <v>80.3555555555556</v>
      </c>
      <c r="T1670">
        <v>51</v>
      </c>
      <c r="U1670">
        <f>SUMIF(货件明细!J:J,E1670,货件明细!AP:AP)</f>
        <v>0</v>
      </c>
      <c r="V1670">
        <f>IF(U1670=T1670,0,1)</f>
        <v>1</v>
      </c>
      <c r="W1670">
        <f>T1670</f>
        <v>51</v>
      </c>
      <c r="X1670">
        <f>SUMIF(货件明细!J:J,E1670,货件明细!H:H)</f>
        <v>0</v>
      </c>
      <c r="Y1670">
        <f>N1670-X1670</f>
        <v>7.5</v>
      </c>
      <c r="Z1670">
        <f>SUMIF(货件明细!J:J,E1670,货件明细!I:I)</f>
        <v>0</v>
      </c>
      <c r="AA1670">
        <f>IF(S1670=Z1670,0,1)</f>
        <v>1</v>
      </c>
    </row>
    <row r="1671" hidden="1" spans="1:27">
      <c r="A1671">
        <v>3</v>
      </c>
      <c r="B1671">
        <v>13</v>
      </c>
      <c r="C1671" s="3">
        <v>46108</v>
      </c>
      <c r="D1671" t="s">
        <v>88</v>
      </c>
      <c r="E1671" t="s">
        <v>1791</v>
      </c>
      <c r="F1671" t="s">
        <v>211</v>
      </c>
      <c r="G1671" t="s">
        <v>72</v>
      </c>
      <c r="H1671" t="s">
        <v>37</v>
      </c>
      <c r="I1671" t="s">
        <v>63</v>
      </c>
      <c r="J1671" t="s">
        <v>146</v>
      </c>
      <c r="K1671" t="s">
        <v>64</v>
      </c>
      <c r="L1671" t="s">
        <v>65</v>
      </c>
      <c r="M1671" t="s">
        <v>93</v>
      </c>
      <c r="N1671">
        <v>12.85</v>
      </c>
      <c r="O1671">
        <v>25.5555555555556</v>
      </c>
      <c r="P1671">
        <v>68.5</v>
      </c>
      <c r="Q1671">
        <v>94.0555555555556</v>
      </c>
      <c r="R1671">
        <v>0</v>
      </c>
      <c r="S1671">
        <v>94.0555555555556</v>
      </c>
      <c r="T1671">
        <v>90</v>
      </c>
      <c r="U1671">
        <f>SUMIF(货件明细!J:J,E1671,货件明细!AP:AP)</f>
        <v>0</v>
      </c>
      <c r="V1671">
        <f>IF(U1671=T1671,0,1)</f>
        <v>1</v>
      </c>
      <c r="W1671">
        <f>T1671</f>
        <v>90</v>
      </c>
      <c r="X1671">
        <f>SUMIF(货件明细!J:J,E1671,货件明细!H:H)</f>
        <v>0</v>
      </c>
      <c r="Y1671">
        <f>N1671-X1671</f>
        <v>12.85</v>
      </c>
      <c r="Z1671">
        <f>SUMIF(货件明细!J:J,E1671,货件明细!I:I)</f>
        <v>0</v>
      </c>
      <c r="AA1671">
        <f>IF(S1671=Z1671,0,1)</f>
        <v>1</v>
      </c>
    </row>
    <row r="1672" hidden="1" spans="1:27">
      <c r="A1672">
        <v>3</v>
      </c>
      <c r="B1672">
        <v>13</v>
      </c>
      <c r="C1672" s="3">
        <v>46108</v>
      </c>
      <c r="D1672" t="s">
        <v>88</v>
      </c>
      <c r="E1672" t="s">
        <v>1792</v>
      </c>
      <c r="F1672" t="s">
        <v>211</v>
      </c>
      <c r="G1672" t="s">
        <v>72</v>
      </c>
      <c r="H1672" t="s">
        <v>59</v>
      </c>
      <c r="I1672" t="s">
        <v>63</v>
      </c>
      <c r="J1672" t="s">
        <v>146</v>
      </c>
      <c r="K1672" t="s">
        <v>64</v>
      </c>
      <c r="L1672" t="s">
        <v>65</v>
      </c>
      <c r="M1672" t="s">
        <v>93</v>
      </c>
      <c r="N1672">
        <v>77.15</v>
      </c>
      <c r="O1672">
        <v>25.5555555555556</v>
      </c>
      <c r="P1672">
        <v>452.1</v>
      </c>
      <c r="Q1672">
        <v>477.655555555556</v>
      </c>
      <c r="R1672">
        <v>0</v>
      </c>
      <c r="S1672">
        <v>477.655555555556</v>
      </c>
      <c r="T1672">
        <v>635</v>
      </c>
      <c r="U1672">
        <f>SUMIF(货件明细!J:J,E1672,货件明细!AP:AP)</f>
        <v>0</v>
      </c>
      <c r="V1672">
        <f>IF(U1672=T1672,0,1)</f>
        <v>1</v>
      </c>
      <c r="W1672">
        <f>T1672</f>
        <v>635</v>
      </c>
      <c r="X1672">
        <f>SUMIF(货件明细!J:J,E1672,货件明细!H:H)</f>
        <v>0</v>
      </c>
      <c r="Y1672">
        <f>N1672-X1672</f>
        <v>77.15</v>
      </c>
      <c r="Z1672">
        <f>SUMIF(货件明细!J:J,E1672,货件明细!I:I)</f>
        <v>0</v>
      </c>
      <c r="AA1672">
        <f>IF(S1672=Z1672,0,1)</f>
        <v>1</v>
      </c>
    </row>
    <row r="1673" hidden="1" spans="1:27">
      <c r="A1673">
        <v>3</v>
      </c>
      <c r="B1673">
        <v>13</v>
      </c>
      <c r="C1673" s="3">
        <v>46108</v>
      </c>
      <c r="D1673" t="s">
        <v>88</v>
      </c>
      <c r="E1673" t="s">
        <v>1793</v>
      </c>
      <c r="F1673" t="s">
        <v>211</v>
      </c>
      <c r="G1673" t="s">
        <v>72</v>
      </c>
      <c r="H1673" t="s">
        <v>78</v>
      </c>
      <c r="I1673" t="s">
        <v>63</v>
      </c>
      <c r="J1673" t="s">
        <v>146</v>
      </c>
      <c r="K1673" t="s">
        <v>64</v>
      </c>
      <c r="L1673" t="s">
        <v>65</v>
      </c>
      <c r="M1673" t="s">
        <v>93</v>
      </c>
      <c r="N1673">
        <v>10.95</v>
      </c>
      <c r="O1673">
        <v>25.5555555555556</v>
      </c>
      <c r="P1673">
        <v>54.8</v>
      </c>
      <c r="Q1673">
        <v>80.3555555555556</v>
      </c>
      <c r="R1673">
        <v>0</v>
      </c>
      <c r="S1673">
        <v>80.3555555555556</v>
      </c>
      <c r="T1673">
        <v>75</v>
      </c>
      <c r="U1673">
        <f>SUMIF(货件明细!J:J,E1673,货件明细!AP:AP)</f>
        <v>0</v>
      </c>
      <c r="V1673">
        <f>IF(U1673=T1673,0,1)</f>
        <v>1</v>
      </c>
      <c r="W1673">
        <f>T1673</f>
        <v>75</v>
      </c>
      <c r="X1673">
        <f>SUMIF(货件明细!J:J,E1673,货件明细!H:H)</f>
        <v>0</v>
      </c>
      <c r="Y1673">
        <f>N1673-X1673</f>
        <v>10.95</v>
      </c>
      <c r="Z1673">
        <f>SUMIF(货件明细!J:J,E1673,货件明细!I:I)</f>
        <v>0</v>
      </c>
      <c r="AA1673">
        <f>IF(S1673=Z1673,0,1)</f>
        <v>1</v>
      </c>
    </row>
    <row r="1674" hidden="1" spans="1:27">
      <c r="A1674">
        <v>3</v>
      </c>
      <c r="B1674">
        <v>13</v>
      </c>
      <c r="C1674" s="3">
        <v>46108</v>
      </c>
      <c r="D1674" t="s">
        <v>88</v>
      </c>
      <c r="E1674" t="s">
        <v>1794</v>
      </c>
      <c r="F1674" t="s">
        <v>211</v>
      </c>
      <c r="G1674" t="s">
        <v>72</v>
      </c>
      <c r="H1674" t="s">
        <v>78</v>
      </c>
      <c r="I1674" t="s">
        <v>63</v>
      </c>
      <c r="J1674" t="s">
        <v>146</v>
      </c>
      <c r="K1674" t="s">
        <v>64</v>
      </c>
      <c r="L1674" t="s">
        <v>65</v>
      </c>
      <c r="M1674" t="s">
        <v>93</v>
      </c>
      <c r="N1674">
        <v>174.6</v>
      </c>
      <c r="O1674">
        <v>25.5555555555556</v>
      </c>
      <c r="P1674">
        <v>972.7</v>
      </c>
      <c r="Q1674">
        <v>998.255555555555</v>
      </c>
      <c r="R1674">
        <v>0</v>
      </c>
      <c r="S1674">
        <v>998.255555555555</v>
      </c>
      <c r="T1674">
        <v>1260</v>
      </c>
      <c r="U1674">
        <f>SUMIF(货件明细!J:J,E1674,货件明细!AP:AP)</f>
        <v>0</v>
      </c>
      <c r="V1674">
        <f>IF(U1674=T1674,0,1)</f>
        <v>1</v>
      </c>
      <c r="W1674">
        <f>T1674</f>
        <v>1260</v>
      </c>
      <c r="X1674">
        <f>SUMIF(货件明细!J:J,E1674,货件明细!H:H)</f>
        <v>0</v>
      </c>
      <c r="Y1674">
        <f>N1674-X1674</f>
        <v>174.6</v>
      </c>
      <c r="Z1674">
        <f>SUMIF(货件明细!J:J,E1674,货件明细!I:I)</f>
        <v>0</v>
      </c>
      <c r="AA1674">
        <f>IF(S1674=Z1674,0,1)</f>
        <v>1</v>
      </c>
    </row>
    <row r="1675" spans="1:27">
      <c r="A1675">
        <v>3</v>
      </c>
      <c r="B1675">
        <v>13</v>
      </c>
      <c r="C1675" s="3">
        <v>46108</v>
      </c>
      <c r="D1675" t="s">
        <v>27</v>
      </c>
      <c r="E1675" t="s">
        <v>1795</v>
      </c>
      <c r="F1675" t="s">
        <v>1796</v>
      </c>
      <c r="G1675" t="s">
        <v>30</v>
      </c>
      <c r="H1675" t="s">
        <v>224</v>
      </c>
      <c r="I1675" t="s">
        <v>42</v>
      </c>
      <c r="J1675" t="s">
        <v>42</v>
      </c>
      <c r="K1675" t="s">
        <v>33</v>
      </c>
      <c r="L1675" t="s">
        <v>43</v>
      </c>
      <c r="M1675" t="s">
        <v>900</v>
      </c>
      <c r="N1675">
        <v>25.8</v>
      </c>
      <c r="O1675">
        <v>150</v>
      </c>
      <c r="P1675">
        <v>1708</v>
      </c>
      <c r="Q1675">
        <v>1858</v>
      </c>
      <c r="R1675">
        <v>275.22</v>
      </c>
      <c r="S1675">
        <v>2133.22</v>
      </c>
      <c r="T1675">
        <v>180</v>
      </c>
      <c r="U1675">
        <f>SUMIF(货件明细!J:J,E1675,货件明细!AP:AP)</f>
        <v>180</v>
      </c>
      <c r="V1675">
        <f>IF(U1675=T1675,0,1)</f>
        <v>0</v>
      </c>
      <c r="W1675">
        <f>T1675</f>
        <v>180</v>
      </c>
      <c r="X1675">
        <f>SUMIF(货件明细!J:J,E1675,货件明细!H:H)</f>
        <v>24.34</v>
      </c>
      <c r="Y1675">
        <f>N1675-X1675</f>
        <v>1.46</v>
      </c>
      <c r="Z1675">
        <f>SUMIF(货件明细!J:J,E1675,货件明细!I:I)</f>
        <v>2133.22</v>
      </c>
      <c r="AA1675">
        <f>IF(S1675=Z1675,0,1)</f>
        <v>0</v>
      </c>
    </row>
    <row r="1676" spans="1:27">
      <c r="A1676">
        <v>3</v>
      </c>
      <c r="B1676">
        <v>13</v>
      </c>
      <c r="C1676" s="3">
        <v>46108</v>
      </c>
      <c r="D1676" t="s">
        <v>27</v>
      </c>
      <c r="E1676" t="s">
        <v>1797</v>
      </c>
      <c r="F1676" t="s">
        <v>41</v>
      </c>
      <c r="G1676" t="s">
        <v>30</v>
      </c>
      <c r="H1676" t="s">
        <v>78</v>
      </c>
      <c r="I1676" t="s">
        <v>42</v>
      </c>
      <c r="J1676" t="s">
        <v>42</v>
      </c>
      <c r="K1676" t="s">
        <v>33</v>
      </c>
      <c r="L1676" t="s">
        <v>43</v>
      </c>
      <c r="M1676" t="s">
        <v>900</v>
      </c>
      <c r="N1676">
        <v>20.9</v>
      </c>
      <c r="O1676">
        <v>100</v>
      </c>
      <c r="P1676">
        <v>1293</v>
      </c>
      <c r="Q1676">
        <v>1393</v>
      </c>
      <c r="R1676">
        <v>111.2</v>
      </c>
      <c r="S1676">
        <v>1504.2</v>
      </c>
      <c r="T1676">
        <v>100</v>
      </c>
      <c r="U1676">
        <f>SUMIF(货件明细!J:J,E1676,货件明细!AP:AP)</f>
        <v>100</v>
      </c>
      <c r="V1676">
        <f>IF(U1676=T1676,0,1)</f>
        <v>0</v>
      </c>
      <c r="W1676">
        <f>T1676</f>
        <v>100</v>
      </c>
      <c r="X1676">
        <f>SUMIF(货件明细!J:J,E1676,货件明细!H:H)</f>
        <v>20.4</v>
      </c>
      <c r="Y1676">
        <f>N1676-X1676</f>
        <v>0.5</v>
      </c>
      <c r="Z1676">
        <f>SUMIF(货件明细!J:J,E1676,货件明细!I:I)</f>
        <v>1504.2</v>
      </c>
      <c r="AA1676">
        <f>IF(S1676=Z1676,0,1)</f>
        <v>0</v>
      </c>
    </row>
    <row r="1677" spans="1:27">
      <c r="A1677">
        <v>3</v>
      </c>
      <c r="B1677">
        <v>13</v>
      </c>
      <c r="C1677" s="3">
        <v>46108</v>
      </c>
      <c r="D1677" t="s">
        <v>27</v>
      </c>
      <c r="E1677" t="s">
        <v>1798</v>
      </c>
      <c r="F1677" t="s">
        <v>41</v>
      </c>
      <c r="G1677" t="s">
        <v>30</v>
      </c>
      <c r="H1677" t="s">
        <v>46</v>
      </c>
      <c r="I1677" t="s">
        <v>42</v>
      </c>
      <c r="J1677" t="s">
        <v>42</v>
      </c>
      <c r="K1677" t="s">
        <v>33</v>
      </c>
      <c r="L1677" t="s">
        <v>43</v>
      </c>
      <c r="M1677" t="s">
        <v>900</v>
      </c>
      <c r="N1677">
        <v>27.8</v>
      </c>
      <c r="O1677">
        <v>100</v>
      </c>
      <c r="P1677">
        <v>1699</v>
      </c>
      <c r="Q1677">
        <v>1799</v>
      </c>
      <c r="R1677">
        <v>372.52</v>
      </c>
      <c r="S1677">
        <v>2171.52</v>
      </c>
      <c r="T1677">
        <v>335</v>
      </c>
      <c r="U1677">
        <f>SUMIF(货件明细!J:J,E1677,货件明细!AP:AP)</f>
        <v>335</v>
      </c>
      <c r="V1677">
        <f>IF(U1677=T1677,0,1)</f>
        <v>0</v>
      </c>
      <c r="W1677">
        <f>T1677</f>
        <v>335</v>
      </c>
      <c r="X1677">
        <f>SUMIF(货件明细!J:J,E1677,货件明细!H:H)</f>
        <v>26.065</v>
      </c>
      <c r="Y1677">
        <f>N1677-X1677</f>
        <v>1.735</v>
      </c>
      <c r="Z1677">
        <f>SUMIF(货件明细!J:J,E1677,货件明细!I:I)</f>
        <v>2171.52</v>
      </c>
      <c r="AA1677">
        <f>IF(S1677=Z1677,0,1)</f>
        <v>0</v>
      </c>
    </row>
    <row r="1678" spans="1:27">
      <c r="A1678">
        <v>3</v>
      </c>
      <c r="B1678">
        <v>14</v>
      </c>
      <c r="C1678" s="3">
        <v>46111</v>
      </c>
      <c r="D1678" t="s">
        <v>27</v>
      </c>
      <c r="E1678" t="s">
        <v>1799</v>
      </c>
      <c r="F1678" t="s">
        <v>41</v>
      </c>
      <c r="G1678" t="s">
        <v>30</v>
      </c>
      <c r="H1678" t="s">
        <v>31</v>
      </c>
      <c r="I1678" t="s">
        <v>42</v>
      </c>
      <c r="J1678" t="s">
        <v>42</v>
      </c>
      <c r="K1678" t="s">
        <v>33</v>
      </c>
      <c r="L1678" t="s">
        <v>43</v>
      </c>
      <c r="M1678" t="s">
        <v>44</v>
      </c>
      <c r="N1678">
        <v>39.8</v>
      </c>
      <c r="O1678">
        <v>66.6666666666667</v>
      </c>
      <c r="P1678">
        <v>2470</v>
      </c>
      <c r="Q1678">
        <v>2536.66666666667</v>
      </c>
      <c r="R1678">
        <v>311.36</v>
      </c>
      <c r="S1678">
        <v>2848.02666666667</v>
      </c>
      <c r="T1678">
        <v>280</v>
      </c>
      <c r="U1678">
        <f>SUMIF(货件明细!J:J,E1678,货件明细!AP:AP)</f>
        <v>280</v>
      </c>
      <c r="V1678">
        <f>IF(U1678=T1678,0,1)</f>
        <v>0</v>
      </c>
      <c r="W1678">
        <f>T1678</f>
        <v>280</v>
      </c>
      <c r="X1678">
        <f>SUMIF(货件明细!J:J,E1678,货件明细!H:H)</f>
        <v>38.07</v>
      </c>
      <c r="Y1678">
        <f>N1678-X1678</f>
        <v>1.73</v>
      </c>
      <c r="Z1678">
        <f>SUMIF(货件明细!J:J,E1678,货件明细!I:I)</f>
        <v>2848.02666666667</v>
      </c>
      <c r="AA1678">
        <f>IF(S1678=Z1678,0,1)</f>
        <v>0</v>
      </c>
    </row>
    <row r="1679" spans="1:27">
      <c r="A1679">
        <v>3</v>
      </c>
      <c r="B1679">
        <v>14</v>
      </c>
      <c r="C1679" s="3">
        <v>46111</v>
      </c>
      <c r="D1679" t="s">
        <v>27</v>
      </c>
      <c r="E1679" t="s">
        <v>1800</v>
      </c>
      <c r="F1679" t="s">
        <v>41</v>
      </c>
      <c r="G1679" t="s">
        <v>30</v>
      </c>
      <c r="H1679" t="s">
        <v>39</v>
      </c>
      <c r="I1679" t="s">
        <v>42</v>
      </c>
      <c r="J1679" t="s">
        <v>42</v>
      </c>
      <c r="K1679" t="s">
        <v>33</v>
      </c>
      <c r="L1679" t="s">
        <v>43</v>
      </c>
      <c r="M1679" t="s">
        <v>44</v>
      </c>
      <c r="N1679">
        <v>48.45</v>
      </c>
      <c r="O1679">
        <v>66.6666666666667</v>
      </c>
      <c r="P1679">
        <v>3135.5</v>
      </c>
      <c r="Q1679">
        <v>3202.16666666667</v>
      </c>
      <c r="R1679">
        <v>433.68</v>
      </c>
      <c r="S1679">
        <v>3635.84666666667</v>
      </c>
      <c r="T1679">
        <v>390</v>
      </c>
      <c r="U1679">
        <f>SUMIF(货件明细!J:J,E1679,货件明细!AP:AP)</f>
        <v>390</v>
      </c>
      <c r="V1679">
        <f>IF(U1679=T1679,0,1)</f>
        <v>0</v>
      </c>
      <c r="W1679">
        <f>T1679</f>
        <v>390</v>
      </c>
      <c r="X1679">
        <f>SUMIF(货件明细!J:J,E1679,货件明细!H:H)</f>
        <v>53.79</v>
      </c>
      <c r="Y1679">
        <f>N1679-X1679</f>
        <v>-5.34</v>
      </c>
      <c r="Z1679">
        <f>SUMIF(货件明细!J:J,E1679,货件明细!I:I)</f>
        <v>3635.84666666667</v>
      </c>
      <c r="AA1679">
        <f>IF(S1679=Z1679,0,1)</f>
        <v>0</v>
      </c>
    </row>
    <row r="1680" spans="1:27">
      <c r="A1680">
        <v>3</v>
      </c>
      <c r="B1680">
        <v>14</v>
      </c>
      <c r="C1680" s="3">
        <v>46111</v>
      </c>
      <c r="D1680" t="s">
        <v>27</v>
      </c>
      <c r="E1680" t="s">
        <v>1801</v>
      </c>
      <c r="F1680" t="s">
        <v>41</v>
      </c>
      <c r="G1680" t="s">
        <v>30</v>
      </c>
      <c r="H1680" t="s">
        <v>51</v>
      </c>
      <c r="I1680" t="s">
        <v>42</v>
      </c>
      <c r="J1680" t="s">
        <v>42</v>
      </c>
      <c r="K1680" t="s">
        <v>33</v>
      </c>
      <c r="L1680" t="s">
        <v>43</v>
      </c>
      <c r="M1680" t="s">
        <v>44</v>
      </c>
      <c r="N1680">
        <v>12.8</v>
      </c>
      <c r="O1680">
        <v>66.6666666666667</v>
      </c>
      <c r="P1680">
        <v>836.5</v>
      </c>
      <c r="Q1680">
        <v>903.166666666667</v>
      </c>
      <c r="R1680">
        <v>116.76</v>
      </c>
      <c r="S1680">
        <v>1019.92666666667</v>
      </c>
      <c r="T1680">
        <v>105</v>
      </c>
      <c r="U1680">
        <f>SUMIF(货件明细!J:J,E1680,货件明细!AP:AP)</f>
        <v>105</v>
      </c>
      <c r="V1680">
        <f>IF(U1680=T1680,0,1)</f>
        <v>0</v>
      </c>
      <c r="W1680">
        <f>T1680</f>
        <v>105</v>
      </c>
      <c r="X1680">
        <f>SUMIF(货件明细!J:J,E1680,货件明细!H:H)</f>
        <v>12.03</v>
      </c>
      <c r="Y1680">
        <f>N1680-X1680</f>
        <v>0.77</v>
      </c>
      <c r="Z1680">
        <f>SUMIF(货件明细!J:J,E1680,货件明细!I:I)</f>
        <v>1019.92666666667</v>
      </c>
      <c r="AA1680">
        <f>IF(S1680=Z1680,0,1)</f>
        <v>0</v>
      </c>
    </row>
    <row r="1681" spans="1:27">
      <c r="A1681">
        <v>3</v>
      </c>
      <c r="B1681">
        <v>14</v>
      </c>
      <c r="C1681" s="3">
        <v>46111</v>
      </c>
      <c r="D1681" t="s">
        <v>27</v>
      </c>
      <c r="E1681" t="s">
        <v>1802</v>
      </c>
      <c r="F1681" t="s">
        <v>1796</v>
      </c>
      <c r="G1681" t="s">
        <v>30</v>
      </c>
      <c r="H1681" t="s">
        <v>54</v>
      </c>
      <c r="I1681" t="s">
        <v>42</v>
      </c>
      <c r="J1681" t="s">
        <v>42</v>
      </c>
      <c r="K1681" t="s">
        <v>33</v>
      </c>
      <c r="L1681" t="s">
        <v>43</v>
      </c>
      <c r="M1681" t="s">
        <v>44</v>
      </c>
      <c r="N1681">
        <v>63.6</v>
      </c>
      <c r="O1681">
        <v>100</v>
      </c>
      <c r="P1681">
        <v>3883</v>
      </c>
      <c r="Q1681">
        <v>3983</v>
      </c>
      <c r="R1681">
        <v>203.357</v>
      </c>
      <c r="S1681">
        <v>4186.357</v>
      </c>
      <c r="T1681">
        <v>131</v>
      </c>
      <c r="U1681">
        <f>SUMIF(货件明细!J:J,E1681,货件明细!AP:AP)</f>
        <v>131</v>
      </c>
      <c r="V1681">
        <f>IF(U1681=T1681,0,1)</f>
        <v>0</v>
      </c>
      <c r="W1681">
        <f>T1681</f>
        <v>131</v>
      </c>
      <c r="X1681">
        <f>SUMIF(货件明细!J:J,E1681,货件明细!H:H)</f>
        <v>60.26</v>
      </c>
      <c r="Y1681">
        <f>N1681-X1681</f>
        <v>3.34</v>
      </c>
      <c r="Z1681">
        <f>SUMIF(货件明细!J:J,E1681,货件明细!I:I)</f>
        <v>4186.357</v>
      </c>
      <c r="AA1681">
        <f>IF(S1681=Z1681,0,1)</f>
        <v>0</v>
      </c>
    </row>
    <row r="1682" spans="1:27">
      <c r="A1682">
        <v>3</v>
      </c>
      <c r="B1682">
        <v>14</v>
      </c>
      <c r="C1682" s="3">
        <v>46111</v>
      </c>
      <c r="D1682" t="s">
        <v>27</v>
      </c>
      <c r="E1682" t="s">
        <v>1803</v>
      </c>
      <c r="F1682" t="s">
        <v>1796</v>
      </c>
      <c r="G1682" t="s">
        <v>30</v>
      </c>
      <c r="H1682" t="s">
        <v>224</v>
      </c>
      <c r="I1682" t="s">
        <v>42</v>
      </c>
      <c r="J1682" t="s">
        <v>42</v>
      </c>
      <c r="K1682" t="s">
        <v>33</v>
      </c>
      <c r="L1682" t="s">
        <v>43</v>
      </c>
      <c r="M1682" t="s">
        <v>44</v>
      </c>
      <c r="N1682">
        <v>40.5</v>
      </c>
      <c r="O1682">
        <v>100</v>
      </c>
      <c r="P1682">
        <v>2574</v>
      </c>
      <c r="Q1682">
        <v>2674</v>
      </c>
      <c r="R1682">
        <v>308.858</v>
      </c>
      <c r="S1682">
        <v>2982.858</v>
      </c>
      <c r="T1682">
        <v>202</v>
      </c>
      <c r="U1682">
        <f>SUMIF(货件明细!J:J,E1682,货件明细!AP:AP)</f>
        <v>202</v>
      </c>
      <c r="V1682">
        <f>IF(U1682=T1682,0,1)</f>
        <v>0</v>
      </c>
      <c r="W1682">
        <f>T1682</f>
        <v>202</v>
      </c>
      <c r="X1682">
        <f>SUMIF(货件明细!J:J,E1682,货件明细!H:H)</f>
        <v>38.938</v>
      </c>
      <c r="Y1682">
        <f>N1682-X1682</f>
        <v>1.562</v>
      </c>
      <c r="Z1682">
        <f>SUMIF(货件明细!J:J,E1682,货件明细!I:I)</f>
        <v>2982.858</v>
      </c>
      <c r="AA1682">
        <f>IF(S1682=Z1682,0,1)</f>
        <v>0</v>
      </c>
    </row>
    <row r="1683" hidden="1" spans="1:27">
      <c r="A1683">
        <v>4</v>
      </c>
      <c r="B1683">
        <v>14</v>
      </c>
      <c r="C1683" s="3">
        <v>46115</v>
      </c>
      <c r="D1683" t="s">
        <v>88</v>
      </c>
      <c r="E1683" t="s">
        <v>1804</v>
      </c>
      <c r="F1683" t="s">
        <v>211</v>
      </c>
      <c r="G1683" t="s">
        <v>72</v>
      </c>
      <c r="H1683" t="s">
        <v>51</v>
      </c>
      <c r="I1683" t="s">
        <v>63</v>
      </c>
      <c r="J1683" t="s">
        <v>63</v>
      </c>
      <c r="K1683" t="s">
        <v>64</v>
      </c>
      <c r="L1683" t="s">
        <v>147</v>
      </c>
      <c r="M1683" t="s">
        <v>774</v>
      </c>
      <c r="N1683">
        <v>311.65</v>
      </c>
      <c r="O1683">
        <v>13.6363636363636</v>
      </c>
      <c r="P1683">
        <v>1580</v>
      </c>
      <c r="Q1683">
        <v>1593.63636363636</v>
      </c>
      <c r="R1683">
        <v>0</v>
      </c>
      <c r="S1683">
        <v>1593.63636363636</v>
      </c>
      <c r="T1683">
        <v>1046</v>
      </c>
      <c r="U1683">
        <f>SUMIF(货件明细!J:J,E1683,货件明细!AP:AP)</f>
        <v>0</v>
      </c>
      <c r="V1683">
        <f>IF(U1683=T1683,0,1)</f>
        <v>1</v>
      </c>
      <c r="W1683">
        <f>T1683</f>
        <v>1046</v>
      </c>
      <c r="X1683">
        <f>SUMIF(货件明细!J:J,E1683,货件明细!H:H)</f>
        <v>0</v>
      </c>
      <c r="Y1683">
        <f>N1683-X1683</f>
        <v>311.65</v>
      </c>
      <c r="Z1683">
        <f>SUMIF(货件明细!J:J,E1683,货件明细!I:I)</f>
        <v>0</v>
      </c>
      <c r="AA1683">
        <f>IF(S1683=Z1683,0,1)</f>
        <v>1</v>
      </c>
    </row>
    <row r="1684" hidden="1" spans="1:27">
      <c r="A1684">
        <v>4</v>
      </c>
      <c r="B1684">
        <v>14</v>
      </c>
      <c r="C1684" s="3">
        <v>46115</v>
      </c>
      <c r="D1684" t="s">
        <v>88</v>
      </c>
      <c r="E1684" t="s">
        <v>1805</v>
      </c>
      <c r="F1684" t="s">
        <v>211</v>
      </c>
      <c r="G1684" t="s">
        <v>72</v>
      </c>
      <c r="H1684" t="s">
        <v>224</v>
      </c>
      <c r="I1684" t="s">
        <v>63</v>
      </c>
      <c r="J1684" t="s">
        <v>63</v>
      </c>
      <c r="K1684" t="s">
        <v>64</v>
      </c>
      <c r="L1684" t="s">
        <v>147</v>
      </c>
      <c r="M1684" t="s">
        <v>774</v>
      </c>
      <c r="N1684">
        <v>73.45</v>
      </c>
      <c r="O1684">
        <v>13.6363636363636</v>
      </c>
      <c r="P1684">
        <v>360</v>
      </c>
      <c r="Q1684">
        <v>373.636363636364</v>
      </c>
      <c r="R1684">
        <v>0</v>
      </c>
      <c r="S1684">
        <v>373.636363636364</v>
      </c>
      <c r="T1684">
        <v>490</v>
      </c>
      <c r="U1684">
        <f>SUMIF(货件明细!J:J,E1684,货件明细!AP:AP)</f>
        <v>0</v>
      </c>
      <c r="V1684">
        <f>IF(U1684=T1684,0,1)</f>
        <v>1</v>
      </c>
      <c r="W1684">
        <f>T1684</f>
        <v>490</v>
      </c>
      <c r="X1684">
        <f>SUMIF(货件明细!J:J,E1684,货件明细!H:H)</f>
        <v>0</v>
      </c>
      <c r="Y1684">
        <f>N1684-X1684</f>
        <v>73.45</v>
      </c>
      <c r="Z1684">
        <f>SUMIF(货件明细!J:J,E1684,货件明细!I:I)</f>
        <v>0</v>
      </c>
      <c r="AA1684">
        <f>IF(S1684=Z1684,0,1)</f>
        <v>1</v>
      </c>
    </row>
    <row r="1685" hidden="1" spans="1:27">
      <c r="A1685">
        <v>4</v>
      </c>
      <c r="B1685">
        <v>14</v>
      </c>
      <c r="C1685" s="3">
        <v>46115</v>
      </c>
      <c r="D1685" t="s">
        <v>88</v>
      </c>
      <c r="E1685" t="s">
        <v>1806</v>
      </c>
      <c r="F1685" t="s">
        <v>211</v>
      </c>
      <c r="G1685" t="s">
        <v>72</v>
      </c>
      <c r="H1685" t="s">
        <v>31</v>
      </c>
      <c r="I1685" t="s">
        <v>63</v>
      </c>
      <c r="J1685" t="s">
        <v>63</v>
      </c>
      <c r="K1685" t="s">
        <v>64</v>
      </c>
      <c r="L1685" t="s">
        <v>147</v>
      </c>
      <c r="M1685" t="s">
        <v>774</v>
      </c>
      <c r="N1685">
        <v>119.15</v>
      </c>
      <c r="O1685">
        <v>13.6363636363636</v>
      </c>
      <c r="P1685">
        <v>400</v>
      </c>
      <c r="Q1685">
        <v>413.636363636364</v>
      </c>
      <c r="R1685">
        <v>0</v>
      </c>
      <c r="S1685">
        <v>413.636363636364</v>
      </c>
      <c r="T1685">
        <v>380</v>
      </c>
      <c r="U1685">
        <f>SUMIF(货件明细!J:J,E1685,货件明细!AP:AP)</f>
        <v>0</v>
      </c>
      <c r="V1685">
        <f>IF(U1685=T1685,0,1)</f>
        <v>1</v>
      </c>
      <c r="W1685">
        <f>T1685</f>
        <v>380</v>
      </c>
      <c r="X1685">
        <f>SUMIF(货件明细!J:J,E1685,货件明细!H:H)</f>
        <v>0</v>
      </c>
      <c r="Y1685">
        <f>N1685-X1685</f>
        <v>119.15</v>
      </c>
      <c r="Z1685">
        <f>SUMIF(货件明细!J:J,E1685,货件明细!I:I)</f>
        <v>0</v>
      </c>
      <c r="AA1685">
        <f>IF(S1685=Z1685,0,1)</f>
        <v>1</v>
      </c>
    </row>
    <row r="1686" hidden="1" spans="1:27">
      <c r="A1686">
        <v>4</v>
      </c>
      <c r="B1686">
        <v>14</v>
      </c>
      <c r="C1686" s="3">
        <v>46115</v>
      </c>
      <c r="D1686" t="s">
        <v>88</v>
      </c>
      <c r="E1686" t="s">
        <v>1807</v>
      </c>
      <c r="F1686" t="s">
        <v>211</v>
      </c>
      <c r="G1686" t="s">
        <v>72</v>
      </c>
      <c r="H1686" t="s">
        <v>31</v>
      </c>
      <c r="I1686" t="s">
        <v>63</v>
      </c>
      <c r="J1686" t="s">
        <v>63</v>
      </c>
      <c r="K1686" t="s">
        <v>64</v>
      </c>
      <c r="L1686" t="s">
        <v>147</v>
      </c>
      <c r="M1686" t="s">
        <v>774</v>
      </c>
      <c r="N1686">
        <v>145.45</v>
      </c>
      <c r="O1686">
        <v>13.6363636363636</v>
      </c>
      <c r="P1686">
        <v>500</v>
      </c>
      <c r="Q1686">
        <v>513.636363636364</v>
      </c>
      <c r="R1686">
        <v>0</v>
      </c>
      <c r="S1686">
        <v>513.636363636364</v>
      </c>
      <c r="T1686">
        <v>679</v>
      </c>
      <c r="U1686">
        <f>SUMIF(货件明细!J:J,E1686,货件明细!AP:AP)</f>
        <v>0</v>
      </c>
      <c r="V1686">
        <f>IF(U1686=T1686,0,1)</f>
        <v>1</v>
      </c>
      <c r="W1686">
        <f>T1686</f>
        <v>679</v>
      </c>
      <c r="X1686">
        <f>SUMIF(货件明细!J:J,E1686,货件明细!H:H)</f>
        <v>0</v>
      </c>
      <c r="Y1686">
        <f>N1686-X1686</f>
        <v>145.45</v>
      </c>
      <c r="Z1686">
        <f>SUMIF(货件明细!J:J,E1686,货件明细!I:I)</f>
        <v>0</v>
      </c>
      <c r="AA1686">
        <f>IF(S1686=Z1686,0,1)</f>
        <v>1</v>
      </c>
    </row>
    <row r="1687" hidden="1" spans="1:27">
      <c r="A1687">
        <v>4</v>
      </c>
      <c r="B1687">
        <v>14</v>
      </c>
      <c r="C1687" s="3">
        <v>46115</v>
      </c>
      <c r="D1687" t="s">
        <v>88</v>
      </c>
      <c r="E1687" t="s">
        <v>1808</v>
      </c>
      <c r="F1687" t="s">
        <v>211</v>
      </c>
      <c r="G1687" t="s">
        <v>72</v>
      </c>
      <c r="H1687" t="s">
        <v>37</v>
      </c>
      <c r="I1687" t="s">
        <v>63</v>
      </c>
      <c r="J1687" t="s">
        <v>63</v>
      </c>
      <c r="K1687" t="s">
        <v>64</v>
      </c>
      <c r="L1687" t="s">
        <v>147</v>
      </c>
      <c r="M1687" t="s">
        <v>774</v>
      </c>
      <c r="N1687">
        <v>211.1</v>
      </c>
      <c r="O1687">
        <v>13.6363636363636</v>
      </c>
      <c r="P1687">
        <v>720</v>
      </c>
      <c r="Q1687">
        <v>733.636363636364</v>
      </c>
      <c r="R1687">
        <v>0</v>
      </c>
      <c r="S1687">
        <v>733.636363636364</v>
      </c>
      <c r="T1687">
        <v>1442</v>
      </c>
      <c r="U1687">
        <f>SUMIF(货件明细!J:J,E1687,货件明细!AP:AP)</f>
        <v>0</v>
      </c>
      <c r="V1687">
        <f>IF(U1687=T1687,0,1)</f>
        <v>1</v>
      </c>
      <c r="W1687">
        <f>T1687</f>
        <v>1442</v>
      </c>
      <c r="X1687">
        <f>SUMIF(货件明细!J:J,E1687,货件明细!H:H)</f>
        <v>0</v>
      </c>
      <c r="Y1687">
        <f>N1687-X1687</f>
        <v>211.1</v>
      </c>
      <c r="Z1687">
        <f>SUMIF(货件明细!J:J,E1687,货件明细!I:I)</f>
        <v>0</v>
      </c>
      <c r="AA1687">
        <f>IF(S1687=Z1687,0,1)</f>
        <v>1</v>
      </c>
    </row>
    <row r="1688" hidden="1" spans="1:27">
      <c r="A1688">
        <v>4</v>
      </c>
      <c r="B1688">
        <v>14</v>
      </c>
      <c r="C1688" s="3">
        <v>46115</v>
      </c>
      <c r="D1688" t="s">
        <v>88</v>
      </c>
      <c r="E1688" t="s">
        <v>1809</v>
      </c>
      <c r="F1688" t="s">
        <v>211</v>
      </c>
      <c r="G1688" t="s">
        <v>72</v>
      </c>
      <c r="H1688" t="s">
        <v>37</v>
      </c>
      <c r="I1688" t="s">
        <v>63</v>
      </c>
      <c r="J1688" t="s">
        <v>63</v>
      </c>
      <c r="K1688" t="s">
        <v>64</v>
      </c>
      <c r="L1688" t="s">
        <v>147</v>
      </c>
      <c r="M1688" t="s">
        <v>774</v>
      </c>
      <c r="N1688">
        <v>82.45</v>
      </c>
      <c r="O1688">
        <v>13.6363636363636</v>
      </c>
      <c r="P1688">
        <v>260</v>
      </c>
      <c r="Q1688">
        <v>273.636363636364</v>
      </c>
      <c r="R1688">
        <v>0</v>
      </c>
      <c r="S1688">
        <v>273.636363636364</v>
      </c>
      <c r="T1688">
        <v>495</v>
      </c>
      <c r="U1688">
        <f>SUMIF(货件明细!J:J,E1688,货件明细!AP:AP)</f>
        <v>0</v>
      </c>
      <c r="V1688">
        <f>IF(U1688=T1688,0,1)</f>
        <v>1</v>
      </c>
      <c r="W1688">
        <f>T1688</f>
        <v>495</v>
      </c>
      <c r="X1688">
        <f>SUMIF(货件明细!J:J,E1688,货件明细!H:H)</f>
        <v>0</v>
      </c>
      <c r="Y1688">
        <f>N1688-X1688</f>
        <v>82.45</v>
      </c>
      <c r="Z1688">
        <f>SUMIF(货件明细!J:J,E1688,货件明细!I:I)</f>
        <v>0</v>
      </c>
      <c r="AA1688">
        <f>IF(S1688=Z1688,0,1)</f>
        <v>1</v>
      </c>
    </row>
    <row r="1689" hidden="1" spans="1:27">
      <c r="A1689">
        <v>4</v>
      </c>
      <c r="B1689">
        <v>14</v>
      </c>
      <c r="C1689" s="3">
        <v>46115</v>
      </c>
      <c r="D1689" t="s">
        <v>88</v>
      </c>
      <c r="E1689" t="s">
        <v>1810</v>
      </c>
      <c r="F1689" t="s">
        <v>211</v>
      </c>
      <c r="G1689" t="s">
        <v>72</v>
      </c>
      <c r="H1689" t="s">
        <v>54</v>
      </c>
      <c r="I1689" t="s">
        <v>63</v>
      </c>
      <c r="J1689" t="s">
        <v>63</v>
      </c>
      <c r="K1689" t="s">
        <v>64</v>
      </c>
      <c r="L1689" t="s">
        <v>147</v>
      </c>
      <c r="M1689" t="s">
        <v>774</v>
      </c>
      <c r="N1689">
        <v>35.65</v>
      </c>
      <c r="O1689">
        <v>13.6363636363636</v>
      </c>
      <c r="P1689">
        <v>120</v>
      </c>
      <c r="Q1689">
        <v>133.636363636364</v>
      </c>
      <c r="R1689">
        <v>0</v>
      </c>
      <c r="S1689">
        <v>133.636363636364</v>
      </c>
      <c r="T1689">
        <v>220</v>
      </c>
      <c r="U1689">
        <f>SUMIF(货件明细!J:J,E1689,货件明细!AP:AP)</f>
        <v>0</v>
      </c>
      <c r="V1689">
        <f>IF(U1689=T1689,0,1)</f>
        <v>1</v>
      </c>
      <c r="W1689">
        <f>T1689</f>
        <v>220</v>
      </c>
      <c r="X1689">
        <f>SUMIF(货件明细!J:J,E1689,货件明细!H:H)</f>
        <v>0</v>
      </c>
      <c r="Y1689">
        <f>N1689-X1689</f>
        <v>35.65</v>
      </c>
      <c r="Z1689">
        <f>SUMIF(货件明细!J:J,E1689,货件明细!I:I)</f>
        <v>0</v>
      </c>
      <c r="AA1689">
        <f>IF(S1689=Z1689,0,1)</f>
        <v>1</v>
      </c>
    </row>
    <row r="1690" hidden="1" spans="1:27">
      <c r="A1690">
        <v>4</v>
      </c>
      <c r="B1690">
        <v>14</v>
      </c>
      <c r="C1690" s="3">
        <v>46115</v>
      </c>
      <c r="D1690" t="s">
        <v>88</v>
      </c>
      <c r="E1690" t="s">
        <v>1811</v>
      </c>
      <c r="F1690" t="s">
        <v>211</v>
      </c>
      <c r="G1690" t="s">
        <v>72</v>
      </c>
      <c r="H1690" t="s">
        <v>39</v>
      </c>
      <c r="I1690" t="s">
        <v>63</v>
      </c>
      <c r="J1690" t="s">
        <v>63</v>
      </c>
      <c r="K1690" t="s">
        <v>64</v>
      </c>
      <c r="L1690" t="s">
        <v>147</v>
      </c>
      <c r="M1690" t="s">
        <v>774</v>
      </c>
      <c r="N1690">
        <v>59.25</v>
      </c>
      <c r="O1690">
        <v>13.6363636363636</v>
      </c>
      <c r="P1690">
        <v>200</v>
      </c>
      <c r="Q1690">
        <v>213.636363636364</v>
      </c>
      <c r="R1690">
        <v>0</v>
      </c>
      <c r="S1690">
        <v>213.636363636364</v>
      </c>
      <c r="T1690">
        <v>120</v>
      </c>
      <c r="U1690">
        <f>SUMIF(货件明细!J:J,E1690,货件明细!AP:AP)</f>
        <v>0</v>
      </c>
      <c r="V1690">
        <f>IF(U1690=T1690,0,1)</f>
        <v>1</v>
      </c>
      <c r="W1690">
        <f>T1690</f>
        <v>120</v>
      </c>
      <c r="X1690">
        <f>SUMIF(货件明细!J:J,E1690,货件明细!H:H)</f>
        <v>0</v>
      </c>
      <c r="Y1690">
        <f>N1690-X1690</f>
        <v>59.25</v>
      </c>
      <c r="Z1690">
        <f>SUMIF(货件明细!J:J,E1690,货件明细!I:I)</f>
        <v>0</v>
      </c>
      <c r="AA1690">
        <f>IF(S1690=Z1690,0,1)</f>
        <v>1</v>
      </c>
    </row>
    <row r="1691" hidden="1" spans="1:27">
      <c r="A1691">
        <v>4</v>
      </c>
      <c r="B1691">
        <v>14</v>
      </c>
      <c r="C1691" s="3">
        <v>46115</v>
      </c>
      <c r="D1691" t="s">
        <v>88</v>
      </c>
      <c r="E1691" t="s">
        <v>1812</v>
      </c>
      <c r="F1691" t="s">
        <v>211</v>
      </c>
      <c r="G1691" t="s">
        <v>72</v>
      </c>
      <c r="H1691" t="s">
        <v>78</v>
      </c>
      <c r="I1691" t="s">
        <v>63</v>
      </c>
      <c r="J1691" t="s">
        <v>63</v>
      </c>
      <c r="K1691" t="s">
        <v>64</v>
      </c>
      <c r="L1691" t="s">
        <v>147</v>
      </c>
      <c r="M1691" t="s">
        <v>774</v>
      </c>
      <c r="N1691">
        <v>42.45</v>
      </c>
      <c r="O1691">
        <v>13.6363636363636</v>
      </c>
      <c r="P1691">
        <v>190</v>
      </c>
      <c r="Q1691">
        <v>203.636363636364</v>
      </c>
      <c r="R1691">
        <v>0</v>
      </c>
      <c r="S1691">
        <v>203.636363636364</v>
      </c>
      <c r="T1691">
        <v>280</v>
      </c>
      <c r="U1691">
        <f>SUMIF(货件明细!J:J,E1691,货件明细!AP:AP)</f>
        <v>0</v>
      </c>
      <c r="V1691">
        <f>IF(U1691=T1691,0,1)</f>
        <v>1</v>
      </c>
      <c r="W1691">
        <f>T1691</f>
        <v>280</v>
      </c>
      <c r="X1691">
        <f>SUMIF(货件明细!J:J,E1691,货件明细!H:H)</f>
        <v>0</v>
      </c>
      <c r="Y1691">
        <f>N1691-X1691</f>
        <v>42.45</v>
      </c>
      <c r="Z1691">
        <f>SUMIF(货件明细!J:J,E1691,货件明细!I:I)</f>
        <v>0</v>
      </c>
      <c r="AA1691">
        <f>IF(S1691=Z1691,0,1)</f>
        <v>1</v>
      </c>
    </row>
    <row r="1692" hidden="1" spans="1:27">
      <c r="A1692">
        <v>4</v>
      </c>
      <c r="B1692">
        <v>14</v>
      </c>
      <c r="C1692" s="3">
        <v>46115</v>
      </c>
      <c r="D1692" t="s">
        <v>88</v>
      </c>
      <c r="E1692" t="s">
        <v>1813</v>
      </c>
      <c r="F1692" t="s">
        <v>211</v>
      </c>
      <c r="G1692" t="s">
        <v>72</v>
      </c>
      <c r="H1692" t="s">
        <v>56</v>
      </c>
      <c r="I1692" t="s">
        <v>63</v>
      </c>
      <c r="J1692" t="s">
        <v>63</v>
      </c>
      <c r="K1692" t="s">
        <v>64</v>
      </c>
      <c r="L1692" t="s">
        <v>147</v>
      </c>
      <c r="M1692" t="s">
        <v>774</v>
      </c>
      <c r="N1692">
        <v>132.9</v>
      </c>
      <c r="O1692">
        <v>13.6363636363636</v>
      </c>
      <c r="P1692">
        <v>520</v>
      </c>
      <c r="Q1692">
        <v>533.636363636364</v>
      </c>
      <c r="R1692">
        <v>0</v>
      </c>
      <c r="S1692">
        <v>533.636363636364</v>
      </c>
      <c r="T1692">
        <v>874</v>
      </c>
      <c r="U1692">
        <f>SUMIF(货件明细!J:J,E1692,货件明细!AP:AP)</f>
        <v>0</v>
      </c>
      <c r="V1692">
        <f>IF(U1692=T1692,0,1)</f>
        <v>1</v>
      </c>
      <c r="W1692">
        <f>T1692</f>
        <v>874</v>
      </c>
      <c r="X1692">
        <f>SUMIF(货件明细!J:J,E1692,货件明细!H:H)</f>
        <v>0</v>
      </c>
      <c r="Y1692">
        <f>N1692-X1692</f>
        <v>132.9</v>
      </c>
      <c r="Z1692">
        <f>SUMIF(货件明细!J:J,E1692,货件明细!I:I)</f>
        <v>0</v>
      </c>
      <c r="AA1692">
        <f>IF(S1692=Z1692,0,1)</f>
        <v>1</v>
      </c>
    </row>
    <row r="1693" hidden="1" spans="1:27">
      <c r="A1693">
        <v>4</v>
      </c>
      <c r="B1693">
        <v>14</v>
      </c>
      <c r="C1693" s="3">
        <v>46115</v>
      </c>
      <c r="D1693" t="s">
        <v>88</v>
      </c>
      <c r="E1693" t="s">
        <v>1814</v>
      </c>
      <c r="F1693" t="s">
        <v>211</v>
      </c>
      <c r="G1693" t="s">
        <v>72</v>
      </c>
      <c r="H1693" t="s">
        <v>56</v>
      </c>
      <c r="I1693" t="s">
        <v>63</v>
      </c>
      <c r="J1693" t="s">
        <v>63</v>
      </c>
      <c r="K1693" t="s">
        <v>64</v>
      </c>
      <c r="L1693" t="s">
        <v>147</v>
      </c>
      <c r="M1693" t="s">
        <v>774</v>
      </c>
      <c r="N1693">
        <v>72.15</v>
      </c>
      <c r="O1693">
        <v>13.6363636363636</v>
      </c>
      <c r="P1693">
        <v>310</v>
      </c>
      <c r="Q1693">
        <v>323.636363636364</v>
      </c>
      <c r="R1693">
        <v>0</v>
      </c>
      <c r="S1693">
        <v>323.636363636364</v>
      </c>
      <c r="T1693">
        <v>367</v>
      </c>
      <c r="U1693">
        <f>SUMIF(货件明细!J:J,E1693,货件明细!AP:AP)</f>
        <v>0</v>
      </c>
      <c r="V1693">
        <f>IF(U1693=T1693,0,1)</f>
        <v>1</v>
      </c>
      <c r="W1693">
        <f>T1693</f>
        <v>367</v>
      </c>
      <c r="X1693">
        <f>SUMIF(货件明细!J:J,E1693,货件明细!H:H)</f>
        <v>0</v>
      </c>
      <c r="Y1693">
        <f>N1693-X1693</f>
        <v>72.15</v>
      </c>
      <c r="Z1693">
        <f>SUMIF(货件明细!J:J,E1693,货件明细!I:I)</f>
        <v>0</v>
      </c>
      <c r="AA1693">
        <f>IF(S1693=Z1693,0,1)</f>
        <v>1</v>
      </c>
    </row>
    <row r="1694" hidden="1" spans="1:27">
      <c r="A1694">
        <v>4</v>
      </c>
      <c r="B1694">
        <v>14</v>
      </c>
      <c r="C1694" s="3">
        <v>46115</v>
      </c>
      <c r="D1694" t="s">
        <v>27</v>
      </c>
      <c r="E1694" t="s">
        <v>1815</v>
      </c>
      <c r="F1694" t="s">
        <v>195</v>
      </c>
      <c r="G1694" t="s">
        <v>30</v>
      </c>
      <c r="H1694" t="s">
        <v>224</v>
      </c>
      <c r="I1694" t="s">
        <v>1674</v>
      </c>
      <c r="J1694" t="s">
        <v>146</v>
      </c>
      <c r="K1694" t="s">
        <v>64</v>
      </c>
      <c r="L1694" t="s">
        <v>147</v>
      </c>
      <c r="M1694" t="s">
        <v>148</v>
      </c>
      <c r="N1694">
        <v>15.35</v>
      </c>
      <c r="O1694">
        <v>16.6666666666667</v>
      </c>
      <c r="P1694">
        <v>172</v>
      </c>
      <c r="Q1694">
        <v>188.666666666667</v>
      </c>
      <c r="R1694">
        <v>0</v>
      </c>
      <c r="S1694">
        <v>188.666666666667</v>
      </c>
      <c r="T1694">
        <v>136</v>
      </c>
      <c r="U1694">
        <f>SUMIF(货件明细!J:J,E1694,货件明细!AP:AP)</f>
        <v>0</v>
      </c>
      <c r="V1694">
        <f>IF(U1694=T1694,0,1)</f>
        <v>1</v>
      </c>
      <c r="W1694">
        <f>T1694</f>
        <v>136</v>
      </c>
      <c r="X1694">
        <f>SUMIF(货件明细!J:J,E1694,货件明细!H:H)</f>
        <v>0</v>
      </c>
      <c r="Y1694">
        <f>N1694-X1694</f>
        <v>15.35</v>
      </c>
      <c r="Z1694">
        <f>SUMIF(货件明细!J:J,E1694,货件明细!I:I)</f>
        <v>0</v>
      </c>
      <c r="AA1694">
        <f>IF(S1694=Z1694,0,1)</f>
        <v>1</v>
      </c>
    </row>
    <row r="1695" hidden="1" spans="1:27">
      <c r="A1695">
        <v>4</v>
      </c>
      <c r="B1695">
        <v>14</v>
      </c>
      <c r="C1695" s="3">
        <v>46115</v>
      </c>
      <c r="D1695" t="s">
        <v>27</v>
      </c>
      <c r="E1695" t="s">
        <v>1816</v>
      </c>
      <c r="F1695" t="s">
        <v>198</v>
      </c>
      <c r="G1695" t="s">
        <v>69</v>
      </c>
      <c r="H1695" t="s">
        <v>224</v>
      </c>
      <c r="I1695" t="s">
        <v>1674</v>
      </c>
      <c r="J1695" t="s">
        <v>146</v>
      </c>
      <c r="K1695" t="s">
        <v>64</v>
      </c>
      <c r="L1695" t="s">
        <v>147</v>
      </c>
      <c r="M1695" t="s">
        <v>1545</v>
      </c>
      <c r="N1695">
        <v>15.35</v>
      </c>
      <c r="O1695">
        <v>5.76923076923077</v>
      </c>
      <c r="P1695">
        <v>114.1</v>
      </c>
      <c r="Q1695">
        <v>119.869230769231</v>
      </c>
      <c r="R1695">
        <v>0</v>
      </c>
      <c r="S1695">
        <v>119.869230769231</v>
      </c>
      <c r="T1695">
        <v>136</v>
      </c>
      <c r="U1695">
        <f>SUMIF(货件明细!J:J,E1695,货件明细!AP:AP)</f>
        <v>0</v>
      </c>
      <c r="V1695">
        <f>IF(U1695=T1695,0,1)</f>
        <v>1</v>
      </c>
      <c r="W1695">
        <f>T1695</f>
        <v>136</v>
      </c>
      <c r="X1695">
        <f>SUMIF(货件明细!J:J,E1695,货件明细!H:H)</f>
        <v>0</v>
      </c>
      <c r="Y1695">
        <f>N1695-X1695</f>
        <v>15.35</v>
      </c>
      <c r="Z1695">
        <f>SUMIF(货件明细!J:J,E1695,货件明细!I:I)</f>
        <v>0</v>
      </c>
      <c r="AA1695">
        <f>IF(S1695=Z1695,0,1)</f>
        <v>1</v>
      </c>
    </row>
    <row r="1696" hidden="1" spans="1:27">
      <c r="A1696">
        <v>4</v>
      </c>
      <c r="B1696">
        <v>14</v>
      </c>
      <c r="C1696" s="3">
        <v>46115</v>
      </c>
      <c r="D1696" t="s">
        <v>27</v>
      </c>
      <c r="E1696" t="s">
        <v>1817</v>
      </c>
      <c r="F1696" t="s">
        <v>715</v>
      </c>
      <c r="G1696" t="s">
        <v>69</v>
      </c>
      <c r="H1696" t="s">
        <v>224</v>
      </c>
      <c r="I1696" t="s">
        <v>1674</v>
      </c>
      <c r="J1696" t="s">
        <v>146</v>
      </c>
      <c r="K1696" t="s">
        <v>64</v>
      </c>
      <c r="L1696" t="s">
        <v>147</v>
      </c>
      <c r="M1696" t="s">
        <v>1545</v>
      </c>
      <c r="N1696">
        <v>15.35</v>
      </c>
      <c r="O1696">
        <v>5.76923076923077</v>
      </c>
      <c r="P1696">
        <v>114.1</v>
      </c>
      <c r="Q1696">
        <v>119.869230769231</v>
      </c>
      <c r="R1696">
        <v>0</v>
      </c>
      <c r="S1696">
        <v>119.869230769231</v>
      </c>
      <c r="T1696">
        <v>136</v>
      </c>
      <c r="U1696">
        <f>SUMIF(货件明细!J:J,E1696,货件明细!AP:AP)</f>
        <v>0</v>
      </c>
      <c r="V1696">
        <f>IF(U1696=T1696,0,1)</f>
        <v>1</v>
      </c>
      <c r="W1696">
        <f>T1696</f>
        <v>136</v>
      </c>
      <c r="X1696">
        <f>SUMIF(货件明细!J:J,E1696,货件明细!H:H)</f>
        <v>0</v>
      </c>
      <c r="Y1696">
        <f>N1696-X1696</f>
        <v>15.35</v>
      </c>
      <c r="Z1696">
        <f>SUMIF(货件明细!J:J,E1696,货件明细!I:I)</f>
        <v>0</v>
      </c>
      <c r="AA1696">
        <f>IF(S1696=Z1696,0,1)</f>
        <v>1</v>
      </c>
    </row>
    <row r="1697" hidden="1" spans="1:27">
      <c r="A1697">
        <v>4</v>
      </c>
      <c r="B1697">
        <v>14</v>
      </c>
      <c r="C1697" s="3">
        <v>46115</v>
      </c>
      <c r="D1697" t="s">
        <v>27</v>
      </c>
      <c r="E1697" t="s">
        <v>1818</v>
      </c>
      <c r="F1697" t="s">
        <v>143</v>
      </c>
      <c r="G1697" t="s">
        <v>72</v>
      </c>
      <c r="H1697" t="s">
        <v>224</v>
      </c>
      <c r="I1697" t="s">
        <v>1674</v>
      </c>
      <c r="J1697" t="s">
        <v>146</v>
      </c>
      <c r="K1697" t="s">
        <v>64</v>
      </c>
      <c r="L1697" t="s">
        <v>147</v>
      </c>
      <c r="M1697" t="s">
        <v>1545</v>
      </c>
      <c r="N1697">
        <v>15.35</v>
      </c>
      <c r="O1697">
        <v>21.4285714285714</v>
      </c>
      <c r="P1697">
        <v>126</v>
      </c>
      <c r="Q1697">
        <v>147.428571428571</v>
      </c>
      <c r="R1697">
        <v>0</v>
      </c>
      <c r="S1697">
        <v>147.428571428571</v>
      </c>
      <c r="T1697">
        <v>136</v>
      </c>
      <c r="U1697">
        <f>SUMIF(货件明细!J:J,E1697,货件明细!AP:AP)</f>
        <v>0</v>
      </c>
      <c r="V1697">
        <f>IF(U1697=T1697,0,1)</f>
        <v>1</v>
      </c>
      <c r="W1697">
        <f>T1697</f>
        <v>136</v>
      </c>
      <c r="X1697">
        <f>SUMIF(货件明细!J:J,E1697,货件明细!H:H)</f>
        <v>0</v>
      </c>
      <c r="Y1697">
        <f>N1697-X1697</f>
        <v>15.35</v>
      </c>
      <c r="Z1697">
        <f>SUMIF(货件明细!J:J,E1697,货件明细!I:I)</f>
        <v>0</v>
      </c>
      <c r="AA1697">
        <f>IF(S1697=Z1697,0,1)</f>
        <v>1</v>
      </c>
    </row>
    <row r="1698" hidden="1" spans="1:27">
      <c r="A1698">
        <v>4</v>
      </c>
      <c r="B1698">
        <v>14</v>
      </c>
      <c r="C1698" s="3">
        <v>46115</v>
      </c>
      <c r="D1698" t="s">
        <v>27</v>
      </c>
      <c r="E1698" t="s">
        <v>1819</v>
      </c>
      <c r="F1698" t="s">
        <v>1820</v>
      </c>
      <c r="G1698" t="s">
        <v>72</v>
      </c>
      <c r="H1698" t="s">
        <v>224</v>
      </c>
      <c r="I1698" t="s">
        <v>1674</v>
      </c>
      <c r="J1698" t="s">
        <v>146</v>
      </c>
      <c r="K1698" t="s">
        <v>64</v>
      </c>
      <c r="L1698" t="s">
        <v>147</v>
      </c>
      <c r="M1698" t="s">
        <v>1545</v>
      </c>
      <c r="N1698">
        <v>15.35</v>
      </c>
      <c r="O1698">
        <v>21.4285714285714</v>
      </c>
      <c r="P1698">
        <v>88.2</v>
      </c>
      <c r="Q1698">
        <v>109.628571428571</v>
      </c>
      <c r="R1698">
        <v>0</v>
      </c>
      <c r="S1698">
        <v>109.628571428571</v>
      </c>
      <c r="T1698">
        <v>136</v>
      </c>
      <c r="U1698">
        <f>SUMIF(货件明细!J:J,E1698,货件明细!AP:AP)</f>
        <v>0</v>
      </c>
      <c r="V1698">
        <f>IF(U1698=T1698,0,1)</f>
        <v>1</v>
      </c>
      <c r="W1698">
        <f>T1698</f>
        <v>136</v>
      </c>
      <c r="X1698">
        <f>SUMIF(货件明细!J:J,E1698,货件明细!H:H)</f>
        <v>0</v>
      </c>
      <c r="Y1698">
        <f>N1698-X1698</f>
        <v>15.35</v>
      </c>
      <c r="Z1698">
        <f>SUMIF(货件明细!J:J,E1698,货件明细!I:I)</f>
        <v>0</v>
      </c>
      <c r="AA1698">
        <f>IF(S1698=Z1698,0,1)</f>
        <v>1</v>
      </c>
    </row>
    <row r="1699" hidden="1" spans="1:27">
      <c r="A1699">
        <v>4</v>
      </c>
      <c r="B1699">
        <v>14</v>
      </c>
      <c r="C1699" s="3">
        <v>46115</v>
      </c>
      <c r="D1699" t="s">
        <v>27</v>
      </c>
      <c r="E1699" t="s">
        <v>1821</v>
      </c>
      <c r="F1699" t="s">
        <v>185</v>
      </c>
      <c r="G1699" t="s">
        <v>30</v>
      </c>
      <c r="H1699" t="s">
        <v>54</v>
      </c>
      <c r="I1699" t="s">
        <v>1674</v>
      </c>
      <c r="J1699" t="s">
        <v>146</v>
      </c>
      <c r="K1699" t="s">
        <v>64</v>
      </c>
      <c r="L1699" t="s">
        <v>147</v>
      </c>
      <c r="M1699" t="s">
        <v>148</v>
      </c>
      <c r="N1699">
        <v>30.6</v>
      </c>
      <c r="O1699">
        <v>30</v>
      </c>
      <c r="P1699">
        <v>230.1</v>
      </c>
      <c r="Q1699">
        <v>260.1</v>
      </c>
      <c r="R1699">
        <v>0</v>
      </c>
      <c r="S1699">
        <v>260.1</v>
      </c>
      <c r="T1699">
        <v>157</v>
      </c>
      <c r="U1699">
        <f>SUMIF(货件明细!J:J,E1699,货件明细!AP:AP)</f>
        <v>0</v>
      </c>
      <c r="V1699">
        <f>IF(U1699=T1699,0,1)</f>
        <v>1</v>
      </c>
      <c r="W1699">
        <f>T1699</f>
        <v>157</v>
      </c>
      <c r="X1699">
        <f>SUMIF(货件明细!J:J,E1699,货件明细!H:H)</f>
        <v>0</v>
      </c>
      <c r="Y1699">
        <f>N1699-X1699</f>
        <v>30.6</v>
      </c>
      <c r="Z1699">
        <f>SUMIF(货件明细!J:J,E1699,货件明细!I:I)</f>
        <v>0</v>
      </c>
      <c r="AA1699">
        <f>IF(S1699=Z1699,0,1)</f>
        <v>1</v>
      </c>
    </row>
    <row r="1700" hidden="1" spans="1:27">
      <c r="A1700">
        <v>4</v>
      </c>
      <c r="B1700">
        <v>14</v>
      </c>
      <c r="C1700" s="3">
        <v>46115</v>
      </c>
      <c r="D1700" t="s">
        <v>27</v>
      </c>
      <c r="E1700" t="s">
        <v>1822</v>
      </c>
      <c r="F1700" t="s">
        <v>141</v>
      </c>
      <c r="G1700" t="s">
        <v>69</v>
      </c>
      <c r="H1700" t="s">
        <v>54</v>
      </c>
      <c r="I1700" t="s">
        <v>1674</v>
      </c>
      <c r="J1700" t="s">
        <v>146</v>
      </c>
      <c r="K1700" t="s">
        <v>64</v>
      </c>
      <c r="L1700" t="s">
        <v>147</v>
      </c>
      <c r="M1700" t="s">
        <v>1545</v>
      </c>
      <c r="N1700">
        <v>30.6</v>
      </c>
      <c r="O1700">
        <v>10</v>
      </c>
      <c r="P1700">
        <v>211.9</v>
      </c>
      <c r="Q1700">
        <v>221.9</v>
      </c>
      <c r="R1700">
        <v>0</v>
      </c>
      <c r="S1700">
        <v>221.9</v>
      </c>
      <c r="T1700">
        <v>157</v>
      </c>
      <c r="U1700">
        <f>SUMIF(货件明细!J:J,E1700,货件明细!AP:AP)</f>
        <v>0</v>
      </c>
      <c r="V1700">
        <f>IF(U1700=T1700,0,1)</f>
        <v>1</v>
      </c>
      <c r="W1700">
        <f>T1700</f>
        <v>157</v>
      </c>
      <c r="X1700">
        <f>SUMIF(货件明细!J:J,E1700,货件明细!H:H)</f>
        <v>0</v>
      </c>
      <c r="Y1700">
        <f>N1700-X1700</f>
        <v>30.6</v>
      </c>
      <c r="Z1700">
        <f>SUMIF(货件明细!J:J,E1700,货件明细!I:I)</f>
        <v>0</v>
      </c>
      <c r="AA1700">
        <f>IF(S1700=Z1700,0,1)</f>
        <v>1</v>
      </c>
    </row>
    <row r="1701" hidden="1" spans="1:27">
      <c r="A1701">
        <v>4</v>
      </c>
      <c r="B1701">
        <v>14</v>
      </c>
      <c r="C1701" s="3">
        <v>46115</v>
      </c>
      <c r="D1701" t="s">
        <v>27</v>
      </c>
      <c r="E1701" t="s">
        <v>1823</v>
      </c>
      <c r="F1701" t="s">
        <v>198</v>
      </c>
      <c r="G1701" t="s">
        <v>69</v>
      </c>
      <c r="H1701" t="s">
        <v>54</v>
      </c>
      <c r="I1701" t="s">
        <v>1674</v>
      </c>
      <c r="J1701" t="s">
        <v>146</v>
      </c>
      <c r="K1701" t="s">
        <v>64</v>
      </c>
      <c r="L1701" t="s">
        <v>147</v>
      </c>
      <c r="M1701" t="s">
        <v>1545</v>
      </c>
      <c r="N1701">
        <v>30.6</v>
      </c>
      <c r="O1701">
        <v>10</v>
      </c>
      <c r="P1701">
        <v>211.9</v>
      </c>
      <c r="Q1701">
        <v>221.9</v>
      </c>
      <c r="R1701">
        <v>0</v>
      </c>
      <c r="S1701">
        <v>221.9</v>
      </c>
      <c r="T1701">
        <v>157</v>
      </c>
      <c r="U1701">
        <f>SUMIF(货件明细!J:J,E1701,货件明细!AP:AP)</f>
        <v>0</v>
      </c>
      <c r="V1701">
        <f>IF(U1701=T1701,0,1)</f>
        <v>1</v>
      </c>
      <c r="W1701">
        <f>T1701</f>
        <v>157</v>
      </c>
      <c r="X1701">
        <f>SUMIF(货件明细!J:J,E1701,货件明细!H:H)</f>
        <v>0</v>
      </c>
      <c r="Y1701">
        <f>N1701-X1701</f>
        <v>30.6</v>
      </c>
      <c r="Z1701">
        <f>SUMIF(货件明细!J:J,E1701,货件明细!I:I)</f>
        <v>0</v>
      </c>
      <c r="AA1701">
        <f>IF(S1701=Z1701,0,1)</f>
        <v>1</v>
      </c>
    </row>
    <row r="1702" hidden="1" spans="1:27">
      <c r="A1702">
        <v>4</v>
      </c>
      <c r="B1702">
        <v>14</v>
      </c>
      <c r="C1702" s="3">
        <v>46115</v>
      </c>
      <c r="D1702" t="s">
        <v>27</v>
      </c>
      <c r="E1702" t="s">
        <v>1824</v>
      </c>
      <c r="F1702" t="s">
        <v>715</v>
      </c>
      <c r="G1702" t="s">
        <v>69</v>
      </c>
      <c r="H1702" t="s">
        <v>54</v>
      </c>
      <c r="I1702" t="s">
        <v>1674</v>
      </c>
      <c r="J1702" t="s">
        <v>146</v>
      </c>
      <c r="K1702" t="s">
        <v>64</v>
      </c>
      <c r="L1702" t="s">
        <v>147</v>
      </c>
      <c r="M1702" t="s">
        <v>1545</v>
      </c>
      <c r="N1702">
        <v>30.6</v>
      </c>
      <c r="O1702">
        <v>10</v>
      </c>
      <c r="P1702">
        <v>211.9</v>
      </c>
      <c r="Q1702">
        <v>221.9</v>
      </c>
      <c r="R1702">
        <v>0</v>
      </c>
      <c r="S1702">
        <v>221.9</v>
      </c>
      <c r="T1702">
        <v>157</v>
      </c>
      <c r="U1702">
        <f>SUMIF(货件明细!J:J,E1702,货件明细!AP:AP)</f>
        <v>0</v>
      </c>
      <c r="V1702">
        <f>IF(U1702=T1702,0,1)</f>
        <v>1</v>
      </c>
      <c r="W1702">
        <f>T1702</f>
        <v>157</v>
      </c>
      <c r="X1702">
        <f>SUMIF(货件明细!J:J,E1702,货件明细!H:H)</f>
        <v>0</v>
      </c>
      <c r="Y1702">
        <f>N1702-X1702</f>
        <v>30.6</v>
      </c>
      <c r="Z1702">
        <f>SUMIF(货件明细!J:J,E1702,货件明细!I:I)</f>
        <v>0</v>
      </c>
      <c r="AA1702">
        <f>IF(S1702=Z1702,0,1)</f>
        <v>1</v>
      </c>
    </row>
    <row r="1703" hidden="1" spans="1:27">
      <c r="A1703">
        <v>4</v>
      </c>
      <c r="B1703">
        <v>14</v>
      </c>
      <c r="C1703" s="3">
        <v>46115</v>
      </c>
      <c r="D1703" t="s">
        <v>27</v>
      </c>
      <c r="E1703" t="s">
        <v>1825</v>
      </c>
      <c r="F1703" t="s">
        <v>1820</v>
      </c>
      <c r="G1703" t="s">
        <v>72</v>
      </c>
      <c r="H1703" t="s">
        <v>54</v>
      </c>
      <c r="I1703" t="s">
        <v>1674</v>
      </c>
      <c r="J1703" t="s">
        <v>146</v>
      </c>
      <c r="K1703" t="s">
        <v>64</v>
      </c>
      <c r="L1703" t="s">
        <v>147</v>
      </c>
      <c r="M1703" t="s">
        <v>1545</v>
      </c>
      <c r="N1703">
        <v>30.6</v>
      </c>
      <c r="O1703">
        <v>21.4285714285714</v>
      </c>
      <c r="P1703">
        <v>163.8</v>
      </c>
      <c r="Q1703">
        <v>185.228571428571</v>
      </c>
      <c r="R1703">
        <v>0</v>
      </c>
      <c r="S1703">
        <v>185.228571428571</v>
      </c>
      <c r="T1703">
        <v>157</v>
      </c>
      <c r="U1703">
        <f>SUMIF(货件明细!J:J,E1703,货件明细!AP:AP)</f>
        <v>0</v>
      </c>
      <c r="V1703">
        <f>IF(U1703=T1703,0,1)</f>
        <v>1</v>
      </c>
      <c r="W1703">
        <f>T1703</f>
        <v>157</v>
      </c>
      <c r="X1703">
        <f>SUMIF(货件明细!J:J,E1703,货件明细!H:H)</f>
        <v>0</v>
      </c>
      <c r="Y1703">
        <f>N1703-X1703</f>
        <v>30.6</v>
      </c>
      <c r="Z1703">
        <f>SUMIF(货件明细!J:J,E1703,货件明细!I:I)</f>
        <v>0</v>
      </c>
      <c r="AA1703">
        <f>IF(S1703=Z1703,0,1)</f>
        <v>1</v>
      </c>
    </row>
    <row r="1704" hidden="1" spans="1:27">
      <c r="A1704">
        <v>4</v>
      </c>
      <c r="B1704">
        <v>14</v>
      </c>
      <c r="C1704" s="3">
        <v>46115</v>
      </c>
      <c r="D1704" t="s">
        <v>27</v>
      </c>
      <c r="E1704" t="s">
        <v>1826</v>
      </c>
      <c r="F1704" t="s">
        <v>185</v>
      </c>
      <c r="G1704" t="s">
        <v>30</v>
      </c>
      <c r="H1704" t="s">
        <v>51</v>
      </c>
      <c r="I1704" t="s">
        <v>63</v>
      </c>
      <c r="J1704" t="s">
        <v>146</v>
      </c>
      <c r="K1704" t="s">
        <v>64</v>
      </c>
      <c r="L1704" t="s">
        <v>147</v>
      </c>
      <c r="M1704" t="s">
        <v>148</v>
      </c>
      <c r="N1704">
        <v>13</v>
      </c>
      <c r="O1704">
        <v>16.6666666666667</v>
      </c>
      <c r="P1704">
        <v>177</v>
      </c>
      <c r="Q1704">
        <v>193.666666666667</v>
      </c>
      <c r="R1704">
        <v>0</v>
      </c>
      <c r="S1704">
        <v>193.666666666667</v>
      </c>
      <c r="T1704">
        <v>79</v>
      </c>
      <c r="U1704">
        <f>SUMIF(货件明细!J:J,E1704,货件明细!AP:AP)</f>
        <v>0</v>
      </c>
      <c r="V1704">
        <f>IF(U1704=T1704,0,1)</f>
        <v>1</v>
      </c>
      <c r="W1704">
        <f>T1704</f>
        <v>79</v>
      </c>
      <c r="X1704">
        <f>SUMIF(货件明细!J:J,E1704,货件明细!H:H)</f>
        <v>0</v>
      </c>
      <c r="Y1704">
        <f>N1704-X1704</f>
        <v>13</v>
      </c>
      <c r="Z1704">
        <f>SUMIF(货件明细!J:J,E1704,货件明细!I:I)</f>
        <v>0</v>
      </c>
      <c r="AA1704">
        <f>IF(S1704=Z1704,0,1)</f>
        <v>1</v>
      </c>
    </row>
    <row r="1705" hidden="1" spans="1:27">
      <c r="A1705">
        <v>4</v>
      </c>
      <c r="B1705">
        <v>14</v>
      </c>
      <c r="C1705" s="3">
        <v>46115</v>
      </c>
      <c r="D1705" t="s">
        <v>27</v>
      </c>
      <c r="E1705" t="s">
        <v>1827</v>
      </c>
      <c r="F1705" t="s">
        <v>141</v>
      </c>
      <c r="G1705" t="s">
        <v>69</v>
      </c>
      <c r="H1705" t="s">
        <v>51</v>
      </c>
      <c r="I1705" t="s">
        <v>63</v>
      </c>
      <c r="J1705" t="s">
        <v>146</v>
      </c>
      <c r="K1705" t="s">
        <v>64</v>
      </c>
      <c r="L1705" t="s">
        <v>147</v>
      </c>
      <c r="M1705" t="s">
        <v>1545</v>
      </c>
      <c r="N1705">
        <v>13</v>
      </c>
      <c r="O1705">
        <v>5.76923076923077</v>
      </c>
      <c r="P1705">
        <v>163</v>
      </c>
      <c r="Q1705">
        <v>168.769230769231</v>
      </c>
      <c r="R1705">
        <v>0</v>
      </c>
      <c r="S1705">
        <v>168.769230769231</v>
      </c>
      <c r="T1705">
        <v>79</v>
      </c>
      <c r="U1705">
        <f>SUMIF(货件明细!J:J,E1705,货件明细!AP:AP)</f>
        <v>0</v>
      </c>
      <c r="V1705">
        <f>IF(U1705=T1705,0,1)</f>
        <v>1</v>
      </c>
      <c r="W1705">
        <f>T1705</f>
        <v>79</v>
      </c>
      <c r="X1705">
        <f>SUMIF(货件明细!J:J,E1705,货件明细!H:H)</f>
        <v>0</v>
      </c>
      <c r="Y1705">
        <f>N1705-X1705</f>
        <v>13</v>
      </c>
      <c r="Z1705">
        <f>SUMIF(货件明细!J:J,E1705,货件明细!I:I)</f>
        <v>0</v>
      </c>
      <c r="AA1705">
        <f>IF(S1705=Z1705,0,1)</f>
        <v>1</v>
      </c>
    </row>
    <row r="1706" hidden="1" spans="1:27">
      <c r="A1706">
        <v>4</v>
      </c>
      <c r="B1706">
        <v>14</v>
      </c>
      <c r="C1706" s="3">
        <v>46115</v>
      </c>
      <c r="D1706" t="s">
        <v>27</v>
      </c>
      <c r="E1706" t="s">
        <v>1828</v>
      </c>
      <c r="F1706" t="s">
        <v>198</v>
      </c>
      <c r="G1706" t="s">
        <v>69</v>
      </c>
      <c r="H1706" t="s">
        <v>51</v>
      </c>
      <c r="I1706" t="s">
        <v>63</v>
      </c>
      <c r="J1706" t="s">
        <v>146</v>
      </c>
      <c r="K1706" t="s">
        <v>64</v>
      </c>
      <c r="L1706" t="s">
        <v>147</v>
      </c>
      <c r="M1706" t="s">
        <v>1545</v>
      </c>
      <c r="N1706">
        <v>13</v>
      </c>
      <c r="O1706">
        <v>5.76923076923077</v>
      </c>
      <c r="P1706">
        <v>163</v>
      </c>
      <c r="Q1706">
        <v>168.769230769231</v>
      </c>
      <c r="R1706">
        <v>0</v>
      </c>
      <c r="S1706">
        <v>168.769230769231</v>
      </c>
      <c r="T1706">
        <v>79</v>
      </c>
      <c r="U1706">
        <f>SUMIF(货件明细!J:J,E1706,货件明细!AP:AP)</f>
        <v>0</v>
      </c>
      <c r="V1706">
        <f>IF(U1706=T1706,0,1)</f>
        <v>1</v>
      </c>
      <c r="W1706">
        <f>T1706</f>
        <v>79</v>
      </c>
      <c r="X1706">
        <f>SUMIF(货件明细!J:J,E1706,货件明细!H:H)</f>
        <v>0</v>
      </c>
      <c r="Y1706">
        <f>N1706-X1706</f>
        <v>13</v>
      </c>
      <c r="Z1706">
        <f>SUMIF(货件明细!J:J,E1706,货件明细!I:I)</f>
        <v>0</v>
      </c>
      <c r="AA1706">
        <f>IF(S1706=Z1706,0,1)</f>
        <v>1</v>
      </c>
    </row>
    <row r="1707" hidden="1" spans="1:27">
      <c r="A1707">
        <v>4</v>
      </c>
      <c r="B1707">
        <v>14</v>
      </c>
      <c r="C1707" s="3">
        <v>46115</v>
      </c>
      <c r="D1707" t="s">
        <v>27</v>
      </c>
      <c r="E1707" t="s">
        <v>1829</v>
      </c>
      <c r="F1707" t="s">
        <v>715</v>
      </c>
      <c r="G1707" t="s">
        <v>69</v>
      </c>
      <c r="H1707" t="s">
        <v>51</v>
      </c>
      <c r="I1707" t="s">
        <v>63</v>
      </c>
      <c r="J1707" t="s">
        <v>146</v>
      </c>
      <c r="K1707" t="s">
        <v>64</v>
      </c>
      <c r="L1707" t="s">
        <v>147</v>
      </c>
      <c r="M1707" t="s">
        <v>1545</v>
      </c>
      <c r="N1707">
        <v>13</v>
      </c>
      <c r="O1707">
        <v>5.76923076923077</v>
      </c>
      <c r="P1707">
        <v>179.3</v>
      </c>
      <c r="Q1707">
        <v>185.069230769231</v>
      </c>
      <c r="R1707">
        <v>0</v>
      </c>
      <c r="S1707">
        <v>185.069230769231</v>
      </c>
      <c r="T1707">
        <v>82</v>
      </c>
      <c r="U1707">
        <f>SUMIF(货件明细!J:J,E1707,货件明细!AP:AP)</f>
        <v>0</v>
      </c>
      <c r="V1707">
        <f>IF(U1707=T1707,0,1)</f>
        <v>1</v>
      </c>
      <c r="W1707">
        <f>T1707</f>
        <v>82</v>
      </c>
      <c r="X1707">
        <f>SUMIF(货件明细!J:J,E1707,货件明细!H:H)</f>
        <v>0</v>
      </c>
      <c r="Y1707">
        <f>N1707-X1707</f>
        <v>13</v>
      </c>
      <c r="Z1707">
        <f>SUMIF(货件明细!J:J,E1707,货件明细!I:I)</f>
        <v>0</v>
      </c>
      <c r="AA1707">
        <f>IF(S1707=Z1707,0,1)</f>
        <v>1</v>
      </c>
    </row>
    <row r="1708" hidden="1" spans="1:27">
      <c r="A1708">
        <v>4</v>
      </c>
      <c r="B1708">
        <v>14</v>
      </c>
      <c r="C1708" s="3">
        <v>46115</v>
      </c>
      <c r="D1708" t="s">
        <v>27</v>
      </c>
      <c r="E1708" t="s">
        <v>1830</v>
      </c>
      <c r="F1708" t="s">
        <v>1820</v>
      </c>
      <c r="G1708" t="s">
        <v>72</v>
      </c>
      <c r="H1708" t="s">
        <v>51</v>
      </c>
      <c r="I1708" t="s">
        <v>63</v>
      </c>
      <c r="J1708" t="s">
        <v>146</v>
      </c>
      <c r="K1708" t="s">
        <v>64</v>
      </c>
      <c r="L1708" t="s">
        <v>147</v>
      </c>
      <c r="M1708" t="s">
        <v>1545</v>
      </c>
      <c r="N1708">
        <v>13</v>
      </c>
      <c r="O1708">
        <v>16.6666666666667</v>
      </c>
      <c r="P1708">
        <v>126</v>
      </c>
      <c r="Q1708">
        <v>142.666666666667</v>
      </c>
      <c r="R1708">
        <v>0</v>
      </c>
      <c r="S1708">
        <v>142.666666666667</v>
      </c>
      <c r="T1708">
        <v>79</v>
      </c>
      <c r="U1708">
        <f>SUMIF(货件明细!J:J,E1708,货件明细!AP:AP)</f>
        <v>0</v>
      </c>
      <c r="V1708">
        <f>IF(U1708=T1708,0,1)</f>
        <v>1</v>
      </c>
      <c r="W1708">
        <f>T1708</f>
        <v>79</v>
      </c>
      <c r="X1708">
        <f>SUMIF(货件明细!J:J,E1708,货件明细!H:H)</f>
        <v>0</v>
      </c>
      <c r="Y1708">
        <f>N1708-X1708</f>
        <v>13</v>
      </c>
      <c r="Z1708">
        <f>SUMIF(货件明细!J:J,E1708,货件明细!I:I)</f>
        <v>0</v>
      </c>
      <c r="AA1708">
        <f>IF(S1708=Z1708,0,1)</f>
        <v>1</v>
      </c>
    </row>
    <row r="1709" hidden="1" spans="1:27">
      <c r="A1709">
        <v>4</v>
      </c>
      <c r="B1709">
        <v>14</v>
      </c>
      <c r="C1709" s="3">
        <v>46115</v>
      </c>
      <c r="D1709" t="s">
        <v>27</v>
      </c>
      <c r="E1709" t="s">
        <v>1831</v>
      </c>
      <c r="F1709" t="s">
        <v>1832</v>
      </c>
      <c r="G1709" t="s">
        <v>72</v>
      </c>
      <c r="H1709" t="s">
        <v>78</v>
      </c>
      <c r="I1709" t="s">
        <v>1674</v>
      </c>
      <c r="J1709" t="s">
        <v>146</v>
      </c>
      <c r="K1709" t="s">
        <v>64</v>
      </c>
      <c r="L1709" t="s">
        <v>147</v>
      </c>
      <c r="M1709" t="s">
        <v>1545</v>
      </c>
      <c r="N1709">
        <v>26.05</v>
      </c>
      <c r="O1709">
        <v>16.6666666666667</v>
      </c>
      <c r="P1709">
        <v>126</v>
      </c>
      <c r="Q1709">
        <v>142.666666666667</v>
      </c>
      <c r="R1709">
        <v>460.785</v>
      </c>
      <c r="S1709">
        <v>603.451666666667</v>
      </c>
      <c r="T1709">
        <v>221</v>
      </c>
      <c r="U1709">
        <f>SUMIF(货件明细!J:J,E1709,货件明细!AP:AP)</f>
        <v>0</v>
      </c>
      <c r="V1709">
        <f>IF(U1709=T1709,0,1)</f>
        <v>1</v>
      </c>
      <c r="W1709">
        <f>T1709</f>
        <v>221</v>
      </c>
      <c r="X1709">
        <f>SUMIF(货件明细!J:J,E1709,货件明细!H:H)</f>
        <v>0</v>
      </c>
      <c r="Y1709">
        <f>N1709-X1709</f>
        <v>26.05</v>
      </c>
      <c r="Z1709">
        <f>SUMIF(货件明细!J:J,E1709,货件明细!I:I)</f>
        <v>0</v>
      </c>
      <c r="AA1709">
        <f>IF(S1709=Z1709,0,1)</f>
        <v>1</v>
      </c>
    </row>
    <row r="1710" hidden="1" spans="1:27">
      <c r="A1710">
        <v>4</v>
      </c>
      <c r="B1710">
        <v>14</v>
      </c>
      <c r="C1710" s="3">
        <v>46115</v>
      </c>
      <c r="D1710" t="s">
        <v>27</v>
      </c>
      <c r="E1710" t="s">
        <v>1833</v>
      </c>
      <c r="F1710" t="s">
        <v>185</v>
      </c>
      <c r="G1710" t="s">
        <v>30</v>
      </c>
      <c r="H1710" t="s">
        <v>56</v>
      </c>
      <c r="I1710" t="s">
        <v>1674</v>
      </c>
      <c r="J1710" t="s">
        <v>146</v>
      </c>
      <c r="K1710" t="s">
        <v>64</v>
      </c>
      <c r="L1710" t="s">
        <v>147</v>
      </c>
      <c r="M1710" t="s">
        <v>148</v>
      </c>
      <c r="N1710">
        <v>37.95</v>
      </c>
      <c r="O1710">
        <v>16.6666666666667</v>
      </c>
      <c r="P1710">
        <v>300.9</v>
      </c>
      <c r="Q1710">
        <v>317.566666666667</v>
      </c>
      <c r="R1710">
        <v>0</v>
      </c>
      <c r="S1710">
        <v>317.566666666667</v>
      </c>
      <c r="T1710">
        <v>195</v>
      </c>
      <c r="U1710">
        <f>SUMIF(货件明细!J:J,E1710,货件明细!AP:AP)</f>
        <v>0</v>
      </c>
      <c r="V1710">
        <f>IF(U1710=T1710,0,1)</f>
        <v>1</v>
      </c>
      <c r="W1710">
        <f>T1710</f>
        <v>195</v>
      </c>
      <c r="X1710">
        <f>SUMIF(货件明细!J:J,E1710,货件明细!H:H)</f>
        <v>0</v>
      </c>
      <c r="Y1710">
        <f>N1710-X1710</f>
        <v>37.95</v>
      </c>
      <c r="Z1710">
        <f>SUMIF(货件明细!J:J,E1710,货件明细!I:I)</f>
        <v>0</v>
      </c>
      <c r="AA1710">
        <f>IF(S1710=Z1710,0,1)</f>
        <v>1</v>
      </c>
    </row>
    <row r="1711" hidden="1" spans="1:27">
      <c r="A1711">
        <v>4</v>
      </c>
      <c r="B1711">
        <v>14</v>
      </c>
      <c r="C1711" s="3">
        <v>46115</v>
      </c>
      <c r="D1711" t="s">
        <v>27</v>
      </c>
      <c r="E1711" t="s">
        <v>1834</v>
      </c>
      <c r="F1711" t="s">
        <v>141</v>
      </c>
      <c r="G1711" t="s">
        <v>69</v>
      </c>
      <c r="H1711" t="s">
        <v>56</v>
      </c>
      <c r="I1711" t="s">
        <v>1674</v>
      </c>
      <c r="J1711" t="s">
        <v>146</v>
      </c>
      <c r="K1711" t="s">
        <v>64</v>
      </c>
      <c r="L1711" t="s">
        <v>147</v>
      </c>
      <c r="M1711" t="s">
        <v>1545</v>
      </c>
      <c r="N1711">
        <v>37.95</v>
      </c>
      <c r="O1711">
        <v>5.76923076923077</v>
      </c>
      <c r="P1711">
        <v>293.4</v>
      </c>
      <c r="Q1711">
        <v>299.169230769231</v>
      </c>
      <c r="R1711">
        <v>0</v>
      </c>
      <c r="S1711">
        <v>299.169230769231</v>
      </c>
      <c r="T1711">
        <v>195</v>
      </c>
      <c r="U1711">
        <f>SUMIF(货件明细!J:J,E1711,货件明细!AP:AP)</f>
        <v>0</v>
      </c>
      <c r="V1711">
        <f>IF(U1711=T1711,0,1)</f>
        <v>1</v>
      </c>
      <c r="W1711">
        <f>T1711</f>
        <v>195</v>
      </c>
      <c r="X1711">
        <f>SUMIF(货件明细!J:J,E1711,货件明细!H:H)</f>
        <v>0</v>
      </c>
      <c r="Y1711">
        <f>N1711-X1711</f>
        <v>37.95</v>
      </c>
      <c r="Z1711">
        <f>SUMIF(货件明细!J:J,E1711,货件明细!I:I)</f>
        <v>0</v>
      </c>
      <c r="AA1711">
        <f>IF(S1711=Z1711,0,1)</f>
        <v>1</v>
      </c>
    </row>
    <row r="1712" hidden="1" spans="1:27">
      <c r="A1712">
        <v>4</v>
      </c>
      <c r="B1712">
        <v>14</v>
      </c>
      <c r="C1712" s="3">
        <v>46115</v>
      </c>
      <c r="D1712" t="s">
        <v>27</v>
      </c>
      <c r="E1712" t="s">
        <v>1835</v>
      </c>
      <c r="F1712" t="s">
        <v>198</v>
      </c>
      <c r="G1712" t="s">
        <v>69</v>
      </c>
      <c r="H1712" t="s">
        <v>56</v>
      </c>
      <c r="I1712" t="s">
        <v>1674</v>
      </c>
      <c r="J1712" t="s">
        <v>146</v>
      </c>
      <c r="K1712" t="s">
        <v>64</v>
      </c>
      <c r="L1712" t="s">
        <v>147</v>
      </c>
      <c r="M1712" t="s">
        <v>1545</v>
      </c>
      <c r="N1712">
        <v>37.95</v>
      </c>
      <c r="O1712">
        <v>5.76923076923077</v>
      </c>
      <c r="P1712">
        <v>293.4</v>
      </c>
      <c r="Q1712">
        <v>299.169230769231</v>
      </c>
      <c r="R1712">
        <v>0</v>
      </c>
      <c r="S1712">
        <v>299.169230769231</v>
      </c>
      <c r="T1712">
        <v>195</v>
      </c>
      <c r="U1712">
        <f>SUMIF(货件明细!J:J,E1712,货件明细!AP:AP)</f>
        <v>0</v>
      </c>
      <c r="V1712">
        <f>IF(U1712=T1712,0,1)</f>
        <v>1</v>
      </c>
      <c r="W1712">
        <f>T1712</f>
        <v>195</v>
      </c>
      <c r="X1712">
        <f>SUMIF(货件明细!J:J,E1712,货件明细!H:H)</f>
        <v>0</v>
      </c>
      <c r="Y1712">
        <f>N1712-X1712</f>
        <v>37.95</v>
      </c>
      <c r="Z1712">
        <f>SUMIF(货件明细!J:J,E1712,货件明细!I:I)</f>
        <v>0</v>
      </c>
      <c r="AA1712">
        <f>IF(S1712=Z1712,0,1)</f>
        <v>1</v>
      </c>
    </row>
    <row r="1713" hidden="1" spans="1:27">
      <c r="A1713">
        <v>4</v>
      </c>
      <c r="B1713">
        <v>14</v>
      </c>
      <c r="C1713" s="3">
        <v>46115</v>
      </c>
      <c r="D1713" t="s">
        <v>27</v>
      </c>
      <c r="E1713" t="s">
        <v>1836</v>
      </c>
      <c r="F1713" t="s">
        <v>715</v>
      </c>
      <c r="G1713" t="s">
        <v>69</v>
      </c>
      <c r="H1713" t="s">
        <v>56</v>
      </c>
      <c r="I1713" t="s">
        <v>1674</v>
      </c>
      <c r="J1713" t="s">
        <v>146</v>
      </c>
      <c r="K1713" t="s">
        <v>64</v>
      </c>
      <c r="L1713" t="s">
        <v>147</v>
      </c>
      <c r="M1713" t="s">
        <v>1545</v>
      </c>
      <c r="N1713">
        <v>37.95</v>
      </c>
      <c r="O1713">
        <v>5.76923076923077</v>
      </c>
      <c r="P1713">
        <v>293.4</v>
      </c>
      <c r="Q1713">
        <v>299.169230769231</v>
      </c>
      <c r="R1713">
        <v>0</v>
      </c>
      <c r="S1713">
        <v>299.169230769231</v>
      </c>
      <c r="T1713">
        <v>195</v>
      </c>
      <c r="U1713">
        <f>SUMIF(货件明细!J:J,E1713,货件明细!AP:AP)</f>
        <v>0</v>
      </c>
      <c r="V1713">
        <f>IF(U1713=T1713,0,1)</f>
        <v>1</v>
      </c>
      <c r="W1713">
        <f>T1713</f>
        <v>195</v>
      </c>
      <c r="X1713">
        <f>SUMIF(货件明细!J:J,E1713,货件明细!H:H)</f>
        <v>0</v>
      </c>
      <c r="Y1713">
        <f>N1713-X1713</f>
        <v>37.95</v>
      </c>
      <c r="Z1713">
        <f>SUMIF(货件明细!J:J,E1713,货件明细!I:I)</f>
        <v>0</v>
      </c>
      <c r="AA1713">
        <f>IF(S1713=Z1713,0,1)</f>
        <v>1</v>
      </c>
    </row>
    <row r="1714" hidden="1" spans="1:27">
      <c r="A1714">
        <v>4</v>
      </c>
      <c r="B1714">
        <v>14</v>
      </c>
      <c r="C1714" s="3">
        <v>46115</v>
      </c>
      <c r="D1714" t="s">
        <v>27</v>
      </c>
      <c r="E1714" t="s">
        <v>1837</v>
      </c>
      <c r="F1714" t="s">
        <v>1820</v>
      </c>
      <c r="G1714" t="s">
        <v>72</v>
      </c>
      <c r="H1714" t="s">
        <v>56</v>
      </c>
      <c r="I1714" t="s">
        <v>1674</v>
      </c>
      <c r="J1714" t="s">
        <v>146</v>
      </c>
      <c r="K1714" t="s">
        <v>64</v>
      </c>
      <c r="L1714" t="s">
        <v>147</v>
      </c>
      <c r="M1714" t="s">
        <v>1545</v>
      </c>
      <c r="N1714">
        <v>37.95</v>
      </c>
      <c r="O1714">
        <v>16.6666666666667</v>
      </c>
      <c r="P1714">
        <v>214.2</v>
      </c>
      <c r="Q1714">
        <v>230.866666666667</v>
      </c>
      <c r="R1714">
        <v>0</v>
      </c>
      <c r="S1714">
        <v>230.866666666667</v>
      </c>
      <c r="T1714">
        <v>195</v>
      </c>
      <c r="U1714">
        <f>SUMIF(货件明细!J:J,E1714,货件明细!AP:AP)</f>
        <v>0</v>
      </c>
      <c r="V1714">
        <f>IF(U1714=T1714,0,1)</f>
        <v>1</v>
      </c>
      <c r="W1714">
        <f>T1714</f>
        <v>195</v>
      </c>
      <c r="X1714">
        <f>SUMIF(货件明细!J:J,E1714,货件明细!H:H)</f>
        <v>0</v>
      </c>
      <c r="Y1714">
        <f>N1714-X1714</f>
        <v>37.95</v>
      </c>
      <c r="Z1714">
        <f>SUMIF(货件明细!J:J,E1714,货件明细!I:I)</f>
        <v>0</v>
      </c>
      <c r="AA1714">
        <f>IF(S1714=Z1714,0,1)</f>
        <v>1</v>
      </c>
    </row>
    <row r="1715" hidden="1" spans="1:27">
      <c r="A1715">
        <v>4</v>
      </c>
      <c r="B1715">
        <v>14</v>
      </c>
      <c r="C1715" s="3">
        <v>46115</v>
      </c>
      <c r="D1715" t="s">
        <v>27</v>
      </c>
      <c r="E1715" t="s">
        <v>1838</v>
      </c>
      <c r="F1715" t="s">
        <v>185</v>
      </c>
      <c r="G1715" t="s">
        <v>30</v>
      </c>
      <c r="H1715" t="s">
        <v>51</v>
      </c>
      <c r="I1715" t="s">
        <v>1674</v>
      </c>
      <c r="J1715" t="s">
        <v>146</v>
      </c>
      <c r="K1715" t="s">
        <v>64</v>
      </c>
      <c r="L1715" t="s">
        <v>147</v>
      </c>
      <c r="M1715" t="s">
        <v>148</v>
      </c>
      <c r="N1715">
        <v>15.85</v>
      </c>
      <c r="O1715">
        <v>16.6666666666667</v>
      </c>
      <c r="P1715">
        <v>141.6</v>
      </c>
      <c r="Q1715">
        <v>158.266666666667</v>
      </c>
      <c r="R1715">
        <v>0</v>
      </c>
      <c r="S1715">
        <v>158.266666666667</v>
      </c>
      <c r="T1715">
        <v>78</v>
      </c>
      <c r="U1715">
        <f>SUMIF(货件明细!J:J,E1715,货件明细!AP:AP)</f>
        <v>0</v>
      </c>
      <c r="V1715">
        <f>IF(U1715=T1715,0,1)</f>
        <v>1</v>
      </c>
      <c r="W1715">
        <f>T1715</f>
        <v>78</v>
      </c>
      <c r="X1715">
        <f>SUMIF(货件明细!J:J,E1715,货件明细!H:H)</f>
        <v>0</v>
      </c>
      <c r="Y1715">
        <f>N1715-X1715</f>
        <v>15.85</v>
      </c>
      <c r="Z1715">
        <f>SUMIF(货件明细!J:J,E1715,货件明细!I:I)</f>
        <v>0</v>
      </c>
      <c r="AA1715">
        <f>IF(S1715=Z1715,0,1)</f>
        <v>1</v>
      </c>
    </row>
    <row r="1716" hidden="1" spans="1:27">
      <c r="A1716">
        <v>4</v>
      </c>
      <c r="B1716">
        <v>14</v>
      </c>
      <c r="C1716" s="3">
        <v>46115</v>
      </c>
      <c r="D1716" t="s">
        <v>27</v>
      </c>
      <c r="E1716" t="s">
        <v>1839</v>
      </c>
      <c r="F1716" t="s">
        <v>141</v>
      </c>
      <c r="G1716" t="s">
        <v>69</v>
      </c>
      <c r="H1716" t="s">
        <v>51</v>
      </c>
      <c r="I1716" t="s">
        <v>1674</v>
      </c>
      <c r="J1716" t="s">
        <v>146</v>
      </c>
      <c r="K1716" t="s">
        <v>64</v>
      </c>
      <c r="L1716" t="s">
        <v>147</v>
      </c>
      <c r="M1716" t="s">
        <v>1545</v>
      </c>
      <c r="N1716">
        <v>15.85</v>
      </c>
      <c r="O1716">
        <v>5.76923076923077</v>
      </c>
      <c r="P1716">
        <v>146.7</v>
      </c>
      <c r="Q1716">
        <v>152.469230769231</v>
      </c>
      <c r="R1716">
        <v>0</v>
      </c>
      <c r="S1716">
        <v>152.469230769231</v>
      </c>
      <c r="T1716">
        <v>78</v>
      </c>
      <c r="U1716">
        <f>SUMIF(货件明细!J:J,E1716,货件明细!AP:AP)</f>
        <v>0</v>
      </c>
      <c r="V1716">
        <f>IF(U1716=T1716,0,1)</f>
        <v>1</v>
      </c>
      <c r="W1716">
        <f>T1716</f>
        <v>78</v>
      </c>
      <c r="X1716">
        <f>SUMIF(货件明细!J:J,E1716,货件明细!H:H)</f>
        <v>0</v>
      </c>
      <c r="Y1716">
        <f>N1716-X1716</f>
        <v>15.85</v>
      </c>
      <c r="Z1716">
        <f>SUMIF(货件明细!J:J,E1716,货件明细!I:I)</f>
        <v>0</v>
      </c>
      <c r="AA1716">
        <f>IF(S1716=Z1716,0,1)</f>
        <v>1</v>
      </c>
    </row>
    <row r="1717" hidden="1" spans="1:27">
      <c r="A1717">
        <v>4</v>
      </c>
      <c r="B1717">
        <v>14</v>
      </c>
      <c r="C1717" s="3">
        <v>46115</v>
      </c>
      <c r="D1717" t="s">
        <v>27</v>
      </c>
      <c r="E1717" t="s">
        <v>1840</v>
      </c>
      <c r="F1717" t="s">
        <v>198</v>
      </c>
      <c r="G1717" t="s">
        <v>69</v>
      </c>
      <c r="H1717" t="s">
        <v>51</v>
      </c>
      <c r="I1717" t="s">
        <v>1674</v>
      </c>
      <c r="J1717" t="s">
        <v>146</v>
      </c>
      <c r="K1717" t="s">
        <v>64</v>
      </c>
      <c r="L1717" t="s">
        <v>147</v>
      </c>
      <c r="M1717" t="s">
        <v>1545</v>
      </c>
      <c r="N1717">
        <v>15.85</v>
      </c>
      <c r="O1717">
        <v>5.76923076923077</v>
      </c>
      <c r="P1717">
        <v>146.7</v>
      </c>
      <c r="Q1717">
        <v>152.469230769231</v>
      </c>
      <c r="R1717">
        <v>0</v>
      </c>
      <c r="S1717">
        <v>152.469230769231</v>
      </c>
      <c r="T1717">
        <v>78</v>
      </c>
      <c r="U1717">
        <f>SUMIF(货件明细!J:J,E1717,货件明细!AP:AP)</f>
        <v>0</v>
      </c>
      <c r="V1717">
        <f>IF(U1717=T1717,0,1)</f>
        <v>1</v>
      </c>
      <c r="W1717">
        <f>T1717</f>
        <v>78</v>
      </c>
      <c r="X1717">
        <f>SUMIF(货件明细!J:J,E1717,货件明细!H:H)</f>
        <v>0</v>
      </c>
      <c r="Y1717">
        <f>N1717-X1717</f>
        <v>15.85</v>
      </c>
      <c r="Z1717">
        <f>SUMIF(货件明细!J:J,E1717,货件明细!I:I)</f>
        <v>0</v>
      </c>
      <c r="AA1717">
        <f>IF(S1717=Z1717,0,1)</f>
        <v>1</v>
      </c>
    </row>
    <row r="1718" hidden="1" spans="1:27">
      <c r="A1718">
        <v>4</v>
      </c>
      <c r="B1718">
        <v>14</v>
      </c>
      <c r="C1718" s="3">
        <v>46115</v>
      </c>
      <c r="D1718" t="s">
        <v>27</v>
      </c>
      <c r="E1718" t="s">
        <v>1841</v>
      </c>
      <c r="F1718" t="s">
        <v>715</v>
      </c>
      <c r="G1718" t="s">
        <v>69</v>
      </c>
      <c r="H1718" t="s">
        <v>51</v>
      </c>
      <c r="I1718" t="s">
        <v>1674</v>
      </c>
      <c r="J1718" t="s">
        <v>146</v>
      </c>
      <c r="K1718" t="s">
        <v>64</v>
      </c>
      <c r="L1718" t="s">
        <v>147</v>
      </c>
      <c r="M1718" t="s">
        <v>1545</v>
      </c>
      <c r="N1718">
        <v>15.85</v>
      </c>
      <c r="O1718">
        <v>5.76923076923077</v>
      </c>
      <c r="P1718">
        <v>130.4</v>
      </c>
      <c r="Q1718">
        <v>136.169230769231</v>
      </c>
      <c r="R1718">
        <v>0</v>
      </c>
      <c r="S1718">
        <v>136.169230769231</v>
      </c>
      <c r="T1718">
        <v>78</v>
      </c>
      <c r="U1718">
        <f>SUMIF(货件明细!J:J,E1718,货件明细!AP:AP)</f>
        <v>0</v>
      </c>
      <c r="V1718">
        <f>IF(U1718=T1718,0,1)</f>
        <v>1</v>
      </c>
      <c r="W1718">
        <f>T1718</f>
        <v>78</v>
      </c>
      <c r="X1718">
        <f>SUMIF(货件明细!J:J,E1718,货件明细!H:H)</f>
        <v>0</v>
      </c>
      <c r="Y1718">
        <f>N1718-X1718</f>
        <v>15.85</v>
      </c>
      <c r="Z1718">
        <f>SUMIF(货件明细!J:J,E1718,货件明细!I:I)</f>
        <v>0</v>
      </c>
      <c r="AA1718">
        <f>IF(S1718=Z1718,0,1)</f>
        <v>1</v>
      </c>
    </row>
    <row r="1719" hidden="1" spans="1:27">
      <c r="A1719">
        <v>4</v>
      </c>
      <c r="B1719">
        <v>14</v>
      </c>
      <c r="C1719" s="3">
        <v>46115</v>
      </c>
      <c r="D1719" t="s">
        <v>27</v>
      </c>
      <c r="E1719" t="s">
        <v>1842</v>
      </c>
      <c r="F1719" t="s">
        <v>1820</v>
      </c>
      <c r="G1719" t="s">
        <v>72</v>
      </c>
      <c r="H1719" t="s">
        <v>51</v>
      </c>
      <c r="I1719" t="s">
        <v>1674</v>
      </c>
      <c r="J1719" t="s">
        <v>146</v>
      </c>
      <c r="K1719" t="s">
        <v>64</v>
      </c>
      <c r="L1719" t="s">
        <v>147</v>
      </c>
      <c r="M1719" t="s">
        <v>1545</v>
      </c>
      <c r="N1719">
        <v>15.85</v>
      </c>
      <c r="O1719">
        <v>16.6666666666667</v>
      </c>
      <c r="P1719">
        <v>100.8</v>
      </c>
      <c r="Q1719">
        <v>117.466666666667</v>
      </c>
      <c r="R1719">
        <v>0</v>
      </c>
      <c r="S1719">
        <v>117.466666666667</v>
      </c>
      <c r="T1719">
        <v>78</v>
      </c>
      <c r="U1719">
        <f>SUMIF(货件明细!J:J,E1719,货件明细!AP:AP)</f>
        <v>0</v>
      </c>
      <c r="V1719">
        <f>IF(U1719=T1719,0,1)</f>
        <v>1</v>
      </c>
      <c r="W1719">
        <f>T1719</f>
        <v>78</v>
      </c>
      <c r="X1719">
        <f>SUMIF(货件明细!J:J,E1719,货件明细!H:H)</f>
        <v>0</v>
      </c>
      <c r="Y1719">
        <f>N1719-X1719</f>
        <v>15.85</v>
      </c>
      <c r="Z1719">
        <f>SUMIF(货件明细!J:J,E1719,货件明细!I:I)</f>
        <v>0</v>
      </c>
      <c r="AA1719">
        <f>IF(S1719=Z1719,0,1)</f>
        <v>1</v>
      </c>
    </row>
    <row r="1720" hidden="1" spans="1:27">
      <c r="A1720">
        <v>4</v>
      </c>
      <c r="B1720">
        <v>14</v>
      </c>
      <c r="C1720" s="3">
        <v>46115</v>
      </c>
      <c r="D1720" t="s">
        <v>27</v>
      </c>
      <c r="E1720" t="s">
        <v>1843</v>
      </c>
      <c r="F1720" t="s">
        <v>185</v>
      </c>
      <c r="G1720" t="s">
        <v>30</v>
      </c>
      <c r="H1720" t="s">
        <v>46</v>
      </c>
      <c r="I1720" t="s">
        <v>1674</v>
      </c>
      <c r="J1720" t="s">
        <v>146</v>
      </c>
      <c r="K1720" t="s">
        <v>64</v>
      </c>
      <c r="L1720" t="s">
        <v>147</v>
      </c>
      <c r="M1720" t="s">
        <v>148</v>
      </c>
      <c r="N1720">
        <v>8.85</v>
      </c>
      <c r="O1720">
        <v>30</v>
      </c>
      <c r="P1720">
        <v>88.5</v>
      </c>
      <c r="Q1720">
        <v>118.5</v>
      </c>
      <c r="R1720">
        <v>0</v>
      </c>
      <c r="S1720">
        <v>118.5</v>
      </c>
      <c r="T1720">
        <v>90</v>
      </c>
      <c r="U1720">
        <f>SUMIF(货件明细!J:J,E1720,货件明细!AP:AP)</f>
        <v>0</v>
      </c>
      <c r="V1720">
        <f>IF(U1720=T1720,0,1)</f>
        <v>1</v>
      </c>
      <c r="W1720">
        <f>T1720</f>
        <v>90</v>
      </c>
      <c r="X1720">
        <f>SUMIF(货件明细!J:J,E1720,货件明细!H:H)</f>
        <v>0</v>
      </c>
      <c r="Y1720">
        <f>N1720-X1720</f>
        <v>8.85</v>
      </c>
      <c r="Z1720">
        <f>SUMIF(货件明细!J:J,E1720,货件明细!I:I)</f>
        <v>0</v>
      </c>
      <c r="AA1720">
        <f>IF(S1720=Z1720,0,1)</f>
        <v>1</v>
      </c>
    </row>
    <row r="1721" hidden="1" spans="1:27">
      <c r="A1721">
        <v>4</v>
      </c>
      <c r="B1721">
        <v>14</v>
      </c>
      <c r="C1721" s="3">
        <v>46115</v>
      </c>
      <c r="D1721" t="s">
        <v>27</v>
      </c>
      <c r="E1721" t="s">
        <v>1844</v>
      </c>
      <c r="F1721" t="s">
        <v>141</v>
      </c>
      <c r="G1721" t="s">
        <v>69</v>
      </c>
      <c r="H1721" t="s">
        <v>46</v>
      </c>
      <c r="I1721" t="s">
        <v>1674</v>
      </c>
      <c r="J1721" t="s">
        <v>146</v>
      </c>
      <c r="K1721" t="s">
        <v>64</v>
      </c>
      <c r="L1721" t="s">
        <v>147</v>
      </c>
      <c r="M1721" t="s">
        <v>1545</v>
      </c>
      <c r="N1721">
        <v>8.85</v>
      </c>
      <c r="O1721">
        <v>10</v>
      </c>
      <c r="P1721">
        <v>81.5</v>
      </c>
      <c r="Q1721">
        <v>91.5</v>
      </c>
      <c r="R1721">
        <v>0</v>
      </c>
      <c r="S1721">
        <v>91.5</v>
      </c>
      <c r="T1721">
        <v>90</v>
      </c>
      <c r="U1721">
        <f>SUMIF(货件明细!J:J,E1721,货件明细!AP:AP)</f>
        <v>0</v>
      </c>
      <c r="V1721">
        <f>IF(U1721=T1721,0,1)</f>
        <v>1</v>
      </c>
      <c r="W1721">
        <f>T1721</f>
        <v>90</v>
      </c>
      <c r="X1721">
        <f>SUMIF(货件明细!J:J,E1721,货件明细!H:H)</f>
        <v>0</v>
      </c>
      <c r="Y1721">
        <f>N1721-X1721</f>
        <v>8.85</v>
      </c>
      <c r="Z1721">
        <f>SUMIF(货件明细!J:J,E1721,货件明细!I:I)</f>
        <v>0</v>
      </c>
      <c r="AA1721">
        <f>IF(S1721=Z1721,0,1)</f>
        <v>1</v>
      </c>
    </row>
    <row r="1722" hidden="1" spans="1:27">
      <c r="A1722">
        <v>4</v>
      </c>
      <c r="B1722">
        <v>14</v>
      </c>
      <c r="C1722" s="3">
        <v>46115</v>
      </c>
      <c r="D1722" t="s">
        <v>27</v>
      </c>
      <c r="E1722" t="s">
        <v>1845</v>
      </c>
      <c r="F1722" t="s">
        <v>198</v>
      </c>
      <c r="G1722" t="s">
        <v>69</v>
      </c>
      <c r="H1722" t="s">
        <v>46</v>
      </c>
      <c r="I1722" t="s">
        <v>1674</v>
      </c>
      <c r="J1722" t="s">
        <v>146</v>
      </c>
      <c r="K1722" t="s">
        <v>64</v>
      </c>
      <c r="L1722" t="s">
        <v>147</v>
      </c>
      <c r="M1722" t="s">
        <v>1545</v>
      </c>
      <c r="N1722">
        <v>8.85</v>
      </c>
      <c r="O1722">
        <v>10</v>
      </c>
      <c r="P1722">
        <v>81.5</v>
      </c>
      <c r="Q1722">
        <v>91.5</v>
      </c>
      <c r="R1722">
        <v>0</v>
      </c>
      <c r="S1722">
        <v>91.5</v>
      </c>
      <c r="T1722">
        <v>90</v>
      </c>
      <c r="U1722">
        <f>SUMIF(货件明细!J:J,E1722,货件明细!AP:AP)</f>
        <v>0</v>
      </c>
      <c r="V1722">
        <f>IF(U1722=T1722,0,1)</f>
        <v>1</v>
      </c>
      <c r="W1722">
        <f>T1722</f>
        <v>90</v>
      </c>
      <c r="X1722">
        <f>SUMIF(货件明细!J:J,E1722,货件明细!H:H)</f>
        <v>0</v>
      </c>
      <c r="Y1722">
        <f>N1722-X1722</f>
        <v>8.85</v>
      </c>
      <c r="Z1722">
        <f>SUMIF(货件明细!J:J,E1722,货件明细!I:I)</f>
        <v>0</v>
      </c>
      <c r="AA1722">
        <f>IF(S1722=Z1722,0,1)</f>
        <v>1</v>
      </c>
    </row>
    <row r="1723" hidden="1" spans="1:27">
      <c r="A1723">
        <v>4</v>
      </c>
      <c r="B1723">
        <v>14</v>
      </c>
      <c r="C1723" s="3">
        <v>46115</v>
      </c>
      <c r="D1723" t="s">
        <v>27</v>
      </c>
      <c r="E1723" t="s">
        <v>1846</v>
      </c>
      <c r="F1723" t="s">
        <v>715</v>
      </c>
      <c r="G1723" t="s">
        <v>69</v>
      </c>
      <c r="H1723" t="s">
        <v>46</v>
      </c>
      <c r="I1723" t="s">
        <v>1674</v>
      </c>
      <c r="J1723" t="s">
        <v>146</v>
      </c>
      <c r="K1723" t="s">
        <v>64</v>
      </c>
      <c r="L1723" t="s">
        <v>147</v>
      </c>
      <c r="M1723" t="s">
        <v>1545</v>
      </c>
      <c r="N1723">
        <v>8.85</v>
      </c>
      <c r="O1723">
        <v>10</v>
      </c>
      <c r="P1723">
        <v>81.5</v>
      </c>
      <c r="Q1723">
        <v>91.5</v>
      </c>
      <c r="R1723">
        <v>0</v>
      </c>
      <c r="S1723">
        <v>91.5</v>
      </c>
      <c r="T1723">
        <v>90</v>
      </c>
      <c r="U1723">
        <f>SUMIF(货件明细!J:J,E1723,货件明细!AP:AP)</f>
        <v>0</v>
      </c>
      <c r="V1723">
        <f>IF(U1723=T1723,0,1)</f>
        <v>1</v>
      </c>
      <c r="W1723">
        <f>T1723</f>
        <v>90</v>
      </c>
      <c r="X1723">
        <f>SUMIF(货件明细!J:J,E1723,货件明细!H:H)</f>
        <v>0</v>
      </c>
      <c r="Y1723">
        <f>N1723-X1723</f>
        <v>8.85</v>
      </c>
      <c r="Z1723">
        <f>SUMIF(货件明细!J:J,E1723,货件明细!I:I)</f>
        <v>0</v>
      </c>
      <c r="AA1723">
        <f>IF(S1723=Z1723,0,1)</f>
        <v>1</v>
      </c>
    </row>
    <row r="1724" hidden="1" spans="1:27">
      <c r="A1724">
        <v>4</v>
      </c>
      <c r="B1724">
        <v>14</v>
      </c>
      <c r="C1724" s="3">
        <v>46115</v>
      </c>
      <c r="D1724" t="s">
        <v>27</v>
      </c>
      <c r="E1724" t="s">
        <v>1847</v>
      </c>
      <c r="F1724" t="s">
        <v>1820</v>
      </c>
      <c r="G1724" t="s">
        <v>72</v>
      </c>
      <c r="H1724" t="s">
        <v>46</v>
      </c>
      <c r="I1724" t="s">
        <v>1674</v>
      </c>
      <c r="J1724" t="s">
        <v>146</v>
      </c>
      <c r="K1724" t="s">
        <v>64</v>
      </c>
      <c r="L1724" t="s">
        <v>147</v>
      </c>
      <c r="M1724" t="s">
        <v>1545</v>
      </c>
      <c r="N1724">
        <v>8.85</v>
      </c>
      <c r="O1724">
        <v>21.4285714285714</v>
      </c>
      <c r="P1724">
        <v>63</v>
      </c>
      <c r="Q1724">
        <v>84.4285714285714</v>
      </c>
      <c r="R1724">
        <v>0</v>
      </c>
      <c r="S1724">
        <v>84.4285714285714</v>
      </c>
      <c r="T1724">
        <v>90</v>
      </c>
      <c r="U1724">
        <f>SUMIF(货件明细!J:J,E1724,货件明细!AP:AP)</f>
        <v>0</v>
      </c>
      <c r="V1724">
        <f>IF(U1724=T1724,0,1)</f>
        <v>1</v>
      </c>
      <c r="W1724">
        <f>T1724</f>
        <v>90</v>
      </c>
      <c r="X1724">
        <f>SUMIF(货件明细!J:J,E1724,货件明细!H:H)</f>
        <v>0</v>
      </c>
      <c r="Y1724">
        <f>N1724-X1724</f>
        <v>8.85</v>
      </c>
      <c r="Z1724">
        <f>SUMIF(货件明细!J:J,E1724,货件明细!I:I)</f>
        <v>0</v>
      </c>
      <c r="AA1724">
        <f>IF(S1724=Z1724,0,1)</f>
        <v>1</v>
      </c>
    </row>
    <row r="1725" hidden="1" spans="1:27">
      <c r="A1725">
        <v>4</v>
      </c>
      <c r="B1725">
        <v>14</v>
      </c>
      <c r="C1725" s="3">
        <v>46115</v>
      </c>
      <c r="D1725" t="s">
        <v>27</v>
      </c>
      <c r="E1725" t="s">
        <v>1848</v>
      </c>
      <c r="F1725" t="s">
        <v>185</v>
      </c>
      <c r="G1725" t="s">
        <v>30</v>
      </c>
      <c r="H1725" t="s">
        <v>51</v>
      </c>
      <c r="I1725" t="s">
        <v>1674</v>
      </c>
      <c r="J1725" t="s">
        <v>146</v>
      </c>
      <c r="K1725" t="s">
        <v>64</v>
      </c>
      <c r="L1725" t="s">
        <v>147</v>
      </c>
      <c r="M1725" t="s">
        <v>148</v>
      </c>
      <c r="N1725">
        <v>10.8</v>
      </c>
      <c r="O1725">
        <v>16.6666666666667</v>
      </c>
      <c r="P1725">
        <v>53.1</v>
      </c>
      <c r="Q1725">
        <v>69.7666666666667</v>
      </c>
      <c r="R1725">
        <v>0</v>
      </c>
      <c r="S1725">
        <v>69.7666666666667</v>
      </c>
      <c r="T1725">
        <v>88</v>
      </c>
      <c r="U1725">
        <f>SUMIF(货件明细!J:J,E1725,货件明细!AP:AP)</f>
        <v>0</v>
      </c>
      <c r="V1725">
        <f>IF(U1725=T1725,0,1)</f>
        <v>1</v>
      </c>
      <c r="W1725">
        <f>T1725</f>
        <v>88</v>
      </c>
      <c r="X1725">
        <f>SUMIF(货件明细!J:J,E1725,货件明细!H:H)</f>
        <v>0</v>
      </c>
      <c r="Y1725">
        <f>N1725-X1725</f>
        <v>10.8</v>
      </c>
      <c r="Z1725">
        <f>SUMIF(货件明细!J:J,E1725,货件明细!I:I)</f>
        <v>0</v>
      </c>
      <c r="AA1725">
        <f>IF(S1725=Z1725,0,1)</f>
        <v>1</v>
      </c>
    </row>
    <row r="1726" hidden="1" spans="1:27">
      <c r="A1726">
        <v>4</v>
      </c>
      <c r="B1726">
        <v>14</v>
      </c>
      <c r="C1726" s="3">
        <v>46115</v>
      </c>
      <c r="D1726" t="s">
        <v>27</v>
      </c>
      <c r="E1726" t="s">
        <v>1849</v>
      </c>
      <c r="F1726" t="s">
        <v>141</v>
      </c>
      <c r="G1726" t="s">
        <v>69</v>
      </c>
      <c r="H1726" t="s">
        <v>51</v>
      </c>
      <c r="I1726" t="s">
        <v>1674</v>
      </c>
      <c r="J1726" t="s">
        <v>146</v>
      </c>
      <c r="K1726" t="s">
        <v>64</v>
      </c>
      <c r="L1726" t="s">
        <v>147</v>
      </c>
      <c r="M1726" t="s">
        <v>1545</v>
      </c>
      <c r="N1726">
        <v>10.8</v>
      </c>
      <c r="O1726">
        <v>5.76923076923077</v>
      </c>
      <c r="P1726">
        <v>48.9</v>
      </c>
      <c r="Q1726">
        <v>54.6692307692308</v>
      </c>
      <c r="R1726">
        <v>0</v>
      </c>
      <c r="S1726">
        <v>54.6692307692308</v>
      </c>
      <c r="T1726">
        <v>88</v>
      </c>
      <c r="U1726">
        <f>SUMIF(货件明细!J:J,E1726,货件明细!AP:AP)</f>
        <v>0</v>
      </c>
      <c r="V1726">
        <f>IF(U1726=T1726,0,1)</f>
        <v>1</v>
      </c>
      <c r="W1726">
        <f>T1726</f>
        <v>88</v>
      </c>
      <c r="X1726">
        <f>SUMIF(货件明细!J:J,E1726,货件明细!H:H)</f>
        <v>0</v>
      </c>
      <c r="Y1726">
        <f>N1726-X1726</f>
        <v>10.8</v>
      </c>
      <c r="Z1726">
        <f>SUMIF(货件明细!J:J,E1726,货件明细!I:I)</f>
        <v>0</v>
      </c>
      <c r="AA1726">
        <f>IF(S1726=Z1726,0,1)</f>
        <v>1</v>
      </c>
    </row>
    <row r="1727" hidden="1" spans="1:27">
      <c r="A1727">
        <v>4</v>
      </c>
      <c r="B1727">
        <v>14</v>
      </c>
      <c r="C1727" s="3">
        <v>46115</v>
      </c>
      <c r="D1727" t="s">
        <v>27</v>
      </c>
      <c r="E1727" t="s">
        <v>1850</v>
      </c>
      <c r="F1727" t="s">
        <v>198</v>
      </c>
      <c r="G1727" t="s">
        <v>69</v>
      </c>
      <c r="H1727" t="s">
        <v>51</v>
      </c>
      <c r="I1727" t="s">
        <v>1674</v>
      </c>
      <c r="J1727" t="s">
        <v>146</v>
      </c>
      <c r="K1727" t="s">
        <v>64</v>
      </c>
      <c r="L1727" t="s">
        <v>147</v>
      </c>
      <c r="M1727" t="s">
        <v>1545</v>
      </c>
      <c r="N1727">
        <v>10.8</v>
      </c>
      <c r="O1727">
        <v>5.76923076923077</v>
      </c>
      <c r="P1727">
        <v>48.9</v>
      </c>
      <c r="Q1727">
        <v>54.6692307692308</v>
      </c>
      <c r="R1727">
        <v>0</v>
      </c>
      <c r="S1727">
        <v>54.6692307692308</v>
      </c>
      <c r="T1727">
        <v>88</v>
      </c>
      <c r="U1727">
        <f>SUMIF(货件明细!J:J,E1727,货件明细!AP:AP)</f>
        <v>0</v>
      </c>
      <c r="V1727">
        <f>IF(U1727=T1727,0,1)</f>
        <v>1</v>
      </c>
      <c r="W1727">
        <f>T1727</f>
        <v>88</v>
      </c>
      <c r="X1727">
        <f>SUMIF(货件明细!J:J,E1727,货件明细!H:H)</f>
        <v>0</v>
      </c>
      <c r="Y1727">
        <f>N1727-X1727</f>
        <v>10.8</v>
      </c>
      <c r="Z1727">
        <f>SUMIF(货件明细!J:J,E1727,货件明细!I:I)</f>
        <v>0</v>
      </c>
      <c r="AA1727">
        <f>IF(S1727=Z1727,0,1)</f>
        <v>1</v>
      </c>
    </row>
    <row r="1728" hidden="1" spans="1:27">
      <c r="A1728">
        <v>4</v>
      </c>
      <c r="B1728">
        <v>14</v>
      </c>
      <c r="C1728" s="3">
        <v>46115</v>
      </c>
      <c r="D1728" t="s">
        <v>27</v>
      </c>
      <c r="E1728" t="s">
        <v>1851</v>
      </c>
      <c r="F1728" t="s">
        <v>715</v>
      </c>
      <c r="G1728" t="s">
        <v>69</v>
      </c>
      <c r="H1728" t="s">
        <v>51</v>
      </c>
      <c r="I1728" t="s">
        <v>1674</v>
      </c>
      <c r="J1728" t="s">
        <v>146</v>
      </c>
      <c r="K1728" t="s">
        <v>64</v>
      </c>
      <c r="L1728" t="s">
        <v>147</v>
      </c>
      <c r="M1728" t="s">
        <v>1545</v>
      </c>
      <c r="N1728">
        <v>10.8</v>
      </c>
      <c r="O1728">
        <v>5.76923076923077</v>
      </c>
      <c r="P1728">
        <v>48.9</v>
      </c>
      <c r="Q1728">
        <v>54.6692307692308</v>
      </c>
      <c r="R1728">
        <v>0</v>
      </c>
      <c r="S1728">
        <v>54.6692307692308</v>
      </c>
      <c r="T1728">
        <v>88</v>
      </c>
      <c r="U1728">
        <f>SUMIF(货件明细!J:J,E1728,货件明细!AP:AP)</f>
        <v>0</v>
      </c>
      <c r="V1728">
        <f>IF(U1728=T1728,0,1)</f>
        <v>1</v>
      </c>
      <c r="W1728">
        <f>T1728</f>
        <v>88</v>
      </c>
      <c r="X1728">
        <f>SUMIF(货件明细!J:J,E1728,货件明细!H:H)</f>
        <v>0</v>
      </c>
      <c r="Y1728">
        <f>N1728-X1728</f>
        <v>10.8</v>
      </c>
      <c r="Z1728">
        <f>SUMIF(货件明细!J:J,E1728,货件明细!I:I)</f>
        <v>0</v>
      </c>
      <c r="AA1728">
        <f>IF(S1728=Z1728,0,1)</f>
        <v>1</v>
      </c>
    </row>
    <row r="1729" hidden="1" spans="1:27">
      <c r="A1729">
        <v>4</v>
      </c>
      <c r="B1729">
        <v>14</v>
      </c>
      <c r="C1729" s="3">
        <v>46115</v>
      </c>
      <c r="D1729" t="s">
        <v>27</v>
      </c>
      <c r="E1729" t="s">
        <v>1852</v>
      </c>
      <c r="F1729" t="s">
        <v>1820</v>
      </c>
      <c r="G1729" t="s">
        <v>72</v>
      </c>
      <c r="H1729" t="s">
        <v>51</v>
      </c>
      <c r="I1729" t="s">
        <v>1674</v>
      </c>
      <c r="J1729" t="s">
        <v>146</v>
      </c>
      <c r="K1729" t="s">
        <v>64</v>
      </c>
      <c r="L1729" t="s">
        <v>147</v>
      </c>
      <c r="M1729" t="s">
        <v>1545</v>
      </c>
      <c r="N1729">
        <v>10.8</v>
      </c>
      <c r="O1729">
        <v>16.6666666666667</v>
      </c>
      <c r="P1729">
        <v>37.8</v>
      </c>
      <c r="Q1729">
        <v>54.4666666666667</v>
      </c>
      <c r="R1729">
        <v>0</v>
      </c>
      <c r="S1729">
        <v>54.4666666666667</v>
      </c>
      <c r="T1729">
        <v>88</v>
      </c>
      <c r="U1729">
        <f>SUMIF(货件明细!J:J,E1729,货件明细!AP:AP)</f>
        <v>0</v>
      </c>
      <c r="V1729">
        <f>IF(U1729=T1729,0,1)</f>
        <v>1</v>
      </c>
      <c r="W1729">
        <f>T1729</f>
        <v>88</v>
      </c>
      <c r="X1729">
        <f>SUMIF(货件明细!J:J,E1729,货件明细!H:H)</f>
        <v>0</v>
      </c>
      <c r="Y1729">
        <f>N1729-X1729</f>
        <v>10.8</v>
      </c>
      <c r="Z1729">
        <f>SUMIF(货件明细!J:J,E1729,货件明细!I:I)</f>
        <v>0</v>
      </c>
      <c r="AA1729">
        <f>IF(S1729=Z1729,0,1)</f>
        <v>1</v>
      </c>
    </row>
    <row r="1730" hidden="1" spans="1:27">
      <c r="A1730">
        <v>4</v>
      </c>
      <c r="B1730">
        <v>14</v>
      </c>
      <c r="C1730" s="3">
        <v>46115</v>
      </c>
      <c r="D1730" t="s">
        <v>27</v>
      </c>
      <c r="E1730" t="s">
        <v>1853</v>
      </c>
      <c r="F1730" t="s">
        <v>185</v>
      </c>
      <c r="G1730" t="s">
        <v>30</v>
      </c>
      <c r="H1730" t="s">
        <v>59</v>
      </c>
      <c r="I1730" t="s">
        <v>1674</v>
      </c>
      <c r="J1730" t="s">
        <v>146</v>
      </c>
      <c r="K1730" t="s">
        <v>64</v>
      </c>
      <c r="L1730" t="s">
        <v>147</v>
      </c>
      <c r="M1730" t="s">
        <v>148</v>
      </c>
      <c r="N1730">
        <v>21.2</v>
      </c>
      <c r="O1730">
        <v>30</v>
      </c>
      <c r="P1730">
        <v>159.3</v>
      </c>
      <c r="Q1730">
        <v>189.3</v>
      </c>
      <c r="R1730">
        <v>0</v>
      </c>
      <c r="S1730">
        <v>189.3</v>
      </c>
      <c r="T1730">
        <v>105</v>
      </c>
      <c r="U1730">
        <f>SUMIF(货件明细!J:J,E1730,货件明细!AP:AP)</f>
        <v>0</v>
      </c>
      <c r="V1730">
        <f>IF(U1730=T1730,0,1)</f>
        <v>1</v>
      </c>
      <c r="W1730">
        <f>T1730</f>
        <v>105</v>
      </c>
      <c r="X1730">
        <f>SUMIF(货件明细!J:J,E1730,货件明细!H:H)</f>
        <v>0</v>
      </c>
      <c r="Y1730">
        <f>N1730-X1730</f>
        <v>21.2</v>
      </c>
      <c r="Z1730">
        <f>SUMIF(货件明细!J:J,E1730,货件明细!I:I)</f>
        <v>0</v>
      </c>
      <c r="AA1730">
        <f>IF(S1730=Z1730,0,1)</f>
        <v>1</v>
      </c>
    </row>
    <row r="1731" hidden="1" spans="1:27">
      <c r="A1731">
        <v>4</v>
      </c>
      <c r="B1731">
        <v>14</v>
      </c>
      <c r="C1731" s="3">
        <v>46115</v>
      </c>
      <c r="D1731" t="s">
        <v>27</v>
      </c>
      <c r="E1731" t="s">
        <v>1854</v>
      </c>
      <c r="F1731" t="s">
        <v>141</v>
      </c>
      <c r="G1731" t="s">
        <v>69</v>
      </c>
      <c r="H1731" t="s">
        <v>59</v>
      </c>
      <c r="I1731" t="s">
        <v>1674</v>
      </c>
      <c r="J1731" t="s">
        <v>146</v>
      </c>
      <c r="K1731" t="s">
        <v>64</v>
      </c>
      <c r="L1731" t="s">
        <v>147</v>
      </c>
      <c r="M1731" t="s">
        <v>1545</v>
      </c>
      <c r="N1731">
        <v>21.2</v>
      </c>
      <c r="O1731">
        <v>10</v>
      </c>
      <c r="P1731">
        <v>146.7</v>
      </c>
      <c r="Q1731">
        <v>156.7</v>
      </c>
      <c r="R1731">
        <v>0</v>
      </c>
      <c r="S1731">
        <v>156.7</v>
      </c>
      <c r="T1731">
        <v>105</v>
      </c>
      <c r="U1731">
        <f>SUMIF(货件明细!J:J,E1731,货件明细!AP:AP)</f>
        <v>0</v>
      </c>
      <c r="V1731">
        <f>IF(U1731=T1731,0,1)</f>
        <v>1</v>
      </c>
      <c r="W1731">
        <f>T1731</f>
        <v>105</v>
      </c>
      <c r="X1731">
        <f>SUMIF(货件明细!J:J,E1731,货件明细!H:H)</f>
        <v>0</v>
      </c>
      <c r="Y1731">
        <f>N1731-X1731</f>
        <v>21.2</v>
      </c>
      <c r="Z1731">
        <f>SUMIF(货件明细!J:J,E1731,货件明细!I:I)</f>
        <v>0</v>
      </c>
      <c r="AA1731">
        <f>IF(S1731=Z1731,0,1)</f>
        <v>1</v>
      </c>
    </row>
    <row r="1732" hidden="1" spans="1:27">
      <c r="A1732">
        <v>4</v>
      </c>
      <c r="B1732">
        <v>14</v>
      </c>
      <c r="C1732" s="3">
        <v>46115</v>
      </c>
      <c r="D1732" t="s">
        <v>27</v>
      </c>
      <c r="E1732" t="s">
        <v>1855</v>
      </c>
      <c r="F1732" t="s">
        <v>198</v>
      </c>
      <c r="G1732" t="s">
        <v>69</v>
      </c>
      <c r="H1732" t="s">
        <v>59</v>
      </c>
      <c r="I1732" t="s">
        <v>1674</v>
      </c>
      <c r="J1732" t="s">
        <v>146</v>
      </c>
      <c r="K1732" t="s">
        <v>64</v>
      </c>
      <c r="L1732" t="s">
        <v>147</v>
      </c>
      <c r="M1732" t="s">
        <v>1545</v>
      </c>
      <c r="N1732">
        <v>21.2</v>
      </c>
      <c r="O1732">
        <v>10</v>
      </c>
      <c r="P1732">
        <v>146.7</v>
      </c>
      <c r="Q1732">
        <v>156.7</v>
      </c>
      <c r="R1732">
        <v>0</v>
      </c>
      <c r="S1732">
        <v>156.7</v>
      </c>
      <c r="T1732">
        <v>105</v>
      </c>
      <c r="U1732">
        <f>SUMIF(货件明细!J:J,E1732,货件明细!AP:AP)</f>
        <v>0</v>
      </c>
      <c r="V1732">
        <f>IF(U1732=T1732,0,1)</f>
        <v>1</v>
      </c>
      <c r="W1732">
        <f>T1732</f>
        <v>105</v>
      </c>
      <c r="X1732">
        <f>SUMIF(货件明细!J:J,E1732,货件明细!H:H)</f>
        <v>0</v>
      </c>
      <c r="Y1732">
        <f>N1732-X1732</f>
        <v>21.2</v>
      </c>
      <c r="Z1732">
        <f>SUMIF(货件明细!J:J,E1732,货件明细!I:I)</f>
        <v>0</v>
      </c>
      <c r="AA1732">
        <f>IF(S1732=Z1732,0,1)</f>
        <v>1</v>
      </c>
    </row>
    <row r="1733" hidden="1" spans="1:27">
      <c r="A1733">
        <v>4</v>
      </c>
      <c r="B1733">
        <v>14</v>
      </c>
      <c r="C1733" s="3">
        <v>46115</v>
      </c>
      <c r="D1733" t="s">
        <v>27</v>
      </c>
      <c r="E1733" t="s">
        <v>1856</v>
      </c>
      <c r="F1733" t="s">
        <v>715</v>
      </c>
      <c r="G1733" t="s">
        <v>69</v>
      </c>
      <c r="H1733" t="s">
        <v>59</v>
      </c>
      <c r="I1733" t="s">
        <v>1674</v>
      </c>
      <c r="J1733" t="s">
        <v>146</v>
      </c>
      <c r="K1733" t="s">
        <v>64</v>
      </c>
      <c r="L1733" t="s">
        <v>147</v>
      </c>
      <c r="M1733" t="s">
        <v>1545</v>
      </c>
      <c r="N1733">
        <v>21.2</v>
      </c>
      <c r="O1733">
        <v>10</v>
      </c>
      <c r="P1733">
        <v>146.7</v>
      </c>
      <c r="Q1733">
        <v>156.7</v>
      </c>
      <c r="R1733">
        <v>0</v>
      </c>
      <c r="S1733">
        <v>156.7</v>
      </c>
      <c r="T1733">
        <v>105</v>
      </c>
      <c r="U1733">
        <f>SUMIF(货件明细!J:J,E1733,货件明细!AP:AP)</f>
        <v>0</v>
      </c>
      <c r="V1733">
        <f>IF(U1733=T1733,0,1)</f>
        <v>1</v>
      </c>
      <c r="W1733">
        <f>T1733</f>
        <v>105</v>
      </c>
      <c r="X1733">
        <f>SUMIF(货件明细!J:J,E1733,货件明细!H:H)</f>
        <v>0</v>
      </c>
      <c r="Y1733">
        <f>N1733-X1733</f>
        <v>21.2</v>
      </c>
      <c r="Z1733">
        <f>SUMIF(货件明细!J:J,E1733,货件明细!I:I)</f>
        <v>0</v>
      </c>
      <c r="AA1733">
        <f>IF(S1733=Z1733,0,1)</f>
        <v>1</v>
      </c>
    </row>
    <row r="1734" hidden="1" spans="1:27">
      <c r="A1734">
        <v>4</v>
      </c>
      <c r="B1734">
        <v>14</v>
      </c>
      <c r="C1734" s="3">
        <v>46115</v>
      </c>
      <c r="D1734" t="s">
        <v>27</v>
      </c>
      <c r="E1734" t="s">
        <v>1857</v>
      </c>
      <c r="F1734" t="s">
        <v>1820</v>
      </c>
      <c r="G1734" t="s">
        <v>72</v>
      </c>
      <c r="H1734" t="s">
        <v>59</v>
      </c>
      <c r="I1734" t="s">
        <v>1674</v>
      </c>
      <c r="J1734" t="s">
        <v>146</v>
      </c>
      <c r="K1734" t="s">
        <v>64</v>
      </c>
      <c r="L1734" t="s">
        <v>147</v>
      </c>
      <c r="M1734" t="s">
        <v>1545</v>
      </c>
      <c r="N1734">
        <v>21.2</v>
      </c>
      <c r="O1734">
        <v>21.4285714285714</v>
      </c>
      <c r="P1734">
        <v>126</v>
      </c>
      <c r="Q1734">
        <v>147.428571428571</v>
      </c>
      <c r="R1734">
        <v>0</v>
      </c>
      <c r="S1734">
        <v>147.428571428571</v>
      </c>
      <c r="T1734">
        <v>105</v>
      </c>
      <c r="U1734">
        <f>SUMIF(货件明细!J:J,E1734,货件明细!AP:AP)</f>
        <v>0</v>
      </c>
      <c r="V1734">
        <f>IF(U1734=T1734,0,1)</f>
        <v>1</v>
      </c>
      <c r="W1734">
        <f>T1734</f>
        <v>105</v>
      </c>
      <c r="X1734">
        <f>SUMIF(货件明细!J:J,E1734,货件明细!H:H)</f>
        <v>0</v>
      </c>
      <c r="Y1734">
        <f>N1734-X1734</f>
        <v>21.2</v>
      </c>
      <c r="Z1734">
        <f>SUMIF(货件明细!J:J,E1734,货件明细!I:I)</f>
        <v>0</v>
      </c>
      <c r="AA1734">
        <f>IF(S1734=Z1734,0,1)</f>
        <v>1</v>
      </c>
    </row>
    <row r="1735" hidden="1" spans="1:27">
      <c r="A1735">
        <v>4</v>
      </c>
      <c r="B1735">
        <v>14</v>
      </c>
      <c r="C1735" s="3">
        <v>46115</v>
      </c>
      <c r="D1735" t="s">
        <v>27</v>
      </c>
      <c r="E1735" t="s">
        <v>1858</v>
      </c>
      <c r="F1735" t="s">
        <v>185</v>
      </c>
      <c r="G1735" t="s">
        <v>30</v>
      </c>
      <c r="H1735" t="s">
        <v>31</v>
      </c>
      <c r="I1735" t="s">
        <v>1674</v>
      </c>
      <c r="J1735" t="s">
        <v>146</v>
      </c>
      <c r="K1735" t="s">
        <v>64</v>
      </c>
      <c r="L1735" t="s">
        <v>147</v>
      </c>
      <c r="M1735" t="s">
        <v>148</v>
      </c>
      <c r="N1735">
        <v>11.65</v>
      </c>
      <c r="O1735">
        <v>16.6666666666667</v>
      </c>
      <c r="P1735">
        <v>88.5</v>
      </c>
      <c r="Q1735">
        <v>105.166666666667</v>
      </c>
      <c r="R1735">
        <v>0</v>
      </c>
      <c r="S1735">
        <v>105.166666666667</v>
      </c>
      <c r="T1735">
        <v>72</v>
      </c>
      <c r="U1735">
        <f>SUMIF(货件明细!J:J,E1735,货件明细!AP:AP)</f>
        <v>0</v>
      </c>
      <c r="V1735">
        <f>IF(U1735=T1735,0,1)</f>
        <v>1</v>
      </c>
      <c r="W1735">
        <f>T1735</f>
        <v>72</v>
      </c>
      <c r="X1735">
        <f>SUMIF(货件明细!J:J,E1735,货件明细!H:H)</f>
        <v>0</v>
      </c>
      <c r="Y1735">
        <f>N1735-X1735</f>
        <v>11.65</v>
      </c>
      <c r="Z1735">
        <f>SUMIF(货件明细!J:J,E1735,货件明细!I:I)</f>
        <v>0</v>
      </c>
      <c r="AA1735">
        <f>IF(S1735=Z1735,0,1)</f>
        <v>1</v>
      </c>
    </row>
    <row r="1736" hidden="1" spans="1:27">
      <c r="A1736">
        <v>4</v>
      </c>
      <c r="B1736">
        <v>14</v>
      </c>
      <c r="C1736" s="3">
        <v>46115</v>
      </c>
      <c r="D1736" t="s">
        <v>27</v>
      </c>
      <c r="E1736" t="s">
        <v>1859</v>
      </c>
      <c r="F1736" t="s">
        <v>141</v>
      </c>
      <c r="G1736" t="s">
        <v>69</v>
      </c>
      <c r="H1736" t="s">
        <v>31</v>
      </c>
      <c r="I1736" t="s">
        <v>1674</v>
      </c>
      <c r="J1736" t="s">
        <v>146</v>
      </c>
      <c r="K1736" t="s">
        <v>64</v>
      </c>
      <c r="L1736" t="s">
        <v>147</v>
      </c>
      <c r="M1736" t="s">
        <v>1545</v>
      </c>
      <c r="N1736">
        <v>11.65</v>
      </c>
      <c r="O1736">
        <v>5.76923076923077</v>
      </c>
      <c r="P1736">
        <v>81.5</v>
      </c>
      <c r="Q1736">
        <v>87.2692307692308</v>
      </c>
      <c r="R1736">
        <v>0</v>
      </c>
      <c r="S1736">
        <v>87.2692307692308</v>
      </c>
      <c r="T1736">
        <v>72</v>
      </c>
      <c r="U1736">
        <f>SUMIF(货件明细!J:J,E1736,货件明细!AP:AP)</f>
        <v>0</v>
      </c>
      <c r="V1736">
        <f>IF(U1736=T1736,0,1)</f>
        <v>1</v>
      </c>
      <c r="W1736">
        <f>T1736</f>
        <v>72</v>
      </c>
      <c r="X1736">
        <f>SUMIF(货件明细!J:J,E1736,货件明细!H:H)</f>
        <v>0</v>
      </c>
      <c r="Y1736">
        <f>N1736-X1736</f>
        <v>11.65</v>
      </c>
      <c r="Z1736">
        <f>SUMIF(货件明细!J:J,E1736,货件明细!I:I)</f>
        <v>0</v>
      </c>
      <c r="AA1736">
        <f>IF(S1736=Z1736,0,1)</f>
        <v>1</v>
      </c>
    </row>
    <row r="1737" hidden="1" spans="1:27">
      <c r="A1737">
        <v>4</v>
      </c>
      <c r="B1737">
        <v>14</v>
      </c>
      <c r="C1737" s="3">
        <v>46115</v>
      </c>
      <c r="D1737" t="s">
        <v>27</v>
      </c>
      <c r="E1737" t="s">
        <v>1860</v>
      </c>
      <c r="F1737" t="s">
        <v>198</v>
      </c>
      <c r="G1737" t="s">
        <v>69</v>
      </c>
      <c r="H1737" t="s">
        <v>31</v>
      </c>
      <c r="I1737" t="s">
        <v>1674</v>
      </c>
      <c r="J1737" t="s">
        <v>146</v>
      </c>
      <c r="K1737" t="s">
        <v>64</v>
      </c>
      <c r="L1737" t="s">
        <v>147</v>
      </c>
      <c r="M1737" t="s">
        <v>1545</v>
      </c>
      <c r="N1737">
        <v>11.65</v>
      </c>
      <c r="O1737">
        <v>5.76923076923077</v>
      </c>
      <c r="P1737">
        <v>81.5</v>
      </c>
      <c r="Q1737">
        <v>87.2692307692308</v>
      </c>
      <c r="R1737">
        <v>0</v>
      </c>
      <c r="S1737">
        <v>87.2692307692308</v>
      </c>
      <c r="T1737">
        <v>72</v>
      </c>
      <c r="U1737">
        <f>SUMIF(货件明细!J:J,E1737,货件明细!AP:AP)</f>
        <v>0</v>
      </c>
      <c r="V1737">
        <f>IF(U1737=T1737,0,1)</f>
        <v>1</v>
      </c>
      <c r="W1737">
        <f>T1737</f>
        <v>72</v>
      </c>
      <c r="X1737">
        <f>SUMIF(货件明细!J:J,E1737,货件明细!H:H)</f>
        <v>0</v>
      </c>
      <c r="Y1737">
        <f>N1737-X1737</f>
        <v>11.65</v>
      </c>
      <c r="Z1737">
        <f>SUMIF(货件明细!J:J,E1737,货件明细!I:I)</f>
        <v>0</v>
      </c>
      <c r="AA1737">
        <f>IF(S1737=Z1737,0,1)</f>
        <v>1</v>
      </c>
    </row>
    <row r="1738" hidden="1" spans="1:27">
      <c r="A1738">
        <v>4</v>
      </c>
      <c r="B1738">
        <v>14</v>
      </c>
      <c r="C1738" s="3">
        <v>46115</v>
      </c>
      <c r="D1738" t="s">
        <v>27</v>
      </c>
      <c r="E1738" t="s">
        <v>1861</v>
      </c>
      <c r="F1738" t="s">
        <v>715</v>
      </c>
      <c r="G1738" t="s">
        <v>69</v>
      </c>
      <c r="H1738" t="s">
        <v>31</v>
      </c>
      <c r="I1738" t="s">
        <v>1674</v>
      </c>
      <c r="J1738" t="s">
        <v>146</v>
      </c>
      <c r="K1738" t="s">
        <v>64</v>
      </c>
      <c r="L1738" t="s">
        <v>147</v>
      </c>
      <c r="M1738" t="s">
        <v>1545</v>
      </c>
      <c r="N1738">
        <v>11.65</v>
      </c>
      <c r="O1738">
        <v>5.76923076923077</v>
      </c>
      <c r="P1738">
        <v>81.5</v>
      </c>
      <c r="Q1738">
        <v>87.2692307692308</v>
      </c>
      <c r="R1738">
        <v>0</v>
      </c>
      <c r="S1738">
        <v>87.2692307692308</v>
      </c>
      <c r="T1738">
        <v>72</v>
      </c>
      <c r="U1738">
        <f>SUMIF(货件明细!J:J,E1738,货件明细!AP:AP)</f>
        <v>0</v>
      </c>
      <c r="V1738">
        <f>IF(U1738=T1738,0,1)</f>
        <v>1</v>
      </c>
      <c r="W1738">
        <f>T1738</f>
        <v>72</v>
      </c>
      <c r="X1738">
        <f>SUMIF(货件明细!J:J,E1738,货件明细!H:H)</f>
        <v>0</v>
      </c>
      <c r="Y1738">
        <f>N1738-X1738</f>
        <v>11.65</v>
      </c>
      <c r="Z1738">
        <f>SUMIF(货件明细!J:J,E1738,货件明细!I:I)</f>
        <v>0</v>
      </c>
      <c r="AA1738">
        <f>IF(S1738=Z1738,0,1)</f>
        <v>1</v>
      </c>
    </row>
    <row r="1739" hidden="1" spans="1:27">
      <c r="A1739">
        <v>4</v>
      </c>
      <c r="B1739">
        <v>14</v>
      </c>
      <c r="C1739" s="3">
        <v>46115</v>
      </c>
      <c r="D1739" t="s">
        <v>27</v>
      </c>
      <c r="E1739" t="s">
        <v>1862</v>
      </c>
      <c r="F1739" t="s">
        <v>1820</v>
      </c>
      <c r="G1739" t="s">
        <v>72</v>
      </c>
      <c r="H1739" t="s">
        <v>31</v>
      </c>
      <c r="I1739" t="s">
        <v>1674</v>
      </c>
      <c r="J1739" t="s">
        <v>146</v>
      </c>
      <c r="K1739" t="s">
        <v>64</v>
      </c>
      <c r="L1739" t="s">
        <v>147</v>
      </c>
      <c r="M1739" t="s">
        <v>1545</v>
      </c>
      <c r="N1739">
        <v>11.65</v>
      </c>
      <c r="O1739">
        <v>16.6666666666667</v>
      </c>
      <c r="P1739">
        <v>63</v>
      </c>
      <c r="Q1739">
        <v>79.6666666666667</v>
      </c>
      <c r="R1739">
        <v>0</v>
      </c>
      <c r="S1739">
        <v>79.6666666666667</v>
      </c>
      <c r="T1739">
        <v>72</v>
      </c>
      <c r="U1739">
        <f>SUMIF(货件明细!J:J,E1739,货件明细!AP:AP)</f>
        <v>0</v>
      </c>
      <c r="V1739">
        <f>IF(U1739=T1739,0,1)</f>
        <v>1</v>
      </c>
      <c r="W1739">
        <f>T1739</f>
        <v>72</v>
      </c>
      <c r="X1739">
        <f>SUMIF(货件明细!J:J,E1739,货件明细!H:H)</f>
        <v>0</v>
      </c>
      <c r="Y1739">
        <f>N1739-X1739</f>
        <v>11.65</v>
      </c>
      <c r="Z1739">
        <f>SUMIF(货件明细!J:J,E1739,货件明细!I:I)</f>
        <v>0</v>
      </c>
      <c r="AA1739">
        <f>IF(S1739=Z1739,0,1)</f>
        <v>1</v>
      </c>
    </row>
    <row r="1740" hidden="1" spans="1:27">
      <c r="A1740">
        <v>4</v>
      </c>
      <c r="B1740">
        <v>14</v>
      </c>
      <c r="C1740" s="3">
        <v>46115</v>
      </c>
      <c r="D1740" t="s">
        <v>27</v>
      </c>
      <c r="E1740" t="s">
        <v>1863</v>
      </c>
      <c r="F1740" t="s">
        <v>185</v>
      </c>
      <c r="G1740" t="s">
        <v>30</v>
      </c>
      <c r="H1740" t="s">
        <v>39</v>
      </c>
      <c r="I1740" t="s">
        <v>1674</v>
      </c>
      <c r="J1740" t="s">
        <v>146</v>
      </c>
      <c r="K1740" t="s">
        <v>64</v>
      </c>
      <c r="L1740" t="s">
        <v>147</v>
      </c>
      <c r="M1740" t="s">
        <v>148</v>
      </c>
      <c r="N1740">
        <v>12.45</v>
      </c>
      <c r="O1740">
        <v>16.6666666666667</v>
      </c>
      <c r="P1740">
        <v>123.9</v>
      </c>
      <c r="Q1740">
        <v>140.566666666667</v>
      </c>
      <c r="R1740">
        <v>0</v>
      </c>
      <c r="S1740">
        <v>140.566666666667</v>
      </c>
      <c r="T1740">
        <v>98</v>
      </c>
      <c r="U1740">
        <f>SUMIF(货件明细!J:J,E1740,货件明细!AP:AP)</f>
        <v>0</v>
      </c>
      <c r="V1740">
        <f>IF(U1740=T1740,0,1)</f>
        <v>1</v>
      </c>
      <c r="W1740">
        <f>T1740</f>
        <v>98</v>
      </c>
      <c r="X1740">
        <f>SUMIF(货件明细!J:J,E1740,货件明细!H:H)</f>
        <v>0</v>
      </c>
      <c r="Y1740">
        <f>N1740-X1740</f>
        <v>12.45</v>
      </c>
      <c r="Z1740">
        <f>SUMIF(货件明细!J:J,E1740,货件明细!I:I)</f>
        <v>0</v>
      </c>
      <c r="AA1740">
        <f>IF(S1740=Z1740,0,1)</f>
        <v>1</v>
      </c>
    </row>
    <row r="1741" hidden="1" spans="1:27">
      <c r="A1741">
        <v>4</v>
      </c>
      <c r="B1741">
        <v>14</v>
      </c>
      <c r="C1741" s="3">
        <v>46115</v>
      </c>
      <c r="D1741" t="s">
        <v>27</v>
      </c>
      <c r="E1741" t="s">
        <v>1864</v>
      </c>
      <c r="F1741" t="s">
        <v>141</v>
      </c>
      <c r="G1741" t="s">
        <v>69</v>
      </c>
      <c r="H1741" t="s">
        <v>39</v>
      </c>
      <c r="I1741" t="s">
        <v>1674</v>
      </c>
      <c r="J1741" t="s">
        <v>146</v>
      </c>
      <c r="K1741" t="s">
        <v>64</v>
      </c>
      <c r="L1741" t="s">
        <v>147</v>
      </c>
      <c r="M1741" t="s">
        <v>1545</v>
      </c>
      <c r="N1741">
        <v>12.45</v>
      </c>
      <c r="O1741">
        <v>5.76923076923077</v>
      </c>
      <c r="P1741">
        <v>114.1</v>
      </c>
      <c r="Q1741">
        <v>119.869230769231</v>
      </c>
      <c r="R1741">
        <v>0</v>
      </c>
      <c r="S1741">
        <v>119.869230769231</v>
      </c>
      <c r="T1741">
        <v>98</v>
      </c>
      <c r="U1741">
        <f>SUMIF(货件明细!J:J,E1741,货件明细!AP:AP)</f>
        <v>0</v>
      </c>
      <c r="V1741">
        <f>IF(U1741=T1741,0,1)</f>
        <v>1</v>
      </c>
      <c r="W1741">
        <f>T1741</f>
        <v>98</v>
      </c>
      <c r="X1741">
        <f>SUMIF(货件明细!J:J,E1741,货件明细!H:H)</f>
        <v>0</v>
      </c>
      <c r="Y1741">
        <f>N1741-X1741</f>
        <v>12.45</v>
      </c>
      <c r="Z1741">
        <f>SUMIF(货件明细!J:J,E1741,货件明细!I:I)</f>
        <v>0</v>
      </c>
      <c r="AA1741">
        <f>IF(S1741=Z1741,0,1)</f>
        <v>1</v>
      </c>
    </row>
    <row r="1742" hidden="1" spans="1:27">
      <c r="A1742">
        <v>4</v>
      </c>
      <c r="B1742">
        <v>14</v>
      </c>
      <c r="C1742" s="3">
        <v>46115</v>
      </c>
      <c r="D1742" t="s">
        <v>27</v>
      </c>
      <c r="E1742" t="s">
        <v>1865</v>
      </c>
      <c r="F1742" t="s">
        <v>198</v>
      </c>
      <c r="G1742" t="s">
        <v>69</v>
      </c>
      <c r="H1742" t="s">
        <v>39</v>
      </c>
      <c r="I1742" t="s">
        <v>1674</v>
      </c>
      <c r="J1742" t="s">
        <v>146</v>
      </c>
      <c r="K1742" t="s">
        <v>64</v>
      </c>
      <c r="L1742" t="s">
        <v>147</v>
      </c>
      <c r="M1742" t="s">
        <v>1545</v>
      </c>
      <c r="N1742">
        <v>12.45</v>
      </c>
      <c r="O1742">
        <v>5.76923076923077</v>
      </c>
      <c r="P1742">
        <v>114.1</v>
      </c>
      <c r="Q1742">
        <v>119.869230769231</v>
      </c>
      <c r="R1742">
        <v>0</v>
      </c>
      <c r="S1742">
        <v>119.869230769231</v>
      </c>
      <c r="T1742">
        <v>98</v>
      </c>
      <c r="U1742">
        <f>SUMIF(货件明细!J:J,E1742,货件明细!AP:AP)</f>
        <v>0</v>
      </c>
      <c r="V1742">
        <f>IF(U1742=T1742,0,1)</f>
        <v>1</v>
      </c>
      <c r="W1742">
        <f>T1742</f>
        <v>98</v>
      </c>
      <c r="X1742">
        <f>SUMIF(货件明细!J:J,E1742,货件明细!H:H)</f>
        <v>0</v>
      </c>
      <c r="Y1742">
        <f>N1742-X1742</f>
        <v>12.45</v>
      </c>
      <c r="Z1742">
        <f>SUMIF(货件明细!J:J,E1742,货件明细!I:I)</f>
        <v>0</v>
      </c>
      <c r="AA1742">
        <f>IF(S1742=Z1742,0,1)</f>
        <v>1</v>
      </c>
    </row>
    <row r="1743" hidden="1" spans="1:27">
      <c r="A1743">
        <v>4</v>
      </c>
      <c r="B1743">
        <v>14</v>
      </c>
      <c r="C1743" s="3">
        <v>46115</v>
      </c>
      <c r="D1743" t="s">
        <v>27</v>
      </c>
      <c r="E1743" t="s">
        <v>1866</v>
      </c>
      <c r="F1743" t="s">
        <v>715</v>
      </c>
      <c r="G1743" t="s">
        <v>69</v>
      </c>
      <c r="H1743" t="s">
        <v>39</v>
      </c>
      <c r="I1743" t="s">
        <v>1674</v>
      </c>
      <c r="J1743" t="s">
        <v>146</v>
      </c>
      <c r="K1743" t="s">
        <v>64</v>
      </c>
      <c r="L1743" t="s">
        <v>147</v>
      </c>
      <c r="M1743" t="s">
        <v>1545</v>
      </c>
      <c r="N1743">
        <v>12.45</v>
      </c>
      <c r="O1743">
        <v>5.76923076923077</v>
      </c>
      <c r="P1743">
        <v>114.1</v>
      </c>
      <c r="Q1743">
        <v>119.869230769231</v>
      </c>
      <c r="R1743">
        <v>0</v>
      </c>
      <c r="S1743">
        <v>119.869230769231</v>
      </c>
      <c r="T1743">
        <v>98</v>
      </c>
      <c r="U1743">
        <f>SUMIF(货件明细!J:J,E1743,货件明细!AP:AP)</f>
        <v>0</v>
      </c>
      <c r="V1743">
        <f>IF(U1743=T1743,0,1)</f>
        <v>1</v>
      </c>
      <c r="W1743">
        <f>T1743</f>
        <v>98</v>
      </c>
      <c r="X1743">
        <f>SUMIF(货件明细!J:J,E1743,货件明细!H:H)</f>
        <v>0</v>
      </c>
      <c r="Y1743">
        <f>N1743-X1743</f>
        <v>12.45</v>
      </c>
      <c r="Z1743">
        <f>SUMIF(货件明细!J:J,E1743,货件明细!I:I)</f>
        <v>0</v>
      </c>
      <c r="AA1743">
        <f>IF(S1743=Z1743,0,1)</f>
        <v>1</v>
      </c>
    </row>
    <row r="1744" hidden="1" spans="1:27">
      <c r="A1744">
        <v>4</v>
      </c>
      <c r="B1744">
        <v>14</v>
      </c>
      <c r="C1744" s="3">
        <v>46115</v>
      </c>
      <c r="D1744" t="s">
        <v>27</v>
      </c>
      <c r="E1744" t="s">
        <v>1867</v>
      </c>
      <c r="F1744" t="s">
        <v>1820</v>
      </c>
      <c r="G1744" t="s">
        <v>72</v>
      </c>
      <c r="H1744" t="s">
        <v>39</v>
      </c>
      <c r="I1744" t="s">
        <v>1674</v>
      </c>
      <c r="J1744" t="s">
        <v>146</v>
      </c>
      <c r="K1744" t="s">
        <v>64</v>
      </c>
      <c r="L1744" t="s">
        <v>147</v>
      </c>
      <c r="M1744" t="s">
        <v>1545</v>
      </c>
      <c r="N1744">
        <v>12.45</v>
      </c>
      <c r="O1744">
        <v>16.6666666666667</v>
      </c>
      <c r="P1744">
        <v>88.2</v>
      </c>
      <c r="Q1744">
        <v>104.866666666667</v>
      </c>
      <c r="R1744">
        <v>0</v>
      </c>
      <c r="S1744">
        <v>104.866666666667</v>
      </c>
      <c r="T1744">
        <v>98</v>
      </c>
      <c r="U1744">
        <f>SUMIF(货件明细!J:J,E1744,货件明细!AP:AP)</f>
        <v>0</v>
      </c>
      <c r="V1744">
        <f>IF(U1744=T1744,0,1)</f>
        <v>1</v>
      </c>
      <c r="W1744">
        <f>T1744</f>
        <v>98</v>
      </c>
      <c r="X1744">
        <f>SUMIF(货件明细!J:J,E1744,货件明细!H:H)</f>
        <v>0</v>
      </c>
      <c r="Y1744">
        <f>N1744-X1744</f>
        <v>12.45</v>
      </c>
      <c r="Z1744">
        <f>SUMIF(货件明细!J:J,E1744,货件明细!I:I)</f>
        <v>0</v>
      </c>
      <c r="AA1744">
        <f>IF(S1744=Z1744,0,1)</f>
        <v>1</v>
      </c>
    </row>
    <row r="1745" hidden="1" spans="1:27">
      <c r="A1745">
        <v>4</v>
      </c>
      <c r="B1745">
        <v>14</v>
      </c>
      <c r="C1745" s="3">
        <v>46115</v>
      </c>
      <c r="D1745" t="s">
        <v>27</v>
      </c>
      <c r="E1745" t="s">
        <v>1868</v>
      </c>
      <c r="F1745" t="s">
        <v>185</v>
      </c>
      <c r="G1745" t="s">
        <v>30</v>
      </c>
      <c r="H1745" t="s">
        <v>37</v>
      </c>
      <c r="I1745" t="s">
        <v>63</v>
      </c>
      <c r="J1745" t="s">
        <v>146</v>
      </c>
      <c r="K1745" t="s">
        <v>64</v>
      </c>
      <c r="L1745" t="s">
        <v>147</v>
      </c>
      <c r="M1745" t="s">
        <v>148</v>
      </c>
      <c r="N1745">
        <v>18.05</v>
      </c>
      <c r="O1745">
        <v>30</v>
      </c>
      <c r="P1745">
        <v>123.9</v>
      </c>
      <c r="Q1745">
        <v>153.9</v>
      </c>
      <c r="R1745">
        <v>0</v>
      </c>
      <c r="S1745">
        <v>153.9</v>
      </c>
      <c r="T1745">
        <v>139</v>
      </c>
      <c r="U1745">
        <f>SUMIF(货件明细!J:J,E1745,货件明细!AP:AP)</f>
        <v>0</v>
      </c>
      <c r="V1745">
        <f>IF(U1745=T1745,0,1)</f>
        <v>1</v>
      </c>
      <c r="W1745">
        <f>T1745</f>
        <v>139</v>
      </c>
      <c r="X1745">
        <f>SUMIF(货件明细!J:J,E1745,货件明细!H:H)</f>
        <v>0</v>
      </c>
      <c r="Y1745">
        <f>N1745-X1745</f>
        <v>18.05</v>
      </c>
      <c r="Z1745">
        <f>SUMIF(货件明细!J:J,E1745,货件明细!I:I)</f>
        <v>0</v>
      </c>
      <c r="AA1745">
        <f>IF(S1745=Z1745,0,1)</f>
        <v>1</v>
      </c>
    </row>
    <row r="1746" hidden="1" spans="1:27">
      <c r="A1746">
        <v>4</v>
      </c>
      <c r="B1746">
        <v>14</v>
      </c>
      <c r="C1746" s="3">
        <v>46115</v>
      </c>
      <c r="D1746" t="s">
        <v>27</v>
      </c>
      <c r="E1746" t="s">
        <v>1869</v>
      </c>
      <c r="F1746" t="s">
        <v>141</v>
      </c>
      <c r="G1746" t="s">
        <v>69</v>
      </c>
      <c r="H1746" t="s">
        <v>37</v>
      </c>
      <c r="I1746" t="s">
        <v>63</v>
      </c>
      <c r="J1746" t="s">
        <v>146</v>
      </c>
      <c r="K1746" t="s">
        <v>64</v>
      </c>
      <c r="L1746" t="s">
        <v>147</v>
      </c>
      <c r="M1746" t="s">
        <v>1545</v>
      </c>
      <c r="N1746">
        <v>18.05</v>
      </c>
      <c r="O1746">
        <v>10</v>
      </c>
      <c r="P1746">
        <v>114.1</v>
      </c>
      <c r="Q1746">
        <v>124.1</v>
      </c>
      <c r="R1746">
        <v>0</v>
      </c>
      <c r="S1746">
        <v>124.1</v>
      </c>
      <c r="T1746">
        <v>139</v>
      </c>
      <c r="U1746">
        <f>SUMIF(货件明细!J:J,E1746,货件明细!AP:AP)</f>
        <v>0</v>
      </c>
      <c r="V1746">
        <f>IF(U1746=T1746,0,1)</f>
        <v>1</v>
      </c>
      <c r="W1746">
        <f>T1746</f>
        <v>139</v>
      </c>
      <c r="X1746">
        <f>SUMIF(货件明细!J:J,E1746,货件明细!H:H)</f>
        <v>0</v>
      </c>
      <c r="Y1746">
        <f>N1746-X1746</f>
        <v>18.05</v>
      </c>
      <c r="Z1746">
        <f>SUMIF(货件明细!J:J,E1746,货件明细!I:I)</f>
        <v>0</v>
      </c>
      <c r="AA1746">
        <f>IF(S1746=Z1746,0,1)</f>
        <v>1</v>
      </c>
    </row>
    <row r="1747" hidden="1" spans="1:27">
      <c r="A1747">
        <v>4</v>
      </c>
      <c r="B1747">
        <v>14</v>
      </c>
      <c r="C1747" s="3">
        <v>46115</v>
      </c>
      <c r="D1747" t="s">
        <v>27</v>
      </c>
      <c r="E1747" t="s">
        <v>1870</v>
      </c>
      <c r="F1747" t="s">
        <v>198</v>
      </c>
      <c r="G1747" t="s">
        <v>69</v>
      </c>
      <c r="H1747" t="s">
        <v>37</v>
      </c>
      <c r="I1747" t="s">
        <v>63</v>
      </c>
      <c r="J1747" t="s">
        <v>146</v>
      </c>
      <c r="K1747" t="s">
        <v>64</v>
      </c>
      <c r="L1747" t="s">
        <v>147</v>
      </c>
      <c r="M1747" t="s">
        <v>1545</v>
      </c>
      <c r="N1747">
        <v>18.05</v>
      </c>
      <c r="O1747">
        <v>10</v>
      </c>
      <c r="P1747">
        <v>114.1</v>
      </c>
      <c r="Q1747">
        <v>124.1</v>
      </c>
      <c r="R1747">
        <v>0</v>
      </c>
      <c r="S1747">
        <v>124.1</v>
      </c>
      <c r="T1747">
        <v>139</v>
      </c>
      <c r="U1747">
        <f>SUMIF(货件明细!J:J,E1747,货件明细!AP:AP)</f>
        <v>0</v>
      </c>
      <c r="V1747">
        <f>IF(U1747=T1747,0,1)</f>
        <v>1</v>
      </c>
      <c r="W1747">
        <f>T1747</f>
        <v>139</v>
      </c>
      <c r="X1747">
        <f>SUMIF(货件明细!J:J,E1747,货件明细!H:H)</f>
        <v>0</v>
      </c>
      <c r="Y1747">
        <f>N1747-X1747</f>
        <v>18.05</v>
      </c>
      <c r="Z1747">
        <f>SUMIF(货件明细!J:J,E1747,货件明细!I:I)</f>
        <v>0</v>
      </c>
      <c r="AA1747">
        <f>IF(S1747=Z1747,0,1)</f>
        <v>1</v>
      </c>
    </row>
    <row r="1748" hidden="1" spans="1:27">
      <c r="A1748">
        <v>4</v>
      </c>
      <c r="B1748">
        <v>14</v>
      </c>
      <c r="C1748" s="3">
        <v>46115</v>
      </c>
      <c r="D1748" t="s">
        <v>27</v>
      </c>
      <c r="E1748" t="s">
        <v>1871</v>
      </c>
      <c r="F1748" t="s">
        <v>715</v>
      </c>
      <c r="G1748" t="s">
        <v>69</v>
      </c>
      <c r="H1748" t="s">
        <v>37</v>
      </c>
      <c r="I1748" t="s">
        <v>63</v>
      </c>
      <c r="J1748" t="s">
        <v>146</v>
      </c>
      <c r="K1748" t="s">
        <v>64</v>
      </c>
      <c r="L1748" t="s">
        <v>147</v>
      </c>
      <c r="M1748" t="s">
        <v>1545</v>
      </c>
      <c r="N1748">
        <v>18.05</v>
      </c>
      <c r="O1748">
        <v>10</v>
      </c>
      <c r="P1748">
        <v>114.1</v>
      </c>
      <c r="Q1748">
        <v>124.1</v>
      </c>
      <c r="R1748">
        <v>0</v>
      </c>
      <c r="S1748">
        <v>124.1</v>
      </c>
      <c r="T1748">
        <v>139</v>
      </c>
      <c r="U1748">
        <f>SUMIF(货件明细!J:J,E1748,货件明细!AP:AP)</f>
        <v>0</v>
      </c>
      <c r="V1748">
        <f>IF(U1748=T1748,0,1)</f>
        <v>1</v>
      </c>
      <c r="W1748">
        <f>T1748</f>
        <v>139</v>
      </c>
      <c r="X1748">
        <f>SUMIF(货件明细!J:J,E1748,货件明细!H:H)</f>
        <v>0</v>
      </c>
      <c r="Y1748">
        <f>N1748-X1748</f>
        <v>18.05</v>
      </c>
      <c r="Z1748">
        <f>SUMIF(货件明细!J:J,E1748,货件明细!I:I)</f>
        <v>0</v>
      </c>
      <c r="AA1748">
        <f>IF(S1748=Z1748,0,1)</f>
        <v>1</v>
      </c>
    </row>
    <row r="1749" hidden="1" spans="1:27">
      <c r="A1749">
        <v>4</v>
      </c>
      <c r="B1749">
        <v>14</v>
      </c>
      <c r="C1749" s="3">
        <v>46115</v>
      </c>
      <c r="D1749" t="s">
        <v>27</v>
      </c>
      <c r="E1749" t="s">
        <v>1872</v>
      </c>
      <c r="F1749" t="s">
        <v>1820</v>
      </c>
      <c r="G1749" t="s">
        <v>72</v>
      </c>
      <c r="H1749" t="s">
        <v>37</v>
      </c>
      <c r="I1749" t="s">
        <v>63</v>
      </c>
      <c r="J1749" t="s">
        <v>146</v>
      </c>
      <c r="K1749" t="s">
        <v>64</v>
      </c>
      <c r="L1749" t="s">
        <v>147</v>
      </c>
      <c r="M1749" t="s">
        <v>1545</v>
      </c>
      <c r="N1749">
        <v>18.05</v>
      </c>
      <c r="O1749">
        <v>21.4285714285714</v>
      </c>
      <c r="P1749">
        <v>88.2</v>
      </c>
      <c r="Q1749">
        <v>109.628571428571</v>
      </c>
      <c r="R1749">
        <v>0</v>
      </c>
      <c r="S1749">
        <v>109.628571428571</v>
      </c>
      <c r="T1749">
        <v>139</v>
      </c>
      <c r="U1749">
        <f>SUMIF(货件明细!J:J,E1749,货件明细!AP:AP)</f>
        <v>0</v>
      </c>
      <c r="V1749">
        <f>IF(U1749=T1749,0,1)</f>
        <v>1</v>
      </c>
      <c r="W1749">
        <f>T1749</f>
        <v>139</v>
      </c>
      <c r="X1749">
        <f>SUMIF(货件明细!J:J,E1749,货件明细!H:H)</f>
        <v>0</v>
      </c>
      <c r="Y1749">
        <f>N1749-X1749</f>
        <v>18.05</v>
      </c>
      <c r="Z1749">
        <f>SUMIF(货件明细!J:J,E1749,货件明细!I:I)</f>
        <v>0</v>
      </c>
      <c r="AA1749">
        <f>IF(S1749=Z1749,0,1)</f>
        <v>1</v>
      </c>
    </row>
    <row r="1750" hidden="1" spans="1:27">
      <c r="A1750">
        <v>4</v>
      </c>
      <c r="B1750">
        <v>14</v>
      </c>
      <c r="C1750" s="3">
        <v>46115</v>
      </c>
      <c r="D1750" t="s">
        <v>27</v>
      </c>
      <c r="E1750" t="s">
        <v>1873</v>
      </c>
      <c r="F1750" t="s">
        <v>185</v>
      </c>
      <c r="G1750" t="s">
        <v>30</v>
      </c>
      <c r="H1750" t="s">
        <v>31</v>
      </c>
      <c r="I1750" t="s">
        <v>1674</v>
      </c>
      <c r="J1750" t="s">
        <v>146</v>
      </c>
      <c r="K1750" t="s">
        <v>64</v>
      </c>
      <c r="L1750" t="s">
        <v>147</v>
      </c>
      <c r="M1750" t="s">
        <v>148</v>
      </c>
      <c r="N1750">
        <v>43.6</v>
      </c>
      <c r="O1750">
        <v>16.6666666666667</v>
      </c>
      <c r="P1750">
        <v>318.6</v>
      </c>
      <c r="Q1750">
        <v>335.266666666667</v>
      </c>
      <c r="R1750">
        <v>0</v>
      </c>
      <c r="S1750">
        <v>335.266666666667</v>
      </c>
      <c r="T1750">
        <v>306</v>
      </c>
      <c r="U1750">
        <f>SUMIF(货件明细!J:J,E1750,货件明细!AP:AP)</f>
        <v>0</v>
      </c>
      <c r="V1750">
        <f>IF(U1750=T1750,0,1)</f>
        <v>1</v>
      </c>
      <c r="W1750">
        <f>T1750</f>
        <v>306</v>
      </c>
      <c r="X1750">
        <f>SUMIF(货件明细!J:J,E1750,货件明细!H:H)</f>
        <v>0</v>
      </c>
      <c r="Y1750">
        <f>N1750-X1750</f>
        <v>43.6</v>
      </c>
      <c r="Z1750">
        <f>SUMIF(货件明细!J:J,E1750,货件明细!I:I)</f>
        <v>0</v>
      </c>
      <c r="AA1750">
        <f>IF(S1750=Z1750,0,1)</f>
        <v>1</v>
      </c>
    </row>
    <row r="1751" hidden="1" spans="1:27">
      <c r="A1751">
        <v>4</v>
      </c>
      <c r="B1751">
        <v>14</v>
      </c>
      <c r="C1751" s="3">
        <v>46115</v>
      </c>
      <c r="D1751" t="s">
        <v>27</v>
      </c>
      <c r="E1751" t="s">
        <v>1874</v>
      </c>
      <c r="F1751" t="s">
        <v>141</v>
      </c>
      <c r="G1751" t="s">
        <v>69</v>
      </c>
      <c r="H1751" t="s">
        <v>31</v>
      </c>
      <c r="I1751" t="s">
        <v>1674</v>
      </c>
      <c r="J1751" t="s">
        <v>146</v>
      </c>
      <c r="K1751" t="s">
        <v>64</v>
      </c>
      <c r="L1751" t="s">
        <v>147</v>
      </c>
      <c r="M1751" t="s">
        <v>1545</v>
      </c>
      <c r="N1751">
        <v>43.6</v>
      </c>
      <c r="O1751">
        <v>5.76923076923077</v>
      </c>
      <c r="P1751">
        <v>293.4</v>
      </c>
      <c r="Q1751">
        <v>299.169230769231</v>
      </c>
      <c r="R1751">
        <v>0</v>
      </c>
      <c r="S1751">
        <v>299.169230769231</v>
      </c>
      <c r="T1751">
        <v>306</v>
      </c>
      <c r="U1751">
        <f>SUMIF(货件明细!J:J,E1751,货件明细!AP:AP)</f>
        <v>0</v>
      </c>
      <c r="V1751">
        <f>IF(U1751=T1751,0,1)</f>
        <v>1</v>
      </c>
      <c r="W1751">
        <f>T1751</f>
        <v>306</v>
      </c>
      <c r="X1751">
        <f>SUMIF(货件明细!J:J,E1751,货件明细!H:H)</f>
        <v>0</v>
      </c>
      <c r="Y1751">
        <f>N1751-X1751</f>
        <v>43.6</v>
      </c>
      <c r="Z1751">
        <f>SUMIF(货件明细!J:J,E1751,货件明细!I:I)</f>
        <v>0</v>
      </c>
      <c r="AA1751">
        <f>IF(S1751=Z1751,0,1)</f>
        <v>1</v>
      </c>
    </row>
    <row r="1752" hidden="1" spans="1:27">
      <c r="A1752">
        <v>4</v>
      </c>
      <c r="B1752">
        <v>14</v>
      </c>
      <c r="C1752" s="3">
        <v>46115</v>
      </c>
      <c r="D1752" t="s">
        <v>27</v>
      </c>
      <c r="E1752" t="s">
        <v>1875</v>
      </c>
      <c r="F1752" t="s">
        <v>198</v>
      </c>
      <c r="G1752" t="s">
        <v>69</v>
      </c>
      <c r="H1752" t="s">
        <v>31</v>
      </c>
      <c r="I1752" t="s">
        <v>1674</v>
      </c>
      <c r="J1752" t="s">
        <v>146</v>
      </c>
      <c r="K1752" t="s">
        <v>64</v>
      </c>
      <c r="L1752" t="s">
        <v>147</v>
      </c>
      <c r="M1752" t="s">
        <v>1545</v>
      </c>
      <c r="N1752">
        <v>43.6</v>
      </c>
      <c r="O1752">
        <v>5.76923076923077</v>
      </c>
      <c r="P1752">
        <v>293.4</v>
      </c>
      <c r="Q1752">
        <v>299.169230769231</v>
      </c>
      <c r="R1752">
        <v>0</v>
      </c>
      <c r="S1752">
        <v>299.169230769231</v>
      </c>
      <c r="T1752">
        <v>306</v>
      </c>
      <c r="U1752">
        <f>SUMIF(货件明细!J:J,E1752,货件明细!AP:AP)</f>
        <v>0</v>
      </c>
      <c r="V1752">
        <f>IF(U1752=T1752,0,1)</f>
        <v>1</v>
      </c>
      <c r="W1752">
        <f>T1752</f>
        <v>306</v>
      </c>
      <c r="X1752">
        <f>SUMIF(货件明细!J:J,E1752,货件明细!H:H)</f>
        <v>0</v>
      </c>
      <c r="Y1752">
        <f>N1752-X1752</f>
        <v>43.6</v>
      </c>
      <c r="Z1752">
        <f>SUMIF(货件明细!J:J,E1752,货件明细!I:I)</f>
        <v>0</v>
      </c>
      <c r="AA1752">
        <f>IF(S1752=Z1752,0,1)</f>
        <v>1</v>
      </c>
    </row>
    <row r="1753" hidden="1" spans="1:27">
      <c r="A1753">
        <v>4</v>
      </c>
      <c r="B1753">
        <v>14</v>
      </c>
      <c r="C1753" s="3">
        <v>46115</v>
      </c>
      <c r="D1753" t="s">
        <v>27</v>
      </c>
      <c r="E1753" t="s">
        <v>1876</v>
      </c>
      <c r="F1753" t="s">
        <v>715</v>
      </c>
      <c r="G1753" t="s">
        <v>69</v>
      </c>
      <c r="H1753" t="s">
        <v>31</v>
      </c>
      <c r="I1753" t="s">
        <v>1674</v>
      </c>
      <c r="J1753" t="s">
        <v>146</v>
      </c>
      <c r="K1753" t="s">
        <v>64</v>
      </c>
      <c r="L1753" t="s">
        <v>147</v>
      </c>
      <c r="M1753" t="s">
        <v>1545</v>
      </c>
      <c r="N1753">
        <v>43.6</v>
      </c>
      <c r="O1753">
        <v>5.76923076923077</v>
      </c>
      <c r="P1753">
        <v>293.4</v>
      </c>
      <c r="Q1753">
        <v>299.169230769231</v>
      </c>
      <c r="R1753">
        <v>0</v>
      </c>
      <c r="S1753">
        <v>299.169230769231</v>
      </c>
      <c r="T1753">
        <v>306</v>
      </c>
      <c r="U1753">
        <f>SUMIF(货件明细!J:J,E1753,货件明细!AP:AP)</f>
        <v>0</v>
      </c>
      <c r="V1753">
        <f>IF(U1753=T1753,0,1)</f>
        <v>1</v>
      </c>
      <c r="W1753">
        <f>T1753</f>
        <v>306</v>
      </c>
      <c r="X1753">
        <f>SUMIF(货件明细!J:J,E1753,货件明细!H:H)</f>
        <v>0</v>
      </c>
      <c r="Y1753">
        <f>N1753-X1753</f>
        <v>43.6</v>
      </c>
      <c r="Z1753">
        <f>SUMIF(货件明细!J:J,E1753,货件明细!I:I)</f>
        <v>0</v>
      </c>
      <c r="AA1753">
        <f>IF(S1753=Z1753,0,1)</f>
        <v>1</v>
      </c>
    </row>
    <row r="1754" hidden="1" spans="1:27">
      <c r="A1754">
        <v>4</v>
      </c>
      <c r="B1754">
        <v>14</v>
      </c>
      <c r="C1754" s="3">
        <v>46115</v>
      </c>
      <c r="D1754" t="s">
        <v>27</v>
      </c>
      <c r="E1754" t="s">
        <v>1877</v>
      </c>
      <c r="F1754" t="s">
        <v>1820</v>
      </c>
      <c r="G1754" t="s">
        <v>72</v>
      </c>
      <c r="H1754" t="s">
        <v>31</v>
      </c>
      <c r="I1754" t="s">
        <v>1674</v>
      </c>
      <c r="J1754" t="s">
        <v>146</v>
      </c>
      <c r="K1754" t="s">
        <v>64</v>
      </c>
      <c r="L1754" t="s">
        <v>147</v>
      </c>
      <c r="M1754" t="s">
        <v>1545</v>
      </c>
      <c r="N1754">
        <v>43.6</v>
      </c>
      <c r="O1754">
        <v>16.6666666666667</v>
      </c>
      <c r="P1754">
        <v>226.8</v>
      </c>
      <c r="Q1754">
        <v>243.466666666667</v>
      </c>
      <c r="R1754">
        <v>0</v>
      </c>
      <c r="S1754">
        <v>243.466666666667</v>
      </c>
      <c r="T1754">
        <v>306</v>
      </c>
      <c r="U1754">
        <f>SUMIF(货件明细!J:J,E1754,货件明细!AP:AP)</f>
        <v>0</v>
      </c>
      <c r="V1754">
        <f>IF(U1754=T1754,0,1)</f>
        <v>1</v>
      </c>
      <c r="W1754">
        <f>T1754</f>
        <v>306</v>
      </c>
      <c r="X1754">
        <f>SUMIF(货件明细!J:J,E1754,货件明细!H:H)</f>
        <v>0</v>
      </c>
      <c r="Y1754">
        <f>N1754-X1754</f>
        <v>43.6</v>
      </c>
      <c r="Z1754">
        <f>SUMIF(货件明细!J:J,E1754,货件明细!I:I)</f>
        <v>0</v>
      </c>
      <c r="AA1754">
        <f>IF(S1754=Z1754,0,1)</f>
        <v>1</v>
      </c>
    </row>
    <row r="1755" hidden="1" spans="1:27">
      <c r="A1755">
        <v>4</v>
      </c>
      <c r="B1755">
        <v>14</v>
      </c>
      <c r="C1755" s="3">
        <v>46115</v>
      </c>
      <c r="D1755" t="s">
        <v>27</v>
      </c>
      <c r="E1755" t="s">
        <v>1878</v>
      </c>
      <c r="F1755" t="s">
        <v>185</v>
      </c>
      <c r="G1755" t="s">
        <v>30</v>
      </c>
      <c r="H1755" t="s">
        <v>54</v>
      </c>
      <c r="I1755" t="s">
        <v>63</v>
      </c>
      <c r="J1755" t="s">
        <v>146</v>
      </c>
      <c r="K1755" t="s">
        <v>64</v>
      </c>
      <c r="L1755" t="s">
        <v>147</v>
      </c>
      <c r="M1755" t="s">
        <v>148</v>
      </c>
      <c r="N1755">
        <v>12.45</v>
      </c>
      <c r="O1755">
        <v>30</v>
      </c>
      <c r="P1755">
        <v>106.2</v>
      </c>
      <c r="Q1755">
        <v>136.2</v>
      </c>
      <c r="R1755">
        <v>0</v>
      </c>
      <c r="S1755">
        <v>136.2</v>
      </c>
      <c r="T1755">
        <v>94</v>
      </c>
      <c r="U1755">
        <f>SUMIF(货件明细!J:J,E1755,货件明细!AP:AP)</f>
        <v>0</v>
      </c>
      <c r="V1755">
        <f>IF(U1755=T1755,0,1)</f>
        <v>1</v>
      </c>
      <c r="W1755">
        <f>T1755</f>
        <v>94</v>
      </c>
      <c r="X1755">
        <f>SUMIF(货件明细!J:J,E1755,货件明细!H:H)</f>
        <v>0</v>
      </c>
      <c r="Y1755">
        <f>N1755-X1755</f>
        <v>12.45</v>
      </c>
      <c r="Z1755">
        <f>SUMIF(货件明细!J:J,E1755,货件明细!I:I)</f>
        <v>0</v>
      </c>
      <c r="AA1755">
        <f>IF(S1755=Z1755,0,1)</f>
        <v>1</v>
      </c>
    </row>
    <row r="1756" hidden="1" spans="1:27">
      <c r="A1756">
        <v>4</v>
      </c>
      <c r="B1756">
        <v>14</v>
      </c>
      <c r="C1756" s="3">
        <v>46115</v>
      </c>
      <c r="D1756" t="s">
        <v>27</v>
      </c>
      <c r="E1756" t="s">
        <v>1879</v>
      </c>
      <c r="F1756" t="s">
        <v>141</v>
      </c>
      <c r="G1756" t="s">
        <v>69</v>
      </c>
      <c r="H1756" t="s">
        <v>54</v>
      </c>
      <c r="I1756" t="s">
        <v>63</v>
      </c>
      <c r="J1756" t="s">
        <v>146</v>
      </c>
      <c r="K1756" t="s">
        <v>64</v>
      </c>
      <c r="L1756" t="s">
        <v>147</v>
      </c>
      <c r="M1756" t="s">
        <v>1545</v>
      </c>
      <c r="N1756">
        <v>12.45</v>
      </c>
      <c r="O1756">
        <v>10</v>
      </c>
      <c r="P1756">
        <v>97.8</v>
      </c>
      <c r="Q1756">
        <v>107.8</v>
      </c>
      <c r="R1756">
        <v>0</v>
      </c>
      <c r="S1756">
        <v>107.8</v>
      </c>
      <c r="T1756">
        <v>94</v>
      </c>
      <c r="U1756">
        <f>SUMIF(货件明细!J:J,E1756,货件明细!AP:AP)</f>
        <v>0</v>
      </c>
      <c r="V1756">
        <f>IF(U1756=T1756,0,1)</f>
        <v>1</v>
      </c>
      <c r="W1756">
        <f>T1756</f>
        <v>94</v>
      </c>
      <c r="X1756">
        <f>SUMIF(货件明细!J:J,E1756,货件明细!H:H)</f>
        <v>0</v>
      </c>
      <c r="Y1756">
        <f>N1756-X1756</f>
        <v>12.45</v>
      </c>
      <c r="Z1756">
        <f>SUMIF(货件明细!J:J,E1756,货件明细!I:I)</f>
        <v>0</v>
      </c>
      <c r="AA1756">
        <f>IF(S1756=Z1756,0,1)</f>
        <v>1</v>
      </c>
    </row>
    <row r="1757" hidden="1" spans="1:27">
      <c r="A1757">
        <v>4</v>
      </c>
      <c r="B1757">
        <v>14</v>
      </c>
      <c r="C1757" s="3">
        <v>46115</v>
      </c>
      <c r="D1757" t="s">
        <v>27</v>
      </c>
      <c r="E1757" t="s">
        <v>1880</v>
      </c>
      <c r="F1757" t="s">
        <v>198</v>
      </c>
      <c r="G1757" t="s">
        <v>69</v>
      </c>
      <c r="H1757" t="s">
        <v>54</v>
      </c>
      <c r="I1757" t="s">
        <v>63</v>
      </c>
      <c r="J1757" t="s">
        <v>146</v>
      </c>
      <c r="K1757" t="s">
        <v>64</v>
      </c>
      <c r="L1757" t="s">
        <v>147</v>
      </c>
      <c r="M1757" t="s">
        <v>1545</v>
      </c>
      <c r="N1757">
        <v>12.45</v>
      </c>
      <c r="O1757">
        <v>10</v>
      </c>
      <c r="P1757">
        <v>97.8</v>
      </c>
      <c r="Q1757">
        <v>107.8</v>
      </c>
      <c r="R1757">
        <v>0</v>
      </c>
      <c r="S1757">
        <v>107.8</v>
      </c>
      <c r="T1757">
        <v>94</v>
      </c>
      <c r="U1757">
        <f>SUMIF(货件明细!J:J,E1757,货件明细!AP:AP)</f>
        <v>0</v>
      </c>
      <c r="V1757">
        <f>IF(U1757=T1757,0,1)</f>
        <v>1</v>
      </c>
      <c r="W1757">
        <f>T1757</f>
        <v>94</v>
      </c>
      <c r="X1757">
        <f>SUMIF(货件明细!J:J,E1757,货件明细!H:H)</f>
        <v>0</v>
      </c>
      <c r="Y1757">
        <f>N1757-X1757</f>
        <v>12.45</v>
      </c>
      <c r="Z1757">
        <f>SUMIF(货件明细!J:J,E1757,货件明细!I:I)</f>
        <v>0</v>
      </c>
      <c r="AA1757">
        <f>IF(S1757=Z1757,0,1)</f>
        <v>1</v>
      </c>
    </row>
    <row r="1758" hidden="1" spans="1:27">
      <c r="A1758">
        <v>4</v>
      </c>
      <c r="B1758">
        <v>14</v>
      </c>
      <c r="C1758" s="3">
        <v>46115</v>
      </c>
      <c r="D1758" t="s">
        <v>27</v>
      </c>
      <c r="E1758" t="s">
        <v>1881</v>
      </c>
      <c r="F1758" t="s">
        <v>715</v>
      </c>
      <c r="G1758" t="s">
        <v>69</v>
      </c>
      <c r="H1758" t="s">
        <v>54</v>
      </c>
      <c r="I1758" t="s">
        <v>63</v>
      </c>
      <c r="J1758" t="s">
        <v>146</v>
      </c>
      <c r="K1758" t="s">
        <v>64</v>
      </c>
      <c r="L1758" t="s">
        <v>147</v>
      </c>
      <c r="M1758" t="s">
        <v>1545</v>
      </c>
      <c r="N1758">
        <v>12.45</v>
      </c>
      <c r="O1758">
        <v>10</v>
      </c>
      <c r="P1758">
        <v>97.8</v>
      </c>
      <c r="Q1758">
        <v>107.8</v>
      </c>
      <c r="R1758">
        <v>0</v>
      </c>
      <c r="S1758">
        <v>107.8</v>
      </c>
      <c r="T1758">
        <v>94</v>
      </c>
      <c r="U1758">
        <f>SUMIF(货件明细!J:J,E1758,货件明细!AP:AP)</f>
        <v>0</v>
      </c>
      <c r="V1758">
        <f>IF(U1758=T1758,0,1)</f>
        <v>1</v>
      </c>
      <c r="W1758">
        <f>T1758</f>
        <v>94</v>
      </c>
      <c r="X1758">
        <f>SUMIF(货件明细!J:J,E1758,货件明细!H:H)</f>
        <v>0</v>
      </c>
      <c r="Y1758">
        <f>N1758-X1758</f>
        <v>12.45</v>
      </c>
      <c r="Z1758">
        <f>SUMIF(货件明细!J:J,E1758,货件明细!I:I)</f>
        <v>0</v>
      </c>
      <c r="AA1758">
        <f>IF(S1758=Z1758,0,1)</f>
        <v>1</v>
      </c>
    </row>
    <row r="1759" hidden="1" spans="1:27">
      <c r="A1759">
        <v>4</v>
      </c>
      <c r="B1759">
        <v>14</v>
      </c>
      <c r="C1759" s="3">
        <v>46115</v>
      </c>
      <c r="D1759" t="s">
        <v>27</v>
      </c>
      <c r="E1759" t="s">
        <v>1882</v>
      </c>
      <c r="F1759" t="s">
        <v>1820</v>
      </c>
      <c r="G1759" t="s">
        <v>72</v>
      </c>
      <c r="H1759" t="s">
        <v>54</v>
      </c>
      <c r="I1759" t="s">
        <v>63</v>
      </c>
      <c r="J1759" t="s">
        <v>146</v>
      </c>
      <c r="K1759" t="s">
        <v>64</v>
      </c>
      <c r="L1759" t="s">
        <v>147</v>
      </c>
      <c r="M1759" t="s">
        <v>1545</v>
      </c>
      <c r="N1759">
        <v>12.45</v>
      </c>
      <c r="O1759">
        <v>21.4285714285714</v>
      </c>
      <c r="P1759">
        <v>75.6</v>
      </c>
      <c r="Q1759">
        <v>97.0285714285714</v>
      </c>
      <c r="R1759">
        <v>0</v>
      </c>
      <c r="S1759">
        <v>97.0285714285714</v>
      </c>
      <c r="T1759">
        <v>94</v>
      </c>
      <c r="U1759">
        <f>SUMIF(货件明细!J:J,E1759,货件明细!AP:AP)</f>
        <v>0</v>
      </c>
      <c r="V1759">
        <f>IF(U1759=T1759,0,1)</f>
        <v>1</v>
      </c>
      <c r="W1759">
        <f>T1759</f>
        <v>94</v>
      </c>
      <c r="X1759">
        <f>SUMIF(货件明细!J:J,E1759,货件明细!H:H)</f>
        <v>0</v>
      </c>
      <c r="Y1759">
        <f>N1759-X1759</f>
        <v>12.45</v>
      </c>
      <c r="Z1759">
        <f>SUMIF(货件明细!J:J,E1759,货件明细!I:I)</f>
        <v>0</v>
      </c>
      <c r="AA1759">
        <f>IF(S1759=Z1759,0,1)</f>
        <v>1</v>
      </c>
    </row>
    <row r="1760" hidden="1" spans="1:27">
      <c r="A1760">
        <v>4</v>
      </c>
      <c r="B1760">
        <v>14</v>
      </c>
      <c r="C1760" s="3">
        <v>46115</v>
      </c>
      <c r="D1760" t="s">
        <v>27</v>
      </c>
      <c r="E1760" t="s">
        <v>1883</v>
      </c>
      <c r="F1760" t="s">
        <v>185</v>
      </c>
      <c r="G1760" t="s">
        <v>30</v>
      </c>
      <c r="H1760" t="s">
        <v>39</v>
      </c>
      <c r="I1760" t="s">
        <v>63</v>
      </c>
      <c r="J1760" t="s">
        <v>146</v>
      </c>
      <c r="K1760" t="s">
        <v>64</v>
      </c>
      <c r="L1760" t="s">
        <v>147</v>
      </c>
      <c r="M1760" t="s">
        <v>148</v>
      </c>
      <c r="N1760">
        <v>11.4</v>
      </c>
      <c r="O1760">
        <v>16.6666666666667</v>
      </c>
      <c r="P1760">
        <v>88.5</v>
      </c>
      <c r="Q1760">
        <v>105.166666666667</v>
      </c>
      <c r="R1760">
        <v>0</v>
      </c>
      <c r="S1760">
        <v>105.166666666667</v>
      </c>
      <c r="T1760">
        <v>60</v>
      </c>
      <c r="U1760">
        <f>SUMIF(货件明细!J:J,E1760,货件明细!AP:AP)</f>
        <v>0</v>
      </c>
      <c r="V1760">
        <f>IF(U1760=T1760,0,1)</f>
        <v>1</v>
      </c>
      <c r="W1760">
        <f>T1760</f>
        <v>60</v>
      </c>
      <c r="X1760">
        <f>SUMIF(货件明细!J:J,E1760,货件明细!H:H)</f>
        <v>0</v>
      </c>
      <c r="Y1760">
        <f>N1760-X1760</f>
        <v>11.4</v>
      </c>
      <c r="Z1760">
        <f>SUMIF(货件明细!J:J,E1760,货件明细!I:I)</f>
        <v>0</v>
      </c>
      <c r="AA1760">
        <f>IF(S1760=Z1760,0,1)</f>
        <v>1</v>
      </c>
    </row>
    <row r="1761" hidden="1" spans="1:27">
      <c r="A1761">
        <v>4</v>
      </c>
      <c r="B1761">
        <v>14</v>
      </c>
      <c r="C1761" s="3">
        <v>46115</v>
      </c>
      <c r="D1761" t="s">
        <v>27</v>
      </c>
      <c r="E1761" t="s">
        <v>1884</v>
      </c>
      <c r="F1761" t="s">
        <v>141</v>
      </c>
      <c r="G1761" t="s">
        <v>69</v>
      </c>
      <c r="H1761" t="s">
        <v>39</v>
      </c>
      <c r="I1761" t="s">
        <v>63</v>
      </c>
      <c r="J1761" t="s">
        <v>146</v>
      </c>
      <c r="K1761" t="s">
        <v>64</v>
      </c>
      <c r="L1761" t="s">
        <v>147</v>
      </c>
      <c r="M1761" t="s">
        <v>1545</v>
      </c>
      <c r="N1761">
        <v>11.4</v>
      </c>
      <c r="O1761">
        <v>5.76923076923077</v>
      </c>
      <c r="P1761">
        <v>81.5</v>
      </c>
      <c r="Q1761">
        <v>87.2692307692308</v>
      </c>
      <c r="R1761">
        <v>0</v>
      </c>
      <c r="S1761">
        <v>87.2692307692308</v>
      </c>
      <c r="T1761">
        <v>60</v>
      </c>
      <c r="U1761">
        <f>SUMIF(货件明细!J:J,E1761,货件明细!AP:AP)</f>
        <v>0</v>
      </c>
      <c r="V1761">
        <f>IF(U1761=T1761,0,1)</f>
        <v>1</v>
      </c>
      <c r="W1761">
        <f>T1761</f>
        <v>60</v>
      </c>
      <c r="X1761">
        <f>SUMIF(货件明细!J:J,E1761,货件明细!H:H)</f>
        <v>0</v>
      </c>
      <c r="Y1761">
        <f>N1761-X1761</f>
        <v>11.4</v>
      </c>
      <c r="Z1761">
        <f>SUMIF(货件明细!J:J,E1761,货件明细!I:I)</f>
        <v>0</v>
      </c>
      <c r="AA1761">
        <f>IF(S1761=Z1761,0,1)</f>
        <v>1</v>
      </c>
    </row>
    <row r="1762" hidden="1" spans="1:27">
      <c r="A1762">
        <v>4</v>
      </c>
      <c r="B1762">
        <v>14</v>
      </c>
      <c r="C1762" s="3">
        <v>46115</v>
      </c>
      <c r="D1762" t="s">
        <v>27</v>
      </c>
      <c r="E1762" t="s">
        <v>1885</v>
      </c>
      <c r="F1762" t="s">
        <v>198</v>
      </c>
      <c r="G1762" t="s">
        <v>69</v>
      </c>
      <c r="H1762" t="s">
        <v>39</v>
      </c>
      <c r="I1762" t="s">
        <v>63</v>
      </c>
      <c r="J1762" t="s">
        <v>146</v>
      </c>
      <c r="K1762" t="s">
        <v>64</v>
      </c>
      <c r="L1762" t="s">
        <v>147</v>
      </c>
      <c r="M1762" t="s">
        <v>1545</v>
      </c>
      <c r="N1762">
        <v>11.4</v>
      </c>
      <c r="O1762">
        <v>5.76923076923077</v>
      </c>
      <c r="P1762">
        <v>81.5</v>
      </c>
      <c r="Q1762">
        <v>87.2692307692308</v>
      </c>
      <c r="R1762">
        <v>0</v>
      </c>
      <c r="S1762">
        <v>87.2692307692308</v>
      </c>
      <c r="T1762">
        <v>60</v>
      </c>
      <c r="U1762">
        <f>SUMIF(货件明细!J:J,E1762,货件明细!AP:AP)</f>
        <v>0</v>
      </c>
      <c r="V1762">
        <f>IF(U1762=T1762,0,1)</f>
        <v>1</v>
      </c>
      <c r="W1762">
        <f>T1762</f>
        <v>60</v>
      </c>
      <c r="X1762">
        <f>SUMIF(货件明细!J:J,E1762,货件明细!H:H)</f>
        <v>0</v>
      </c>
      <c r="Y1762">
        <f>N1762-X1762</f>
        <v>11.4</v>
      </c>
      <c r="Z1762">
        <f>SUMIF(货件明细!J:J,E1762,货件明细!I:I)</f>
        <v>0</v>
      </c>
      <c r="AA1762">
        <f>IF(S1762=Z1762,0,1)</f>
        <v>1</v>
      </c>
    </row>
    <row r="1763" hidden="1" spans="1:27">
      <c r="A1763">
        <v>4</v>
      </c>
      <c r="B1763">
        <v>14</v>
      </c>
      <c r="C1763" s="3">
        <v>46115</v>
      </c>
      <c r="D1763" t="s">
        <v>27</v>
      </c>
      <c r="E1763" t="s">
        <v>1886</v>
      </c>
      <c r="F1763" t="s">
        <v>715</v>
      </c>
      <c r="G1763" t="s">
        <v>69</v>
      </c>
      <c r="H1763" t="s">
        <v>39</v>
      </c>
      <c r="I1763" t="s">
        <v>63</v>
      </c>
      <c r="J1763" t="s">
        <v>146</v>
      </c>
      <c r="K1763" t="s">
        <v>64</v>
      </c>
      <c r="L1763" t="s">
        <v>147</v>
      </c>
      <c r="M1763" t="s">
        <v>1545</v>
      </c>
      <c r="N1763">
        <v>11.4</v>
      </c>
      <c r="O1763">
        <v>5.76923076923077</v>
      </c>
      <c r="P1763">
        <v>81.5</v>
      </c>
      <c r="Q1763">
        <v>87.2692307692308</v>
      </c>
      <c r="R1763">
        <v>0</v>
      </c>
      <c r="S1763">
        <v>87.2692307692308</v>
      </c>
      <c r="T1763">
        <v>60</v>
      </c>
      <c r="U1763">
        <f>SUMIF(货件明细!J:J,E1763,货件明细!AP:AP)</f>
        <v>0</v>
      </c>
      <c r="V1763">
        <f>IF(U1763=T1763,0,1)</f>
        <v>1</v>
      </c>
      <c r="W1763">
        <f>T1763</f>
        <v>60</v>
      </c>
      <c r="X1763">
        <f>SUMIF(货件明细!J:J,E1763,货件明细!H:H)</f>
        <v>0</v>
      </c>
      <c r="Y1763">
        <f>N1763-X1763</f>
        <v>11.4</v>
      </c>
      <c r="Z1763">
        <f>SUMIF(货件明细!J:J,E1763,货件明细!I:I)</f>
        <v>0</v>
      </c>
      <c r="AA1763">
        <f>IF(S1763=Z1763,0,1)</f>
        <v>1</v>
      </c>
    </row>
    <row r="1764" hidden="1" spans="1:27">
      <c r="A1764">
        <v>4</v>
      </c>
      <c r="B1764">
        <v>14</v>
      </c>
      <c r="C1764" s="3">
        <v>46115</v>
      </c>
      <c r="D1764" t="s">
        <v>27</v>
      </c>
      <c r="E1764" t="s">
        <v>1887</v>
      </c>
      <c r="F1764" t="s">
        <v>1820</v>
      </c>
      <c r="G1764" t="s">
        <v>72</v>
      </c>
      <c r="H1764" t="s">
        <v>39</v>
      </c>
      <c r="I1764" t="s">
        <v>63</v>
      </c>
      <c r="J1764" t="s">
        <v>146</v>
      </c>
      <c r="K1764" t="s">
        <v>64</v>
      </c>
      <c r="L1764" t="s">
        <v>147</v>
      </c>
      <c r="M1764" t="s">
        <v>1545</v>
      </c>
      <c r="N1764">
        <v>11.4</v>
      </c>
      <c r="O1764">
        <v>16.6666666666667</v>
      </c>
      <c r="P1764">
        <v>63</v>
      </c>
      <c r="Q1764">
        <v>79.6666666666667</v>
      </c>
      <c r="R1764">
        <v>0</v>
      </c>
      <c r="S1764">
        <v>79.6666666666667</v>
      </c>
      <c r="T1764">
        <v>60</v>
      </c>
      <c r="U1764">
        <f>SUMIF(货件明细!J:J,E1764,货件明细!AP:AP)</f>
        <v>0</v>
      </c>
      <c r="V1764">
        <f>IF(U1764=T1764,0,1)</f>
        <v>1</v>
      </c>
      <c r="W1764">
        <f>T1764</f>
        <v>60</v>
      </c>
      <c r="X1764">
        <f>SUMIF(货件明细!J:J,E1764,货件明细!H:H)</f>
        <v>0</v>
      </c>
      <c r="Y1764">
        <f>N1764-X1764</f>
        <v>11.4</v>
      </c>
      <c r="Z1764">
        <f>SUMIF(货件明细!J:J,E1764,货件明细!I:I)</f>
        <v>0</v>
      </c>
      <c r="AA1764">
        <f>IF(S1764=Z1764,0,1)</f>
        <v>1</v>
      </c>
    </row>
    <row r="1765" spans="1:27">
      <c r="A1765">
        <v>4</v>
      </c>
      <c r="B1765">
        <v>14</v>
      </c>
      <c r="C1765" s="3">
        <v>46114</v>
      </c>
      <c r="D1765" t="s">
        <v>27</v>
      </c>
      <c r="E1765" t="s">
        <v>1888</v>
      </c>
      <c r="F1765" t="s">
        <v>41</v>
      </c>
      <c r="G1765" t="s">
        <v>30</v>
      </c>
      <c r="H1765" t="s">
        <v>56</v>
      </c>
      <c r="I1765" t="s">
        <v>32</v>
      </c>
      <c r="J1765" t="s">
        <v>32</v>
      </c>
      <c r="K1765" t="s">
        <v>33</v>
      </c>
      <c r="L1765" t="s">
        <v>43</v>
      </c>
      <c r="M1765" t="s">
        <v>47</v>
      </c>
      <c r="N1765">
        <v>40.7</v>
      </c>
      <c r="O1765">
        <v>116.666666666667</v>
      </c>
      <c r="P1765">
        <v>2398.5</v>
      </c>
      <c r="Q1765">
        <v>2515.16666666667</v>
      </c>
      <c r="R1765">
        <v>315.252</v>
      </c>
      <c r="S1765">
        <v>2830.41866666667</v>
      </c>
      <c r="T1765">
        <v>234</v>
      </c>
      <c r="U1765">
        <f>SUMIF(货件明细!J:J,E1765,货件明细!AP:AP)</f>
        <v>234</v>
      </c>
      <c r="V1765">
        <f>IF(U1765=T1765,0,1)</f>
        <v>0</v>
      </c>
      <c r="W1765">
        <f>T1765</f>
        <v>234</v>
      </c>
      <c r="X1765">
        <f>SUMIF(货件明细!J:J,E1765,货件明细!H:H)</f>
        <v>38.25</v>
      </c>
      <c r="Y1765">
        <f>N1765-X1765</f>
        <v>2.45</v>
      </c>
      <c r="Z1765">
        <f>SUMIF(货件明细!J:J,E1765,货件明细!I:I)</f>
        <v>2830.41866666667</v>
      </c>
      <c r="AA1765">
        <f>IF(S1765=Z1765,0,1)</f>
        <v>0</v>
      </c>
    </row>
    <row r="1766" spans="1:27">
      <c r="A1766">
        <v>4</v>
      </c>
      <c r="B1766">
        <v>14</v>
      </c>
      <c r="C1766" s="3">
        <v>46114</v>
      </c>
      <c r="D1766" t="s">
        <v>27</v>
      </c>
      <c r="E1766" t="s">
        <v>1889</v>
      </c>
      <c r="F1766" t="s">
        <v>41</v>
      </c>
      <c r="G1766" t="s">
        <v>30</v>
      </c>
      <c r="H1766" t="s">
        <v>31</v>
      </c>
      <c r="I1766" t="s">
        <v>32</v>
      </c>
      <c r="J1766" t="s">
        <v>32</v>
      </c>
      <c r="K1766" t="s">
        <v>33</v>
      </c>
      <c r="L1766" t="s">
        <v>43</v>
      </c>
      <c r="M1766" t="s">
        <v>47</v>
      </c>
      <c r="N1766">
        <v>46.25</v>
      </c>
      <c r="O1766">
        <v>116.666666666667</v>
      </c>
      <c r="P1766">
        <v>2749.5</v>
      </c>
      <c r="Q1766">
        <v>2866.16666666667</v>
      </c>
      <c r="R1766">
        <v>336.936</v>
      </c>
      <c r="S1766">
        <v>3203.10266666667</v>
      </c>
      <c r="T1766">
        <v>298</v>
      </c>
      <c r="U1766">
        <f>SUMIF(货件明细!J:J,E1766,货件明细!AP:AP)</f>
        <v>298</v>
      </c>
      <c r="V1766">
        <f>IF(U1766=T1766,0,1)</f>
        <v>0</v>
      </c>
      <c r="W1766">
        <f>T1766</f>
        <v>298</v>
      </c>
      <c r="X1766">
        <f>SUMIF(货件明细!J:J,E1766,货件明细!H:H)</f>
        <v>43.006</v>
      </c>
      <c r="Y1766">
        <f>N1766-X1766</f>
        <v>3.24400000000001</v>
      </c>
      <c r="Z1766">
        <f>SUMIF(货件明细!J:J,E1766,货件明细!I:I)</f>
        <v>3203.10266666667</v>
      </c>
      <c r="AA1766">
        <f>IF(S1766=Z1766,0,1)</f>
        <v>0</v>
      </c>
    </row>
    <row r="1767" spans="1:27">
      <c r="A1767">
        <v>4</v>
      </c>
      <c r="B1767">
        <v>14</v>
      </c>
      <c r="C1767" s="3">
        <v>46114</v>
      </c>
      <c r="D1767" t="s">
        <v>27</v>
      </c>
      <c r="E1767" t="s">
        <v>1890</v>
      </c>
      <c r="F1767" t="s">
        <v>41</v>
      </c>
      <c r="G1767" t="s">
        <v>30</v>
      </c>
      <c r="H1767" t="s">
        <v>39</v>
      </c>
      <c r="I1767" t="s">
        <v>32</v>
      </c>
      <c r="J1767" t="s">
        <v>32</v>
      </c>
      <c r="K1767" t="s">
        <v>33</v>
      </c>
      <c r="L1767" t="s">
        <v>43</v>
      </c>
      <c r="M1767" t="s">
        <v>47</v>
      </c>
      <c r="N1767">
        <v>16.9</v>
      </c>
      <c r="O1767">
        <v>116.666666666667</v>
      </c>
      <c r="P1767">
        <v>936</v>
      </c>
      <c r="Q1767">
        <v>1052.66666666667</v>
      </c>
      <c r="R1767">
        <v>154.568</v>
      </c>
      <c r="S1767">
        <v>1207.23466666667</v>
      </c>
      <c r="T1767">
        <v>139</v>
      </c>
      <c r="U1767">
        <f>SUMIF(货件明细!J:J,E1767,货件明细!AP:AP)</f>
        <v>139</v>
      </c>
      <c r="V1767">
        <f>IF(U1767=T1767,0,1)</f>
        <v>0</v>
      </c>
      <c r="W1767">
        <f>T1767</f>
        <v>139</v>
      </c>
      <c r="X1767">
        <f>SUMIF(货件明细!J:J,E1767,货件明细!H:H)</f>
        <v>18.986</v>
      </c>
      <c r="Y1767">
        <f>N1767-X1767</f>
        <v>-2.086</v>
      </c>
      <c r="Z1767">
        <f>SUMIF(货件明细!J:J,E1767,货件明细!I:I)</f>
        <v>1207.23466666667</v>
      </c>
      <c r="AA1767">
        <f>IF(S1767=Z1767,0,1)</f>
        <v>0</v>
      </c>
    </row>
    <row r="1768" spans="1:27">
      <c r="A1768">
        <v>4</v>
      </c>
      <c r="B1768">
        <v>15</v>
      </c>
      <c r="C1768" s="3">
        <v>46119</v>
      </c>
      <c r="D1768" t="s">
        <v>27</v>
      </c>
      <c r="E1768" t="s">
        <v>1891</v>
      </c>
      <c r="F1768" t="s">
        <v>41</v>
      </c>
      <c r="G1768" t="s">
        <v>30</v>
      </c>
      <c r="H1768" t="s">
        <v>31</v>
      </c>
      <c r="I1768" t="s">
        <v>42</v>
      </c>
      <c r="J1768" t="s">
        <v>42</v>
      </c>
      <c r="K1768" t="s">
        <v>33</v>
      </c>
      <c r="L1768" t="s">
        <v>323</v>
      </c>
      <c r="M1768" t="s">
        <v>218</v>
      </c>
      <c r="N1768">
        <v>21.9</v>
      </c>
      <c r="O1768">
        <v>200</v>
      </c>
      <c r="P1768">
        <v>1668</v>
      </c>
      <c r="Q1768">
        <v>1868</v>
      </c>
      <c r="R1768">
        <v>165.688</v>
      </c>
      <c r="S1768">
        <v>2033.688</v>
      </c>
      <c r="T1768">
        <v>149</v>
      </c>
      <c r="U1768">
        <f>SUMIF(货件明细!J:J,E1768,货件明细!AP:AP)</f>
        <v>149</v>
      </c>
      <c r="V1768">
        <f>IF(U1768=T1768,0,1)</f>
        <v>0</v>
      </c>
      <c r="W1768">
        <f>T1768</f>
        <v>149</v>
      </c>
      <c r="X1768">
        <f>SUMIF(货件明细!J:J,E1768,货件明细!H:H)</f>
        <v>20.682</v>
      </c>
      <c r="Y1768">
        <f>N1768-X1768</f>
        <v>1.218</v>
      </c>
      <c r="Z1768">
        <f>SUMIF(货件明细!J:J,E1768,货件明细!I:I)</f>
        <v>2033.688</v>
      </c>
      <c r="AA1768">
        <f>IF(S1768=Z1768,0,1)</f>
        <v>0</v>
      </c>
    </row>
    <row r="1769" spans="1:27">
      <c r="A1769">
        <v>4</v>
      </c>
      <c r="B1769">
        <v>15</v>
      </c>
      <c r="C1769" s="3">
        <v>46119</v>
      </c>
      <c r="D1769" t="s">
        <v>27</v>
      </c>
      <c r="E1769" t="s">
        <v>1892</v>
      </c>
      <c r="F1769" t="s">
        <v>29</v>
      </c>
      <c r="G1769" t="s">
        <v>30</v>
      </c>
      <c r="H1769" t="s">
        <v>54</v>
      </c>
      <c r="I1769" t="s">
        <v>32</v>
      </c>
      <c r="J1769" t="s">
        <v>32</v>
      </c>
      <c r="K1769" t="s">
        <v>33</v>
      </c>
      <c r="L1769" t="s">
        <v>43</v>
      </c>
      <c r="M1769" t="s">
        <v>47</v>
      </c>
      <c r="N1769">
        <v>115.1</v>
      </c>
      <c r="O1769">
        <v>300</v>
      </c>
      <c r="P1769">
        <v>6780</v>
      </c>
      <c r="Q1769">
        <v>7080</v>
      </c>
      <c r="R1769">
        <v>517.08</v>
      </c>
      <c r="S1769">
        <v>7597.08</v>
      </c>
      <c r="T1769">
        <v>340</v>
      </c>
      <c r="U1769">
        <f>SUMIF(货件明细!J:J,E1769,货件明细!AP:AP)</f>
        <v>340</v>
      </c>
      <c r="V1769">
        <f>IF(U1769=T1769,0,1)</f>
        <v>0</v>
      </c>
      <c r="W1769">
        <f>T1769</f>
        <v>340</v>
      </c>
      <c r="X1769">
        <f>SUMIF(货件明细!J:J,E1769,货件明细!H:H)</f>
        <v>108.09</v>
      </c>
      <c r="Y1769">
        <f>N1769-X1769</f>
        <v>7.00999999999999</v>
      </c>
      <c r="Z1769">
        <f>SUMIF(货件明细!J:J,E1769,货件明细!I:I)</f>
        <v>7597.08</v>
      </c>
      <c r="AA1769">
        <f>IF(S1769=Z1769,0,1)</f>
        <v>0</v>
      </c>
    </row>
    <row r="1770" spans="1:27">
      <c r="A1770">
        <v>4</v>
      </c>
      <c r="B1770">
        <v>15</v>
      </c>
      <c r="C1770" s="3">
        <v>46120</v>
      </c>
      <c r="D1770" t="s">
        <v>27</v>
      </c>
      <c r="E1770" t="s">
        <v>1893</v>
      </c>
      <c r="F1770" t="s">
        <v>1796</v>
      </c>
      <c r="G1770" t="s">
        <v>30</v>
      </c>
      <c r="H1770" t="s">
        <v>37</v>
      </c>
      <c r="I1770" t="s">
        <v>42</v>
      </c>
      <c r="J1770" t="s">
        <v>42</v>
      </c>
      <c r="K1770" t="s">
        <v>33</v>
      </c>
      <c r="L1770" t="s">
        <v>323</v>
      </c>
      <c r="M1770" t="s">
        <v>900</v>
      </c>
      <c r="N1770">
        <v>37.2</v>
      </c>
      <c r="O1770">
        <v>100</v>
      </c>
      <c r="P1770">
        <v>2545</v>
      </c>
      <c r="Q1770">
        <v>2645</v>
      </c>
      <c r="R1770">
        <v>550.44</v>
      </c>
      <c r="S1770">
        <v>3195.44</v>
      </c>
      <c r="T1770">
        <v>360</v>
      </c>
      <c r="U1770">
        <f>SUMIF(货件明细!J:J,E1770,货件明细!AP:AP)</f>
        <v>360</v>
      </c>
      <c r="V1770">
        <f>IF(U1770=T1770,0,1)</f>
        <v>0</v>
      </c>
      <c r="W1770">
        <f>T1770</f>
        <v>360</v>
      </c>
      <c r="X1770">
        <f>SUMIF(货件明细!J:J,E1770,货件明细!H:H)</f>
        <v>34.56</v>
      </c>
      <c r="Y1770">
        <f>N1770-X1770</f>
        <v>2.64</v>
      </c>
      <c r="Z1770">
        <f>SUMIF(货件明细!J:J,E1770,货件明细!I:I)</f>
        <v>3195.44</v>
      </c>
      <c r="AA1770">
        <f>IF(S1770=Z1770,0,1)</f>
        <v>0</v>
      </c>
    </row>
    <row r="1771" spans="1:27">
      <c r="A1771">
        <v>4</v>
      </c>
      <c r="B1771">
        <v>15</v>
      </c>
      <c r="C1771" s="3">
        <v>46120</v>
      </c>
      <c r="D1771" t="s">
        <v>27</v>
      </c>
      <c r="E1771" t="s">
        <v>1894</v>
      </c>
      <c r="F1771" t="s">
        <v>1796</v>
      </c>
      <c r="G1771" t="s">
        <v>30</v>
      </c>
      <c r="H1771" t="s">
        <v>224</v>
      </c>
      <c r="I1771" t="s">
        <v>42</v>
      </c>
      <c r="J1771" t="s">
        <v>42</v>
      </c>
      <c r="K1771" t="s">
        <v>33</v>
      </c>
      <c r="L1771" t="s">
        <v>323</v>
      </c>
      <c r="M1771" t="s">
        <v>900</v>
      </c>
      <c r="N1771">
        <v>21.6</v>
      </c>
      <c r="O1771">
        <v>100</v>
      </c>
      <c r="P1771">
        <v>1505</v>
      </c>
      <c r="Q1771">
        <v>1605</v>
      </c>
      <c r="R1771">
        <v>490.809</v>
      </c>
      <c r="S1771">
        <v>2095.809</v>
      </c>
      <c r="T1771">
        <v>321</v>
      </c>
      <c r="U1771">
        <f>SUMIF(货件明细!J:J,E1771,货件明细!AP:AP)</f>
        <v>321</v>
      </c>
      <c r="V1771">
        <f>IF(U1771=T1771,0,1)</f>
        <v>0</v>
      </c>
      <c r="W1771">
        <f>T1771</f>
        <v>321</v>
      </c>
      <c r="X1771">
        <f>SUMIF(货件明细!J:J,E1771,货件明细!H:H)</f>
        <v>20.53</v>
      </c>
      <c r="Y1771">
        <f>N1771-X1771</f>
        <v>1.07</v>
      </c>
      <c r="Z1771">
        <f>SUMIF(货件明细!J:J,E1771,货件明细!I:I)</f>
        <v>2095.809</v>
      </c>
      <c r="AA1771">
        <f>IF(S1771=Z1771,0,1)</f>
        <v>0</v>
      </c>
    </row>
    <row r="1772" spans="1:27">
      <c r="A1772">
        <v>4</v>
      </c>
      <c r="B1772">
        <v>15</v>
      </c>
      <c r="C1772" s="3">
        <v>46120</v>
      </c>
      <c r="D1772" t="s">
        <v>27</v>
      </c>
      <c r="E1772" t="s">
        <v>1895</v>
      </c>
      <c r="F1772" t="s">
        <v>29</v>
      </c>
      <c r="G1772" t="s">
        <v>30</v>
      </c>
      <c r="H1772" t="s">
        <v>31</v>
      </c>
      <c r="I1772" t="s">
        <v>42</v>
      </c>
      <c r="J1772" t="s">
        <v>42</v>
      </c>
      <c r="K1772" t="s">
        <v>33</v>
      </c>
      <c r="L1772" t="s">
        <v>43</v>
      </c>
      <c r="M1772" t="s">
        <v>900</v>
      </c>
      <c r="N1772">
        <v>38.35</v>
      </c>
      <c r="O1772">
        <v>200</v>
      </c>
      <c r="P1772">
        <v>2618</v>
      </c>
      <c r="Q1772">
        <v>2818</v>
      </c>
      <c r="R1772">
        <v>244.223</v>
      </c>
      <c r="S1772">
        <v>3062.223</v>
      </c>
      <c r="T1772">
        <v>189</v>
      </c>
      <c r="U1772">
        <f>SUMIF(货件明细!J:J,E1772,货件明细!AP:AP)</f>
        <v>189</v>
      </c>
      <c r="V1772">
        <f>IF(U1772=T1772,0,1)</f>
        <v>0</v>
      </c>
      <c r="W1772">
        <f>T1772</f>
        <v>189</v>
      </c>
      <c r="X1772">
        <f>SUMIF(货件明细!J:J,E1772,货件明细!H:H)</f>
        <v>36.078</v>
      </c>
      <c r="Y1772">
        <f>N1772-X1772</f>
        <v>2.27200000000001</v>
      </c>
      <c r="Z1772">
        <f>SUMIF(货件明细!J:J,E1772,货件明细!I:I)</f>
        <v>3062.223</v>
      </c>
      <c r="AA1772">
        <f>IF(S1772=Z1772,0,1)</f>
        <v>0</v>
      </c>
    </row>
    <row r="1773" spans="1:27">
      <c r="A1773">
        <v>4</v>
      </c>
      <c r="B1773">
        <v>15</v>
      </c>
      <c r="C1773" s="3">
        <v>46120</v>
      </c>
      <c r="D1773" t="s">
        <v>27</v>
      </c>
      <c r="E1773" t="s">
        <v>1896</v>
      </c>
      <c r="F1773" t="s">
        <v>29</v>
      </c>
      <c r="G1773" t="s">
        <v>30</v>
      </c>
      <c r="H1773" t="s">
        <v>46</v>
      </c>
      <c r="I1773" t="s">
        <v>32</v>
      </c>
      <c r="J1773" t="s">
        <v>32</v>
      </c>
      <c r="K1773" t="s">
        <v>33</v>
      </c>
      <c r="L1773" t="s">
        <v>43</v>
      </c>
      <c r="M1773" t="s">
        <v>47</v>
      </c>
      <c r="N1773">
        <v>13.1</v>
      </c>
      <c r="O1773">
        <v>60</v>
      </c>
      <c r="P1773">
        <v>780</v>
      </c>
      <c r="Q1773">
        <v>840</v>
      </c>
      <c r="R1773">
        <v>149.008</v>
      </c>
      <c r="S1773">
        <v>989.008</v>
      </c>
      <c r="T1773">
        <v>134</v>
      </c>
      <c r="U1773">
        <f>SUMIF(货件明细!J:J,E1773,货件明细!AP:AP)</f>
        <v>134</v>
      </c>
      <c r="V1773">
        <f>IF(U1773=T1773,0,1)</f>
        <v>0</v>
      </c>
      <c r="W1773">
        <f>T1773</f>
        <v>134</v>
      </c>
      <c r="X1773">
        <f>SUMIF(货件明细!J:J,E1773,货件明细!H:H)</f>
        <v>12.087</v>
      </c>
      <c r="Y1773">
        <f>N1773-X1773</f>
        <v>1.013</v>
      </c>
      <c r="Z1773">
        <f>SUMIF(货件明细!J:J,E1773,货件明细!I:I)</f>
        <v>989.008</v>
      </c>
      <c r="AA1773">
        <f>IF(S1773=Z1773,0,1)</f>
        <v>0</v>
      </c>
    </row>
    <row r="1774" spans="1:27">
      <c r="A1774">
        <v>4</v>
      </c>
      <c r="B1774">
        <v>15</v>
      </c>
      <c r="C1774" s="3">
        <v>46120</v>
      </c>
      <c r="D1774" t="s">
        <v>27</v>
      </c>
      <c r="E1774" t="s">
        <v>1897</v>
      </c>
      <c r="F1774" t="s">
        <v>29</v>
      </c>
      <c r="G1774" t="s">
        <v>30</v>
      </c>
      <c r="H1774" t="s">
        <v>59</v>
      </c>
      <c r="I1774" t="s">
        <v>32</v>
      </c>
      <c r="J1774" t="s">
        <v>32</v>
      </c>
      <c r="K1774" t="s">
        <v>33</v>
      </c>
      <c r="L1774" t="s">
        <v>43</v>
      </c>
      <c r="M1774" t="s">
        <v>47</v>
      </c>
      <c r="N1774">
        <v>87.5</v>
      </c>
      <c r="O1774">
        <v>60</v>
      </c>
      <c r="P1774">
        <v>5280</v>
      </c>
      <c r="Q1774">
        <v>5340</v>
      </c>
      <c r="R1774">
        <v>397.54</v>
      </c>
      <c r="S1774">
        <v>5737.54</v>
      </c>
      <c r="T1774">
        <v>220</v>
      </c>
      <c r="U1774">
        <f>SUMIF(货件明细!J:J,E1774,货件明细!AP:AP)</f>
        <v>220</v>
      </c>
      <c r="V1774">
        <f>IF(U1774=T1774,0,1)</f>
        <v>0</v>
      </c>
      <c r="W1774">
        <f>T1774</f>
        <v>220</v>
      </c>
      <c r="X1774">
        <f>SUMIF(货件明细!J:J,E1774,货件明细!H:H)</f>
        <v>82.9</v>
      </c>
      <c r="Y1774">
        <f>N1774-X1774</f>
        <v>4.59999999999999</v>
      </c>
      <c r="Z1774">
        <f>SUMIF(货件明细!J:J,E1774,货件明细!I:I)</f>
        <v>5737.54</v>
      </c>
      <c r="AA1774">
        <f>IF(S1774=Z1774,0,1)</f>
        <v>0</v>
      </c>
    </row>
    <row r="1775" spans="1:27">
      <c r="A1775">
        <v>4</v>
      </c>
      <c r="B1775">
        <v>15</v>
      </c>
      <c r="C1775" s="3">
        <v>46120</v>
      </c>
      <c r="D1775" t="s">
        <v>27</v>
      </c>
      <c r="E1775" t="s">
        <v>1898</v>
      </c>
      <c r="F1775" t="s">
        <v>29</v>
      </c>
      <c r="G1775" t="s">
        <v>30</v>
      </c>
      <c r="H1775" t="s">
        <v>56</v>
      </c>
      <c r="I1775" t="s">
        <v>32</v>
      </c>
      <c r="J1775" t="s">
        <v>32</v>
      </c>
      <c r="K1775" t="s">
        <v>33</v>
      </c>
      <c r="L1775" t="s">
        <v>43</v>
      </c>
      <c r="M1775" t="s">
        <v>47</v>
      </c>
      <c r="N1775">
        <v>41.9</v>
      </c>
      <c r="O1775">
        <v>60</v>
      </c>
      <c r="P1775">
        <v>2520</v>
      </c>
      <c r="Q1775">
        <v>2580</v>
      </c>
      <c r="R1775">
        <v>133.44</v>
      </c>
      <c r="S1775">
        <v>2713.44</v>
      </c>
      <c r="T1775">
        <v>110</v>
      </c>
      <c r="U1775">
        <f>SUMIF(货件明细!J:J,E1775,货件明细!AP:AP)</f>
        <v>110</v>
      </c>
      <c r="V1775">
        <f>IF(U1775=T1775,0,1)</f>
        <v>0</v>
      </c>
      <c r="W1775">
        <f>T1775</f>
        <v>110</v>
      </c>
      <c r="X1775">
        <f>SUMIF(货件明细!J:J,E1775,货件明细!H:H)</f>
        <v>38.781</v>
      </c>
      <c r="Y1775">
        <f>N1775-X1775</f>
        <v>3.119</v>
      </c>
      <c r="Z1775">
        <f>SUMIF(货件明细!J:J,E1775,货件明细!I:I)</f>
        <v>2713.44</v>
      </c>
      <c r="AA1775">
        <f>IF(S1775=Z1775,0,1)</f>
        <v>0</v>
      </c>
    </row>
    <row r="1776" spans="1:27">
      <c r="A1776">
        <v>4</v>
      </c>
      <c r="B1776">
        <v>15</v>
      </c>
      <c r="C1776" s="3">
        <v>46120</v>
      </c>
      <c r="D1776" t="s">
        <v>27</v>
      </c>
      <c r="E1776" t="s">
        <v>1899</v>
      </c>
      <c r="F1776" t="s">
        <v>29</v>
      </c>
      <c r="G1776" t="s">
        <v>30</v>
      </c>
      <c r="H1776" t="s">
        <v>39</v>
      </c>
      <c r="I1776" t="s">
        <v>32</v>
      </c>
      <c r="J1776" t="s">
        <v>32</v>
      </c>
      <c r="K1776" t="s">
        <v>33</v>
      </c>
      <c r="L1776" t="s">
        <v>43</v>
      </c>
      <c r="M1776" t="s">
        <v>47</v>
      </c>
      <c r="N1776">
        <v>30.4</v>
      </c>
      <c r="O1776">
        <v>60</v>
      </c>
      <c r="P1776">
        <v>1860</v>
      </c>
      <c r="Q1776">
        <v>1920</v>
      </c>
      <c r="R1776">
        <v>244.64</v>
      </c>
      <c r="S1776">
        <v>2164.64</v>
      </c>
      <c r="T1776">
        <v>220</v>
      </c>
      <c r="U1776">
        <f>SUMIF(货件明细!J:J,E1776,货件明细!AP:AP)</f>
        <v>220</v>
      </c>
      <c r="V1776">
        <f>IF(U1776=T1776,0,1)</f>
        <v>0</v>
      </c>
      <c r="W1776">
        <f>T1776</f>
        <v>220</v>
      </c>
      <c r="X1776">
        <f>SUMIF(货件明细!J:J,E1776,货件明细!H:H)</f>
        <v>28.6</v>
      </c>
      <c r="Y1776">
        <f>N1776-X1776</f>
        <v>1.8</v>
      </c>
      <c r="Z1776">
        <f>SUMIF(货件明细!J:J,E1776,货件明细!I:I)</f>
        <v>2164.64</v>
      </c>
      <c r="AA1776">
        <f>IF(S1776=Z1776,0,1)</f>
        <v>0</v>
      </c>
    </row>
    <row r="1777" spans="1:27">
      <c r="A1777">
        <v>4</v>
      </c>
      <c r="B1777">
        <v>15</v>
      </c>
      <c r="C1777" s="3">
        <v>46120</v>
      </c>
      <c r="D1777" t="s">
        <v>27</v>
      </c>
      <c r="E1777" t="s">
        <v>1900</v>
      </c>
      <c r="F1777" t="s">
        <v>29</v>
      </c>
      <c r="G1777" t="s">
        <v>30</v>
      </c>
      <c r="H1777" t="s">
        <v>51</v>
      </c>
      <c r="I1777" t="s">
        <v>32</v>
      </c>
      <c r="J1777" t="s">
        <v>32</v>
      </c>
      <c r="K1777" t="s">
        <v>33</v>
      </c>
      <c r="L1777" t="s">
        <v>43</v>
      </c>
      <c r="M1777" t="s">
        <v>47</v>
      </c>
      <c r="N1777">
        <v>38.2</v>
      </c>
      <c r="O1777">
        <v>60</v>
      </c>
      <c r="P1777">
        <v>2280</v>
      </c>
      <c r="Q1777">
        <v>2340</v>
      </c>
      <c r="R1777">
        <v>163.742</v>
      </c>
      <c r="S1777">
        <v>2503.742</v>
      </c>
      <c r="T1777">
        <v>91</v>
      </c>
      <c r="U1777">
        <f>SUMIF(货件明细!J:J,E1777,货件明细!AP:AP)</f>
        <v>91</v>
      </c>
      <c r="V1777">
        <f>IF(U1777=T1777,0,1)</f>
        <v>0</v>
      </c>
      <c r="W1777">
        <f>T1777</f>
        <v>91</v>
      </c>
      <c r="X1777">
        <f>SUMIF(货件明细!J:J,E1777,货件明细!H:H)</f>
        <v>36.378</v>
      </c>
      <c r="Y1777">
        <f>N1777-X1777</f>
        <v>1.822</v>
      </c>
      <c r="Z1777">
        <f>SUMIF(货件明细!J:J,E1777,货件明细!I:I)</f>
        <v>2503.742</v>
      </c>
      <c r="AA1777">
        <f>IF(S1777=Z1777,0,1)</f>
        <v>0</v>
      </c>
    </row>
    <row r="1778" spans="1:27">
      <c r="A1778">
        <v>4</v>
      </c>
      <c r="B1778">
        <v>15</v>
      </c>
      <c r="C1778" s="3">
        <v>46121</v>
      </c>
      <c r="D1778" t="s">
        <v>27</v>
      </c>
      <c r="E1778" t="s">
        <v>1901</v>
      </c>
      <c r="F1778" t="s">
        <v>29</v>
      </c>
      <c r="G1778" t="s">
        <v>30</v>
      </c>
      <c r="H1778" t="s">
        <v>51</v>
      </c>
      <c r="I1778" t="s">
        <v>32</v>
      </c>
      <c r="J1778" t="s">
        <v>32</v>
      </c>
      <c r="K1778" t="s">
        <v>33</v>
      </c>
      <c r="L1778" t="s">
        <v>43</v>
      </c>
      <c r="M1778" t="s">
        <v>47</v>
      </c>
      <c r="N1778">
        <v>109.5</v>
      </c>
      <c r="O1778">
        <v>300</v>
      </c>
      <c r="P1778">
        <v>6660</v>
      </c>
      <c r="Q1778">
        <v>6960</v>
      </c>
      <c r="R1778">
        <v>427.286</v>
      </c>
      <c r="S1778">
        <v>7387.286</v>
      </c>
      <c r="T1778">
        <v>252</v>
      </c>
      <c r="U1778">
        <f>SUMIF(货件明细!J:J,E1778,货件明细!AP:AP)</f>
        <v>252</v>
      </c>
      <c r="V1778">
        <f>IF(U1778=T1778,0,1)</f>
        <v>0</v>
      </c>
      <c r="W1778">
        <f>T1778</f>
        <v>252</v>
      </c>
      <c r="X1778">
        <f>SUMIF(货件明细!J:J,E1778,货件明细!H:H)</f>
        <v>102.926</v>
      </c>
      <c r="Y1778">
        <f>N1778-X1778</f>
        <v>6.574</v>
      </c>
      <c r="Z1778">
        <f>SUMIF(货件明细!J:J,E1778,货件明细!I:I)</f>
        <v>7387.286</v>
      </c>
      <c r="AA1778">
        <f>IF(S1778=Z1778,0,1)</f>
        <v>0</v>
      </c>
    </row>
    <row r="1779" hidden="1" spans="1:27">
      <c r="A1779">
        <v>4</v>
      </c>
      <c r="B1779">
        <v>15</v>
      </c>
      <c r="C1779" s="3">
        <v>46122</v>
      </c>
      <c r="D1779" t="s">
        <v>88</v>
      </c>
      <c r="E1779" t="s">
        <v>1902</v>
      </c>
      <c r="F1779" t="s">
        <v>211</v>
      </c>
      <c r="G1779" t="s">
        <v>72</v>
      </c>
      <c r="H1779" t="s">
        <v>51</v>
      </c>
      <c r="I1779" t="s">
        <v>63</v>
      </c>
      <c r="J1779" t="s">
        <v>63</v>
      </c>
      <c r="K1779" t="s">
        <v>64</v>
      </c>
      <c r="L1779" t="s">
        <v>147</v>
      </c>
      <c r="M1779" t="s">
        <v>774</v>
      </c>
      <c r="N1779">
        <v>55.5</v>
      </c>
      <c r="O1779">
        <v>15</v>
      </c>
      <c r="P1779">
        <v>198.177777777778</v>
      </c>
      <c r="Q1779">
        <v>213.177777777778</v>
      </c>
      <c r="R1779">
        <v>0</v>
      </c>
      <c r="S1779">
        <v>213.177777777778</v>
      </c>
      <c r="T1779">
        <v>332</v>
      </c>
      <c r="U1779">
        <f>SUMIF(货件明细!J:J,E1779,货件明细!AP:AP)</f>
        <v>0</v>
      </c>
      <c r="V1779">
        <f>IF(U1779=T1779,0,1)</f>
        <v>1</v>
      </c>
      <c r="W1779">
        <f>T1779</f>
        <v>332</v>
      </c>
      <c r="X1779">
        <f>SUMIF(货件明细!J:J,E1779,货件明细!H:H)</f>
        <v>0</v>
      </c>
      <c r="Y1779">
        <f>N1779-X1779</f>
        <v>55.5</v>
      </c>
      <c r="Z1779">
        <f>SUMIF(货件明细!J:J,E1779,货件明细!I:I)</f>
        <v>0</v>
      </c>
      <c r="AA1779">
        <f>IF(S1779=Z1779,0,1)</f>
        <v>1</v>
      </c>
    </row>
    <row r="1780" hidden="1" spans="1:27">
      <c r="A1780">
        <v>4</v>
      </c>
      <c r="B1780">
        <v>15</v>
      </c>
      <c r="C1780" s="3">
        <v>46122</v>
      </c>
      <c r="D1780" t="s">
        <v>88</v>
      </c>
      <c r="E1780" t="s">
        <v>1903</v>
      </c>
      <c r="F1780" t="s">
        <v>211</v>
      </c>
      <c r="G1780" t="s">
        <v>72</v>
      </c>
      <c r="H1780" t="s">
        <v>37</v>
      </c>
      <c r="I1780" t="s">
        <v>63</v>
      </c>
      <c r="J1780" t="s">
        <v>63</v>
      </c>
      <c r="K1780" t="s">
        <v>64</v>
      </c>
      <c r="L1780" t="s">
        <v>147</v>
      </c>
      <c r="M1780" t="s">
        <v>774</v>
      </c>
      <c r="N1780">
        <v>137.15</v>
      </c>
      <c r="O1780">
        <v>15</v>
      </c>
      <c r="P1780">
        <v>693.622222222222</v>
      </c>
      <c r="Q1780">
        <v>708.622222222222</v>
      </c>
      <c r="R1780">
        <v>0</v>
      </c>
      <c r="S1780">
        <v>708.622222222222</v>
      </c>
      <c r="T1780">
        <v>1063</v>
      </c>
      <c r="U1780">
        <f>SUMIF(货件明细!J:J,E1780,货件明细!AP:AP)</f>
        <v>0</v>
      </c>
      <c r="V1780">
        <f>IF(U1780=T1780,0,1)</f>
        <v>1</v>
      </c>
      <c r="W1780">
        <f>T1780</f>
        <v>1063</v>
      </c>
      <c r="X1780">
        <f>SUMIF(货件明细!J:J,E1780,货件明细!H:H)</f>
        <v>0</v>
      </c>
      <c r="Y1780">
        <f>N1780-X1780</f>
        <v>137.15</v>
      </c>
      <c r="Z1780">
        <f>SUMIF(货件明细!J:J,E1780,货件明细!I:I)</f>
        <v>0</v>
      </c>
      <c r="AA1780">
        <f>IF(S1780=Z1780,0,1)</f>
        <v>1</v>
      </c>
    </row>
    <row r="1781" hidden="1" spans="1:27">
      <c r="A1781">
        <v>4</v>
      </c>
      <c r="B1781">
        <v>15</v>
      </c>
      <c r="C1781" s="3">
        <v>46122</v>
      </c>
      <c r="D1781" t="s">
        <v>88</v>
      </c>
      <c r="E1781" t="s">
        <v>1904</v>
      </c>
      <c r="F1781" t="s">
        <v>211</v>
      </c>
      <c r="G1781" t="s">
        <v>72</v>
      </c>
      <c r="H1781" t="s">
        <v>37</v>
      </c>
      <c r="I1781" t="s">
        <v>63</v>
      </c>
      <c r="J1781" t="s">
        <v>63</v>
      </c>
      <c r="K1781" t="s">
        <v>64</v>
      </c>
      <c r="L1781" t="s">
        <v>147</v>
      </c>
      <c r="M1781" t="s">
        <v>774</v>
      </c>
      <c r="N1781">
        <v>72.35</v>
      </c>
      <c r="O1781">
        <v>15</v>
      </c>
      <c r="P1781">
        <v>346.811111111111</v>
      </c>
      <c r="Q1781">
        <v>361.811111111111</v>
      </c>
      <c r="R1781">
        <v>0</v>
      </c>
      <c r="S1781">
        <v>361.811111111111</v>
      </c>
      <c r="T1781">
        <v>640</v>
      </c>
      <c r="U1781">
        <f>SUMIF(货件明细!J:J,E1781,货件明细!AP:AP)</f>
        <v>0</v>
      </c>
      <c r="V1781">
        <f>IF(U1781=T1781,0,1)</f>
        <v>1</v>
      </c>
      <c r="W1781">
        <f>T1781</f>
        <v>640</v>
      </c>
      <c r="X1781">
        <f>SUMIF(货件明细!J:J,E1781,货件明细!H:H)</f>
        <v>0</v>
      </c>
      <c r="Y1781">
        <f>N1781-X1781</f>
        <v>72.35</v>
      </c>
      <c r="Z1781">
        <f>SUMIF(货件明细!J:J,E1781,货件明细!I:I)</f>
        <v>0</v>
      </c>
      <c r="AA1781">
        <f>IF(S1781=Z1781,0,1)</f>
        <v>1</v>
      </c>
    </row>
    <row r="1782" hidden="1" spans="1:27">
      <c r="A1782">
        <v>4</v>
      </c>
      <c r="B1782">
        <v>15</v>
      </c>
      <c r="C1782" s="3">
        <v>46122</v>
      </c>
      <c r="D1782" t="s">
        <v>88</v>
      </c>
      <c r="E1782" t="s">
        <v>1905</v>
      </c>
      <c r="F1782" t="s">
        <v>211</v>
      </c>
      <c r="G1782" t="s">
        <v>72</v>
      </c>
      <c r="H1782" t="s">
        <v>31</v>
      </c>
      <c r="I1782" t="s">
        <v>63</v>
      </c>
      <c r="J1782" t="s">
        <v>63</v>
      </c>
      <c r="K1782" t="s">
        <v>64</v>
      </c>
      <c r="L1782" t="s">
        <v>147</v>
      </c>
      <c r="M1782" t="s">
        <v>774</v>
      </c>
      <c r="N1782">
        <v>65.85</v>
      </c>
      <c r="O1782">
        <v>15</v>
      </c>
      <c r="P1782">
        <v>297.266666666667</v>
      </c>
      <c r="Q1782">
        <v>312.266666666667</v>
      </c>
      <c r="R1782">
        <v>0</v>
      </c>
      <c r="S1782">
        <v>312.266666666667</v>
      </c>
      <c r="T1782">
        <v>469</v>
      </c>
      <c r="U1782">
        <f>SUMIF(货件明细!J:J,E1782,货件明细!AP:AP)</f>
        <v>0</v>
      </c>
      <c r="V1782">
        <f>IF(U1782=T1782,0,1)</f>
        <v>1</v>
      </c>
      <c r="W1782">
        <f>T1782</f>
        <v>469</v>
      </c>
      <c r="X1782">
        <f>SUMIF(货件明细!J:J,E1782,货件明细!H:H)</f>
        <v>0</v>
      </c>
      <c r="Y1782">
        <f>N1782-X1782</f>
        <v>65.85</v>
      </c>
      <c r="Z1782">
        <f>SUMIF(货件明细!J:J,E1782,货件明细!I:I)</f>
        <v>0</v>
      </c>
      <c r="AA1782">
        <f>IF(S1782=Z1782,0,1)</f>
        <v>1</v>
      </c>
    </row>
    <row r="1783" hidden="1" spans="1:27">
      <c r="A1783">
        <v>4</v>
      </c>
      <c r="B1783">
        <v>15</v>
      </c>
      <c r="C1783" s="3">
        <v>46122</v>
      </c>
      <c r="D1783" t="s">
        <v>88</v>
      </c>
      <c r="E1783" t="s">
        <v>1906</v>
      </c>
      <c r="F1783" t="s">
        <v>211</v>
      </c>
      <c r="G1783" t="s">
        <v>72</v>
      </c>
      <c r="H1783" t="s">
        <v>54</v>
      </c>
      <c r="I1783" t="s">
        <v>63</v>
      </c>
      <c r="J1783" t="s">
        <v>63</v>
      </c>
      <c r="K1783" t="s">
        <v>64</v>
      </c>
      <c r="L1783" t="s">
        <v>147</v>
      </c>
      <c r="M1783" t="s">
        <v>774</v>
      </c>
      <c r="N1783">
        <v>57.75</v>
      </c>
      <c r="O1783">
        <v>15</v>
      </c>
      <c r="P1783">
        <v>297.266666666667</v>
      </c>
      <c r="Q1783">
        <v>312.266666666667</v>
      </c>
      <c r="R1783">
        <v>0</v>
      </c>
      <c r="S1783">
        <v>312.266666666667</v>
      </c>
      <c r="T1783">
        <v>400</v>
      </c>
      <c r="U1783">
        <f>SUMIF(货件明细!J:J,E1783,货件明细!AP:AP)</f>
        <v>0</v>
      </c>
      <c r="V1783">
        <f>IF(U1783=T1783,0,1)</f>
        <v>1</v>
      </c>
      <c r="W1783">
        <f>T1783</f>
        <v>400</v>
      </c>
      <c r="X1783">
        <f>SUMIF(货件明细!J:J,E1783,货件明细!H:H)</f>
        <v>0</v>
      </c>
      <c r="Y1783">
        <f>N1783-X1783</f>
        <v>57.75</v>
      </c>
      <c r="Z1783">
        <f>SUMIF(货件明细!J:J,E1783,货件明细!I:I)</f>
        <v>0</v>
      </c>
      <c r="AA1783">
        <f>IF(S1783=Z1783,0,1)</f>
        <v>1</v>
      </c>
    </row>
    <row r="1784" hidden="1" spans="1:27">
      <c r="A1784">
        <v>4</v>
      </c>
      <c r="B1784">
        <v>15</v>
      </c>
      <c r="C1784" s="3">
        <v>46122</v>
      </c>
      <c r="D1784" t="s">
        <v>88</v>
      </c>
      <c r="E1784" t="s">
        <v>1907</v>
      </c>
      <c r="F1784" t="s">
        <v>211</v>
      </c>
      <c r="G1784" t="s">
        <v>72</v>
      </c>
      <c r="H1784" t="s">
        <v>59</v>
      </c>
      <c r="I1784" t="s">
        <v>63</v>
      </c>
      <c r="J1784" t="s">
        <v>63</v>
      </c>
      <c r="K1784" t="s">
        <v>64</v>
      </c>
      <c r="L1784" t="s">
        <v>147</v>
      </c>
      <c r="M1784" t="s">
        <v>774</v>
      </c>
      <c r="N1784">
        <v>52.95</v>
      </c>
      <c r="O1784">
        <v>15</v>
      </c>
      <c r="P1784">
        <v>297.266666666667</v>
      </c>
      <c r="Q1784">
        <v>312.266666666667</v>
      </c>
      <c r="R1784">
        <v>0</v>
      </c>
      <c r="S1784">
        <v>312.266666666667</v>
      </c>
      <c r="T1784">
        <v>481</v>
      </c>
      <c r="U1784">
        <f>SUMIF(货件明细!J:J,E1784,货件明细!AP:AP)</f>
        <v>0</v>
      </c>
      <c r="V1784">
        <f>IF(U1784=T1784,0,1)</f>
        <v>1</v>
      </c>
      <c r="W1784">
        <f>T1784</f>
        <v>481</v>
      </c>
      <c r="X1784">
        <f>SUMIF(货件明细!J:J,E1784,货件明细!H:H)</f>
        <v>0</v>
      </c>
      <c r="Y1784">
        <f>N1784-X1784</f>
        <v>52.95</v>
      </c>
      <c r="Z1784">
        <f>SUMIF(货件明细!J:J,E1784,货件明细!I:I)</f>
        <v>0</v>
      </c>
      <c r="AA1784">
        <f>IF(S1784=Z1784,0,1)</f>
        <v>1</v>
      </c>
    </row>
    <row r="1785" hidden="1" spans="1:27">
      <c r="A1785">
        <v>4</v>
      </c>
      <c r="B1785">
        <v>15</v>
      </c>
      <c r="C1785" s="3">
        <v>46122</v>
      </c>
      <c r="D1785" t="s">
        <v>88</v>
      </c>
      <c r="E1785" t="s">
        <v>1908</v>
      </c>
      <c r="F1785" t="s">
        <v>211</v>
      </c>
      <c r="G1785" t="s">
        <v>72</v>
      </c>
      <c r="H1785" t="s">
        <v>78</v>
      </c>
      <c r="I1785" t="s">
        <v>63</v>
      </c>
      <c r="J1785" t="s">
        <v>63</v>
      </c>
      <c r="K1785" t="s">
        <v>64</v>
      </c>
      <c r="L1785" t="s">
        <v>147</v>
      </c>
      <c r="M1785" t="s">
        <v>774</v>
      </c>
      <c r="N1785">
        <v>61.1</v>
      </c>
      <c r="O1785">
        <v>15</v>
      </c>
      <c r="P1785">
        <v>297.266666666667</v>
      </c>
      <c r="Q1785">
        <v>312.266666666667</v>
      </c>
      <c r="R1785">
        <v>0</v>
      </c>
      <c r="S1785">
        <v>312.266666666667</v>
      </c>
      <c r="T1785">
        <v>401</v>
      </c>
      <c r="U1785">
        <f>SUMIF(货件明细!J:J,E1785,货件明细!AP:AP)</f>
        <v>0</v>
      </c>
      <c r="V1785">
        <f>IF(U1785=T1785,0,1)</f>
        <v>1</v>
      </c>
      <c r="W1785">
        <f>T1785</f>
        <v>401</v>
      </c>
      <c r="X1785">
        <f>SUMIF(货件明细!J:J,E1785,货件明细!H:H)</f>
        <v>0</v>
      </c>
      <c r="Y1785">
        <f>N1785-X1785</f>
        <v>61.1</v>
      </c>
      <c r="Z1785">
        <f>SUMIF(货件明细!J:J,E1785,货件明细!I:I)</f>
        <v>0</v>
      </c>
      <c r="AA1785">
        <f>IF(S1785=Z1785,0,1)</f>
        <v>1</v>
      </c>
    </row>
    <row r="1786" hidden="1" spans="1:27">
      <c r="A1786">
        <v>4</v>
      </c>
      <c r="B1786">
        <v>15</v>
      </c>
      <c r="C1786" s="3">
        <v>46122</v>
      </c>
      <c r="D1786" t="s">
        <v>88</v>
      </c>
      <c r="E1786" t="s">
        <v>1909</v>
      </c>
      <c r="F1786" t="s">
        <v>211</v>
      </c>
      <c r="G1786" t="s">
        <v>72</v>
      </c>
      <c r="H1786" t="s">
        <v>56</v>
      </c>
      <c r="I1786" t="s">
        <v>63</v>
      </c>
      <c r="J1786" t="s">
        <v>63</v>
      </c>
      <c r="K1786" t="s">
        <v>64</v>
      </c>
      <c r="L1786" t="s">
        <v>147</v>
      </c>
      <c r="M1786" t="s">
        <v>774</v>
      </c>
      <c r="N1786">
        <v>94.4</v>
      </c>
      <c r="O1786">
        <v>15</v>
      </c>
      <c r="P1786">
        <v>396.355555555556</v>
      </c>
      <c r="Q1786">
        <v>411.355555555556</v>
      </c>
      <c r="R1786">
        <v>0</v>
      </c>
      <c r="S1786">
        <v>411.355555555556</v>
      </c>
      <c r="T1786">
        <v>521</v>
      </c>
      <c r="U1786">
        <f>SUMIF(货件明细!J:J,E1786,货件明细!AP:AP)</f>
        <v>0</v>
      </c>
      <c r="V1786">
        <f>IF(U1786=T1786,0,1)</f>
        <v>1</v>
      </c>
      <c r="W1786">
        <f>T1786</f>
        <v>521</v>
      </c>
      <c r="X1786">
        <f>SUMIF(货件明细!J:J,E1786,货件明细!H:H)</f>
        <v>0</v>
      </c>
      <c r="Y1786">
        <f>N1786-X1786</f>
        <v>94.4</v>
      </c>
      <c r="Z1786">
        <f>SUMIF(货件明细!J:J,E1786,货件明细!I:I)</f>
        <v>0</v>
      </c>
      <c r="AA1786">
        <f>IF(S1786=Z1786,0,1)</f>
        <v>1</v>
      </c>
    </row>
    <row r="1787" hidden="1" spans="1:27">
      <c r="A1787">
        <v>4</v>
      </c>
      <c r="B1787">
        <v>15</v>
      </c>
      <c r="C1787" s="3">
        <v>46122</v>
      </c>
      <c r="D1787" t="s">
        <v>88</v>
      </c>
      <c r="E1787" t="s">
        <v>1910</v>
      </c>
      <c r="F1787" t="s">
        <v>211</v>
      </c>
      <c r="G1787" t="s">
        <v>72</v>
      </c>
      <c r="H1787" t="s">
        <v>39</v>
      </c>
      <c r="I1787" t="s">
        <v>63</v>
      </c>
      <c r="J1787" t="s">
        <v>63</v>
      </c>
      <c r="K1787" t="s">
        <v>64</v>
      </c>
      <c r="L1787" t="s">
        <v>147</v>
      </c>
      <c r="M1787" t="s">
        <v>774</v>
      </c>
      <c r="N1787">
        <v>99.15</v>
      </c>
      <c r="O1787">
        <v>15</v>
      </c>
      <c r="P1787">
        <v>297.266666666667</v>
      </c>
      <c r="Q1787">
        <v>312.266666666667</v>
      </c>
      <c r="R1787">
        <v>0</v>
      </c>
      <c r="S1787">
        <v>312.266666666667</v>
      </c>
      <c r="T1787">
        <v>270</v>
      </c>
      <c r="U1787">
        <f>SUMIF(货件明细!J:J,E1787,货件明细!AP:AP)</f>
        <v>0</v>
      </c>
      <c r="V1787">
        <f>IF(U1787=T1787,0,1)</f>
        <v>1</v>
      </c>
      <c r="W1787">
        <f>T1787</f>
        <v>270</v>
      </c>
      <c r="X1787">
        <f>SUMIF(货件明细!J:J,E1787,货件明细!H:H)</f>
        <v>0</v>
      </c>
      <c r="Y1787">
        <f>N1787-X1787</f>
        <v>99.15</v>
      </c>
      <c r="Z1787">
        <f>SUMIF(货件明细!J:J,E1787,货件明细!I:I)</f>
        <v>0</v>
      </c>
      <c r="AA1787">
        <f>IF(S1787=Z1787,0,1)</f>
        <v>1</v>
      </c>
    </row>
    <row r="1788" hidden="1" spans="1:27">
      <c r="A1788">
        <v>4</v>
      </c>
      <c r="B1788">
        <v>15</v>
      </c>
      <c r="C1788" s="3">
        <v>46122</v>
      </c>
      <c r="D1788" t="s">
        <v>88</v>
      </c>
      <c r="E1788" t="s">
        <v>1911</v>
      </c>
      <c r="F1788" t="s">
        <v>211</v>
      </c>
      <c r="G1788" t="s">
        <v>72</v>
      </c>
      <c r="H1788" t="s">
        <v>39</v>
      </c>
      <c r="I1788" t="s">
        <v>63</v>
      </c>
      <c r="J1788" t="s">
        <v>63</v>
      </c>
      <c r="K1788" t="s">
        <v>64</v>
      </c>
      <c r="L1788" t="s">
        <v>147</v>
      </c>
      <c r="M1788" t="s">
        <v>774</v>
      </c>
      <c r="N1788">
        <v>186.55</v>
      </c>
      <c r="O1788">
        <v>15</v>
      </c>
      <c r="P1788">
        <v>445.9</v>
      </c>
      <c r="Q1788">
        <v>460.9</v>
      </c>
      <c r="R1788">
        <v>0</v>
      </c>
      <c r="S1788">
        <v>460.9</v>
      </c>
      <c r="T1788">
        <v>380</v>
      </c>
      <c r="U1788">
        <f>SUMIF(货件明细!J:J,E1788,货件明细!AP:AP)</f>
        <v>0</v>
      </c>
      <c r="V1788">
        <f>IF(U1788=T1788,0,1)</f>
        <v>1</v>
      </c>
      <c r="W1788">
        <f>T1788</f>
        <v>380</v>
      </c>
      <c r="X1788">
        <f>SUMIF(货件明细!J:J,E1788,货件明细!H:H)</f>
        <v>0</v>
      </c>
      <c r="Y1788">
        <f>N1788-X1788</f>
        <v>186.55</v>
      </c>
      <c r="Z1788">
        <f>SUMIF(货件明细!J:J,E1788,货件明细!I:I)</f>
        <v>0</v>
      </c>
      <c r="AA1788">
        <f>IF(S1788=Z1788,0,1)</f>
        <v>1</v>
      </c>
    </row>
    <row r="1789" hidden="1" spans="1:27">
      <c r="A1789">
        <v>4</v>
      </c>
      <c r="B1789">
        <v>15</v>
      </c>
      <c r="C1789" s="3">
        <v>46122</v>
      </c>
      <c r="D1789" t="s">
        <v>27</v>
      </c>
      <c r="E1789" t="s">
        <v>1912</v>
      </c>
      <c r="F1789" t="s">
        <v>74</v>
      </c>
      <c r="G1789" t="s">
        <v>30</v>
      </c>
      <c r="H1789" t="s">
        <v>51</v>
      </c>
      <c r="I1789" t="s">
        <v>63</v>
      </c>
      <c r="J1789" t="s">
        <v>146</v>
      </c>
      <c r="K1789" t="s">
        <v>64</v>
      </c>
      <c r="L1789" t="s">
        <v>147</v>
      </c>
      <c r="M1789" t="s">
        <v>148</v>
      </c>
      <c r="N1789">
        <v>11.45</v>
      </c>
      <c r="O1789">
        <v>13.6363636363636</v>
      </c>
      <c r="P1789">
        <v>148</v>
      </c>
      <c r="Q1789">
        <v>161.636363636364</v>
      </c>
      <c r="R1789">
        <v>0</v>
      </c>
      <c r="S1789">
        <v>161.636363636364</v>
      </c>
      <c r="T1789">
        <v>78</v>
      </c>
      <c r="U1789">
        <f>SUMIF(货件明细!J:J,E1789,货件明细!AP:AP)</f>
        <v>0</v>
      </c>
      <c r="V1789">
        <f>IF(U1789=T1789,0,1)</f>
        <v>1</v>
      </c>
      <c r="W1789">
        <f>T1789</f>
        <v>78</v>
      </c>
      <c r="X1789">
        <f>SUMIF(货件明细!J:J,E1789,货件明细!H:H)</f>
        <v>0</v>
      </c>
      <c r="Y1789">
        <f>N1789-X1789</f>
        <v>11.45</v>
      </c>
      <c r="Z1789">
        <f>SUMIF(货件明细!J:J,E1789,货件明细!I:I)</f>
        <v>0</v>
      </c>
      <c r="AA1789">
        <f>IF(S1789=Z1789,0,1)</f>
        <v>1</v>
      </c>
    </row>
    <row r="1790" hidden="1" spans="1:27">
      <c r="A1790">
        <v>4</v>
      </c>
      <c r="B1790">
        <v>15</v>
      </c>
      <c r="C1790" s="3">
        <v>46122</v>
      </c>
      <c r="D1790" t="s">
        <v>27</v>
      </c>
      <c r="E1790" t="s">
        <v>1913</v>
      </c>
      <c r="F1790" t="s">
        <v>71</v>
      </c>
      <c r="G1790" t="s">
        <v>72</v>
      </c>
      <c r="H1790" t="s">
        <v>51</v>
      </c>
      <c r="I1790" t="s">
        <v>63</v>
      </c>
      <c r="J1790" t="s">
        <v>146</v>
      </c>
      <c r="K1790" t="s">
        <v>64</v>
      </c>
      <c r="L1790" t="s">
        <v>147</v>
      </c>
      <c r="M1790" t="s">
        <v>1545</v>
      </c>
      <c r="N1790">
        <v>11.45</v>
      </c>
      <c r="O1790">
        <v>4.54545454545455</v>
      </c>
      <c r="P1790">
        <v>100.8</v>
      </c>
      <c r="Q1790">
        <v>105.345454545455</v>
      </c>
      <c r="R1790">
        <v>0</v>
      </c>
      <c r="S1790">
        <v>105.345454545455</v>
      </c>
      <c r="T1790">
        <v>78</v>
      </c>
      <c r="U1790">
        <f>SUMIF(货件明细!J:J,E1790,货件明细!AP:AP)</f>
        <v>0</v>
      </c>
      <c r="V1790">
        <f>IF(U1790=T1790,0,1)</f>
        <v>1</v>
      </c>
      <c r="W1790">
        <f>T1790</f>
        <v>78</v>
      </c>
      <c r="X1790">
        <f>SUMIF(货件明细!J:J,E1790,货件明细!H:H)</f>
        <v>0</v>
      </c>
      <c r="Y1790">
        <f>N1790-X1790</f>
        <v>11.45</v>
      </c>
      <c r="Z1790">
        <f>SUMIF(货件明细!J:J,E1790,货件明细!I:I)</f>
        <v>0</v>
      </c>
      <c r="AA1790">
        <f>IF(S1790=Z1790,0,1)</f>
        <v>1</v>
      </c>
    </row>
    <row r="1791" hidden="1" spans="1:27">
      <c r="A1791">
        <v>4</v>
      </c>
      <c r="B1791">
        <v>15</v>
      </c>
      <c r="C1791" s="3">
        <v>46122</v>
      </c>
      <c r="D1791" t="s">
        <v>27</v>
      </c>
      <c r="E1791" t="s">
        <v>1914</v>
      </c>
      <c r="F1791" t="s">
        <v>62</v>
      </c>
      <c r="G1791" t="s">
        <v>30</v>
      </c>
      <c r="H1791" t="s">
        <v>51</v>
      </c>
      <c r="I1791" t="s">
        <v>63</v>
      </c>
      <c r="J1791" t="s">
        <v>146</v>
      </c>
      <c r="K1791" t="s">
        <v>64</v>
      </c>
      <c r="L1791" t="s">
        <v>147</v>
      </c>
      <c r="M1791" t="s">
        <v>148</v>
      </c>
      <c r="N1791">
        <v>11.45</v>
      </c>
      <c r="O1791">
        <v>13.6363636363636</v>
      </c>
      <c r="P1791">
        <v>152.8</v>
      </c>
      <c r="Q1791">
        <v>166.436363636364</v>
      </c>
      <c r="R1791">
        <v>0</v>
      </c>
      <c r="S1791">
        <v>166.436363636364</v>
      </c>
      <c r="T1791">
        <v>78</v>
      </c>
      <c r="U1791">
        <f>SUMIF(货件明细!J:J,E1791,货件明细!AP:AP)</f>
        <v>0</v>
      </c>
      <c r="V1791">
        <f>IF(U1791=T1791,0,1)</f>
        <v>1</v>
      </c>
      <c r="W1791">
        <f>T1791</f>
        <v>78</v>
      </c>
      <c r="X1791">
        <f>SUMIF(货件明细!J:J,E1791,货件明细!H:H)</f>
        <v>0</v>
      </c>
      <c r="Y1791">
        <f>N1791-X1791</f>
        <v>11.45</v>
      </c>
      <c r="Z1791">
        <f>SUMIF(货件明细!J:J,E1791,货件明细!I:I)</f>
        <v>0</v>
      </c>
      <c r="AA1791">
        <f>IF(S1791=Z1791,0,1)</f>
        <v>1</v>
      </c>
    </row>
    <row r="1792" hidden="1" spans="1:27">
      <c r="A1792">
        <v>4</v>
      </c>
      <c r="B1792">
        <v>15</v>
      </c>
      <c r="C1792" s="3">
        <v>46122</v>
      </c>
      <c r="D1792" t="s">
        <v>27</v>
      </c>
      <c r="E1792" t="s">
        <v>1915</v>
      </c>
      <c r="F1792" t="s">
        <v>187</v>
      </c>
      <c r="G1792" t="s">
        <v>72</v>
      </c>
      <c r="H1792" t="s">
        <v>51</v>
      </c>
      <c r="I1792" t="s">
        <v>63</v>
      </c>
      <c r="J1792" t="s">
        <v>146</v>
      </c>
      <c r="K1792" t="s">
        <v>64</v>
      </c>
      <c r="L1792" t="s">
        <v>147</v>
      </c>
      <c r="M1792" t="s">
        <v>1545</v>
      </c>
      <c r="N1792">
        <v>11.45</v>
      </c>
      <c r="O1792">
        <v>4.54545454545455</v>
      </c>
      <c r="P1792">
        <v>91.2</v>
      </c>
      <c r="Q1792">
        <v>95.7454545454545</v>
      </c>
      <c r="R1792">
        <v>0</v>
      </c>
      <c r="S1792">
        <v>95.7454545454545</v>
      </c>
      <c r="T1792">
        <v>78</v>
      </c>
      <c r="U1792">
        <f>SUMIF(货件明细!J:J,E1792,货件明细!AP:AP)</f>
        <v>0</v>
      </c>
      <c r="V1792">
        <f>IF(U1792=T1792,0,1)</f>
        <v>1</v>
      </c>
      <c r="W1792">
        <f>T1792</f>
        <v>78</v>
      </c>
      <c r="X1792">
        <f>SUMIF(货件明细!J:J,E1792,货件明细!H:H)</f>
        <v>0</v>
      </c>
      <c r="Y1792">
        <f>N1792-X1792</f>
        <v>11.45</v>
      </c>
      <c r="Z1792">
        <f>SUMIF(货件明细!J:J,E1792,货件明细!I:I)</f>
        <v>0</v>
      </c>
      <c r="AA1792">
        <f>IF(S1792=Z1792,0,1)</f>
        <v>1</v>
      </c>
    </row>
    <row r="1793" hidden="1" spans="1:27">
      <c r="A1793">
        <v>4</v>
      </c>
      <c r="B1793">
        <v>15</v>
      </c>
      <c r="C1793" s="3">
        <v>46122</v>
      </c>
      <c r="D1793" t="s">
        <v>27</v>
      </c>
      <c r="E1793" t="s">
        <v>1916</v>
      </c>
      <c r="F1793" t="s">
        <v>250</v>
      </c>
      <c r="G1793" t="s">
        <v>72</v>
      </c>
      <c r="H1793" t="s">
        <v>51</v>
      </c>
      <c r="I1793" t="s">
        <v>63</v>
      </c>
      <c r="J1793" t="s">
        <v>146</v>
      </c>
      <c r="K1793" t="s">
        <v>64</v>
      </c>
      <c r="L1793" t="s">
        <v>147</v>
      </c>
      <c r="M1793" t="s">
        <v>1545</v>
      </c>
      <c r="N1793">
        <v>11.45</v>
      </c>
      <c r="O1793">
        <v>4.54545454545455</v>
      </c>
      <c r="P1793">
        <v>100.8</v>
      </c>
      <c r="Q1793">
        <v>105.345454545455</v>
      </c>
      <c r="R1793">
        <v>0</v>
      </c>
      <c r="S1793">
        <v>105.345454545455</v>
      </c>
      <c r="T1793">
        <v>78</v>
      </c>
      <c r="U1793">
        <f>SUMIF(货件明细!J:J,E1793,货件明细!AP:AP)</f>
        <v>0</v>
      </c>
      <c r="V1793">
        <f>IF(U1793=T1793,0,1)</f>
        <v>1</v>
      </c>
      <c r="W1793">
        <f>T1793</f>
        <v>78</v>
      </c>
      <c r="X1793">
        <f>SUMIF(货件明细!J:J,E1793,货件明细!H:H)</f>
        <v>0</v>
      </c>
      <c r="Y1793">
        <f>N1793-X1793</f>
        <v>11.45</v>
      </c>
      <c r="Z1793">
        <f>SUMIF(货件明细!J:J,E1793,货件明细!I:I)</f>
        <v>0</v>
      </c>
      <c r="AA1793">
        <f>IF(S1793=Z1793,0,1)</f>
        <v>1</v>
      </c>
    </row>
    <row r="1794" hidden="1" spans="1:27">
      <c r="A1794">
        <v>4</v>
      </c>
      <c r="B1794">
        <v>15</v>
      </c>
      <c r="C1794" s="3">
        <v>46122</v>
      </c>
      <c r="D1794" t="s">
        <v>27</v>
      </c>
      <c r="E1794" t="s">
        <v>1917</v>
      </c>
      <c r="F1794" t="s">
        <v>250</v>
      </c>
      <c r="G1794" t="s">
        <v>72</v>
      </c>
      <c r="H1794" t="s">
        <v>37</v>
      </c>
      <c r="I1794" t="s">
        <v>63</v>
      </c>
      <c r="J1794" t="s">
        <v>146</v>
      </c>
      <c r="K1794" t="s">
        <v>64</v>
      </c>
      <c r="L1794" t="s">
        <v>147</v>
      </c>
      <c r="M1794" t="s">
        <v>1545</v>
      </c>
      <c r="N1794">
        <v>11.45</v>
      </c>
      <c r="O1794">
        <v>4.54545454545455</v>
      </c>
      <c r="P1794">
        <v>50.4</v>
      </c>
      <c r="Q1794">
        <v>54.9454545454545</v>
      </c>
      <c r="R1794">
        <v>0</v>
      </c>
      <c r="S1794">
        <v>54.9454545454545</v>
      </c>
      <c r="T1794">
        <v>92</v>
      </c>
      <c r="U1794">
        <f>SUMIF(货件明细!J:J,E1794,货件明细!AP:AP)</f>
        <v>0</v>
      </c>
      <c r="V1794">
        <f>IF(U1794=T1794,0,1)</f>
        <v>1</v>
      </c>
      <c r="W1794">
        <f>T1794</f>
        <v>92</v>
      </c>
      <c r="X1794">
        <f>SUMIF(货件明细!J:J,E1794,货件明细!H:H)</f>
        <v>0</v>
      </c>
      <c r="Y1794">
        <f>N1794-X1794</f>
        <v>11.45</v>
      </c>
      <c r="Z1794">
        <f>SUMIF(货件明细!J:J,E1794,货件明细!I:I)</f>
        <v>0</v>
      </c>
      <c r="AA1794">
        <f>IF(S1794=Z1794,0,1)</f>
        <v>1</v>
      </c>
    </row>
    <row r="1795" hidden="1" spans="1:27">
      <c r="A1795">
        <v>4</v>
      </c>
      <c r="B1795">
        <v>15</v>
      </c>
      <c r="C1795" s="3">
        <v>46122</v>
      </c>
      <c r="D1795" t="s">
        <v>27</v>
      </c>
      <c r="E1795" t="s">
        <v>1918</v>
      </c>
      <c r="F1795" t="s">
        <v>74</v>
      </c>
      <c r="G1795" t="s">
        <v>30</v>
      </c>
      <c r="H1795" t="s">
        <v>37</v>
      </c>
      <c r="I1795" t="s">
        <v>63</v>
      </c>
      <c r="J1795" t="s">
        <v>146</v>
      </c>
      <c r="K1795" t="s">
        <v>64</v>
      </c>
      <c r="L1795" t="s">
        <v>147</v>
      </c>
      <c r="M1795" t="s">
        <v>148</v>
      </c>
      <c r="N1795">
        <v>11.45</v>
      </c>
      <c r="O1795">
        <v>13.6363636363636</v>
      </c>
      <c r="P1795">
        <v>74</v>
      </c>
      <c r="Q1795">
        <v>87.6363636363636</v>
      </c>
      <c r="R1795">
        <v>0</v>
      </c>
      <c r="S1795">
        <v>87.6363636363636</v>
      </c>
      <c r="T1795">
        <v>92</v>
      </c>
      <c r="U1795">
        <f>SUMIF(货件明细!J:J,E1795,货件明细!AP:AP)</f>
        <v>0</v>
      </c>
      <c r="V1795">
        <f>IF(U1795=T1795,0,1)</f>
        <v>1</v>
      </c>
      <c r="W1795">
        <f>T1795</f>
        <v>92</v>
      </c>
      <c r="X1795">
        <f>SUMIF(货件明细!J:J,E1795,货件明细!H:H)</f>
        <v>0</v>
      </c>
      <c r="Y1795">
        <f>N1795-X1795</f>
        <v>11.45</v>
      </c>
      <c r="Z1795">
        <f>SUMIF(货件明细!J:J,E1795,货件明细!I:I)</f>
        <v>0</v>
      </c>
      <c r="AA1795">
        <f>IF(S1795=Z1795,0,1)</f>
        <v>1</v>
      </c>
    </row>
    <row r="1796" hidden="1" spans="1:27">
      <c r="A1796">
        <v>4</v>
      </c>
      <c r="B1796">
        <v>15</v>
      </c>
      <c r="C1796" s="3">
        <v>46122</v>
      </c>
      <c r="D1796" t="s">
        <v>27</v>
      </c>
      <c r="E1796" t="s">
        <v>1919</v>
      </c>
      <c r="F1796" t="s">
        <v>187</v>
      </c>
      <c r="G1796" t="s">
        <v>72</v>
      </c>
      <c r="H1796" t="s">
        <v>37</v>
      </c>
      <c r="I1796" t="s">
        <v>63</v>
      </c>
      <c r="J1796" t="s">
        <v>146</v>
      </c>
      <c r="K1796" t="s">
        <v>64</v>
      </c>
      <c r="L1796" t="s">
        <v>147</v>
      </c>
      <c r="M1796" t="s">
        <v>1545</v>
      </c>
      <c r="N1796">
        <v>11.45</v>
      </c>
      <c r="O1796">
        <v>4.54545454545455</v>
      </c>
      <c r="P1796">
        <v>45.6</v>
      </c>
      <c r="Q1796">
        <v>50.1454545454545</v>
      </c>
      <c r="R1796">
        <v>0</v>
      </c>
      <c r="S1796">
        <v>50.1454545454545</v>
      </c>
      <c r="T1796">
        <v>92</v>
      </c>
      <c r="U1796">
        <f>SUMIF(货件明细!J:J,E1796,货件明细!AP:AP)</f>
        <v>0</v>
      </c>
      <c r="V1796">
        <f>IF(U1796=T1796,0,1)</f>
        <v>1</v>
      </c>
      <c r="W1796">
        <f>T1796</f>
        <v>92</v>
      </c>
      <c r="X1796">
        <f>SUMIF(货件明细!J:J,E1796,货件明细!H:H)</f>
        <v>0</v>
      </c>
      <c r="Y1796">
        <f>N1796-X1796</f>
        <v>11.45</v>
      </c>
      <c r="Z1796">
        <f>SUMIF(货件明细!J:J,E1796,货件明细!I:I)</f>
        <v>0</v>
      </c>
      <c r="AA1796">
        <f>IF(S1796=Z1796,0,1)</f>
        <v>1</v>
      </c>
    </row>
    <row r="1797" hidden="1" spans="1:27">
      <c r="A1797">
        <v>4</v>
      </c>
      <c r="B1797">
        <v>15</v>
      </c>
      <c r="C1797" s="3">
        <v>46122</v>
      </c>
      <c r="D1797" t="s">
        <v>27</v>
      </c>
      <c r="E1797" t="s">
        <v>1920</v>
      </c>
      <c r="F1797" t="s">
        <v>71</v>
      </c>
      <c r="G1797" t="s">
        <v>72</v>
      </c>
      <c r="H1797" t="s">
        <v>37</v>
      </c>
      <c r="I1797" t="s">
        <v>63</v>
      </c>
      <c r="J1797" t="s">
        <v>146</v>
      </c>
      <c r="K1797" t="s">
        <v>64</v>
      </c>
      <c r="L1797" t="s">
        <v>147</v>
      </c>
      <c r="M1797" t="s">
        <v>1545</v>
      </c>
      <c r="N1797">
        <v>11.45</v>
      </c>
      <c r="O1797">
        <v>4.54545454545455</v>
      </c>
      <c r="P1797">
        <v>50.4</v>
      </c>
      <c r="Q1797">
        <v>54.9454545454545</v>
      </c>
      <c r="R1797">
        <v>0</v>
      </c>
      <c r="S1797">
        <v>54.9454545454545</v>
      </c>
      <c r="T1797">
        <v>92</v>
      </c>
      <c r="U1797">
        <f>SUMIF(货件明细!J:J,E1797,货件明细!AP:AP)</f>
        <v>0</v>
      </c>
      <c r="V1797">
        <f>IF(U1797=T1797,0,1)</f>
        <v>1</v>
      </c>
      <c r="W1797">
        <f>T1797</f>
        <v>92</v>
      </c>
      <c r="X1797">
        <f>SUMIF(货件明细!J:J,E1797,货件明细!H:H)</f>
        <v>0</v>
      </c>
      <c r="Y1797">
        <f>N1797-X1797</f>
        <v>11.45</v>
      </c>
      <c r="Z1797">
        <f>SUMIF(货件明细!J:J,E1797,货件明细!I:I)</f>
        <v>0</v>
      </c>
      <c r="AA1797">
        <f>IF(S1797=Z1797,0,1)</f>
        <v>1</v>
      </c>
    </row>
    <row r="1798" hidden="1" spans="1:27">
      <c r="A1798">
        <v>4</v>
      </c>
      <c r="B1798">
        <v>15</v>
      </c>
      <c r="C1798" s="3">
        <v>46122</v>
      </c>
      <c r="D1798" t="s">
        <v>27</v>
      </c>
      <c r="E1798" t="s">
        <v>1921</v>
      </c>
      <c r="F1798" t="s">
        <v>62</v>
      </c>
      <c r="G1798" t="s">
        <v>30</v>
      </c>
      <c r="H1798" t="s">
        <v>37</v>
      </c>
      <c r="I1798" t="s">
        <v>63</v>
      </c>
      <c r="J1798" t="s">
        <v>146</v>
      </c>
      <c r="K1798" t="s">
        <v>64</v>
      </c>
      <c r="L1798" t="s">
        <v>147</v>
      </c>
      <c r="M1798" t="s">
        <v>148</v>
      </c>
      <c r="N1798">
        <v>11.45</v>
      </c>
      <c r="O1798">
        <v>13.6363636363636</v>
      </c>
      <c r="P1798">
        <v>76.4</v>
      </c>
      <c r="Q1798">
        <v>90.0363636363636</v>
      </c>
      <c r="R1798">
        <v>0</v>
      </c>
      <c r="S1798">
        <v>90.0363636363636</v>
      </c>
      <c r="T1798">
        <v>92</v>
      </c>
      <c r="U1798">
        <f>SUMIF(货件明细!J:J,E1798,货件明细!AP:AP)</f>
        <v>0</v>
      </c>
      <c r="V1798">
        <f>IF(U1798=T1798,0,1)</f>
        <v>1</v>
      </c>
      <c r="W1798">
        <f>T1798</f>
        <v>92</v>
      </c>
      <c r="X1798">
        <f>SUMIF(货件明细!J:J,E1798,货件明细!H:H)</f>
        <v>0</v>
      </c>
      <c r="Y1798">
        <f>N1798-X1798</f>
        <v>11.45</v>
      </c>
      <c r="Z1798">
        <f>SUMIF(货件明细!J:J,E1798,货件明细!I:I)</f>
        <v>0</v>
      </c>
      <c r="AA1798">
        <f>IF(S1798=Z1798,0,1)</f>
        <v>1</v>
      </c>
    </row>
    <row r="1799" hidden="1" spans="1:27">
      <c r="A1799">
        <v>4</v>
      </c>
      <c r="B1799">
        <v>15</v>
      </c>
      <c r="C1799" s="3">
        <v>46122</v>
      </c>
      <c r="D1799" t="s">
        <v>27</v>
      </c>
      <c r="E1799" t="s">
        <v>1922</v>
      </c>
      <c r="F1799" t="s">
        <v>71</v>
      </c>
      <c r="G1799" t="s">
        <v>72</v>
      </c>
      <c r="H1799" t="s">
        <v>56</v>
      </c>
      <c r="I1799" t="s">
        <v>146</v>
      </c>
      <c r="J1799" t="s">
        <v>146</v>
      </c>
      <c r="K1799" t="s">
        <v>64</v>
      </c>
      <c r="L1799" t="s">
        <v>147</v>
      </c>
      <c r="M1799" t="s">
        <v>1545</v>
      </c>
      <c r="N1799">
        <v>36.15</v>
      </c>
      <c r="O1799">
        <v>4.54545454545455</v>
      </c>
      <c r="P1799">
        <v>176.4</v>
      </c>
      <c r="Q1799">
        <v>180.945454545455</v>
      </c>
      <c r="R1799">
        <v>0</v>
      </c>
      <c r="S1799">
        <v>180.945454545455</v>
      </c>
      <c r="T1799">
        <v>163</v>
      </c>
      <c r="U1799">
        <f>SUMIF(货件明细!J:J,E1799,货件明细!AP:AP)</f>
        <v>0</v>
      </c>
      <c r="V1799">
        <f>IF(U1799=T1799,0,1)</f>
        <v>1</v>
      </c>
      <c r="W1799">
        <f>T1799</f>
        <v>163</v>
      </c>
      <c r="X1799">
        <f>SUMIF(货件明细!J:J,E1799,货件明细!H:H)</f>
        <v>0</v>
      </c>
      <c r="Y1799">
        <f>N1799-X1799</f>
        <v>36.15</v>
      </c>
      <c r="Z1799">
        <f>SUMIF(货件明细!J:J,E1799,货件明细!I:I)</f>
        <v>0</v>
      </c>
      <c r="AA1799">
        <f>IF(S1799=Z1799,0,1)</f>
        <v>1</v>
      </c>
    </row>
    <row r="1800" hidden="1" spans="1:27">
      <c r="A1800">
        <v>4</v>
      </c>
      <c r="B1800">
        <v>15</v>
      </c>
      <c r="C1800" s="3">
        <v>46122</v>
      </c>
      <c r="D1800" t="s">
        <v>27</v>
      </c>
      <c r="E1800" t="s">
        <v>1923</v>
      </c>
      <c r="F1800" t="s">
        <v>62</v>
      </c>
      <c r="G1800" t="s">
        <v>30</v>
      </c>
      <c r="H1800" t="s">
        <v>56</v>
      </c>
      <c r="I1800" t="s">
        <v>146</v>
      </c>
      <c r="J1800" t="s">
        <v>146</v>
      </c>
      <c r="K1800" t="s">
        <v>64</v>
      </c>
      <c r="L1800" t="s">
        <v>147</v>
      </c>
      <c r="M1800" t="s">
        <v>148</v>
      </c>
      <c r="N1800">
        <v>36.15</v>
      </c>
      <c r="O1800">
        <v>13.6363636363636</v>
      </c>
      <c r="P1800">
        <v>267.4</v>
      </c>
      <c r="Q1800">
        <v>281.036363636364</v>
      </c>
      <c r="R1800">
        <v>0</v>
      </c>
      <c r="S1800">
        <v>281.036363636364</v>
      </c>
      <c r="T1800">
        <v>163</v>
      </c>
      <c r="U1800">
        <f>SUMIF(货件明细!J:J,E1800,货件明细!AP:AP)</f>
        <v>0</v>
      </c>
      <c r="V1800">
        <f>IF(U1800=T1800,0,1)</f>
        <v>1</v>
      </c>
      <c r="W1800">
        <f>T1800</f>
        <v>163</v>
      </c>
      <c r="X1800">
        <f>SUMIF(货件明细!J:J,E1800,货件明细!H:H)</f>
        <v>0</v>
      </c>
      <c r="Y1800">
        <f>N1800-X1800</f>
        <v>36.15</v>
      </c>
      <c r="Z1800">
        <f>SUMIF(货件明细!J:J,E1800,货件明细!I:I)</f>
        <v>0</v>
      </c>
      <c r="AA1800">
        <f>IF(S1800=Z1800,0,1)</f>
        <v>1</v>
      </c>
    </row>
    <row r="1801" hidden="1" spans="1:27">
      <c r="A1801">
        <v>4</v>
      </c>
      <c r="B1801">
        <v>15</v>
      </c>
      <c r="C1801" s="3">
        <v>46122</v>
      </c>
      <c r="D1801" t="s">
        <v>27</v>
      </c>
      <c r="E1801" t="s">
        <v>1924</v>
      </c>
      <c r="F1801" t="s">
        <v>187</v>
      </c>
      <c r="G1801" t="s">
        <v>72</v>
      </c>
      <c r="H1801" t="s">
        <v>56</v>
      </c>
      <c r="I1801" t="s">
        <v>146</v>
      </c>
      <c r="J1801" t="s">
        <v>146</v>
      </c>
      <c r="K1801" t="s">
        <v>64</v>
      </c>
      <c r="L1801" t="s">
        <v>147</v>
      </c>
      <c r="M1801" t="s">
        <v>1545</v>
      </c>
      <c r="N1801">
        <v>36.15</v>
      </c>
      <c r="O1801">
        <v>4.54545454545455</v>
      </c>
      <c r="P1801">
        <v>159.6</v>
      </c>
      <c r="Q1801">
        <v>164.145454545455</v>
      </c>
      <c r="R1801">
        <v>0</v>
      </c>
      <c r="S1801">
        <v>164.145454545455</v>
      </c>
      <c r="T1801">
        <v>163</v>
      </c>
      <c r="U1801">
        <f>SUMIF(货件明细!J:J,E1801,货件明细!AP:AP)</f>
        <v>0</v>
      </c>
      <c r="V1801">
        <f>IF(U1801=T1801,0,1)</f>
        <v>1</v>
      </c>
      <c r="W1801">
        <f>T1801</f>
        <v>163</v>
      </c>
      <c r="X1801">
        <f>SUMIF(货件明细!J:J,E1801,货件明细!H:H)</f>
        <v>0</v>
      </c>
      <c r="Y1801">
        <f>N1801-X1801</f>
        <v>36.15</v>
      </c>
      <c r="Z1801">
        <f>SUMIF(货件明细!J:J,E1801,货件明细!I:I)</f>
        <v>0</v>
      </c>
      <c r="AA1801">
        <f>IF(S1801=Z1801,0,1)</f>
        <v>1</v>
      </c>
    </row>
    <row r="1802" hidden="1" spans="1:27">
      <c r="A1802">
        <v>4</v>
      </c>
      <c r="B1802">
        <v>15</v>
      </c>
      <c r="C1802" s="3">
        <v>46122</v>
      </c>
      <c r="D1802" t="s">
        <v>27</v>
      </c>
      <c r="E1802" t="s">
        <v>1925</v>
      </c>
      <c r="F1802" t="s">
        <v>250</v>
      </c>
      <c r="G1802" t="s">
        <v>72</v>
      </c>
      <c r="H1802" t="s">
        <v>56</v>
      </c>
      <c r="I1802" t="s">
        <v>146</v>
      </c>
      <c r="J1802" t="s">
        <v>146</v>
      </c>
      <c r="K1802" t="s">
        <v>64</v>
      </c>
      <c r="L1802" t="s">
        <v>147</v>
      </c>
      <c r="M1802" t="s">
        <v>1545</v>
      </c>
      <c r="N1802">
        <v>36.15</v>
      </c>
      <c r="O1802">
        <v>4.54545454545455</v>
      </c>
      <c r="P1802">
        <v>176.4</v>
      </c>
      <c r="Q1802">
        <v>180.945454545455</v>
      </c>
      <c r="R1802">
        <v>0</v>
      </c>
      <c r="S1802">
        <v>180.945454545455</v>
      </c>
      <c r="T1802">
        <v>163</v>
      </c>
      <c r="U1802">
        <f>SUMIF(货件明细!J:J,E1802,货件明细!AP:AP)</f>
        <v>0</v>
      </c>
      <c r="V1802">
        <f>IF(U1802=T1802,0,1)</f>
        <v>1</v>
      </c>
      <c r="W1802">
        <f>T1802</f>
        <v>163</v>
      </c>
      <c r="X1802">
        <f>SUMIF(货件明细!J:J,E1802,货件明细!H:H)</f>
        <v>0</v>
      </c>
      <c r="Y1802">
        <f>N1802-X1802</f>
        <v>36.15</v>
      </c>
      <c r="Z1802">
        <f>SUMIF(货件明细!J:J,E1802,货件明细!I:I)</f>
        <v>0</v>
      </c>
      <c r="AA1802">
        <f>IF(S1802=Z1802,0,1)</f>
        <v>1</v>
      </c>
    </row>
    <row r="1803" hidden="1" spans="1:27">
      <c r="A1803">
        <v>4</v>
      </c>
      <c r="B1803">
        <v>15</v>
      </c>
      <c r="C1803" s="3">
        <v>46122</v>
      </c>
      <c r="D1803" t="s">
        <v>27</v>
      </c>
      <c r="E1803" t="s">
        <v>1926</v>
      </c>
      <c r="F1803" t="s">
        <v>74</v>
      </c>
      <c r="G1803" t="s">
        <v>30</v>
      </c>
      <c r="H1803" t="s">
        <v>56</v>
      </c>
      <c r="I1803" t="s">
        <v>146</v>
      </c>
      <c r="J1803" t="s">
        <v>146</v>
      </c>
      <c r="K1803" t="s">
        <v>64</v>
      </c>
      <c r="L1803" t="s">
        <v>147</v>
      </c>
      <c r="M1803" t="s">
        <v>148</v>
      </c>
      <c r="N1803">
        <v>36.15</v>
      </c>
      <c r="O1803">
        <v>13.6363636363636</v>
      </c>
      <c r="P1803">
        <v>259</v>
      </c>
      <c r="Q1803">
        <v>272.636363636364</v>
      </c>
      <c r="R1803">
        <v>0</v>
      </c>
      <c r="S1803">
        <v>272.636363636364</v>
      </c>
      <c r="T1803">
        <v>163</v>
      </c>
      <c r="U1803">
        <f>SUMIF(货件明细!J:J,E1803,货件明细!AP:AP)</f>
        <v>0</v>
      </c>
      <c r="V1803">
        <f>IF(U1803=T1803,0,1)</f>
        <v>1</v>
      </c>
      <c r="W1803">
        <f>T1803</f>
        <v>163</v>
      </c>
      <c r="X1803">
        <f>SUMIF(货件明细!J:J,E1803,货件明细!H:H)</f>
        <v>0</v>
      </c>
      <c r="Y1803">
        <f>N1803-X1803</f>
        <v>36.15</v>
      </c>
      <c r="Z1803">
        <f>SUMIF(货件明细!J:J,E1803,货件明细!I:I)</f>
        <v>0</v>
      </c>
      <c r="AA1803">
        <f>IF(S1803=Z1803,0,1)</f>
        <v>1</v>
      </c>
    </row>
    <row r="1804" hidden="1" spans="1:27">
      <c r="A1804">
        <v>4</v>
      </c>
      <c r="B1804">
        <v>15</v>
      </c>
      <c r="C1804" s="3">
        <v>46122</v>
      </c>
      <c r="D1804" t="s">
        <v>27</v>
      </c>
      <c r="E1804" t="s">
        <v>1927</v>
      </c>
      <c r="F1804" t="s">
        <v>71</v>
      </c>
      <c r="G1804" t="s">
        <v>72</v>
      </c>
      <c r="H1804" t="s">
        <v>37</v>
      </c>
      <c r="I1804" t="s">
        <v>146</v>
      </c>
      <c r="J1804" t="s">
        <v>146</v>
      </c>
      <c r="K1804" t="s">
        <v>64</v>
      </c>
      <c r="L1804" t="s">
        <v>147</v>
      </c>
      <c r="M1804" t="s">
        <v>1545</v>
      </c>
      <c r="N1804">
        <v>12.85</v>
      </c>
      <c r="O1804">
        <v>4.54545454545455</v>
      </c>
      <c r="P1804">
        <v>63</v>
      </c>
      <c r="Q1804">
        <v>67.5454545454545</v>
      </c>
      <c r="R1804">
        <v>0</v>
      </c>
      <c r="S1804">
        <v>67.5454545454545</v>
      </c>
      <c r="T1804">
        <v>56</v>
      </c>
      <c r="U1804">
        <f>SUMIF(货件明细!J:J,E1804,货件明细!AP:AP)</f>
        <v>0</v>
      </c>
      <c r="V1804">
        <f>IF(U1804=T1804,0,1)</f>
        <v>1</v>
      </c>
      <c r="W1804">
        <f>T1804</f>
        <v>56</v>
      </c>
      <c r="X1804">
        <f>SUMIF(货件明细!J:J,E1804,货件明细!H:H)</f>
        <v>0</v>
      </c>
      <c r="Y1804">
        <f>N1804-X1804</f>
        <v>12.85</v>
      </c>
      <c r="Z1804">
        <f>SUMIF(货件明细!J:J,E1804,货件明细!I:I)</f>
        <v>0</v>
      </c>
      <c r="AA1804">
        <f>IF(S1804=Z1804,0,1)</f>
        <v>1</v>
      </c>
    </row>
    <row r="1805" hidden="1" spans="1:27">
      <c r="A1805">
        <v>4</v>
      </c>
      <c r="B1805">
        <v>15</v>
      </c>
      <c r="C1805" s="3">
        <v>46122</v>
      </c>
      <c r="D1805" t="s">
        <v>27</v>
      </c>
      <c r="E1805" t="s">
        <v>1928</v>
      </c>
      <c r="F1805" t="s">
        <v>62</v>
      </c>
      <c r="G1805" t="s">
        <v>30</v>
      </c>
      <c r="H1805" t="s">
        <v>37</v>
      </c>
      <c r="I1805" t="s">
        <v>146</v>
      </c>
      <c r="J1805" t="s">
        <v>146</v>
      </c>
      <c r="K1805" t="s">
        <v>64</v>
      </c>
      <c r="L1805" t="s">
        <v>147</v>
      </c>
      <c r="M1805" t="s">
        <v>148</v>
      </c>
      <c r="N1805">
        <v>12.85</v>
      </c>
      <c r="O1805">
        <v>13.6363636363636</v>
      </c>
      <c r="P1805">
        <v>95.5</v>
      </c>
      <c r="Q1805">
        <v>109.136363636364</v>
      </c>
      <c r="R1805">
        <v>0</v>
      </c>
      <c r="S1805">
        <v>109.136363636364</v>
      </c>
      <c r="T1805">
        <v>56</v>
      </c>
      <c r="U1805">
        <f>SUMIF(货件明细!J:J,E1805,货件明细!AP:AP)</f>
        <v>0</v>
      </c>
      <c r="V1805">
        <f>IF(U1805=T1805,0,1)</f>
        <v>1</v>
      </c>
      <c r="W1805">
        <f>T1805</f>
        <v>56</v>
      </c>
      <c r="X1805">
        <f>SUMIF(货件明细!J:J,E1805,货件明细!H:H)</f>
        <v>0</v>
      </c>
      <c r="Y1805">
        <f>N1805-X1805</f>
        <v>12.85</v>
      </c>
      <c r="Z1805">
        <f>SUMIF(货件明细!J:J,E1805,货件明细!I:I)</f>
        <v>0</v>
      </c>
      <c r="AA1805">
        <f>IF(S1805=Z1805,0,1)</f>
        <v>1</v>
      </c>
    </row>
    <row r="1806" hidden="1" spans="1:27">
      <c r="A1806">
        <v>4</v>
      </c>
      <c r="B1806">
        <v>15</v>
      </c>
      <c r="C1806" s="3">
        <v>46122</v>
      </c>
      <c r="D1806" t="s">
        <v>27</v>
      </c>
      <c r="E1806" t="s">
        <v>1929</v>
      </c>
      <c r="F1806" t="s">
        <v>250</v>
      </c>
      <c r="G1806" t="s">
        <v>72</v>
      </c>
      <c r="H1806" t="s">
        <v>37</v>
      </c>
      <c r="I1806" t="s">
        <v>146</v>
      </c>
      <c r="J1806" t="s">
        <v>146</v>
      </c>
      <c r="K1806" t="s">
        <v>64</v>
      </c>
      <c r="L1806" t="s">
        <v>147</v>
      </c>
      <c r="M1806" t="s">
        <v>1545</v>
      </c>
      <c r="N1806">
        <v>12.85</v>
      </c>
      <c r="O1806">
        <v>4.54545454545455</v>
      </c>
      <c r="P1806">
        <v>63</v>
      </c>
      <c r="Q1806">
        <v>67.5454545454545</v>
      </c>
      <c r="R1806">
        <v>0</v>
      </c>
      <c r="S1806">
        <v>67.5454545454545</v>
      </c>
      <c r="T1806">
        <v>56</v>
      </c>
      <c r="U1806">
        <f>SUMIF(货件明细!J:J,E1806,货件明细!AP:AP)</f>
        <v>0</v>
      </c>
      <c r="V1806">
        <f>IF(U1806=T1806,0,1)</f>
        <v>1</v>
      </c>
      <c r="W1806">
        <f>T1806</f>
        <v>56</v>
      </c>
      <c r="X1806">
        <f>SUMIF(货件明细!J:J,E1806,货件明细!H:H)</f>
        <v>0</v>
      </c>
      <c r="Y1806">
        <f>N1806-X1806</f>
        <v>12.85</v>
      </c>
      <c r="Z1806">
        <f>SUMIF(货件明细!J:J,E1806,货件明细!I:I)</f>
        <v>0</v>
      </c>
      <c r="AA1806">
        <f>IF(S1806=Z1806,0,1)</f>
        <v>1</v>
      </c>
    </row>
    <row r="1807" hidden="1" spans="1:27">
      <c r="A1807">
        <v>4</v>
      </c>
      <c r="B1807">
        <v>15</v>
      </c>
      <c r="C1807" s="3">
        <v>46122</v>
      </c>
      <c r="D1807" t="s">
        <v>27</v>
      </c>
      <c r="E1807" t="s">
        <v>1930</v>
      </c>
      <c r="F1807" t="s">
        <v>187</v>
      </c>
      <c r="G1807" t="s">
        <v>72</v>
      </c>
      <c r="H1807" t="s">
        <v>37</v>
      </c>
      <c r="I1807" t="s">
        <v>146</v>
      </c>
      <c r="J1807" t="s">
        <v>146</v>
      </c>
      <c r="K1807" t="s">
        <v>64</v>
      </c>
      <c r="L1807" t="s">
        <v>147</v>
      </c>
      <c r="M1807" t="s">
        <v>1545</v>
      </c>
      <c r="N1807">
        <v>12.85</v>
      </c>
      <c r="O1807">
        <v>4.54545454545455</v>
      </c>
      <c r="P1807">
        <v>57</v>
      </c>
      <c r="Q1807">
        <v>61.5454545454545</v>
      </c>
      <c r="R1807">
        <v>0</v>
      </c>
      <c r="S1807">
        <v>61.5454545454545</v>
      </c>
      <c r="T1807">
        <v>56</v>
      </c>
      <c r="U1807">
        <f>SUMIF(货件明细!J:J,E1807,货件明细!AP:AP)</f>
        <v>0</v>
      </c>
      <c r="V1807">
        <f>IF(U1807=T1807,0,1)</f>
        <v>1</v>
      </c>
      <c r="W1807">
        <f>T1807</f>
        <v>56</v>
      </c>
      <c r="X1807">
        <f>SUMIF(货件明细!J:J,E1807,货件明细!H:H)</f>
        <v>0</v>
      </c>
      <c r="Y1807">
        <f>N1807-X1807</f>
        <v>12.85</v>
      </c>
      <c r="Z1807">
        <f>SUMIF(货件明细!J:J,E1807,货件明细!I:I)</f>
        <v>0</v>
      </c>
      <c r="AA1807">
        <f>IF(S1807=Z1807,0,1)</f>
        <v>1</v>
      </c>
    </row>
    <row r="1808" hidden="1" spans="1:27">
      <c r="A1808">
        <v>4</v>
      </c>
      <c r="B1808">
        <v>15</v>
      </c>
      <c r="C1808" s="3">
        <v>46122</v>
      </c>
      <c r="D1808" t="s">
        <v>27</v>
      </c>
      <c r="E1808" t="s">
        <v>1931</v>
      </c>
      <c r="F1808" t="s">
        <v>74</v>
      </c>
      <c r="G1808" t="s">
        <v>30</v>
      </c>
      <c r="H1808" t="s">
        <v>37</v>
      </c>
      <c r="I1808" t="s">
        <v>146</v>
      </c>
      <c r="J1808" t="s">
        <v>146</v>
      </c>
      <c r="K1808" t="s">
        <v>64</v>
      </c>
      <c r="L1808" t="s">
        <v>147</v>
      </c>
      <c r="M1808" t="s">
        <v>148</v>
      </c>
      <c r="N1808">
        <v>12.85</v>
      </c>
      <c r="O1808">
        <v>13.6363636363636</v>
      </c>
      <c r="P1808">
        <v>92.5</v>
      </c>
      <c r="Q1808">
        <v>106.136363636364</v>
      </c>
      <c r="R1808">
        <v>0</v>
      </c>
      <c r="S1808">
        <v>106.136363636364</v>
      </c>
      <c r="T1808">
        <v>56</v>
      </c>
      <c r="U1808">
        <f>SUMIF(货件明细!J:J,E1808,货件明细!AP:AP)</f>
        <v>0</v>
      </c>
      <c r="V1808">
        <f>IF(U1808=T1808,0,1)</f>
        <v>1</v>
      </c>
      <c r="W1808">
        <f>T1808</f>
        <v>56</v>
      </c>
      <c r="X1808">
        <f>SUMIF(货件明细!J:J,E1808,货件明细!H:H)</f>
        <v>0</v>
      </c>
      <c r="Y1808">
        <f>N1808-X1808</f>
        <v>12.85</v>
      </c>
      <c r="Z1808">
        <f>SUMIF(货件明细!J:J,E1808,货件明细!I:I)</f>
        <v>0</v>
      </c>
      <c r="AA1808">
        <f>IF(S1808=Z1808,0,1)</f>
        <v>1</v>
      </c>
    </row>
    <row r="1809" hidden="1" spans="1:27">
      <c r="A1809">
        <v>4</v>
      </c>
      <c r="B1809">
        <v>15</v>
      </c>
      <c r="C1809" s="3">
        <v>46122</v>
      </c>
      <c r="D1809" t="s">
        <v>27</v>
      </c>
      <c r="E1809" t="s">
        <v>1932</v>
      </c>
      <c r="F1809" t="s">
        <v>62</v>
      </c>
      <c r="G1809" t="s">
        <v>30</v>
      </c>
      <c r="H1809" t="s">
        <v>37</v>
      </c>
      <c r="I1809" t="s">
        <v>146</v>
      </c>
      <c r="J1809" t="s">
        <v>146</v>
      </c>
      <c r="K1809" t="s">
        <v>64</v>
      </c>
      <c r="L1809" t="s">
        <v>147</v>
      </c>
      <c r="M1809" t="s">
        <v>148</v>
      </c>
      <c r="N1809">
        <v>14.4</v>
      </c>
      <c r="O1809">
        <v>13.6363636363636</v>
      </c>
      <c r="P1809">
        <v>114.6</v>
      </c>
      <c r="Q1809">
        <v>128.236363636364</v>
      </c>
      <c r="R1809">
        <v>0</v>
      </c>
      <c r="S1809">
        <v>128.236363636364</v>
      </c>
      <c r="T1809">
        <v>131</v>
      </c>
      <c r="U1809">
        <f>SUMIF(货件明细!J:J,E1809,货件明细!AP:AP)</f>
        <v>0</v>
      </c>
      <c r="V1809">
        <f>IF(U1809=T1809,0,1)</f>
        <v>1</v>
      </c>
      <c r="W1809">
        <f>T1809</f>
        <v>131</v>
      </c>
      <c r="X1809">
        <f>SUMIF(货件明细!J:J,E1809,货件明细!H:H)</f>
        <v>0</v>
      </c>
      <c r="Y1809">
        <f>N1809-X1809</f>
        <v>14.4</v>
      </c>
      <c r="Z1809">
        <f>SUMIF(货件明细!J:J,E1809,货件明细!I:I)</f>
        <v>0</v>
      </c>
      <c r="AA1809">
        <f>IF(S1809=Z1809,0,1)</f>
        <v>1</v>
      </c>
    </row>
    <row r="1810" hidden="1" spans="1:27">
      <c r="A1810">
        <v>4</v>
      </c>
      <c r="B1810">
        <v>15</v>
      </c>
      <c r="C1810" s="3">
        <v>46122</v>
      </c>
      <c r="D1810" t="s">
        <v>27</v>
      </c>
      <c r="E1810" t="s">
        <v>1933</v>
      </c>
      <c r="F1810" t="s">
        <v>187</v>
      </c>
      <c r="G1810" t="s">
        <v>72</v>
      </c>
      <c r="H1810" t="s">
        <v>37</v>
      </c>
      <c r="I1810" t="s">
        <v>146</v>
      </c>
      <c r="J1810" t="s">
        <v>146</v>
      </c>
      <c r="K1810" t="s">
        <v>64</v>
      </c>
      <c r="L1810" t="s">
        <v>147</v>
      </c>
      <c r="M1810" t="s">
        <v>1545</v>
      </c>
      <c r="N1810">
        <v>14.4</v>
      </c>
      <c r="O1810">
        <v>4.54545454545455</v>
      </c>
      <c r="P1810">
        <v>68.4</v>
      </c>
      <c r="Q1810">
        <v>72.9454545454545</v>
      </c>
      <c r="R1810">
        <v>0</v>
      </c>
      <c r="S1810">
        <v>72.9454545454545</v>
      </c>
      <c r="T1810">
        <v>131</v>
      </c>
      <c r="U1810">
        <f>SUMIF(货件明细!J:J,E1810,货件明细!AP:AP)</f>
        <v>0</v>
      </c>
      <c r="V1810">
        <f>IF(U1810=T1810,0,1)</f>
        <v>1</v>
      </c>
      <c r="W1810">
        <f>T1810</f>
        <v>131</v>
      </c>
      <c r="X1810">
        <f>SUMIF(货件明细!J:J,E1810,货件明细!H:H)</f>
        <v>0</v>
      </c>
      <c r="Y1810">
        <f>N1810-X1810</f>
        <v>14.4</v>
      </c>
      <c r="Z1810">
        <f>SUMIF(货件明细!J:J,E1810,货件明细!I:I)</f>
        <v>0</v>
      </c>
      <c r="AA1810">
        <f>IF(S1810=Z1810,0,1)</f>
        <v>1</v>
      </c>
    </row>
    <row r="1811" hidden="1" spans="1:27">
      <c r="A1811">
        <v>4</v>
      </c>
      <c r="B1811">
        <v>15</v>
      </c>
      <c r="C1811" s="3">
        <v>46122</v>
      </c>
      <c r="D1811" t="s">
        <v>27</v>
      </c>
      <c r="E1811" t="s">
        <v>1934</v>
      </c>
      <c r="F1811" t="s">
        <v>74</v>
      </c>
      <c r="G1811" t="s">
        <v>30</v>
      </c>
      <c r="H1811" t="s">
        <v>37</v>
      </c>
      <c r="I1811" t="s">
        <v>146</v>
      </c>
      <c r="J1811" t="s">
        <v>146</v>
      </c>
      <c r="K1811" t="s">
        <v>64</v>
      </c>
      <c r="L1811" t="s">
        <v>147</v>
      </c>
      <c r="M1811" t="s">
        <v>148</v>
      </c>
      <c r="N1811">
        <v>14.4</v>
      </c>
      <c r="O1811">
        <v>13.6363636363636</v>
      </c>
      <c r="P1811">
        <v>111</v>
      </c>
      <c r="Q1811">
        <v>124.636363636364</v>
      </c>
      <c r="R1811">
        <v>0</v>
      </c>
      <c r="S1811">
        <v>124.636363636364</v>
      </c>
      <c r="T1811">
        <v>131</v>
      </c>
      <c r="U1811">
        <f>SUMIF(货件明细!J:J,E1811,货件明细!AP:AP)</f>
        <v>0</v>
      </c>
      <c r="V1811">
        <f>IF(U1811=T1811,0,1)</f>
        <v>1</v>
      </c>
      <c r="W1811">
        <f>T1811</f>
        <v>131</v>
      </c>
      <c r="X1811">
        <f>SUMIF(货件明细!J:J,E1811,货件明细!H:H)</f>
        <v>0</v>
      </c>
      <c r="Y1811">
        <f>N1811-X1811</f>
        <v>14.4</v>
      </c>
      <c r="Z1811">
        <f>SUMIF(货件明细!J:J,E1811,货件明细!I:I)</f>
        <v>0</v>
      </c>
      <c r="AA1811">
        <f>IF(S1811=Z1811,0,1)</f>
        <v>1</v>
      </c>
    </row>
    <row r="1812" hidden="1" spans="1:27">
      <c r="A1812">
        <v>4</v>
      </c>
      <c r="B1812">
        <v>15</v>
      </c>
      <c r="C1812" s="3">
        <v>46122</v>
      </c>
      <c r="D1812" t="s">
        <v>27</v>
      </c>
      <c r="E1812" t="s">
        <v>1935</v>
      </c>
      <c r="F1812" t="s">
        <v>71</v>
      </c>
      <c r="G1812" t="s">
        <v>72</v>
      </c>
      <c r="H1812" t="s">
        <v>37</v>
      </c>
      <c r="I1812" t="s">
        <v>146</v>
      </c>
      <c r="J1812" t="s">
        <v>146</v>
      </c>
      <c r="K1812" t="s">
        <v>64</v>
      </c>
      <c r="L1812" t="s">
        <v>147</v>
      </c>
      <c r="M1812" t="s">
        <v>1545</v>
      </c>
      <c r="N1812">
        <v>14.4</v>
      </c>
      <c r="O1812">
        <v>4.54545454545455</v>
      </c>
      <c r="P1812">
        <v>75.6</v>
      </c>
      <c r="Q1812">
        <v>80.1454545454545</v>
      </c>
      <c r="R1812">
        <v>0</v>
      </c>
      <c r="S1812">
        <v>80.1454545454545</v>
      </c>
      <c r="T1812">
        <v>131</v>
      </c>
      <c r="U1812">
        <f>SUMIF(货件明细!J:J,E1812,货件明细!AP:AP)</f>
        <v>0</v>
      </c>
      <c r="V1812">
        <f>IF(U1812=T1812,0,1)</f>
        <v>1</v>
      </c>
      <c r="W1812">
        <f>T1812</f>
        <v>131</v>
      </c>
      <c r="X1812">
        <f>SUMIF(货件明细!J:J,E1812,货件明细!H:H)</f>
        <v>0</v>
      </c>
      <c r="Y1812">
        <f>N1812-X1812</f>
        <v>14.4</v>
      </c>
      <c r="Z1812">
        <f>SUMIF(货件明细!J:J,E1812,货件明细!I:I)</f>
        <v>0</v>
      </c>
      <c r="AA1812">
        <f>IF(S1812=Z1812,0,1)</f>
        <v>1</v>
      </c>
    </row>
    <row r="1813" hidden="1" spans="1:27">
      <c r="A1813">
        <v>4</v>
      </c>
      <c r="B1813">
        <v>15</v>
      </c>
      <c r="C1813" s="3">
        <v>46122</v>
      </c>
      <c r="D1813" t="s">
        <v>27</v>
      </c>
      <c r="E1813" t="s">
        <v>1936</v>
      </c>
      <c r="F1813" t="s">
        <v>250</v>
      </c>
      <c r="G1813" t="s">
        <v>72</v>
      </c>
      <c r="H1813" t="s">
        <v>37</v>
      </c>
      <c r="I1813" t="s">
        <v>146</v>
      </c>
      <c r="J1813" t="s">
        <v>146</v>
      </c>
      <c r="K1813" t="s">
        <v>64</v>
      </c>
      <c r="L1813" t="s">
        <v>147</v>
      </c>
      <c r="M1813" t="s">
        <v>1545</v>
      </c>
      <c r="N1813">
        <v>14.4</v>
      </c>
      <c r="O1813">
        <v>4.54545454545455</v>
      </c>
      <c r="P1813">
        <v>75.6</v>
      </c>
      <c r="Q1813">
        <v>80.1454545454545</v>
      </c>
      <c r="R1813">
        <v>0</v>
      </c>
      <c r="S1813">
        <v>80.1454545454545</v>
      </c>
      <c r="T1813">
        <v>131</v>
      </c>
      <c r="U1813">
        <f>SUMIF(货件明细!J:J,E1813,货件明细!AP:AP)</f>
        <v>0</v>
      </c>
      <c r="V1813">
        <f>IF(U1813=T1813,0,1)</f>
        <v>1</v>
      </c>
      <c r="W1813">
        <f>T1813</f>
        <v>131</v>
      </c>
      <c r="X1813">
        <f>SUMIF(货件明细!J:J,E1813,货件明细!H:H)</f>
        <v>0</v>
      </c>
      <c r="Y1813">
        <f>N1813-X1813</f>
        <v>14.4</v>
      </c>
      <c r="Z1813">
        <f>SUMIF(货件明细!J:J,E1813,货件明细!I:I)</f>
        <v>0</v>
      </c>
      <c r="AA1813">
        <f>IF(S1813=Z1813,0,1)</f>
        <v>1</v>
      </c>
    </row>
    <row r="1814" hidden="1" spans="1:27">
      <c r="A1814">
        <v>4</v>
      </c>
      <c r="B1814">
        <v>15</v>
      </c>
      <c r="C1814" s="3">
        <v>46122</v>
      </c>
      <c r="D1814" t="s">
        <v>27</v>
      </c>
      <c r="E1814" t="s">
        <v>1937</v>
      </c>
      <c r="F1814" t="s">
        <v>187</v>
      </c>
      <c r="G1814" t="s">
        <v>72</v>
      </c>
      <c r="H1814" t="s">
        <v>31</v>
      </c>
      <c r="I1814" t="s">
        <v>146</v>
      </c>
      <c r="J1814" t="s">
        <v>146</v>
      </c>
      <c r="K1814" t="s">
        <v>64</v>
      </c>
      <c r="L1814" t="s">
        <v>147</v>
      </c>
      <c r="M1814" t="s">
        <v>1545</v>
      </c>
      <c r="N1814">
        <v>88.75</v>
      </c>
      <c r="O1814">
        <v>4.54545454545455</v>
      </c>
      <c r="P1814">
        <v>478.8</v>
      </c>
      <c r="Q1814">
        <v>483.345454545455</v>
      </c>
      <c r="R1814">
        <v>0</v>
      </c>
      <c r="S1814">
        <v>483.345454545455</v>
      </c>
      <c r="T1814">
        <v>484</v>
      </c>
      <c r="U1814">
        <f>SUMIF(货件明细!J:J,E1814,货件明细!AP:AP)</f>
        <v>0</v>
      </c>
      <c r="V1814">
        <f>IF(U1814=T1814,0,1)</f>
        <v>1</v>
      </c>
      <c r="W1814">
        <f>T1814</f>
        <v>484</v>
      </c>
      <c r="X1814">
        <f>SUMIF(货件明细!J:J,E1814,货件明细!H:H)</f>
        <v>0</v>
      </c>
      <c r="Y1814">
        <f>N1814-X1814</f>
        <v>88.75</v>
      </c>
      <c r="Z1814">
        <f>SUMIF(货件明细!J:J,E1814,货件明细!I:I)</f>
        <v>0</v>
      </c>
      <c r="AA1814">
        <f>IF(S1814=Z1814,0,1)</f>
        <v>1</v>
      </c>
    </row>
    <row r="1815" hidden="1" spans="1:27">
      <c r="A1815">
        <v>4</v>
      </c>
      <c r="B1815">
        <v>15</v>
      </c>
      <c r="C1815" s="3">
        <v>46122</v>
      </c>
      <c r="D1815" t="s">
        <v>27</v>
      </c>
      <c r="E1815" t="s">
        <v>1938</v>
      </c>
      <c r="F1815" t="s">
        <v>71</v>
      </c>
      <c r="G1815" t="s">
        <v>72</v>
      </c>
      <c r="H1815" t="s">
        <v>31</v>
      </c>
      <c r="I1815" t="s">
        <v>146</v>
      </c>
      <c r="J1815" t="s">
        <v>146</v>
      </c>
      <c r="K1815" t="s">
        <v>64</v>
      </c>
      <c r="L1815" t="s">
        <v>147</v>
      </c>
      <c r="M1815" t="s">
        <v>1545</v>
      </c>
      <c r="N1815">
        <v>88.75</v>
      </c>
      <c r="O1815">
        <v>4.54545454545455</v>
      </c>
      <c r="P1815">
        <v>529.2</v>
      </c>
      <c r="Q1815">
        <v>533.745454545454</v>
      </c>
      <c r="R1815">
        <v>0</v>
      </c>
      <c r="S1815">
        <v>533.745454545454</v>
      </c>
      <c r="T1815">
        <v>484</v>
      </c>
      <c r="U1815">
        <f>SUMIF(货件明细!J:J,E1815,货件明细!AP:AP)</f>
        <v>0</v>
      </c>
      <c r="V1815">
        <f>IF(U1815=T1815,0,1)</f>
        <v>1</v>
      </c>
      <c r="W1815">
        <f>T1815</f>
        <v>484</v>
      </c>
      <c r="X1815">
        <f>SUMIF(货件明细!J:J,E1815,货件明细!H:H)</f>
        <v>0</v>
      </c>
      <c r="Y1815">
        <f>N1815-X1815</f>
        <v>88.75</v>
      </c>
      <c r="Z1815">
        <f>SUMIF(货件明细!J:J,E1815,货件明细!I:I)</f>
        <v>0</v>
      </c>
      <c r="AA1815">
        <f>IF(S1815=Z1815,0,1)</f>
        <v>1</v>
      </c>
    </row>
    <row r="1816" hidden="1" spans="1:27">
      <c r="A1816">
        <v>4</v>
      </c>
      <c r="B1816">
        <v>15</v>
      </c>
      <c r="C1816" s="3">
        <v>46122</v>
      </c>
      <c r="D1816" t="s">
        <v>27</v>
      </c>
      <c r="E1816" t="s">
        <v>1939</v>
      </c>
      <c r="F1816" t="s">
        <v>250</v>
      </c>
      <c r="G1816" t="s">
        <v>72</v>
      </c>
      <c r="H1816" t="s">
        <v>31</v>
      </c>
      <c r="I1816" t="s">
        <v>146</v>
      </c>
      <c r="J1816" t="s">
        <v>146</v>
      </c>
      <c r="K1816" t="s">
        <v>64</v>
      </c>
      <c r="L1816" t="s">
        <v>147</v>
      </c>
      <c r="M1816" t="s">
        <v>1545</v>
      </c>
      <c r="N1816">
        <v>88.75</v>
      </c>
      <c r="O1816">
        <v>4.54545454545455</v>
      </c>
      <c r="P1816">
        <v>529.2</v>
      </c>
      <c r="Q1816">
        <v>533.745454545454</v>
      </c>
      <c r="R1816">
        <v>0</v>
      </c>
      <c r="S1816">
        <v>533.745454545454</v>
      </c>
      <c r="T1816">
        <v>484</v>
      </c>
      <c r="U1816">
        <f>SUMIF(货件明细!J:J,E1816,货件明细!AP:AP)</f>
        <v>0</v>
      </c>
      <c r="V1816">
        <f>IF(U1816=T1816,0,1)</f>
        <v>1</v>
      </c>
      <c r="W1816">
        <f>T1816</f>
        <v>484</v>
      </c>
      <c r="X1816">
        <f>SUMIF(货件明细!J:J,E1816,货件明细!H:H)</f>
        <v>0</v>
      </c>
      <c r="Y1816">
        <f>N1816-X1816</f>
        <v>88.75</v>
      </c>
      <c r="Z1816">
        <f>SUMIF(货件明细!J:J,E1816,货件明细!I:I)</f>
        <v>0</v>
      </c>
      <c r="AA1816">
        <f>IF(S1816=Z1816,0,1)</f>
        <v>1</v>
      </c>
    </row>
    <row r="1817" hidden="1" spans="1:27">
      <c r="A1817">
        <v>4</v>
      </c>
      <c r="B1817">
        <v>15</v>
      </c>
      <c r="C1817" s="3">
        <v>46122</v>
      </c>
      <c r="D1817" t="s">
        <v>27</v>
      </c>
      <c r="E1817" t="s">
        <v>1940</v>
      </c>
      <c r="F1817" t="s">
        <v>74</v>
      </c>
      <c r="G1817" t="s">
        <v>30</v>
      </c>
      <c r="H1817" t="s">
        <v>31</v>
      </c>
      <c r="I1817" t="s">
        <v>146</v>
      </c>
      <c r="J1817" t="s">
        <v>146</v>
      </c>
      <c r="K1817" t="s">
        <v>64</v>
      </c>
      <c r="L1817" t="s">
        <v>147</v>
      </c>
      <c r="M1817" t="s">
        <v>148</v>
      </c>
      <c r="N1817">
        <v>88.75</v>
      </c>
      <c r="O1817">
        <v>13.6363636363636</v>
      </c>
      <c r="P1817">
        <v>777</v>
      </c>
      <c r="Q1817">
        <v>790.636363636364</v>
      </c>
      <c r="R1817">
        <v>0</v>
      </c>
      <c r="S1817">
        <v>790.636363636364</v>
      </c>
      <c r="T1817">
        <v>484</v>
      </c>
      <c r="U1817">
        <f>SUMIF(货件明细!J:J,E1817,货件明细!AP:AP)</f>
        <v>0</v>
      </c>
      <c r="V1817">
        <f>IF(U1817=T1817,0,1)</f>
        <v>1</v>
      </c>
      <c r="W1817">
        <f>T1817</f>
        <v>484</v>
      </c>
      <c r="X1817">
        <f>SUMIF(货件明细!J:J,E1817,货件明细!H:H)</f>
        <v>0</v>
      </c>
      <c r="Y1817">
        <f>N1817-X1817</f>
        <v>88.75</v>
      </c>
      <c r="Z1817">
        <f>SUMIF(货件明细!J:J,E1817,货件明细!I:I)</f>
        <v>0</v>
      </c>
      <c r="AA1817">
        <f>IF(S1817=Z1817,0,1)</f>
        <v>1</v>
      </c>
    </row>
    <row r="1818" hidden="1" spans="1:27">
      <c r="A1818">
        <v>4</v>
      </c>
      <c r="B1818">
        <v>15</v>
      </c>
      <c r="C1818" s="3">
        <v>46122</v>
      </c>
      <c r="D1818" t="s">
        <v>27</v>
      </c>
      <c r="E1818" t="s">
        <v>1941</v>
      </c>
      <c r="F1818" t="s">
        <v>62</v>
      </c>
      <c r="G1818" t="s">
        <v>30</v>
      </c>
      <c r="H1818" t="s">
        <v>31</v>
      </c>
      <c r="I1818" t="s">
        <v>146</v>
      </c>
      <c r="J1818" t="s">
        <v>146</v>
      </c>
      <c r="K1818" t="s">
        <v>64</v>
      </c>
      <c r="L1818" t="s">
        <v>147</v>
      </c>
      <c r="M1818" t="s">
        <v>148</v>
      </c>
      <c r="N1818">
        <v>88.75</v>
      </c>
      <c r="O1818">
        <v>13.6363636363636</v>
      </c>
      <c r="P1818">
        <v>783.1</v>
      </c>
      <c r="Q1818">
        <v>796.736363636364</v>
      </c>
      <c r="R1818">
        <v>0</v>
      </c>
      <c r="S1818">
        <v>796.736363636364</v>
      </c>
      <c r="T1818">
        <v>484</v>
      </c>
      <c r="U1818">
        <f>SUMIF(货件明细!J:J,E1818,货件明细!AP:AP)</f>
        <v>0</v>
      </c>
      <c r="V1818">
        <f>IF(U1818=T1818,0,1)</f>
        <v>1</v>
      </c>
      <c r="W1818">
        <f>T1818</f>
        <v>484</v>
      </c>
      <c r="X1818">
        <f>SUMIF(货件明细!J:J,E1818,货件明细!H:H)</f>
        <v>0</v>
      </c>
      <c r="Y1818">
        <f>N1818-X1818</f>
        <v>88.75</v>
      </c>
      <c r="Z1818">
        <f>SUMIF(货件明细!J:J,E1818,货件明细!I:I)</f>
        <v>0</v>
      </c>
      <c r="AA1818">
        <f>IF(S1818=Z1818,0,1)</f>
        <v>1</v>
      </c>
    </row>
    <row r="1819" hidden="1" spans="1:27">
      <c r="A1819">
        <v>4</v>
      </c>
      <c r="B1819">
        <v>15</v>
      </c>
      <c r="C1819" s="3">
        <v>46122</v>
      </c>
      <c r="D1819" t="s">
        <v>27</v>
      </c>
      <c r="E1819" t="s">
        <v>1942</v>
      </c>
      <c r="F1819" t="s">
        <v>548</v>
      </c>
      <c r="G1819" t="s">
        <v>72</v>
      </c>
      <c r="H1819" t="s">
        <v>224</v>
      </c>
      <c r="I1819" t="s">
        <v>146</v>
      </c>
      <c r="J1819" t="s">
        <v>146</v>
      </c>
      <c r="K1819" t="s">
        <v>64</v>
      </c>
      <c r="L1819" t="s">
        <v>212</v>
      </c>
      <c r="M1819" t="s">
        <v>1943</v>
      </c>
      <c r="N1819">
        <v>12.65</v>
      </c>
      <c r="O1819">
        <v>40</v>
      </c>
      <c r="P1819">
        <v>79.3</v>
      </c>
      <c r="Q1819">
        <v>119.3</v>
      </c>
      <c r="R1819">
        <v>0</v>
      </c>
      <c r="S1819">
        <v>119.3</v>
      </c>
      <c r="T1819">
        <v>154</v>
      </c>
      <c r="U1819">
        <f>SUMIF(货件明细!J:J,E1819,货件明细!AP:AP)</f>
        <v>0</v>
      </c>
      <c r="V1819">
        <f>IF(U1819=T1819,0,1)</f>
        <v>1</v>
      </c>
      <c r="W1819">
        <f>T1819</f>
        <v>154</v>
      </c>
      <c r="X1819">
        <f>SUMIF(货件明细!J:J,E1819,货件明细!H:H)</f>
        <v>0</v>
      </c>
      <c r="Y1819">
        <f>N1819-X1819</f>
        <v>12.65</v>
      </c>
      <c r="Z1819">
        <f>SUMIF(货件明细!J:J,E1819,货件明细!I:I)</f>
        <v>0</v>
      </c>
      <c r="AA1819">
        <f>IF(S1819=Z1819,0,1)</f>
        <v>1</v>
      </c>
    </row>
    <row r="1820" hidden="1" spans="1:27">
      <c r="A1820">
        <v>4</v>
      </c>
      <c r="B1820">
        <v>15</v>
      </c>
      <c r="C1820" s="3">
        <v>46122</v>
      </c>
      <c r="D1820" t="s">
        <v>27</v>
      </c>
      <c r="E1820" t="s">
        <v>1944</v>
      </c>
      <c r="F1820" t="s">
        <v>198</v>
      </c>
      <c r="G1820" t="s">
        <v>69</v>
      </c>
      <c r="H1820" t="s">
        <v>224</v>
      </c>
      <c r="I1820" t="s">
        <v>146</v>
      </c>
      <c r="J1820" t="s">
        <v>146</v>
      </c>
      <c r="K1820" t="s">
        <v>64</v>
      </c>
      <c r="L1820" t="s">
        <v>212</v>
      </c>
      <c r="M1820" t="s">
        <v>1943</v>
      </c>
      <c r="N1820">
        <v>12.65</v>
      </c>
      <c r="O1820">
        <v>40</v>
      </c>
      <c r="P1820">
        <v>113.1</v>
      </c>
      <c r="Q1820">
        <v>153.1</v>
      </c>
      <c r="R1820">
        <v>0</v>
      </c>
      <c r="S1820">
        <v>153.1</v>
      </c>
      <c r="T1820">
        <v>154</v>
      </c>
      <c r="U1820">
        <f>SUMIF(货件明细!J:J,E1820,货件明细!AP:AP)</f>
        <v>0</v>
      </c>
      <c r="V1820">
        <f>IF(U1820=T1820,0,1)</f>
        <v>1</v>
      </c>
      <c r="W1820">
        <f>T1820</f>
        <v>154</v>
      </c>
      <c r="X1820">
        <f>SUMIF(货件明细!J:J,E1820,货件明细!H:H)</f>
        <v>0</v>
      </c>
      <c r="Y1820">
        <f>N1820-X1820</f>
        <v>12.65</v>
      </c>
      <c r="Z1820">
        <f>SUMIF(货件明细!J:J,E1820,货件明细!I:I)</f>
        <v>0</v>
      </c>
      <c r="AA1820">
        <f>IF(S1820=Z1820,0,1)</f>
        <v>1</v>
      </c>
    </row>
    <row r="1821" hidden="1" spans="1:27">
      <c r="A1821">
        <v>4</v>
      </c>
      <c r="B1821">
        <v>15</v>
      </c>
      <c r="C1821" s="3">
        <v>46122</v>
      </c>
      <c r="D1821" t="s">
        <v>27</v>
      </c>
      <c r="E1821" t="s">
        <v>1945</v>
      </c>
      <c r="F1821" t="s">
        <v>187</v>
      </c>
      <c r="G1821" t="s">
        <v>72</v>
      </c>
      <c r="H1821" t="s">
        <v>224</v>
      </c>
      <c r="I1821" t="s">
        <v>146</v>
      </c>
      <c r="J1821" t="s">
        <v>146</v>
      </c>
      <c r="K1821" t="s">
        <v>64</v>
      </c>
      <c r="L1821" t="s">
        <v>212</v>
      </c>
      <c r="M1821" t="s">
        <v>1943</v>
      </c>
      <c r="N1821">
        <v>12.65</v>
      </c>
      <c r="O1821">
        <v>40</v>
      </c>
      <c r="P1821">
        <v>79.3</v>
      </c>
      <c r="Q1821">
        <v>119.3</v>
      </c>
      <c r="R1821">
        <v>0</v>
      </c>
      <c r="S1821">
        <v>119.3</v>
      </c>
      <c r="T1821">
        <v>154</v>
      </c>
      <c r="U1821">
        <f>SUMIF(货件明细!J:J,E1821,货件明细!AP:AP)</f>
        <v>0</v>
      </c>
      <c r="V1821">
        <f>IF(U1821=T1821,0,1)</f>
        <v>1</v>
      </c>
      <c r="W1821">
        <f>T1821</f>
        <v>154</v>
      </c>
      <c r="X1821">
        <f>SUMIF(货件明细!J:J,E1821,货件明细!H:H)</f>
        <v>0</v>
      </c>
      <c r="Y1821">
        <f>N1821-X1821</f>
        <v>12.65</v>
      </c>
      <c r="Z1821">
        <f>SUMIF(货件明细!J:J,E1821,货件明细!I:I)</f>
        <v>0</v>
      </c>
      <c r="AA1821">
        <f>IF(S1821=Z1821,0,1)</f>
        <v>1</v>
      </c>
    </row>
    <row r="1822" hidden="1" spans="1:27">
      <c r="A1822">
        <v>4</v>
      </c>
      <c r="B1822">
        <v>15</v>
      </c>
      <c r="C1822" s="3">
        <v>46122</v>
      </c>
      <c r="D1822" t="s">
        <v>27</v>
      </c>
      <c r="E1822" t="s">
        <v>1946</v>
      </c>
      <c r="F1822" t="s">
        <v>250</v>
      </c>
      <c r="G1822" t="s">
        <v>72</v>
      </c>
      <c r="H1822" t="s">
        <v>224</v>
      </c>
      <c r="I1822" t="s">
        <v>146</v>
      </c>
      <c r="J1822" t="s">
        <v>146</v>
      </c>
      <c r="K1822" t="s">
        <v>64</v>
      </c>
      <c r="L1822" t="s">
        <v>212</v>
      </c>
      <c r="M1822" t="s">
        <v>1943</v>
      </c>
      <c r="N1822">
        <v>12.65</v>
      </c>
      <c r="O1822">
        <v>40</v>
      </c>
      <c r="P1822">
        <v>85.8</v>
      </c>
      <c r="Q1822">
        <v>125.8</v>
      </c>
      <c r="R1822">
        <v>0</v>
      </c>
      <c r="S1822">
        <v>125.8</v>
      </c>
      <c r="T1822">
        <v>154</v>
      </c>
      <c r="U1822">
        <f>SUMIF(货件明细!J:J,E1822,货件明细!AP:AP)</f>
        <v>0</v>
      </c>
      <c r="V1822">
        <f>IF(U1822=T1822,0,1)</f>
        <v>1</v>
      </c>
      <c r="W1822">
        <f>T1822</f>
        <v>154</v>
      </c>
      <c r="X1822">
        <f>SUMIF(货件明细!J:J,E1822,货件明细!H:H)</f>
        <v>0</v>
      </c>
      <c r="Y1822">
        <f>N1822-X1822</f>
        <v>12.65</v>
      </c>
      <c r="Z1822">
        <f>SUMIF(货件明细!J:J,E1822,货件明细!I:I)</f>
        <v>0</v>
      </c>
      <c r="AA1822">
        <f>IF(S1822=Z1822,0,1)</f>
        <v>1</v>
      </c>
    </row>
    <row r="1823" hidden="1" spans="1:27">
      <c r="A1823">
        <v>4</v>
      </c>
      <c r="B1823">
        <v>15</v>
      </c>
      <c r="C1823" s="3">
        <v>46122</v>
      </c>
      <c r="D1823" t="s">
        <v>27</v>
      </c>
      <c r="E1823" t="s">
        <v>1947</v>
      </c>
      <c r="F1823" t="s">
        <v>185</v>
      </c>
      <c r="G1823" t="s">
        <v>30</v>
      </c>
      <c r="H1823" t="s">
        <v>224</v>
      </c>
      <c r="I1823" t="s">
        <v>146</v>
      </c>
      <c r="J1823" t="s">
        <v>146</v>
      </c>
      <c r="K1823" t="s">
        <v>64</v>
      </c>
      <c r="L1823" t="s">
        <v>212</v>
      </c>
      <c r="M1823" t="s">
        <v>1943</v>
      </c>
      <c r="N1823">
        <v>12.65</v>
      </c>
      <c r="O1823">
        <v>40</v>
      </c>
      <c r="P1823">
        <v>136.5</v>
      </c>
      <c r="Q1823">
        <v>176.5</v>
      </c>
      <c r="R1823">
        <v>0</v>
      </c>
      <c r="S1823">
        <v>176.5</v>
      </c>
      <c r="T1823">
        <v>154</v>
      </c>
      <c r="U1823">
        <f>SUMIF(货件明细!J:J,E1823,货件明细!AP:AP)</f>
        <v>0</v>
      </c>
      <c r="V1823">
        <f>IF(U1823=T1823,0,1)</f>
        <v>1</v>
      </c>
      <c r="W1823">
        <f>T1823</f>
        <v>154</v>
      </c>
      <c r="X1823">
        <f>SUMIF(货件明细!J:J,E1823,货件明细!H:H)</f>
        <v>0</v>
      </c>
      <c r="Y1823">
        <f>N1823-X1823</f>
        <v>12.65</v>
      </c>
      <c r="Z1823">
        <f>SUMIF(货件明细!J:J,E1823,货件明细!I:I)</f>
        <v>0</v>
      </c>
      <c r="AA1823">
        <f>IF(S1823=Z1823,0,1)</f>
        <v>1</v>
      </c>
    </row>
    <row r="1824" hidden="1" spans="1:27">
      <c r="A1824">
        <v>4</v>
      </c>
      <c r="B1824">
        <v>15</v>
      </c>
      <c r="C1824" s="3">
        <v>46122</v>
      </c>
      <c r="D1824" t="s">
        <v>27</v>
      </c>
      <c r="E1824" t="s">
        <v>1948</v>
      </c>
      <c r="F1824" t="s">
        <v>62</v>
      </c>
      <c r="G1824" t="s">
        <v>30</v>
      </c>
      <c r="H1824" t="s">
        <v>59</v>
      </c>
      <c r="I1824" t="s">
        <v>146</v>
      </c>
      <c r="J1824" t="s">
        <v>146</v>
      </c>
      <c r="K1824" t="s">
        <v>64</v>
      </c>
      <c r="L1824" t="s">
        <v>147</v>
      </c>
      <c r="M1824" t="s">
        <v>148</v>
      </c>
      <c r="N1824">
        <v>12.35</v>
      </c>
      <c r="O1824">
        <v>13.6363636363636</v>
      </c>
      <c r="P1824">
        <v>95.5</v>
      </c>
      <c r="Q1824">
        <v>109.136363636364</v>
      </c>
      <c r="R1824">
        <v>0</v>
      </c>
      <c r="S1824">
        <v>109.136363636364</v>
      </c>
      <c r="T1824">
        <v>52</v>
      </c>
      <c r="U1824">
        <f>SUMIF(货件明细!J:J,E1824,货件明细!AP:AP)</f>
        <v>0</v>
      </c>
      <c r="V1824">
        <f>IF(U1824=T1824,0,1)</f>
        <v>1</v>
      </c>
      <c r="W1824">
        <f>T1824</f>
        <v>52</v>
      </c>
      <c r="X1824">
        <f>SUMIF(货件明细!J:J,E1824,货件明细!H:H)</f>
        <v>0</v>
      </c>
      <c r="Y1824">
        <f>N1824-X1824</f>
        <v>12.35</v>
      </c>
      <c r="Z1824">
        <f>SUMIF(货件明细!J:J,E1824,货件明细!I:I)</f>
        <v>0</v>
      </c>
      <c r="AA1824">
        <f>IF(S1824=Z1824,0,1)</f>
        <v>1</v>
      </c>
    </row>
    <row r="1825" hidden="1" spans="1:27">
      <c r="A1825">
        <v>4</v>
      </c>
      <c r="B1825">
        <v>15</v>
      </c>
      <c r="C1825" s="3">
        <v>46122</v>
      </c>
      <c r="D1825" t="s">
        <v>27</v>
      </c>
      <c r="E1825" t="s">
        <v>1949</v>
      </c>
      <c r="F1825" t="s">
        <v>71</v>
      </c>
      <c r="G1825" t="s">
        <v>72</v>
      </c>
      <c r="H1825" t="s">
        <v>59</v>
      </c>
      <c r="I1825" t="s">
        <v>146</v>
      </c>
      <c r="J1825" t="s">
        <v>146</v>
      </c>
      <c r="K1825" t="s">
        <v>64</v>
      </c>
      <c r="L1825" t="s">
        <v>147</v>
      </c>
      <c r="M1825" t="s">
        <v>1545</v>
      </c>
      <c r="N1825">
        <v>12.35</v>
      </c>
      <c r="O1825">
        <v>4.54545454545455</v>
      </c>
      <c r="P1825">
        <v>63</v>
      </c>
      <c r="Q1825">
        <v>67.5454545454545</v>
      </c>
      <c r="R1825">
        <v>0</v>
      </c>
      <c r="S1825">
        <v>67.5454545454545</v>
      </c>
      <c r="T1825">
        <v>52</v>
      </c>
      <c r="U1825">
        <f>SUMIF(货件明细!J:J,E1825,货件明细!AP:AP)</f>
        <v>0</v>
      </c>
      <c r="V1825">
        <f>IF(U1825=T1825,0,1)</f>
        <v>1</v>
      </c>
      <c r="W1825">
        <f>T1825</f>
        <v>52</v>
      </c>
      <c r="X1825">
        <f>SUMIF(货件明细!J:J,E1825,货件明细!H:H)</f>
        <v>0</v>
      </c>
      <c r="Y1825">
        <f>N1825-X1825</f>
        <v>12.35</v>
      </c>
      <c r="Z1825">
        <f>SUMIF(货件明细!J:J,E1825,货件明细!I:I)</f>
        <v>0</v>
      </c>
      <c r="AA1825">
        <f>IF(S1825=Z1825,0,1)</f>
        <v>1</v>
      </c>
    </row>
    <row r="1826" hidden="1" spans="1:27">
      <c r="A1826">
        <v>4</v>
      </c>
      <c r="B1826">
        <v>15</v>
      </c>
      <c r="C1826" s="3">
        <v>46122</v>
      </c>
      <c r="D1826" t="s">
        <v>27</v>
      </c>
      <c r="E1826" t="s">
        <v>1950</v>
      </c>
      <c r="F1826" t="s">
        <v>250</v>
      </c>
      <c r="G1826" t="s">
        <v>72</v>
      </c>
      <c r="H1826" t="s">
        <v>59</v>
      </c>
      <c r="I1826" t="s">
        <v>146</v>
      </c>
      <c r="J1826" t="s">
        <v>146</v>
      </c>
      <c r="K1826" t="s">
        <v>64</v>
      </c>
      <c r="L1826" t="s">
        <v>147</v>
      </c>
      <c r="M1826" t="s">
        <v>1545</v>
      </c>
      <c r="N1826">
        <v>12.35</v>
      </c>
      <c r="O1826">
        <v>4.54545454545455</v>
      </c>
      <c r="P1826">
        <v>63</v>
      </c>
      <c r="Q1826">
        <v>67.5454545454545</v>
      </c>
      <c r="R1826">
        <v>0</v>
      </c>
      <c r="S1826">
        <v>67.5454545454545</v>
      </c>
      <c r="T1826">
        <v>52</v>
      </c>
      <c r="U1826">
        <f>SUMIF(货件明细!J:J,E1826,货件明细!AP:AP)</f>
        <v>0</v>
      </c>
      <c r="V1826">
        <f>IF(U1826=T1826,0,1)</f>
        <v>1</v>
      </c>
      <c r="W1826">
        <f>T1826</f>
        <v>52</v>
      </c>
      <c r="X1826">
        <f>SUMIF(货件明细!J:J,E1826,货件明细!H:H)</f>
        <v>0</v>
      </c>
      <c r="Y1826">
        <f>N1826-X1826</f>
        <v>12.35</v>
      </c>
      <c r="Z1826">
        <f>SUMIF(货件明细!J:J,E1826,货件明细!I:I)</f>
        <v>0</v>
      </c>
      <c r="AA1826">
        <f>IF(S1826=Z1826,0,1)</f>
        <v>1</v>
      </c>
    </row>
    <row r="1827" hidden="1" spans="1:27">
      <c r="A1827">
        <v>4</v>
      </c>
      <c r="B1827">
        <v>15</v>
      </c>
      <c r="C1827" s="3">
        <v>46122</v>
      </c>
      <c r="D1827" t="s">
        <v>27</v>
      </c>
      <c r="E1827" t="s">
        <v>1951</v>
      </c>
      <c r="F1827" t="s">
        <v>187</v>
      </c>
      <c r="G1827" t="s">
        <v>72</v>
      </c>
      <c r="H1827" t="s">
        <v>59</v>
      </c>
      <c r="I1827" t="s">
        <v>146</v>
      </c>
      <c r="J1827" t="s">
        <v>146</v>
      </c>
      <c r="K1827" t="s">
        <v>64</v>
      </c>
      <c r="L1827" t="s">
        <v>147</v>
      </c>
      <c r="M1827" t="s">
        <v>1545</v>
      </c>
      <c r="N1827">
        <v>12.35</v>
      </c>
      <c r="O1827">
        <v>4.54545454545455</v>
      </c>
      <c r="P1827">
        <v>57</v>
      </c>
      <c r="Q1827">
        <v>61.5454545454545</v>
      </c>
      <c r="R1827">
        <v>0</v>
      </c>
      <c r="S1827">
        <v>61.5454545454545</v>
      </c>
      <c r="T1827">
        <v>52</v>
      </c>
      <c r="U1827">
        <f>SUMIF(货件明细!J:J,E1827,货件明细!AP:AP)</f>
        <v>0</v>
      </c>
      <c r="V1827">
        <f>IF(U1827=T1827,0,1)</f>
        <v>1</v>
      </c>
      <c r="W1827">
        <f>T1827</f>
        <v>52</v>
      </c>
      <c r="X1827">
        <f>SUMIF(货件明细!J:J,E1827,货件明细!H:H)</f>
        <v>0</v>
      </c>
      <c r="Y1827">
        <f>N1827-X1827</f>
        <v>12.35</v>
      </c>
      <c r="Z1827">
        <f>SUMIF(货件明细!J:J,E1827,货件明细!I:I)</f>
        <v>0</v>
      </c>
      <c r="AA1827">
        <f>IF(S1827=Z1827,0,1)</f>
        <v>1</v>
      </c>
    </row>
    <row r="1828" hidden="1" spans="1:27">
      <c r="A1828">
        <v>4</v>
      </c>
      <c r="B1828">
        <v>15</v>
      </c>
      <c r="C1828" s="3">
        <v>46122</v>
      </c>
      <c r="D1828" t="s">
        <v>27</v>
      </c>
      <c r="E1828" t="s">
        <v>1952</v>
      </c>
      <c r="F1828" t="s">
        <v>74</v>
      </c>
      <c r="G1828" t="s">
        <v>30</v>
      </c>
      <c r="H1828" t="s">
        <v>59</v>
      </c>
      <c r="I1828" t="s">
        <v>146</v>
      </c>
      <c r="J1828" t="s">
        <v>146</v>
      </c>
      <c r="K1828" t="s">
        <v>64</v>
      </c>
      <c r="L1828" t="s">
        <v>147</v>
      </c>
      <c r="M1828" t="s">
        <v>148</v>
      </c>
      <c r="N1828">
        <v>12.35</v>
      </c>
      <c r="O1828">
        <v>13.6363636363636</v>
      </c>
      <c r="P1828">
        <v>92.5</v>
      </c>
      <c r="Q1828">
        <v>106.136363636364</v>
      </c>
      <c r="R1828">
        <v>0</v>
      </c>
      <c r="S1828">
        <v>106.136363636364</v>
      </c>
      <c r="T1828">
        <v>52</v>
      </c>
      <c r="U1828">
        <f>SUMIF(货件明细!J:J,E1828,货件明细!AP:AP)</f>
        <v>0</v>
      </c>
      <c r="V1828">
        <f>IF(U1828=T1828,0,1)</f>
        <v>1</v>
      </c>
      <c r="W1828">
        <f>T1828</f>
        <v>52</v>
      </c>
      <c r="X1828">
        <f>SUMIF(货件明细!J:J,E1828,货件明细!H:H)</f>
        <v>0</v>
      </c>
      <c r="Y1828">
        <f>N1828-X1828</f>
        <v>12.35</v>
      </c>
      <c r="Z1828">
        <f>SUMIF(货件明细!J:J,E1828,货件明细!I:I)</f>
        <v>0</v>
      </c>
      <c r="AA1828">
        <f>IF(S1828=Z1828,0,1)</f>
        <v>1</v>
      </c>
    </row>
    <row r="1829" hidden="1" spans="1:27">
      <c r="A1829">
        <v>4</v>
      </c>
      <c r="B1829">
        <v>15</v>
      </c>
      <c r="C1829" s="3">
        <v>46122</v>
      </c>
      <c r="D1829" t="s">
        <v>27</v>
      </c>
      <c r="E1829" t="s">
        <v>1953</v>
      </c>
      <c r="F1829" t="s">
        <v>187</v>
      </c>
      <c r="G1829" t="s">
        <v>72</v>
      </c>
      <c r="H1829" t="s">
        <v>78</v>
      </c>
      <c r="I1829" t="s">
        <v>146</v>
      </c>
      <c r="J1829" t="s">
        <v>146</v>
      </c>
      <c r="K1829" t="s">
        <v>64</v>
      </c>
      <c r="L1829" t="s">
        <v>147</v>
      </c>
      <c r="M1829" t="s">
        <v>1545</v>
      </c>
      <c r="N1829">
        <v>17</v>
      </c>
      <c r="O1829">
        <v>4.54545454545455</v>
      </c>
      <c r="P1829">
        <v>91.2</v>
      </c>
      <c r="Q1829">
        <v>95.7454545454545</v>
      </c>
      <c r="R1829">
        <v>0</v>
      </c>
      <c r="S1829">
        <v>95.7454545454545</v>
      </c>
      <c r="T1829">
        <v>80</v>
      </c>
      <c r="U1829">
        <f>SUMIF(货件明细!J:J,E1829,货件明细!AP:AP)</f>
        <v>0</v>
      </c>
      <c r="V1829">
        <f>IF(U1829=T1829,0,1)</f>
        <v>1</v>
      </c>
      <c r="W1829">
        <f>T1829</f>
        <v>80</v>
      </c>
      <c r="X1829">
        <f>SUMIF(货件明细!J:J,E1829,货件明细!H:H)</f>
        <v>0</v>
      </c>
      <c r="Y1829">
        <f>N1829-X1829</f>
        <v>17</v>
      </c>
      <c r="Z1829">
        <f>SUMIF(货件明细!J:J,E1829,货件明细!I:I)</f>
        <v>0</v>
      </c>
      <c r="AA1829">
        <f>IF(S1829=Z1829,0,1)</f>
        <v>1</v>
      </c>
    </row>
    <row r="1830" hidden="1" spans="1:27">
      <c r="A1830">
        <v>4</v>
      </c>
      <c r="B1830">
        <v>15</v>
      </c>
      <c r="C1830" s="3">
        <v>46122</v>
      </c>
      <c r="D1830" t="s">
        <v>27</v>
      </c>
      <c r="E1830" t="s">
        <v>1954</v>
      </c>
      <c r="F1830" t="s">
        <v>74</v>
      </c>
      <c r="G1830" t="s">
        <v>30</v>
      </c>
      <c r="H1830" t="s">
        <v>78</v>
      </c>
      <c r="I1830" t="s">
        <v>146</v>
      </c>
      <c r="J1830" t="s">
        <v>146</v>
      </c>
      <c r="K1830" t="s">
        <v>64</v>
      </c>
      <c r="L1830" t="s">
        <v>147</v>
      </c>
      <c r="M1830" t="s">
        <v>148</v>
      </c>
      <c r="N1830">
        <v>17</v>
      </c>
      <c r="O1830">
        <v>13.6363636363636</v>
      </c>
      <c r="P1830">
        <v>148</v>
      </c>
      <c r="Q1830">
        <v>161.636363636364</v>
      </c>
      <c r="R1830">
        <v>0</v>
      </c>
      <c r="S1830">
        <v>161.636363636364</v>
      </c>
      <c r="T1830">
        <v>80</v>
      </c>
      <c r="U1830">
        <f>SUMIF(货件明细!J:J,E1830,货件明细!AP:AP)</f>
        <v>0</v>
      </c>
      <c r="V1830">
        <f>IF(U1830=T1830,0,1)</f>
        <v>1</v>
      </c>
      <c r="W1830">
        <f>T1830</f>
        <v>80</v>
      </c>
      <c r="X1830">
        <f>SUMIF(货件明细!J:J,E1830,货件明细!H:H)</f>
        <v>0</v>
      </c>
      <c r="Y1830">
        <f>N1830-X1830</f>
        <v>17</v>
      </c>
      <c r="Z1830">
        <f>SUMIF(货件明细!J:J,E1830,货件明细!I:I)</f>
        <v>0</v>
      </c>
      <c r="AA1830">
        <f>IF(S1830=Z1830,0,1)</f>
        <v>1</v>
      </c>
    </row>
    <row r="1831" hidden="1" spans="1:27">
      <c r="A1831">
        <v>4</v>
      </c>
      <c r="B1831">
        <v>15</v>
      </c>
      <c r="C1831" s="3">
        <v>46122</v>
      </c>
      <c r="D1831" t="s">
        <v>27</v>
      </c>
      <c r="E1831" t="s">
        <v>1955</v>
      </c>
      <c r="F1831" t="s">
        <v>71</v>
      </c>
      <c r="G1831" t="s">
        <v>72</v>
      </c>
      <c r="H1831" t="s">
        <v>78</v>
      </c>
      <c r="I1831" t="s">
        <v>146</v>
      </c>
      <c r="J1831" t="s">
        <v>146</v>
      </c>
      <c r="K1831" t="s">
        <v>64</v>
      </c>
      <c r="L1831" t="s">
        <v>147</v>
      </c>
      <c r="M1831" t="s">
        <v>1545</v>
      </c>
      <c r="N1831">
        <v>17</v>
      </c>
      <c r="O1831">
        <v>4.54545454545455</v>
      </c>
      <c r="P1831">
        <v>113.4</v>
      </c>
      <c r="Q1831">
        <v>117.945454545455</v>
      </c>
      <c r="R1831">
        <v>0</v>
      </c>
      <c r="S1831">
        <v>117.945454545455</v>
      </c>
      <c r="T1831">
        <v>80</v>
      </c>
      <c r="U1831">
        <f>SUMIF(货件明细!J:J,E1831,货件明细!AP:AP)</f>
        <v>0</v>
      </c>
      <c r="V1831">
        <f>IF(U1831=T1831,0,1)</f>
        <v>1</v>
      </c>
      <c r="W1831">
        <f>T1831</f>
        <v>80</v>
      </c>
      <c r="X1831">
        <f>SUMIF(货件明细!J:J,E1831,货件明细!H:H)</f>
        <v>0</v>
      </c>
      <c r="Y1831">
        <f>N1831-X1831</f>
        <v>17</v>
      </c>
      <c r="Z1831">
        <f>SUMIF(货件明细!J:J,E1831,货件明细!I:I)</f>
        <v>0</v>
      </c>
      <c r="AA1831">
        <f>IF(S1831=Z1831,0,1)</f>
        <v>1</v>
      </c>
    </row>
    <row r="1832" hidden="1" spans="1:27">
      <c r="A1832">
        <v>4</v>
      </c>
      <c r="B1832">
        <v>15</v>
      </c>
      <c r="C1832" s="3">
        <v>46122</v>
      </c>
      <c r="D1832" t="s">
        <v>27</v>
      </c>
      <c r="E1832" t="s">
        <v>1956</v>
      </c>
      <c r="F1832" t="s">
        <v>62</v>
      </c>
      <c r="G1832" t="s">
        <v>30</v>
      </c>
      <c r="H1832" t="s">
        <v>78</v>
      </c>
      <c r="I1832" t="s">
        <v>146</v>
      </c>
      <c r="J1832" t="s">
        <v>146</v>
      </c>
      <c r="K1832" t="s">
        <v>64</v>
      </c>
      <c r="L1832" t="s">
        <v>147</v>
      </c>
      <c r="M1832" t="s">
        <v>148</v>
      </c>
      <c r="N1832">
        <v>17</v>
      </c>
      <c r="O1832">
        <v>13.6363636363636</v>
      </c>
      <c r="P1832">
        <v>152.8</v>
      </c>
      <c r="Q1832">
        <v>166.436363636364</v>
      </c>
      <c r="R1832">
        <v>0</v>
      </c>
      <c r="S1832">
        <v>166.436363636364</v>
      </c>
      <c r="T1832">
        <v>80</v>
      </c>
      <c r="U1832">
        <f>SUMIF(货件明细!J:J,E1832,货件明细!AP:AP)</f>
        <v>0</v>
      </c>
      <c r="V1832">
        <f>IF(U1832=T1832,0,1)</f>
        <v>1</v>
      </c>
      <c r="W1832">
        <f>T1832</f>
        <v>80</v>
      </c>
      <c r="X1832">
        <f>SUMIF(货件明细!J:J,E1832,货件明细!H:H)</f>
        <v>0</v>
      </c>
      <c r="Y1832">
        <f>N1832-X1832</f>
        <v>17</v>
      </c>
      <c r="Z1832">
        <f>SUMIF(货件明细!J:J,E1832,货件明细!I:I)</f>
        <v>0</v>
      </c>
      <c r="AA1832">
        <f>IF(S1832=Z1832,0,1)</f>
        <v>1</v>
      </c>
    </row>
    <row r="1833" hidden="1" spans="1:27">
      <c r="A1833">
        <v>4</v>
      </c>
      <c r="B1833">
        <v>15</v>
      </c>
      <c r="C1833" s="3">
        <v>46122</v>
      </c>
      <c r="D1833" t="s">
        <v>27</v>
      </c>
      <c r="E1833" t="s">
        <v>1957</v>
      </c>
      <c r="F1833" t="s">
        <v>250</v>
      </c>
      <c r="G1833" t="s">
        <v>72</v>
      </c>
      <c r="H1833" t="s">
        <v>78</v>
      </c>
      <c r="I1833" t="s">
        <v>146</v>
      </c>
      <c r="J1833" t="s">
        <v>146</v>
      </c>
      <c r="K1833" t="s">
        <v>64</v>
      </c>
      <c r="L1833" t="s">
        <v>147</v>
      </c>
      <c r="M1833" t="s">
        <v>1545</v>
      </c>
      <c r="N1833">
        <v>17</v>
      </c>
      <c r="O1833">
        <v>4.54545454545455</v>
      </c>
      <c r="P1833">
        <v>100.8</v>
      </c>
      <c r="Q1833">
        <v>105.345454545455</v>
      </c>
      <c r="R1833">
        <v>0</v>
      </c>
      <c r="S1833">
        <v>105.345454545455</v>
      </c>
      <c r="T1833">
        <v>80</v>
      </c>
      <c r="U1833">
        <f>SUMIF(货件明细!J:J,E1833,货件明细!AP:AP)</f>
        <v>0</v>
      </c>
      <c r="V1833">
        <f>IF(U1833=T1833,0,1)</f>
        <v>1</v>
      </c>
      <c r="W1833">
        <f>T1833</f>
        <v>80</v>
      </c>
      <c r="X1833">
        <f>SUMIF(货件明细!J:J,E1833,货件明细!H:H)</f>
        <v>0</v>
      </c>
      <c r="Y1833">
        <f>N1833-X1833</f>
        <v>17</v>
      </c>
      <c r="Z1833">
        <f>SUMIF(货件明细!J:J,E1833,货件明细!I:I)</f>
        <v>0</v>
      </c>
      <c r="AA1833">
        <f>IF(S1833=Z1833,0,1)</f>
        <v>1</v>
      </c>
    </row>
    <row r="1834" hidden="1" spans="1:27">
      <c r="A1834">
        <v>4</v>
      </c>
      <c r="B1834">
        <v>15</v>
      </c>
      <c r="C1834" s="3">
        <v>46122</v>
      </c>
      <c r="D1834" t="s">
        <v>27</v>
      </c>
      <c r="E1834" t="s">
        <v>1958</v>
      </c>
      <c r="F1834" t="s">
        <v>74</v>
      </c>
      <c r="G1834" t="s">
        <v>30</v>
      </c>
      <c r="H1834" t="s">
        <v>39</v>
      </c>
      <c r="I1834" t="s">
        <v>146</v>
      </c>
      <c r="J1834" t="s">
        <v>146</v>
      </c>
      <c r="K1834" t="s">
        <v>64</v>
      </c>
      <c r="L1834" t="s">
        <v>147</v>
      </c>
      <c r="M1834" t="s">
        <v>148</v>
      </c>
      <c r="N1834">
        <v>11.35</v>
      </c>
      <c r="O1834">
        <v>13.6363636363636</v>
      </c>
      <c r="P1834">
        <v>92.5</v>
      </c>
      <c r="Q1834">
        <v>106.136363636364</v>
      </c>
      <c r="R1834">
        <v>0</v>
      </c>
      <c r="S1834">
        <v>106.136363636364</v>
      </c>
      <c r="T1834">
        <v>66</v>
      </c>
      <c r="U1834">
        <f>SUMIF(货件明细!J:J,E1834,货件明细!AP:AP)</f>
        <v>0</v>
      </c>
      <c r="V1834">
        <f>IF(U1834=T1834,0,1)</f>
        <v>1</v>
      </c>
      <c r="W1834">
        <f>T1834</f>
        <v>66</v>
      </c>
      <c r="X1834">
        <f>SUMIF(货件明细!J:J,E1834,货件明细!H:H)</f>
        <v>0</v>
      </c>
      <c r="Y1834">
        <f>N1834-X1834</f>
        <v>11.35</v>
      </c>
      <c r="Z1834">
        <f>SUMIF(货件明细!J:J,E1834,货件明细!I:I)</f>
        <v>0</v>
      </c>
      <c r="AA1834">
        <f>IF(S1834=Z1834,0,1)</f>
        <v>1</v>
      </c>
    </row>
    <row r="1835" hidden="1" spans="1:27">
      <c r="A1835">
        <v>4</v>
      </c>
      <c r="B1835">
        <v>15</v>
      </c>
      <c r="C1835" s="3">
        <v>46122</v>
      </c>
      <c r="D1835" t="s">
        <v>27</v>
      </c>
      <c r="E1835" t="s">
        <v>1959</v>
      </c>
      <c r="F1835" t="s">
        <v>250</v>
      </c>
      <c r="G1835" t="s">
        <v>72</v>
      </c>
      <c r="H1835" t="s">
        <v>39</v>
      </c>
      <c r="I1835" t="s">
        <v>146</v>
      </c>
      <c r="J1835" t="s">
        <v>146</v>
      </c>
      <c r="K1835" t="s">
        <v>64</v>
      </c>
      <c r="L1835" t="s">
        <v>147</v>
      </c>
      <c r="M1835" t="s">
        <v>1545</v>
      </c>
      <c r="N1835">
        <v>11.35</v>
      </c>
      <c r="O1835">
        <v>4.54545454545455</v>
      </c>
      <c r="P1835">
        <v>63</v>
      </c>
      <c r="Q1835">
        <v>67.5454545454545</v>
      </c>
      <c r="R1835">
        <v>0</v>
      </c>
      <c r="S1835">
        <v>67.5454545454545</v>
      </c>
      <c r="T1835">
        <v>66</v>
      </c>
      <c r="U1835">
        <f>SUMIF(货件明细!J:J,E1835,货件明细!AP:AP)</f>
        <v>0</v>
      </c>
      <c r="V1835">
        <f>IF(U1835=T1835,0,1)</f>
        <v>1</v>
      </c>
      <c r="W1835">
        <f>T1835</f>
        <v>66</v>
      </c>
      <c r="X1835">
        <f>SUMIF(货件明细!J:J,E1835,货件明细!H:H)</f>
        <v>0</v>
      </c>
      <c r="Y1835">
        <f>N1835-X1835</f>
        <v>11.35</v>
      </c>
      <c r="Z1835">
        <f>SUMIF(货件明细!J:J,E1835,货件明细!I:I)</f>
        <v>0</v>
      </c>
      <c r="AA1835">
        <f>IF(S1835=Z1835,0,1)</f>
        <v>1</v>
      </c>
    </row>
    <row r="1836" hidden="1" spans="1:27">
      <c r="A1836">
        <v>4</v>
      </c>
      <c r="B1836">
        <v>15</v>
      </c>
      <c r="C1836" s="3">
        <v>46122</v>
      </c>
      <c r="D1836" t="s">
        <v>27</v>
      </c>
      <c r="E1836" t="s">
        <v>1960</v>
      </c>
      <c r="F1836" t="s">
        <v>71</v>
      </c>
      <c r="G1836" t="s">
        <v>72</v>
      </c>
      <c r="H1836" t="s">
        <v>39</v>
      </c>
      <c r="I1836" t="s">
        <v>146</v>
      </c>
      <c r="J1836" t="s">
        <v>146</v>
      </c>
      <c r="K1836" t="s">
        <v>64</v>
      </c>
      <c r="L1836" t="s">
        <v>147</v>
      </c>
      <c r="M1836" t="s">
        <v>1545</v>
      </c>
      <c r="N1836">
        <v>11.35</v>
      </c>
      <c r="O1836">
        <v>4.54545454545455</v>
      </c>
      <c r="P1836">
        <v>63</v>
      </c>
      <c r="Q1836">
        <v>67.5454545454545</v>
      </c>
      <c r="R1836">
        <v>0</v>
      </c>
      <c r="S1836">
        <v>67.5454545454545</v>
      </c>
      <c r="T1836">
        <v>66</v>
      </c>
      <c r="U1836">
        <f>SUMIF(货件明细!J:J,E1836,货件明细!AP:AP)</f>
        <v>0</v>
      </c>
      <c r="V1836">
        <f>IF(U1836=T1836,0,1)</f>
        <v>1</v>
      </c>
      <c r="W1836">
        <f>T1836</f>
        <v>66</v>
      </c>
      <c r="X1836">
        <f>SUMIF(货件明细!J:J,E1836,货件明细!H:H)</f>
        <v>0</v>
      </c>
      <c r="Y1836">
        <f>N1836-X1836</f>
        <v>11.35</v>
      </c>
      <c r="Z1836">
        <f>SUMIF(货件明细!J:J,E1836,货件明细!I:I)</f>
        <v>0</v>
      </c>
      <c r="AA1836">
        <f>IF(S1836=Z1836,0,1)</f>
        <v>1</v>
      </c>
    </row>
    <row r="1837" hidden="1" spans="1:27">
      <c r="A1837">
        <v>4</v>
      </c>
      <c r="B1837">
        <v>15</v>
      </c>
      <c r="C1837" s="3">
        <v>46122</v>
      </c>
      <c r="D1837" t="s">
        <v>27</v>
      </c>
      <c r="E1837" t="s">
        <v>1961</v>
      </c>
      <c r="F1837" t="s">
        <v>187</v>
      </c>
      <c r="G1837" t="s">
        <v>72</v>
      </c>
      <c r="H1837" t="s">
        <v>39</v>
      </c>
      <c r="I1837" t="s">
        <v>146</v>
      </c>
      <c r="J1837" t="s">
        <v>146</v>
      </c>
      <c r="K1837" t="s">
        <v>64</v>
      </c>
      <c r="L1837" t="s">
        <v>147</v>
      </c>
      <c r="M1837" t="s">
        <v>1545</v>
      </c>
      <c r="N1837">
        <v>11.35</v>
      </c>
      <c r="O1837">
        <v>4.54545454545455</v>
      </c>
      <c r="P1837">
        <v>57</v>
      </c>
      <c r="Q1837">
        <v>61.5454545454545</v>
      </c>
      <c r="R1837">
        <v>0</v>
      </c>
      <c r="S1837">
        <v>61.5454545454545</v>
      </c>
      <c r="T1837">
        <v>66</v>
      </c>
      <c r="U1837">
        <f>SUMIF(货件明细!J:J,E1837,货件明细!AP:AP)</f>
        <v>0</v>
      </c>
      <c r="V1837">
        <f>IF(U1837=T1837,0,1)</f>
        <v>1</v>
      </c>
      <c r="W1837">
        <f>T1837</f>
        <v>66</v>
      </c>
      <c r="X1837">
        <f>SUMIF(货件明细!J:J,E1837,货件明细!H:H)</f>
        <v>0</v>
      </c>
      <c r="Y1837">
        <f>N1837-X1837</f>
        <v>11.35</v>
      </c>
      <c r="Z1837">
        <f>SUMIF(货件明细!J:J,E1837,货件明细!I:I)</f>
        <v>0</v>
      </c>
      <c r="AA1837">
        <f>IF(S1837=Z1837,0,1)</f>
        <v>1</v>
      </c>
    </row>
    <row r="1838" hidden="1" spans="1:27">
      <c r="A1838">
        <v>4</v>
      </c>
      <c r="B1838">
        <v>15</v>
      </c>
      <c r="C1838" s="3">
        <v>46122</v>
      </c>
      <c r="D1838" t="s">
        <v>27</v>
      </c>
      <c r="E1838" t="s">
        <v>1962</v>
      </c>
      <c r="F1838" t="s">
        <v>62</v>
      </c>
      <c r="G1838" t="s">
        <v>30</v>
      </c>
      <c r="H1838" t="s">
        <v>39</v>
      </c>
      <c r="I1838" t="s">
        <v>146</v>
      </c>
      <c r="J1838" t="s">
        <v>146</v>
      </c>
      <c r="K1838" t="s">
        <v>64</v>
      </c>
      <c r="L1838" t="s">
        <v>147</v>
      </c>
      <c r="M1838" t="s">
        <v>148</v>
      </c>
      <c r="N1838">
        <v>11.35</v>
      </c>
      <c r="O1838">
        <v>13.6363636363636</v>
      </c>
      <c r="P1838">
        <v>95.5</v>
      </c>
      <c r="Q1838">
        <v>109.136363636364</v>
      </c>
      <c r="R1838">
        <v>0</v>
      </c>
      <c r="S1838">
        <v>109.136363636364</v>
      </c>
      <c r="T1838">
        <v>66</v>
      </c>
      <c r="U1838">
        <f>SUMIF(货件明细!J:J,E1838,货件明细!AP:AP)</f>
        <v>0</v>
      </c>
      <c r="V1838">
        <f>IF(U1838=T1838,0,1)</f>
        <v>1</v>
      </c>
      <c r="W1838">
        <f>T1838</f>
        <v>66</v>
      </c>
      <c r="X1838">
        <f>SUMIF(货件明细!J:J,E1838,货件明细!H:H)</f>
        <v>0</v>
      </c>
      <c r="Y1838">
        <f>N1838-X1838</f>
        <v>11.35</v>
      </c>
      <c r="Z1838">
        <f>SUMIF(货件明细!J:J,E1838,货件明细!I:I)</f>
        <v>0</v>
      </c>
      <c r="AA1838">
        <f>IF(S1838=Z1838,0,1)</f>
        <v>1</v>
      </c>
    </row>
    <row r="1839" hidden="1" spans="1:27">
      <c r="A1839">
        <v>4</v>
      </c>
      <c r="B1839">
        <v>15</v>
      </c>
      <c r="C1839" s="3">
        <v>46122</v>
      </c>
      <c r="D1839" t="s">
        <v>27</v>
      </c>
      <c r="E1839" t="s">
        <v>1963</v>
      </c>
      <c r="F1839" t="s">
        <v>74</v>
      </c>
      <c r="G1839" t="s">
        <v>30</v>
      </c>
      <c r="H1839" t="s">
        <v>54</v>
      </c>
      <c r="I1839" t="s">
        <v>146</v>
      </c>
      <c r="J1839" t="s">
        <v>146</v>
      </c>
      <c r="K1839" t="s">
        <v>64</v>
      </c>
      <c r="L1839" t="s">
        <v>147</v>
      </c>
      <c r="M1839" t="s">
        <v>148</v>
      </c>
      <c r="N1839">
        <v>36.1</v>
      </c>
      <c r="O1839">
        <v>13.6363636363636</v>
      </c>
      <c r="P1839">
        <v>351.5</v>
      </c>
      <c r="Q1839">
        <v>365.136363636364</v>
      </c>
      <c r="R1839">
        <v>0</v>
      </c>
      <c r="S1839">
        <v>365.136363636364</v>
      </c>
      <c r="T1839">
        <v>138</v>
      </c>
      <c r="U1839">
        <f>SUMIF(货件明细!J:J,E1839,货件明细!AP:AP)</f>
        <v>0</v>
      </c>
      <c r="V1839">
        <f>IF(U1839=T1839,0,1)</f>
        <v>1</v>
      </c>
      <c r="W1839">
        <f>T1839</f>
        <v>138</v>
      </c>
      <c r="X1839">
        <f>SUMIF(货件明细!J:J,E1839,货件明细!H:H)</f>
        <v>0</v>
      </c>
      <c r="Y1839">
        <f>N1839-X1839</f>
        <v>36.1</v>
      </c>
      <c r="Z1839">
        <f>SUMIF(货件明细!J:J,E1839,货件明细!I:I)</f>
        <v>0</v>
      </c>
      <c r="AA1839">
        <f>IF(S1839=Z1839,0,1)</f>
        <v>1</v>
      </c>
    </row>
    <row r="1840" hidden="1" spans="1:27">
      <c r="A1840">
        <v>4</v>
      </c>
      <c r="B1840">
        <v>15</v>
      </c>
      <c r="C1840" s="3">
        <v>46122</v>
      </c>
      <c r="D1840" t="s">
        <v>27</v>
      </c>
      <c r="E1840" t="s">
        <v>1964</v>
      </c>
      <c r="F1840" t="s">
        <v>71</v>
      </c>
      <c r="G1840" t="s">
        <v>72</v>
      </c>
      <c r="H1840" t="s">
        <v>54</v>
      </c>
      <c r="I1840" t="s">
        <v>146</v>
      </c>
      <c r="J1840" t="s">
        <v>146</v>
      </c>
      <c r="K1840" t="s">
        <v>64</v>
      </c>
      <c r="L1840" t="s">
        <v>147</v>
      </c>
      <c r="M1840" t="s">
        <v>1545</v>
      </c>
      <c r="N1840">
        <v>36.1</v>
      </c>
      <c r="O1840">
        <v>4.54545454545455</v>
      </c>
      <c r="P1840">
        <v>239.4</v>
      </c>
      <c r="Q1840">
        <v>243.945454545455</v>
      </c>
      <c r="R1840">
        <v>0</v>
      </c>
      <c r="S1840">
        <v>243.945454545455</v>
      </c>
      <c r="T1840">
        <v>138</v>
      </c>
      <c r="U1840">
        <f>SUMIF(货件明细!J:J,E1840,货件明细!AP:AP)</f>
        <v>0</v>
      </c>
      <c r="V1840">
        <f>IF(U1840=T1840,0,1)</f>
        <v>1</v>
      </c>
      <c r="W1840">
        <f>T1840</f>
        <v>138</v>
      </c>
      <c r="X1840">
        <f>SUMIF(货件明细!J:J,E1840,货件明细!H:H)</f>
        <v>0</v>
      </c>
      <c r="Y1840">
        <f>N1840-X1840</f>
        <v>36.1</v>
      </c>
      <c r="Z1840">
        <f>SUMIF(货件明细!J:J,E1840,货件明细!I:I)</f>
        <v>0</v>
      </c>
      <c r="AA1840">
        <f>IF(S1840=Z1840,0,1)</f>
        <v>1</v>
      </c>
    </row>
    <row r="1841" hidden="1" spans="1:27">
      <c r="A1841">
        <v>4</v>
      </c>
      <c r="B1841">
        <v>15</v>
      </c>
      <c r="C1841" s="3">
        <v>46122</v>
      </c>
      <c r="D1841" t="s">
        <v>27</v>
      </c>
      <c r="E1841" t="s">
        <v>1965</v>
      </c>
      <c r="F1841" t="s">
        <v>62</v>
      </c>
      <c r="G1841" t="s">
        <v>30</v>
      </c>
      <c r="H1841" t="s">
        <v>54</v>
      </c>
      <c r="I1841" t="s">
        <v>146</v>
      </c>
      <c r="J1841" t="s">
        <v>146</v>
      </c>
      <c r="K1841" t="s">
        <v>64</v>
      </c>
      <c r="L1841" t="s">
        <v>147</v>
      </c>
      <c r="M1841" t="s">
        <v>148</v>
      </c>
      <c r="N1841">
        <v>36.1</v>
      </c>
      <c r="O1841">
        <v>13.6363636363636</v>
      </c>
      <c r="P1841">
        <v>362.9</v>
      </c>
      <c r="Q1841">
        <v>376.536363636364</v>
      </c>
      <c r="R1841">
        <v>0</v>
      </c>
      <c r="S1841">
        <v>376.536363636364</v>
      </c>
      <c r="T1841">
        <v>138</v>
      </c>
      <c r="U1841">
        <f>SUMIF(货件明细!J:J,E1841,货件明细!AP:AP)</f>
        <v>0</v>
      </c>
      <c r="V1841">
        <f>IF(U1841=T1841,0,1)</f>
        <v>1</v>
      </c>
      <c r="W1841">
        <f>T1841</f>
        <v>138</v>
      </c>
      <c r="X1841">
        <f>SUMIF(货件明细!J:J,E1841,货件明细!H:H)</f>
        <v>0</v>
      </c>
      <c r="Y1841">
        <f>N1841-X1841</f>
        <v>36.1</v>
      </c>
      <c r="Z1841">
        <f>SUMIF(货件明细!J:J,E1841,货件明细!I:I)</f>
        <v>0</v>
      </c>
      <c r="AA1841">
        <f>IF(S1841=Z1841,0,1)</f>
        <v>1</v>
      </c>
    </row>
    <row r="1842" hidden="1" spans="1:27">
      <c r="A1842">
        <v>4</v>
      </c>
      <c r="B1842">
        <v>15</v>
      </c>
      <c r="C1842" s="3">
        <v>46122</v>
      </c>
      <c r="D1842" t="s">
        <v>27</v>
      </c>
      <c r="E1842" t="s">
        <v>1966</v>
      </c>
      <c r="F1842" t="s">
        <v>250</v>
      </c>
      <c r="G1842" t="s">
        <v>72</v>
      </c>
      <c r="H1842" t="s">
        <v>54</v>
      </c>
      <c r="I1842" t="s">
        <v>146</v>
      </c>
      <c r="J1842" t="s">
        <v>146</v>
      </c>
      <c r="K1842" t="s">
        <v>64</v>
      </c>
      <c r="L1842" t="s">
        <v>147</v>
      </c>
      <c r="M1842" t="s">
        <v>1545</v>
      </c>
      <c r="N1842">
        <v>36.1</v>
      </c>
      <c r="O1842">
        <v>4.54545454545455</v>
      </c>
      <c r="P1842">
        <v>239.4</v>
      </c>
      <c r="Q1842">
        <v>243.945454545455</v>
      </c>
      <c r="R1842">
        <v>0</v>
      </c>
      <c r="S1842">
        <v>243.945454545455</v>
      </c>
      <c r="T1842">
        <v>138</v>
      </c>
      <c r="U1842">
        <f>SUMIF(货件明细!J:J,E1842,货件明细!AP:AP)</f>
        <v>0</v>
      </c>
      <c r="V1842">
        <f>IF(U1842=T1842,0,1)</f>
        <v>1</v>
      </c>
      <c r="W1842">
        <f>T1842</f>
        <v>138</v>
      </c>
      <c r="X1842">
        <f>SUMIF(货件明细!J:J,E1842,货件明细!H:H)</f>
        <v>0</v>
      </c>
      <c r="Y1842">
        <f>N1842-X1842</f>
        <v>36.1</v>
      </c>
      <c r="Z1842">
        <f>SUMIF(货件明细!J:J,E1842,货件明细!I:I)</f>
        <v>0</v>
      </c>
      <c r="AA1842">
        <f>IF(S1842=Z1842,0,1)</f>
        <v>1</v>
      </c>
    </row>
    <row r="1843" hidden="1" spans="1:27">
      <c r="A1843">
        <v>4</v>
      </c>
      <c r="B1843">
        <v>15</v>
      </c>
      <c r="C1843" s="3">
        <v>46122</v>
      </c>
      <c r="D1843" t="s">
        <v>27</v>
      </c>
      <c r="E1843" t="s">
        <v>1967</v>
      </c>
      <c r="F1843" t="s">
        <v>187</v>
      </c>
      <c r="G1843" t="s">
        <v>72</v>
      </c>
      <c r="H1843" t="s">
        <v>54</v>
      </c>
      <c r="I1843" t="s">
        <v>146</v>
      </c>
      <c r="J1843" t="s">
        <v>146</v>
      </c>
      <c r="K1843" t="s">
        <v>64</v>
      </c>
      <c r="L1843" t="s">
        <v>147</v>
      </c>
      <c r="M1843" t="s">
        <v>1545</v>
      </c>
      <c r="N1843">
        <v>36.1</v>
      </c>
      <c r="O1843">
        <v>4.54545454545455</v>
      </c>
      <c r="P1843">
        <v>216.6</v>
      </c>
      <c r="Q1843">
        <v>221.145454545455</v>
      </c>
      <c r="R1843">
        <v>0</v>
      </c>
      <c r="S1843">
        <v>221.145454545455</v>
      </c>
      <c r="T1843">
        <v>138</v>
      </c>
      <c r="U1843">
        <f>SUMIF(货件明细!J:J,E1843,货件明细!AP:AP)</f>
        <v>0</v>
      </c>
      <c r="V1843">
        <f>IF(U1843=T1843,0,1)</f>
        <v>1</v>
      </c>
      <c r="W1843">
        <f>T1843</f>
        <v>138</v>
      </c>
      <c r="X1843">
        <f>SUMIF(货件明细!J:J,E1843,货件明细!H:H)</f>
        <v>0</v>
      </c>
      <c r="Y1843">
        <f>N1843-X1843</f>
        <v>36.1</v>
      </c>
      <c r="Z1843">
        <f>SUMIF(货件明细!J:J,E1843,货件明细!I:I)</f>
        <v>0</v>
      </c>
      <c r="AA1843">
        <f>IF(S1843=Z1843,0,1)</f>
        <v>1</v>
      </c>
    </row>
    <row r="1844" hidden="1" spans="1:27">
      <c r="A1844">
        <v>4</v>
      </c>
      <c r="B1844">
        <v>15</v>
      </c>
      <c r="C1844" s="3">
        <v>46122</v>
      </c>
      <c r="D1844" t="s">
        <v>27</v>
      </c>
      <c r="E1844" t="s">
        <v>1968</v>
      </c>
      <c r="F1844" t="s">
        <v>187</v>
      </c>
      <c r="G1844" t="s">
        <v>72</v>
      </c>
      <c r="H1844" t="s">
        <v>51</v>
      </c>
      <c r="I1844" t="s">
        <v>146</v>
      </c>
      <c r="J1844" t="s">
        <v>146</v>
      </c>
      <c r="K1844" t="s">
        <v>64</v>
      </c>
      <c r="L1844" t="s">
        <v>147</v>
      </c>
      <c r="M1844" t="s">
        <v>1545</v>
      </c>
      <c r="N1844">
        <v>20.85</v>
      </c>
      <c r="O1844">
        <v>4.54545454545455</v>
      </c>
      <c r="P1844">
        <v>91.2</v>
      </c>
      <c r="Q1844">
        <v>95.7454545454545</v>
      </c>
      <c r="R1844">
        <v>0</v>
      </c>
      <c r="S1844">
        <v>95.7454545454545</v>
      </c>
      <c r="T1844">
        <v>94</v>
      </c>
      <c r="U1844">
        <f>SUMIF(货件明细!J:J,E1844,货件明细!AP:AP)</f>
        <v>0</v>
      </c>
      <c r="V1844">
        <f>IF(U1844=T1844,0,1)</f>
        <v>1</v>
      </c>
      <c r="W1844">
        <f>T1844</f>
        <v>94</v>
      </c>
      <c r="X1844">
        <f>SUMIF(货件明细!J:J,E1844,货件明细!H:H)</f>
        <v>0</v>
      </c>
      <c r="Y1844">
        <f>N1844-X1844</f>
        <v>20.85</v>
      </c>
      <c r="Z1844">
        <f>SUMIF(货件明细!J:J,E1844,货件明细!I:I)</f>
        <v>0</v>
      </c>
      <c r="AA1844">
        <f>IF(S1844=Z1844,0,1)</f>
        <v>1</v>
      </c>
    </row>
    <row r="1845" hidden="1" spans="1:27">
      <c r="A1845">
        <v>4</v>
      </c>
      <c r="B1845">
        <v>15</v>
      </c>
      <c r="C1845" s="3">
        <v>46122</v>
      </c>
      <c r="D1845" t="s">
        <v>27</v>
      </c>
      <c r="E1845" t="s">
        <v>1969</v>
      </c>
      <c r="F1845" t="s">
        <v>74</v>
      </c>
      <c r="G1845" t="s">
        <v>30</v>
      </c>
      <c r="H1845" t="s">
        <v>51</v>
      </c>
      <c r="I1845" t="s">
        <v>146</v>
      </c>
      <c r="J1845" t="s">
        <v>146</v>
      </c>
      <c r="K1845" t="s">
        <v>64</v>
      </c>
      <c r="L1845" t="s">
        <v>147</v>
      </c>
      <c r="M1845" t="s">
        <v>148</v>
      </c>
      <c r="N1845">
        <v>20.85</v>
      </c>
      <c r="O1845">
        <v>13.6363636363636</v>
      </c>
      <c r="P1845">
        <v>148</v>
      </c>
      <c r="Q1845">
        <v>161.636363636364</v>
      </c>
      <c r="R1845">
        <v>0</v>
      </c>
      <c r="S1845">
        <v>161.636363636364</v>
      </c>
      <c r="T1845">
        <v>94</v>
      </c>
      <c r="U1845">
        <f>SUMIF(货件明细!J:J,E1845,货件明细!AP:AP)</f>
        <v>0</v>
      </c>
      <c r="V1845">
        <f>IF(U1845=T1845,0,1)</f>
        <v>1</v>
      </c>
      <c r="W1845">
        <f>T1845</f>
        <v>94</v>
      </c>
      <c r="X1845">
        <f>SUMIF(货件明细!J:J,E1845,货件明细!H:H)</f>
        <v>0</v>
      </c>
      <c r="Y1845">
        <f>N1845-X1845</f>
        <v>20.85</v>
      </c>
      <c r="Z1845">
        <f>SUMIF(货件明细!J:J,E1845,货件明细!I:I)</f>
        <v>0</v>
      </c>
      <c r="AA1845">
        <f>IF(S1845=Z1845,0,1)</f>
        <v>1</v>
      </c>
    </row>
    <row r="1846" hidden="1" spans="1:27">
      <c r="A1846">
        <v>4</v>
      </c>
      <c r="B1846">
        <v>15</v>
      </c>
      <c r="C1846" s="3">
        <v>46122</v>
      </c>
      <c r="D1846" t="s">
        <v>27</v>
      </c>
      <c r="E1846" t="s">
        <v>1970</v>
      </c>
      <c r="F1846" t="s">
        <v>62</v>
      </c>
      <c r="G1846" t="s">
        <v>30</v>
      </c>
      <c r="H1846" t="s">
        <v>51</v>
      </c>
      <c r="I1846" t="s">
        <v>146</v>
      </c>
      <c r="J1846" t="s">
        <v>146</v>
      </c>
      <c r="K1846" t="s">
        <v>64</v>
      </c>
      <c r="L1846" t="s">
        <v>147</v>
      </c>
      <c r="M1846" t="s">
        <v>148</v>
      </c>
      <c r="N1846">
        <v>20.85</v>
      </c>
      <c r="O1846">
        <v>13.6363636363636</v>
      </c>
      <c r="P1846">
        <v>152.8</v>
      </c>
      <c r="Q1846">
        <v>166.436363636364</v>
      </c>
      <c r="R1846">
        <v>0</v>
      </c>
      <c r="S1846">
        <v>166.436363636364</v>
      </c>
      <c r="T1846">
        <v>94</v>
      </c>
      <c r="U1846">
        <f>SUMIF(货件明细!J:J,E1846,货件明细!AP:AP)</f>
        <v>0</v>
      </c>
      <c r="V1846">
        <f>IF(U1846=T1846,0,1)</f>
        <v>1</v>
      </c>
      <c r="W1846">
        <f>T1846</f>
        <v>94</v>
      </c>
      <c r="X1846">
        <f>SUMIF(货件明细!J:J,E1846,货件明细!H:H)</f>
        <v>0</v>
      </c>
      <c r="Y1846">
        <f>N1846-X1846</f>
        <v>20.85</v>
      </c>
      <c r="Z1846">
        <f>SUMIF(货件明细!J:J,E1846,货件明细!I:I)</f>
        <v>0</v>
      </c>
      <c r="AA1846">
        <f>IF(S1846=Z1846,0,1)</f>
        <v>1</v>
      </c>
    </row>
    <row r="1847" hidden="1" spans="1:27">
      <c r="A1847">
        <v>4</v>
      </c>
      <c r="B1847">
        <v>15</v>
      </c>
      <c r="C1847" s="3">
        <v>46122</v>
      </c>
      <c r="D1847" t="s">
        <v>27</v>
      </c>
      <c r="E1847" t="s">
        <v>1971</v>
      </c>
      <c r="F1847" t="s">
        <v>250</v>
      </c>
      <c r="G1847" t="s">
        <v>72</v>
      </c>
      <c r="H1847" t="s">
        <v>51</v>
      </c>
      <c r="I1847" t="s">
        <v>146</v>
      </c>
      <c r="J1847" t="s">
        <v>146</v>
      </c>
      <c r="K1847" t="s">
        <v>64</v>
      </c>
      <c r="L1847" t="s">
        <v>147</v>
      </c>
      <c r="M1847" t="s">
        <v>1545</v>
      </c>
      <c r="N1847">
        <v>20.85</v>
      </c>
      <c r="O1847">
        <v>4.54545454545455</v>
      </c>
      <c r="P1847">
        <v>100.8</v>
      </c>
      <c r="Q1847">
        <v>105.345454545455</v>
      </c>
      <c r="R1847">
        <v>0</v>
      </c>
      <c r="S1847">
        <v>105.345454545455</v>
      </c>
      <c r="T1847">
        <v>94</v>
      </c>
      <c r="U1847">
        <f>SUMIF(货件明细!J:J,E1847,货件明细!AP:AP)</f>
        <v>0</v>
      </c>
      <c r="V1847">
        <f>IF(U1847=T1847,0,1)</f>
        <v>1</v>
      </c>
      <c r="W1847">
        <f>T1847</f>
        <v>94</v>
      </c>
      <c r="X1847">
        <f>SUMIF(货件明细!J:J,E1847,货件明细!H:H)</f>
        <v>0</v>
      </c>
      <c r="Y1847">
        <f>N1847-X1847</f>
        <v>20.85</v>
      </c>
      <c r="Z1847">
        <f>SUMIF(货件明细!J:J,E1847,货件明细!I:I)</f>
        <v>0</v>
      </c>
      <c r="AA1847">
        <f>IF(S1847=Z1847,0,1)</f>
        <v>1</v>
      </c>
    </row>
    <row r="1848" hidden="1" spans="1:27">
      <c r="A1848">
        <v>4</v>
      </c>
      <c r="B1848">
        <v>15</v>
      </c>
      <c r="C1848" s="3">
        <v>46122</v>
      </c>
      <c r="D1848" t="s">
        <v>27</v>
      </c>
      <c r="E1848" t="s">
        <v>1972</v>
      </c>
      <c r="F1848" t="s">
        <v>71</v>
      </c>
      <c r="G1848" t="s">
        <v>72</v>
      </c>
      <c r="H1848" t="s">
        <v>51</v>
      </c>
      <c r="I1848" t="s">
        <v>146</v>
      </c>
      <c r="J1848" t="s">
        <v>146</v>
      </c>
      <c r="K1848" t="s">
        <v>64</v>
      </c>
      <c r="L1848" t="s">
        <v>147</v>
      </c>
      <c r="M1848" t="s">
        <v>1545</v>
      </c>
      <c r="N1848">
        <v>20.85</v>
      </c>
      <c r="O1848">
        <v>4.54545454545455</v>
      </c>
      <c r="P1848">
        <v>100.8</v>
      </c>
      <c r="Q1848">
        <v>105.345454545455</v>
      </c>
      <c r="R1848">
        <v>0</v>
      </c>
      <c r="S1848">
        <v>105.345454545455</v>
      </c>
      <c r="T1848">
        <v>94</v>
      </c>
      <c r="U1848">
        <f>SUMIF(货件明细!J:J,E1848,货件明细!AP:AP)</f>
        <v>0</v>
      </c>
      <c r="V1848">
        <f>IF(U1848=T1848,0,1)</f>
        <v>1</v>
      </c>
      <c r="W1848">
        <f>T1848</f>
        <v>94</v>
      </c>
      <c r="X1848">
        <f>SUMIF(货件明细!J:J,E1848,货件明细!H:H)</f>
        <v>0</v>
      </c>
      <c r="Y1848">
        <f>N1848-X1848</f>
        <v>20.85</v>
      </c>
      <c r="Z1848">
        <f>SUMIF(货件明细!J:J,E1848,货件明细!I:I)</f>
        <v>0</v>
      </c>
      <c r="AA1848">
        <f>IF(S1848=Z1848,0,1)</f>
        <v>1</v>
      </c>
    </row>
    <row r="1849" hidden="1" spans="1:27">
      <c r="A1849">
        <v>4</v>
      </c>
      <c r="B1849">
        <v>15</v>
      </c>
      <c r="C1849" s="3">
        <v>46122</v>
      </c>
      <c r="D1849" t="s">
        <v>88</v>
      </c>
      <c r="E1849" t="s">
        <v>1973</v>
      </c>
      <c r="F1849" t="s">
        <v>211</v>
      </c>
      <c r="G1849" t="s">
        <v>72</v>
      </c>
      <c r="H1849" t="s">
        <v>31</v>
      </c>
      <c r="I1849" t="s">
        <v>63</v>
      </c>
      <c r="J1849" t="s">
        <v>146</v>
      </c>
      <c r="K1849" t="s">
        <v>64</v>
      </c>
      <c r="L1849" t="s">
        <v>212</v>
      </c>
      <c r="M1849" t="s">
        <v>1974</v>
      </c>
      <c r="N1849">
        <v>17.15</v>
      </c>
      <c r="O1849">
        <v>50</v>
      </c>
      <c r="P1849">
        <v>75.25</v>
      </c>
      <c r="Q1849">
        <v>125.25</v>
      </c>
      <c r="R1849">
        <v>0</v>
      </c>
      <c r="S1849">
        <v>125.25</v>
      </c>
      <c r="T1849">
        <v>97</v>
      </c>
      <c r="U1849">
        <f>SUMIF(货件明细!J:J,E1849,货件明细!AP:AP)</f>
        <v>0</v>
      </c>
      <c r="V1849">
        <f>IF(U1849=T1849,0,1)</f>
        <v>1</v>
      </c>
      <c r="W1849">
        <f>T1849</f>
        <v>97</v>
      </c>
      <c r="X1849">
        <f>SUMIF(货件明细!J:J,E1849,货件明细!H:H)</f>
        <v>0</v>
      </c>
      <c r="Y1849">
        <f>N1849-X1849</f>
        <v>17.15</v>
      </c>
      <c r="Z1849">
        <f>SUMIF(货件明细!J:J,E1849,货件明细!I:I)</f>
        <v>0</v>
      </c>
      <c r="AA1849">
        <f>IF(S1849=Z1849,0,1)</f>
        <v>1</v>
      </c>
    </row>
    <row r="1850" hidden="1" spans="1:27">
      <c r="A1850">
        <v>4</v>
      </c>
      <c r="B1850">
        <v>15</v>
      </c>
      <c r="C1850" s="3">
        <v>46122</v>
      </c>
      <c r="D1850" t="s">
        <v>88</v>
      </c>
      <c r="E1850" t="s">
        <v>1975</v>
      </c>
      <c r="F1850" t="s">
        <v>211</v>
      </c>
      <c r="G1850" t="s">
        <v>72</v>
      </c>
      <c r="H1850" t="s">
        <v>37</v>
      </c>
      <c r="I1850" t="s">
        <v>63</v>
      </c>
      <c r="J1850" t="s">
        <v>146</v>
      </c>
      <c r="K1850" t="s">
        <v>64</v>
      </c>
      <c r="L1850" t="s">
        <v>212</v>
      </c>
      <c r="M1850" t="s">
        <v>1974</v>
      </c>
      <c r="N1850">
        <v>50.65</v>
      </c>
      <c r="O1850">
        <v>50</v>
      </c>
      <c r="P1850">
        <v>161.25</v>
      </c>
      <c r="Q1850">
        <v>211.25</v>
      </c>
      <c r="R1850">
        <v>0</v>
      </c>
      <c r="S1850">
        <v>211.25</v>
      </c>
      <c r="T1850">
        <v>332</v>
      </c>
      <c r="U1850">
        <f>SUMIF(货件明细!J:J,E1850,货件明细!AP:AP)</f>
        <v>0</v>
      </c>
      <c r="V1850">
        <f>IF(U1850=T1850,0,1)</f>
        <v>1</v>
      </c>
      <c r="W1850">
        <f>T1850</f>
        <v>332</v>
      </c>
      <c r="X1850">
        <f>SUMIF(货件明细!J:J,E1850,货件明细!H:H)</f>
        <v>0</v>
      </c>
      <c r="Y1850">
        <f>N1850-X1850</f>
        <v>50.65</v>
      </c>
      <c r="Z1850">
        <f>SUMIF(货件明细!J:J,E1850,货件明细!I:I)</f>
        <v>0</v>
      </c>
      <c r="AA1850">
        <f>IF(S1850=Z1850,0,1)</f>
        <v>1</v>
      </c>
    </row>
    <row r="1851" hidden="1" spans="1:27">
      <c r="A1851">
        <v>4</v>
      </c>
      <c r="B1851">
        <v>15</v>
      </c>
      <c r="C1851" s="3">
        <v>46122</v>
      </c>
      <c r="D1851" t="s">
        <v>88</v>
      </c>
      <c r="E1851" t="s">
        <v>1976</v>
      </c>
      <c r="F1851" t="s">
        <v>211</v>
      </c>
      <c r="G1851" t="s">
        <v>72</v>
      </c>
      <c r="H1851" t="s">
        <v>56</v>
      </c>
      <c r="I1851" t="s">
        <v>63</v>
      </c>
      <c r="J1851" t="s">
        <v>146</v>
      </c>
      <c r="K1851" t="s">
        <v>64</v>
      </c>
      <c r="L1851" t="s">
        <v>212</v>
      </c>
      <c r="M1851" t="s">
        <v>1974</v>
      </c>
      <c r="N1851">
        <v>5.8</v>
      </c>
      <c r="O1851">
        <v>50</v>
      </c>
      <c r="P1851">
        <v>21.5</v>
      </c>
      <c r="Q1851">
        <v>71.5</v>
      </c>
      <c r="R1851">
        <v>0</v>
      </c>
      <c r="S1851">
        <v>71.5</v>
      </c>
      <c r="T1851">
        <v>40</v>
      </c>
      <c r="U1851">
        <f>SUMIF(货件明细!J:J,E1851,货件明细!AP:AP)</f>
        <v>0</v>
      </c>
      <c r="V1851">
        <f>IF(U1851=T1851,0,1)</f>
        <v>1</v>
      </c>
      <c r="W1851">
        <f>T1851</f>
        <v>40</v>
      </c>
      <c r="X1851">
        <f>SUMIF(货件明细!J:J,E1851,货件明细!H:H)</f>
        <v>0</v>
      </c>
      <c r="Y1851">
        <f>N1851-X1851</f>
        <v>5.8</v>
      </c>
      <c r="Z1851">
        <f>SUMIF(货件明细!J:J,E1851,货件明细!I:I)</f>
        <v>0</v>
      </c>
      <c r="AA1851">
        <f>IF(S1851=Z1851,0,1)</f>
        <v>1</v>
      </c>
    </row>
    <row r="1852" hidden="1" spans="1:27">
      <c r="A1852">
        <v>4</v>
      </c>
      <c r="B1852">
        <v>15</v>
      </c>
      <c r="C1852" s="3">
        <v>46122</v>
      </c>
      <c r="D1852" t="s">
        <v>27</v>
      </c>
      <c r="E1852" t="s">
        <v>1977</v>
      </c>
      <c r="F1852" t="s">
        <v>398</v>
      </c>
      <c r="G1852" t="s">
        <v>72</v>
      </c>
      <c r="H1852" t="s">
        <v>56</v>
      </c>
      <c r="I1852" t="s">
        <v>146</v>
      </c>
      <c r="J1852" t="s">
        <v>146</v>
      </c>
      <c r="K1852" t="s">
        <v>64</v>
      </c>
      <c r="L1852" t="s">
        <v>212</v>
      </c>
      <c r="M1852" t="s">
        <v>1974</v>
      </c>
      <c r="N1852">
        <v>9.65</v>
      </c>
      <c r="O1852">
        <v>50</v>
      </c>
      <c r="P1852">
        <v>22.61</v>
      </c>
      <c r="Q1852">
        <v>72.61</v>
      </c>
      <c r="R1852">
        <v>158.46</v>
      </c>
      <c r="S1852">
        <v>231.07</v>
      </c>
      <c r="T1852">
        <v>76</v>
      </c>
      <c r="U1852">
        <f>SUMIF(货件明细!J:J,E1852,货件明细!AP:AP)</f>
        <v>0</v>
      </c>
      <c r="V1852">
        <f>IF(U1852=T1852,0,1)</f>
        <v>1</v>
      </c>
      <c r="W1852">
        <f>T1852</f>
        <v>76</v>
      </c>
      <c r="X1852">
        <f>SUMIF(货件明细!J:J,E1852,货件明细!H:H)</f>
        <v>0</v>
      </c>
      <c r="Y1852">
        <f>N1852-X1852</f>
        <v>9.65</v>
      </c>
      <c r="Z1852">
        <f>SUMIF(货件明细!J:J,E1852,货件明细!I:I)</f>
        <v>0</v>
      </c>
      <c r="AA1852">
        <f>IF(S1852=Z1852,0,1)</f>
        <v>1</v>
      </c>
    </row>
    <row r="1853" hidden="1" spans="1:27">
      <c r="A1853">
        <v>4</v>
      </c>
      <c r="B1853">
        <v>15</v>
      </c>
      <c r="C1853" s="3">
        <v>46122</v>
      </c>
      <c r="D1853" t="s">
        <v>27</v>
      </c>
      <c r="E1853" t="s">
        <v>1978</v>
      </c>
      <c r="F1853" t="s">
        <v>398</v>
      </c>
      <c r="G1853" t="s">
        <v>72</v>
      </c>
      <c r="H1853" t="s">
        <v>37</v>
      </c>
      <c r="I1853" t="s">
        <v>146</v>
      </c>
      <c r="J1853" t="s">
        <v>146</v>
      </c>
      <c r="K1853" t="s">
        <v>64</v>
      </c>
      <c r="L1853" t="s">
        <v>212</v>
      </c>
      <c r="M1853" t="s">
        <v>1974</v>
      </c>
      <c r="N1853">
        <v>16.9</v>
      </c>
      <c r="O1853">
        <v>50</v>
      </c>
      <c r="P1853">
        <v>90.44</v>
      </c>
      <c r="Q1853">
        <v>140.44</v>
      </c>
      <c r="R1853">
        <v>240.609</v>
      </c>
      <c r="S1853">
        <v>381.049</v>
      </c>
      <c r="T1853">
        <v>108</v>
      </c>
      <c r="U1853">
        <f>SUMIF(货件明细!J:J,E1853,货件明细!AP:AP)</f>
        <v>0</v>
      </c>
      <c r="V1853">
        <f>IF(U1853=T1853,0,1)</f>
        <v>1</v>
      </c>
      <c r="W1853">
        <f>T1853</f>
        <v>108</v>
      </c>
      <c r="X1853">
        <f>SUMIF(货件明细!J:J,E1853,货件明细!H:H)</f>
        <v>0</v>
      </c>
      <c r="Y1853">
        <f>N1853-X1853</f>
        <v>16.9</v>
      </c>
      <c r="Z1853">
        <f>SUMIF(货件明细!J:J,E1853,货件明细!I:I)</f>
        <v>0</v>
      </c>
      <c r="AA1853">
        <f>IF(S1853=Z1853,0,1)</f>
        <v>1</v>
      </c>
    </row>
    <row r="1854" spans="1:27">
      <c r="A1854">
        <v>4</v>
      </c>
      <c r="B1854">
        <v>15</v>
      </c>
      <c r="C1854" s="3">
        <v>46122</v>
      </c>
      <c r="D1854" t="s">
        <v>27</v>
      </c>
      <c r="E1854" t="s">
        <v>1979</v>
      </c>
      <c r="F1854" t="s">
        <v>41</v>
      </c>
      <c r="G1854" t="s">
        <v>30</v>
      </c>
      <c r="H1854" t="s">
        <v>37</v>
      </c>
      <c r="I1854" t="s">
        <v>42</v>
      </c>
      <c r="J1854" t="s">
        <v>42</v>
      </c>
      <c r="K1854" t="s">
        <v>33</v>
      </c>
      <c r="L1854" t="s">
        <v>323</v>
      </c>
      <c r="M1854" t="s">
        <v>44</v>
      </c>
      <c r="N1854">
        <v>14.8</v>
      </c>
      <c r="O1854">
        <v>50</v>
      </c>
      <c r="P1854">
        <v>952.5</v>
      </c>
      <c r="Q1854">
        <v>1002.5</v>
      </c>
      <c r="R1854">
        <v>101.192</v>
      </c>
      <c r="S1854">
        <v>1103.692</v>
      </c>
      <c r="T1854">
        <v>91</v>
      </c>
      <c r="U1854">
        <f>SUMIF(货件明细!J:J,E1854,货件明细!AP:AP)</f>
        <v>91</v>
      </c>
      <c r="V1854">
        <f>IF(U1854=T1854,0,1)</f>
        <v>0</v>
      </c>
      <c r="W1854">
        <f>T1854</f>
        <v>91</v>
      </c>
      <c r="X1854">
        <f>SUMIF(货件明细!J:J,E1854,货件明细!H:H)</f>
        <v>14.075</v>
      </c>
      <c r="Y1854">
        <f>N1854-X1854</f>
        <v>0.725000000000001</v>
      </c>
      <c r="Z1854">
        <f>SUMIF(货件明细!J:J,E1854,货件明细!I:I)</f>
        <v>1103.692</v>
      </c>
      <c r="AA1854">
        <f>IF(S1854=Z1854,0,1)</f>
        <v>0</v>
      </c>
    </row>
    <row r="1855" spans="1:27">
      <c r="A1855">
        <v>4</v>
      </c>
      <c r="B1855">
        <v>15</v>
      </c>
      <c r="C1855" s="3">
        <v>46122</v>
      </c>
      <c r="D1855" t="s">
        <v>27</v>
      </c>
      <c r="E1855" t="s">
        <v>1980</v>
      </c>
      <c r="F1855" t="s">
        <v>41</v>
      </c>
      <c r="G1855" t="s">
        <v>30</v>
      </c>
      <c r="H1855" t="s">
        <v>31</v>
      </c>
      <c r="I1855" t="s">
        <v>42</v>
      </c>
      <c r="J1855" t="s">
        <v>42</v>
      </c>
      <c r="K1855" t="s">
        <v>33</v>
      </c>
      <c r="L1855" t="s">
        <v>323</v>
      </c>
      <c r="M1855" t="s">
        <v>44</v>
      </c>
      <c r="N1855">
        <v>15.75</v>
      </c>
      <c r="O1855">
        <v>50</v>
      </c>
      <c r="P1855">
        <v>1013.5</v>
      </c>
      <c r="Q1855">
        <v>1063.5</v>
      </c>
      <c r="R1855">
        <v>116.76</v>
      </c>
      <c r="S1855">
        <v>1180.26</v>
      </c>
      <c r="T1855">
        <v>105</v>
      </c>
      <c r="U1855">
        <f>SUMIF(货件明细!J:J,E1855,货件明细!AP:AP)</f>
        <v>105</v>
      </c>
      <c r="V1855">
        <f>IF(U1855=T1855,0,1)</f>
        <v>0</v>
      </c>
      <c r="W1855">
        <f>T1855</f>
        <v>105</v>
      </c>
      <c r="X1855">
        <f>SUMIF(货件明细!J:J,E1855,货件明细!H:H)</f>
        <v>15.14</v>
      </c>
      <c r="Y1855">
        <f>N1855-X1855</f>
        <v>0.609999999999999</v>
      </c>
      <c r="Z1855">
        <f>SUMIF(货件明细!J:J,E1855,货件明细!I:I)</f>
        <v>1180.26</v>
      </c>
      <c r="AA1855">
        <f>IF(S1855=Z1855,0,1)</f>
        <v>0</v>
      </c>
    </row>
    <row r="1856" spans="1:27">
      <c r="A1856">
        <v>4</v>
      </c>
      <c r="B1856">
        <v>15</v>
      </c>
      <c r="C1856" s="3">
        <v>46122</v>
      </c>
      <c r="D1856" t="s">
        <v>27</v>
      </c>
      <c r="E1856" t="s">
        <v>1981</v>
      </c>
      <c r="F1856" t="s">
        <v>41</v>
      </c>
      <c r="G1856" t="s">
        <v>30</v>
      </c>
      <c r="H1856" t="s">
        <v>56</v>
      </c>
      <c r="I1856" t="s">
        <v>42</v>
      </c>
      <c r="J1856" t="s">
        <v>42</v>
      </c>
      <c r="K1856" t="s">
        <v>33</v>
      </c>
      <c r="L1856" t="s">
        <v>323</v>
      </c>
      <c r="M1856" t="s">
        <v>44</v>
      </c>
      <c r="N1856">
        <v>25.55</v>
      </c>
      <c r="O1856">
        <v>50</v>
      </c>
      <c r="P1856">
        <v>1623.5</v>
      </c>
      <c r="Q1856">
        <v>1673.5</v>
      </c>
      <c r="R1856">
        <v>222.4</v>
      </c>
      <c r="S1856">
        <v>1895.9</v>
      </c>
      <c r="T1856">
        <v>150</v>
      </c>
      <c r="U1856">
        <f>SUMIF(货件明细!J:J,E1856,货件明细!AP:AP)</f>
        <v>150</v>
      </c>
      <c r="V1856">
        <f>IF(U1856=T1856,0,1)</f>
        <v>0</v>
      </c>
      <c r="W1856">
        <f>T1856</f>
        <v>150</v>
      </c>
      <c r="X1856">
        <f>SUMIF(货件明细!J:J,E1856,货件明细!H:H)</f>
        <v>23.9</v>
      </c>
      <c r="Y1856">
        <f>N1856-X1856</f>
        <v>1.65</v>
      </c>
      <c r="Z1856">
        <f>SUMIF(货件明细!J:J,E1856,货件明细!I:I)</f>
        <v>1895.9</v>
      </c>
      <c r="AA1856">
        <f>IF(S1856=Z1856,0,1)</f>
        <v>0</v>
      </c>
    </row>
    <row r="1857" spans="1:27">
      <c r="A1857">
        <v>4</v>
      </c>
      <c r="B1857">
        <v>15</v>
      </c>
      <c r="C1857" s="3">
        <v>46122</v>
      </c>
      <c r="D1857" t="s">
        <v>27</v>
      </c>
      <c r="E1857" t="s">
        <v>1982</v>
      </c>
      <c r="F1857" t="s">
        <v>41</v>
      </c>
      <c r="G1857" t="s">
        <v>30</v>
      </c>
      <c r="H1857" t="s">
        <v>78</v>
      </c>
      <c r="I1857" t="s">
        <v>42</v>
      </c>
      <c r="J1857" t="s">
        <v>42</v>
      </c>
      <c r="K1857" t="s">
        <v>33</v>
      </c>
      <c r="L1857" t="s">
        <v>323</v>
      </c>
      <c r="M1857" t="s">
        <v>44</v>
      </c>
      <c r="N1857">
        <v>40.35</v>
      </c>
      <c r="O1857">
        <v>50</v>
      </c>
      <c r="P1857">
        <v>2538.5</v>
      </c>
      <c r="Q1857">
        <v>2588.5</v>
      </c>
      <c r="R1857">
        <v>100.08</v>
      </c>
      <c r="S1857">
        <v>2688.58</v>
      </c>
      <c r="T1857">
        <v>90</v>
      </c>
      <c r="U1857">
        <f>SUMIF(货件明细!J:J,E1857,货件明细!AP:AP)</f>
        <v>90</v>
      </c>
      <c r="V1857">
        <f>IF(U1857=T1857,0,1)</f>
        <v>0</v>
      </c>
      <c r="W1857">
        <f>T1857</f>
        <v>90</v>
      </c>
      <c r="X1857">
        <f>SUMIF(货件明细!J:J,E1857,货件明细!H:H)</f>
        <v>38.16</v>
      </c>
      <c r="Y1857">
        <f>N1857-X1857</f>
        <v>2.19</v>
      </c>
      <c r="Z1857">
        <f>SUMIF(货件明细!J:J,E1857,货件明细!I:I)</f>
        <v>2688.58</v>
      </c>
      <c r="AA1857">
        <f>IF(S1857=Z1857,0,1)</f>
        <v>0</v>
      </c>
    </row>
    <row r="1858" spans="1:27">
      <c r="A1858">
        <v>4</v>
      </c>
      <c r="B1858">
        <v>16</v>
      </c>
      <c r="C1858" s="3">
        <v>46125</v>
      </c>
      <c r="D1858" t="s">
        <v>27</v>
      </c>
      <c r="E1858" t="s">
        <v>1983</v>
      </c>
      <c r="F1858" t="s">
        <v>29</v>
      </c>
      <c r="G1858" t="s">
        <v>30</v>
      </c>
      <c r="H1858" t="s">
        <v>37</v>
      </c>
      <c r="I1858" t="s">
        <v>42</v>
      </c>
      <c r="J1858" t="s">
        <v>42</v>
      </c>
      <c r="K1858" t="s">
        <v>33</v>
      </c>
      <c r="L1858" t="s">
        <v>323</v>
      </c>
      <c r="M1858" t="s">
        <v>44</v>
      </c>
      <c r="N1858">
        <v>18.7</v>
      </c>
      <c r="O1858">
        <v>100</v>
      </c>
      <c r="P1858">
        <v>1416</v>
      </c>
      <c r="Q1858">
        <v>1516</v>
      </c>
      <c r="R1858">
        <v>205.72</v>
      </c>
      <c r="S1858">
        <v>1721.72</v>
      </c>
      <c r="T1858">
        <v>185</v>
      </c>
      <c r="U1858">
        <f>SUMIF(货件明细!J:J,E1858,货件明细!AP:AP)</f>
        <v>185</v>
      </c>
      <c r="V1858">
        <f>IF(U1858=T1858,0,1)</f>
        <v>0</v>
      </c>
      <c r="W1858">
        <f>T1858</f>
        <v>185</v>
      </c>
      <c r="X1858">
        <f>SUMIF(货件明细!J:J,E1858,货件明细!H:H)</f>
        <v>17.68</v>
      </c>
      <c r="Y1858">
        <f>N1858-X1858</f>
        <v>1.02</v>
      </c>
      <c r="Z1858">
        <f>SUMIF(货件明细!J:J,E1858,货件明细!I:I)</f>
        <v>1721.72</v>
      </c>
      <c r="AA1858">
        <f>IF(S1858=Z1858,0,1)</f>
        <v>0</v>
      </c>
    </row>
    <row r="1859" spans="1:27">
      <c r="A1859">
        <v>4</v>
      </c>
      <c r="B1859">
        <v>16</v>
      </c>
      <c r="C1859" s="3">
        <v>46125</v>
      </c>
      <c r="D1859" t="s">
        <v>27</v>
      </c>
      <c r="E1859" t="s">
        <v>1984</v>
      </c>
      <c r="F1859" t="s">
        <v>29</v>
      </c>
      <c r="G1859" t="s">
        <v>30</v>
      </c>
      <c r="H1859" t="s">
        <v>39</v>
      </c>
      <c r="I1859" t="s">
        <v>42</v>
      </c>
      <c r="J1859" t="s">
        <v>42</v>
      </c>
      <c r="K1859" t="s">
        <v>33</v>
      </c>
      <c r="L1859" t="s">
        <v>323</v>
      </c>
      <c r="M1859" t="s">
        <v>44</v>
      </c>
      <c r="N1859">
        <v>8.9</v>
      </c>
      <c r="O1859">
        <v>100</v>
      </c>
      <c r="P1859">
        <v>726</v>
      </c>
      <c r="Q1859">
        <v>826</v>
      </c>
      <c r="R1859">
        <v>93.547</v>
      </c>
      <c r="S1859">
        <v>919.547</v>
      </c>
      <c r="T1859">
        <v>64</v>
      </c>
      <c r="U1859">
        <f>SUMIF(货件明细!J:J,E1859,货件明细!AP:AP)</f>
        <v>64</v>
      </c>
      <c r="V1859">
        <f>IF(U1859=T1859,0,1)</f>
        <v>0</v>
      </c>
      <c r="W1859">
        <f>T1859</f>
        <v>64</v>
      </c>
      <c r="X1859">
        <f>SUMIF(货件明细!J:J,E1859,货件明细!H:H)</f>
        <v>8.29</v>
      </c>
      <c r="Y1859">
        <f>N1859-X1859</f>
        <v>0.609999999999999</v>
      </c>
      <c r="Z1859">
        <f>SUMIF(货件明细!J:J,E1859,货件明细!I:I)</f>
        <v>919.547</v>
      </c>
      <c r="AA1859">
        <f>IF(S1859=Z1859,0,1)</f>
        <v>0</v>
      </c>
    </row>
    <row r="1860" spans="1:27">
      <c r="A1860">
        <v>4</v>
      </c>
      <c r="B1860">
        <v>16</v>
      </c>
      <c r="C1860" s="3">
        <v>46126</v>
      </c>
      <c r="D1860" t="s">
        <v>27</v>
      </c>
      <c r="E1860" t="s">
        <v>1985</v>
      </c>
      <c r="F1860" t="s">
        <v>41</v>
      </c>
      <c r="G1860" t="s">
        <v>30</v>
      </c>
      <c r="H1860" t="s">
        <v>31</v>
      </c>
      <c r="I1860" t="s">
        <v>32</v>
      </c>
      <c r="J1860" t="s">
        <v>32</v>
      </c>
      <c r="K1860" t="s">
        <v>33</v>
      </c>
      <c r="L1860" t="s">
        <v>43</v>
      </c>
      <c r="M1860" t="s">
        <v>47</v>
      </c>
      <c r="N1860">
        <v>42.3</v>
      </c>
      <c r="O1860">
        <v>175</v>
      </c>
      <c r="P1860">
        <v>2773.5</v>
      </c>
      <c r="Q1860">
        <v>2948.5</v>
      </c>
      <c r="R1860">
        <v>263.266</v>
      </c>
      <c r="S1860">
        <v>3211.766</v>
      </c>
      <c r="T1860">
        <v>232</v>
      </c>
      <c r="U1860">
        <f>SUMIF(货件明细!J:J,E1860,货件明细!AP:AP)</f>
        <v>232</v>
      </c>
      <c r="V1860">
        <f>IF(U1860=T1860,0,1)</f>
        <v>0</v>
      </c>
      <c r="W1860">
        <f>T1860</f>
        <v>232</v>
      </c>
      <c r="X1860">
        <f>SUMIF(货件明细!J:J,E1860,货件明细!H:H)</f>
        <v>40.476</v>
      </c>
      <c r="Y1860">
        <f>N1860-X1860</f>
        <v>1.824</v>
      </c>
      <c r="Z1860">
        <f>SUMIF(货件明细!J:J,E1860,货件明细!I:I)</f>
        <v>3211.766</v>
      </c>
      <c r="AA1860">
        <f>IF(S1860=Z1860,0,1)</f>
        <v>0</v>
      </c>
    </row>
    <row r="1861" spans="1:27">
      <c r="A1861">
        <v>4</v>
      </c>
      <c r="B1861">
        <v>16</v>
      </c>
      <c r="C1861" s="3">
        <v>46126</v>
      </c>
      <c r="D1861" t="s">
        <v>27</v>
      </c>
      <c r="E1861" t="s">
        <v>1986</v>
      </c>
      <c r="F1861" t="s">
        <v>41</v>
      </c>
      <c r="G1861" t="s">
        <v>30</v>
      </c>
      <c r="H1861" t="s">
        <v>54</v>
      </c>
      <c r="I1861" t="s">
        <v>32</v>
      </c>
      <c r="J1861" t="s">
        <v>32</v>
      </c>
      <c r="K1861" t="s">
        <v>33</v>
      </c>
      <c r="L1861" t="s">
        <v>43</v>
      </c>
      <c r="M1861" t="s">
        <v>47</v>
      </c>
      <c r="N1861">
        <v>82.2</v>
      </c>
      <c r="O1861">
        <v>175</v>
      </c>
      <c r="P1861">
        <v>5289</v>
      </c>
      <c r="Q1861">
        <v>5464</v>
      </c>
      <c r="R1861">
        <v>868.472</v>
      </c>
      <c r="S1861">
        <v>6332.472</v>
      </c>
      <c r="T1861">
        <v>741</v>
      </c>
      <c r="U1861">
        <f>SUMIF(货件明细!J:J,E1861,货件明细!AP:AP)</f>
        <v>741</v>
      </c>
      <c r="V1861">
        <f>IF(U1861=T1861,0,1)</f>
        <v>0</v>
      </c>
      <c r="W1861">
        <f>T1861</f>
        <v>741</v>
      </c>
      <c r="X1861">
        <f>SUMIF(货件明细!J:J,E1861,货件明细!H:H)</f>
        <v>76.454</v>
      </c>
      <c r="Y1861">
        <f>N1861-X1861</f>
        <v>5.746</v>
      </c>
      <c r="Z1861">
        <f>SUMIF(货件明细!J:J,E1861,货件明细!I:I)</f>
        <v>6332.472</v>
      </c>
      <c r="AA1861">
        <f>IF(S1861=Z1861,0,1)</f>
        <v>0</v>
      </c>
    </row>
    <row r="1862" spans="1:27">
      <c r="A1862">
        <v>4</v>
      </c>
      <c r="B1862">
        <v>16</v>
      </c>
      <c r="C1862" s="3">
        <v>46126</v>
      </c>
      <c r="D1862" t="s">
        <v>27</v>
      </c>
      <c r="E1862" t="s">
        <v>1987</v>
      </c>
      <c r="F1862" t="s">
        <v>29</v>
      </c>
      <c r="G1862" t="s">
        <v>30</v>
      </c>
      <c r="H1862" t="s">
        <v>37</v>
      </c>
      <c r="I1862" t="s">
        <v>42</v>
      </c>
      <c r="J1862" t="s">
        <v>42</v>
      </c>
      <c r="K1862" t="s">
        <v>33</v>
      </c>
      <c r="L1862" t="s">
        <v>207</v>
      </c>
      <c r="M1862" t="s">
        <v>44</v>
      </c>
      <c r="N1862">
        <v>19.85</v>
      </c>
      <c r="O1862">
        <v>116.666666666667</v>
      </c>
      <c r="P1862">
        <v>1365</v>
      </c>
      <c r="Q1862">
        <v>1481.66666666667</v>
      </c>
      <c r="R1862">
        <v>158.46</v>
      </c>
      <c r="S1862">
        <v>1640.12666666667</v>
      </c>
      <c r="T1862">
        <v>95</v>
      </c>
      <c r="U1862">
        <f>SUMIF(货件明细!J:J,E1862,货件明细!AP:AP)</f>
        <v>95</v>
      </c>
      <c r="V1862">
        <f>IF(U1862=T1862,0,1)</f>
        <v>0</v>
      </c>
      <c r="W1862">
        <f>T1862</f>
        <v>95</v>
      </c>
      <c r="X1862">
        <f>SUMIF(货件明细!J:J,E1862,货件明细!H:H)</f>
        <v>17.1475</v>
      </c>
      <c r="Y1862">
        <f>N1862-X1862</f>
        <v>2.7025</v>
      </c>
      <c r="Z1862">
        <f>SUMIF(货件明细!J:J,E1862,货件明细!I:I)</f>
        <v>1640.12666666667</v>
      </c>
      <c r="AA1862">
        <f>IF(S1862=Z1862,0,1)</f>
        <v>0</v>
      </c>
    </row>
    <row r="1863" spans="1:27">
      <c r="A1863">
        <v>4</v>
      </c>
      <c r="B1863">
        <v>16</v>
      </c>
      <c r="C1863" s="3">
        <v>46126</v>
      </c>
      <c r="D1863" t="s">
        <v>27</v>
      </c>
      <c r="E1863" t="s">
        <v>1988</v>
      </c>
      <c r="F1863" t="s">
        <v>29</v>
      </c>
      <c r="G1863" t="s">
        <v>30</v>
      </c>
      <c r="H1863" t="s">
        <v>39</v>
      </c>
      <c r="I1863" t="s">
        <v>42</v>
      </c>
      <c r="J1863" t="s">
        <v>42</v>
      </c>
      <c r="K1863" t="s">
        <v>33</v>
      </c>
      <c r="L1863" t="s">
        <v>207</v>
      </c>
      <c r="M1863" t="s">
        <v>44</v>
      </c>
      <c r="N1863">
        <v>16.91</v>
      </c>
      <c r="O1863">
        <v>116.666666666667</v>
      </c>
      <c r="P1863">
        <v>1164</v>
      </c>
      <c r="Q1863">
        <v>1280.66666666667</v>
      </c>
      <c r="R1863">
        <v>163.464</v>
      </c>
      <c r="S1863">
        <v>1444.13066666667</v>
      </c>
      <c r="T1863">
        <v>114</v>
      </c>
      <c r="U1863">
        <f>SUMIF(货件明细!J:J,E1863,货件明细!AP:AP)</f>
        <v>114</v>
      </c>
      <c r="V1863">
        <f>IF(U1863=T1863,0,1)</f>
        <v>0</v>
      </c>
      <c r="W1863">
        <f>T1863</f>
        <v>114</v>
      </c>
      <c r="X1863">
        <f>SUMIF(货件明细!J:J,E1863,货件明细!H:H)</f>
        <v>15.318</v>
      </c>
      <c r="Y1863">
        <f>N1863-X1863</f>
        <v>1.592</v>
      </c>
      <c r="Z1863">
        <f>SUMIF(货件明细!J:J,E1863,货件明细!I:I)</f>
        <v>1444.13066666667</v>
      </c>
      <c r="AA1863">
        <f>IF(S1863=Z1863,0,1)</f>
        <v>0</v>
      </c>
    </row>
    <row r="1864" spans="1:27">
      <c r="A1864">
        <v>4</v>
      </c>
      <c r="B1864">
        <v>16</v>
      </c>
      <c r="C1864" s="3">
        <v>46126</v>
      </c>
      <c r="D1864" t="s">
        <v>27</v>
      </c>
      <c r="E1864" t="s">
        <v>1989</v>
      </c>
      <c r="F1864" t="s">
        <v>29</v>
      </c>
      <c r="G1864" t="s">
        <v>30</v>
      </c>
      <c r="H1864" t="s">
        <v>224</v>
      </c>
      <c r="I1864" t="s">
        <v>42</v>
      </c>
      <c r="J1864" t="s">
        <v>42</v>
      </c>
      <c r="K1864" t="s">
        <v>33</v>
      </c>
      <c r="L1864" t="s">
        <v>207</v>
      </c>
      <c r="M1864" t="s">
        <v>44</v>
      </c>
      <c r="N1864">
        <v>47.45</v>
      </c>
      <c r="O1864">
        <v>116.666666666667</v>
      </c>
      <c r="P1864">
        <v>3266</v>
      </c>
      <c r="Q1864">
        <v>3382.66666666667</v>
      </c>
      <c r="R1864">
        <v>353.616</v>
      </c>
      <c r="S1864">
        <v>3736.28266666667</v>
      </c>
      <c r="T1864">
        <v>212</v>
      </c>
      <c r="U1864">
        <f>SUMIF(货件明细!J:J,E1864,货件明细!AP:AP)</f>
        <v>212</v>
      </c>
      <c r="V1864">
        <f>IF(U1864=T1864,0,1)</f>
        <v>0</v>
      </c>
      <c r="W1864">
        <f>T1864</f>
        <v>212</v>
      </c>
      <c r="X1864">
        <f>SUMIF(货件明细!J:J,E1864,货件明细!H:H)</f>
        <v>45.474</v>
      </c>
      <c r="Y1864">
        <f>N1864-X1864</f>
        <v>1.97600000000001</v>
      </c>
      <c r="Z1864">
        <f>SUMIF(货件明细!J:J,E1864,货件明细!I:I)</f>
        <v>3736.28266666667</v>
      </c>
      <c r="AA1864">
        <f>IF(S1864=Z1864,0,1)</f>
        <v>0</v>
      </c>
    </row>
    <row r="1865" spans="1:27">
      <c r="A1865">
        <v>4</v>
      </c>
      <c r="B1865">
        <v>16</v>
      </c>
      <c r="C1865" s="3">
        <v>46127</v>
      </c>
      <c r="D1865" t="s">
        <v>27</v>
      </c>
      <c r="E1865" t="s">
        <v>1990</v>
      </c>
      <c r="F1865" t="s">
        <v>41</v>
      </c>
      <c r="G1865" t="s">
        <v>30</v>
      </c>
      <c r="H1865" t="s">
        <v>78</v>
      </c>
      <c r="I1865" t="s">
        <v>32</v>
      </c>
      <c r="J1865" t="s">
        <v>32</v>
      </c>
      <c r="K1865" t="s">
        <v>33</v>
      </c>
      <c r="L1865" t="s">
        <v>43</v>
      </c>
      <c r="M1865" t="s">
        <v>47</v>
      </c>
      <c r="N1865">
        <v>35.25</v>
      </c>
      <c r="O1865">
        <v>116.666666666667</v>
      </c>
      <c r="P1865">
        <v>2358</v>
      </c>
      <c r="Q1865">
        <v>2474.66666666667</v>
      </c>
      <c r="R1865">
        <v>353.616</v>
      </c>
      <c r="S1865">
        <v>2828.28266666667</v>
      </c>
      <c r="T1865">
        <v>318</v>
      </c>
      <c r="U1865">
        <f>SUMIF(货件明细!J:J,E1865,货件明细!AP:AP)</f>
        <v>318</v>
      </c>
      <c r="V1865">
        <f>IF(U1865=T1865,0,1)</f>
        <v>0</v>
      </c>
      <c r="W1865">
        <f>T1865</f>
        <v>318</v>
      </c>
      <c r="X1865">
        <f>SUMIF(货件明细!J:J,E1865,货件明细!H:H)</f>
        <v>33.53</v>
      </c>
      <c r="Y1865">
        <f>N1865-X1865</f>
        <v>1.72</v>
      </c>
      <c r="Z1865">
        <f>SUMIF(货件明细!J:J,E1865,货件明细!I:I)</f>
        <v>2828.28266666667</v>
      </c>
      <c r="AA1865">
        <f>IF(S1865=Z1865,0,1)</f>
        <v>0</v>
      </c>
    </row>
    <row r="1866" spans="1:27">
      <c r="A1866">
        <v>4</v>
      </c>
      <c r="B1866">
        <v>16</v>
      </c>
      <c r="C1866" s="3">
        <v>46127</v>
      </c>
      <c r="D1866" t="s">
        <v>27</v>
      </c>
      <c r="E1866" t="s">
        <v>1991</v>
      </c>
      <c r="F1866" t="s">
        <v>41</v>
      </c>
      <c r="G1866" t="s">
        <v>30</v>
      </c>
      <c r="H1866" t="s">
        <v>31</v>
      </c>
      <c r="I1866" t="s">
        <v>32</v>
      </c>
      <c r="J1866" t="s">
        <v>32</v>
      </c>
      <c r="K1866" t="s">
        <v>33</v>
      </c>
      <c r="L1866" t="s">
        <v>43</v>
      </c>
      <c r="M1866" t="s">
        <v>47</v>
      </c>
      <c r="N1866">
        <v>64.85</v>
      </c>
      <c r="O1866">
        <v>116.666666666667</v>
      </c>
      <c r="P1866">
        <v>4257.5</v>
      </c>
      <c r="Q1866">
        <v>4374.16666666667</v>
      </c>
      <c r="R1866">
        <v>341.94</v>
      </c>
      <c r="S1866">
        <v>4716.10666666667</v>
      </c>
      <c r="T1866">
        <v>260</v>
      </c>
      <c r="U1866">
        <f>SUMIF(货件明细!J:J,E1866,货件明细!AP:AP)</f>
        <v>260</v>
      </c>
      <c r="V1866">
        <f>IF(U1866=T1866,0,1)</f>
        <v>0</v>
      </c>
      <c r="W1866">
        <f>T1866</f>
        <v>260</v>
      </c>
      <c r="X1866">
        <f>SUMIF(货件明细!J:J,E1866,货件明细!H:H)</f>
        <v>61.05</v>
      </c>
      <c r="Y1866">
        <f>N1866-X1866</f>
        <v>3.8</v>
      </c>
      <c r="Z1866">
        <f>SUMIF(货件明细!J:J,E1866,货件明细!I:I)</f>
        <v>4716.10666666667</v>
      </c>
      <c r="AA1866">
        <f>IF(S1866=Z1866,0,1)</f>
        <v>0</v>
      </c>
    </row>
    <row r="1867" spans="1:27">
      <c r="A1867">
        <v>4</v>
      </c>
      <c r="B1867">
        <v>16</v>
      </c>
      <c r="C1867" s="3">
        <v>46127</v>
      </c>
      <c r="D1867" t="s">
        <v>27</v>
      </c>
      <c r="E1867" t="s">
        <v>1992</v>
      </c>
      <c r="F1867" t="s">
        <v>41</v>
      </c>
      <c r="G1867" t="s">
        <v>30</v>
      </c>
      <c r="H1867" t="s">
        <v>56</v>
      </c>
      <c r="I1867" t="s">
        <v>32</v>
      </c>
      <c r="J1867" t="s">
        <v>32</v>
      </c>
      <c r="K1867" t="s">
        <v>33</v>
      </c>
      <c r="L1867" t="s">
        <v>43</v>
      </c>
      <c r="M1867" t="s">
        <v>47</v>
      </c>
      <c r="N1867">
        <v>48.9</v>
      </c>
      <c r="O1867">
        <v>116.666666666667</v>
      </c>
      <c r="P1867">
        <v>3209.5</v>
      </c>
      <c r="Q1867">
        <v>3326.16666666667</v>
      </c>
      <c r="R1867">
        <v>246.308</v>
      </c>
      <c r="S1867">
        <v>3572.47466666667</v>
      </c>
      <c r="T1867">
        <v>178</v>
      </c>
      <c r="U1867">
        <f>SUMIF(货件明细!J:J,E1867,货件明细!AP:AP)</f>
        <v>178</v>
      </c>
      <c r="V1867">
        <f>IF(U1867=T1867,0,1)</f>
        <v>0</v>
      </c>
      <c r="W1867">
        <f>T1867</f>
        <v>178</v>
      </c>
      <c r="X1867">
        <f>SUMIF(货件明细!J:J,E1867,货件明细!H:H)</f>
        <v>47.0204</v>
      </c>
      <c r="Y1867">
        <f>N1867-X1867</f>
        <v>1.8796</v>
      </c>
      <c r="Z1867">
        <f>SUMIF(货件明细!J:J,E1867,货件明细!I:I)</f>
        <v>3572.47466666667</v>
      </c>
      <c r="AA1867">
        <f>IF(S1867=Z1867,0,1)</f>
        <v>0</v>
      </c>
    </row>
    <row r="1868" spans="1:27">
      <c r="A1868">
        <v>4</v>
      </c>
      <c r="B1868">
        <v>16</v>
      </c>
      <c r="C1868" s="3">
        <v>46128</v>
      </c>
      <c r="D1868" t="s">
        <v>27</v>
      </c>
      <c r="E1868" t="s">
        <v>1993</v>
      </c>
      <c r="F1868" t="s">
        <v>41</v>
      </c>
      <c r="G1868" t="s">
        <v>30</v>
      </c>
      <c r="H1868" t="s">
        <v>37</v>
      </c>
      <c r="I1868" t="s">
        <v>42</v>
      </c>
      <c r="J1868" t="s">
        <v>42</v>
      </c>
      <c r="K1868" t="s">
        <v>33</v>
      </c>
      <c r="L1868" t="s">
        <v>323</v>
      </c>
      <c r="M1868" t="s">
        <v>44</v>
      </c>
      <c r="N1868">
        <v>87</v>
      </c>
      <c r="O1868">
        <v>200</v>
      </c>
      <c r="P1868">
        <v>6310</v>
      </c>
      <c r="Q1868">
        <v>6510</v>
      </c>
      <c r="R1868">
        <v>945.2</v>
      </c>
      <c r="S1868">
        <v>7455.2</v>
      </c>
      <c r="T1868">
        <v>850</v>
      </c>
      <c r="U1868">
        <f>SUMIF(货件明细!J:J,E1868,货件明细!AP:AP)</f>
        <v>850</v>
      </c>
      <c r="V1868">
        <f>IF(U1868=T1868,0,1)</f>
        <v>0</v>
      </c>
      <c r="W1868">
        <f>T1868</f>
        <v>850</v>
      </c>
      <c r="X1868">
        <f>SUMIF(货件明细!J:J,E1868,货件明细!H:H)</f>
        <v>82.6</v>
      </c>
      <c r="Y1868">
        <f>N1868-X1868</f>
        <v>4.40000000000001</v>
      </c>
      <c r="Z1868">
        <f>SUMIF(货件明细!J:J,E1868,货件明细!I:I)</f>
        <v>7455.2</v>
      </c>
      <c r="AA1868">
        <f>IF(S1868=Z1868,0,1)</f>
        <v>0</v>
      </c>
    </row>
    <row r="1869" spans="1:27">
      <c r="A1869">
        <v>4</v>
      </c>
      <c r="B1869">
        <v>16</v>
      </c>
      <c r="C1869" s="3">
        <v>46128</v>
      </c>
      <c r="D1869" t="s">
        <v>27</v>
      </c>
      <c r="E1869" t="s">
        <v>1994</v>
      </c>
      <c r="F1869" t="s">
        <v>41</v>
      </c>
      <c r="G1869" t="s">
        <v>30</v>
      </c>
      <c r="H1869" t="s">
        <v>56</v>
      </c>
      <c r="I1869" t="s">
        <v>32</v>
      </c>
      <c r="J1869" t="s">
        <v>32</v>
      </c>
      <c r="K1869" t="s">
        <v>33</v>
      </c>
      <c r="L1869" t="s">
        <v>43</v>
      </c>
      <c r="M1869" t="s">
        <v>47</v>
      </c>
      <c r="N1869">
        <v>28.45</v>
      </c>
      <c r="O1869">
        <v>116.666666666667</v>
      </c>
      <c r="P1869">
        <v>1834</v>
      </c>
      <c r="Q1869">
        <v>1950.66666666667</v>
      </c>
      <c r="R1869">
        <v>123.154</v>
      </c>
      <c r="S1869">
        <v>2073.82066666667</v>
      </c>
      <c r="T1869">
        <v>84</v>
      </c>
      <c r="U1869">
        <f>SUMIF(货件明细!J:J,E1869,货件明细!AP:AP)</f>
        <v>84</v>
      </c>
      <c r="V1869">
        <f>IF(U1869=T1869,0,1)</f>
        <v>0</v>
      </c>
      <c r="W1869">
        <f>T1869</f>
        <v>84</v>
      </c>
      <c r="X1869">
        <f>SUMIF(货件明细!J:J,E1869,货件明细!H:H)</f>
        <v>27.6302</v>
      </c>
      <c r="Y1869">
        <f>N1869-X1869</f>
        <v>0.819800000000001</v>
      </c>
      <c r="Z1869">
        <f>SUMIF(货件明细!J:J,E1869,货件明细!I:I)</f>
        <v>2073.82066666667</v>
      </c>
      <c r="AA1869">
        <f>IF(S1869=Z1869,0,1)</f>
        <v>0</v>
      </c>
    </row>
    <row r="1870" spans="1:27">
      <c r="A1870">
        <v>4</v>
      </c>
      <c r="B1870">
        <v>16</v>
      </c>
      <c r="C1870" s="3">
        <v>46128</v>
      </c>
      <c r="D1870" t="s">
        <v>27</v>
      </c>
      <c r="E1870" t="s">
        <v>1995</v>
      </c>
      <c r="F1870" t="s">
        <v>41</v>
      </c>
      <c r="G1870" t="s">
        <v>30</v>
      </c>
      <c r="H1870" t="s">
        <v>31</v>
      </c>
      <c r="I1870" t="s">
        <v>32</v>
      </c>
      <c r="J1870" t="s">
        <v>32</v>
      </c>
      <c r="K1870" t="s">
        <v>33</v>
      </c>
      <c r="L1870" t="s">
        <v>43</v>
      </c>
      <c r="M1870" t="s">
        <v>47</v>
      </c>
      <c r="N1870">
        <v>20.35</v>
      </c>
      <c r="O1870">
        <v>116.666666666667</v>
      </c>
      <c r="P1870">
        <v>1310</v>
      </c>
      <c r="Q1870">
        <v>1426.66666666667</v>
      </c>
      <c r="R1870">
        <v>166.8</v>
      </c>
      <c r="S1870">
        <v>1593.46666666667</v>
      </c>
      <c r="T1870">
        <v>150</v>
      </c>
      <c r="U1870">
        <f>SUMIF(货件明细!J:J,E1870,货件明细!AP:AP)</f>
        <v>150</v>
      </c>
      <c r="V1870">
        <f>IF(U1870=T1870,0,1)</f>
        <v>0</v>
      </c>
      <c r="W1870">
        <f>T1870</f>
        <v>150</v>
      </c>
      <c r="X1870">
        <f>SUMIF(货件明细!J:J,E1870,货件明细!H:H)</f>
        <v>19.2</v>
      </c>
      <c r="Y1870">
        <f>N1870-X1870</f>
        <v>1.15</v>
      </c>
      <c r="Z1870">
        <f>SUMIF(货件明细!J:J,E1870,货件明细!I:I)</f>
        <v>1593.46666666667</v>
      </c>
      <c r="AA1870">
        <f>IF(S1870=Z1870,0,1)</f>
        <v>0</v>
      </c>
    </row>
    <row r="1871" spans="1:27">
      <c r="A1871">
        <v>4</v>
      </c>
      <c r="B1871">
        <v>16</v>
      </c>
      <c r="C1871" s="3">
        <v>46128</v>
      </c>
      <c r="D1871" t="s">
        <v>27</v>
      </c>
      <c r="E1871" t="s">
        <v>1996</v>
      </c>
      <c r="F1871" t="s">
        <v>41</v>
      </c>
      <c r="G1871" t="s">
        <v>30</v>
      </c>
      <c r="H1871" t="s">
        <v>37</v>
      </c>
      <c r="I1871" t="s">
        <v>32</v>
      </c>
      <c r="J1871" t="s">
        <v>32</v>
      </c>
      <c r="K1871" t="s">
        <v>33</v>
      </c>
      <c r="L1871" t="s">
        <v>43</v>
      </c>
      <c r="M1871" t="s">
        <v>47</v>
      </c>
      <c r="N1871">
        <v>54.3</v>
      </c>
      <c r="O1871">
        <v>116.666666666667</v>
      </c>
      <c r="P1871">
        <v>3602.5</v>
      </c>
      <c r="Q1871">
        <v>3719.16666666667</v>
      </c>
      <c r="R1871">
        <v>589.36</v>
      </c>
      <c r="S1871">
        <v>4308.52666666667</v>
      </c>
      <c r="T1871">
        <v>530</v>
      </c>
      <c r="U1871">
        <f>SUMIF(货件明细!J:J,E1871,货件明细!AP:AP)</f>
        <v>530</v>
      </c>
      <c r="V1871">
        <f>IF(U1871=T1871,0,1)</f>
        <v>0</v>
      </c>
      <c r="W1871">
        <f>T1871</f>
        <v>530</v>
      </c>
      <c r="X1871">
        <f>SUMIF(货件明细!J:J,E1871,货件明细!H:H)</f>
        <v>50.89</v>
      </c>
      <c r="Y1871">
        <f>N1871-X1871</f>
        <v>3.41</v>
      </c>
      <c r="Z1871">
        <f>SUMIF(货件明细!J:J,E1871,货件明细!I:I)</f>
        <v>4308.52666666667</v>
      </c>
      <c r="AA1871">
        <f>IF(S1871=Z1871,0,1)</f>
        <v>0</v>
      </c>
    </row>
    <row r="1872" hidden="1" spans="1:27">
      <c r="A1872">
        <v>4</v>
      </c>
      <c r="B1872">
        <v>16</v>
      </c>
      <c r="C1872" s="3">
        <v>46129</v>
      </c>
      <c r="D1872" t="s">
        <v>27</v>
      </c>
      <c r="E1872" t="s">
        <v>1997</v>
      </c>
      <c r="F1872" t="s">
        <v>185</v>
      </c>
      <c r="G1872" t="s">
        <v>30</v>
      </c>
      <c r="H1872" t="s">
        <v>31</v>
      </c>
      <c r="I1872" t="s">
        <v>63</v>
      </c>
      <c r="J1872" t="s">
        <v>63</v>
      </c>
      <c r="K1872" t="s">
        <v>64</v>
      </c>
      <c r="L1872" t="s">
        <v>65</v>
      </c>
      <c r="M1872" t="s">
        <v>1456</v>
      </c>
      <c r="N1872">
        <v>22</v>
      </c>
      <c r="O1872">
        <v>6</v>
      </c>
      <c r="P1872">
        <v>165.6</v>
      </c>
      <c r="Q1872">
        <v>171.6</v>
      </c>
      <c r="R1872">
        <v>0</v>
      </c>
      <c r="S1872">
        <v>171.6</v>
      </c>
      <c r="T1872">
        <v>122</v>
      </c>
      <c r="U1872">
        <f>SUMIF(货件明细!J:J,E1872,货件明细!AP:AP)</f>
        <v>0</v>
      </c>
      <c r="V1872">
        <f>IF(U1872=T1872,0,1)</f>
        <v>1</v>
      </c>
      <c r="W1872">
        <f>T1872</f>
        <v>122</v>
      </c>
      <c r="X1872">
        <f>SUMIF(货件明细!J:J,E1872,货件明细!H:H)</f>
        <v>0</v>
      </c>
      <c r="Y1872">
        <f>N1872-X1872</f>
        <v>22</v>
      </c>
      <c r="Z1872">
        <f>SUMIF(货件明细!J:J,E1872,货件明细!I:I)</f>
        <v>0</v>
      </c>
      <c r="AA1872">
        <f>IF(S1872=Z1872,0,1)</f>
        <v>1</v>
      </c>
    </row>
    <row r="1873" hidden="1" spans="1:27">
      <c r="A1873">
        <v>4</v>
      </c>
      <c r="B1873">
        <v>16</v>
      </c>
      <c r="C1873" s="3">
        <v>46129</v>
      </c>
      <c r="D1873" t="s">
        <v>27</v>
      </c>
      <c r="E1873" t="s">
        <v>1998</v>
      </c>
      <c r="F1873" t="s">
        <v>62</v>
      </c>
      <c r="G1873" t="s">
        <v>30</v>
      </c>
      <c r="H1873" t="s">
        <v>31</v>
      </c>
      <c r="I1873" t="s">
        <v>63</v>
      </c>
      <c r="J1873" t="s">
        <v>63</v>
      </c>
      <c r="K1873" t="s">
        <v>64</v>
      </c>
      <c r="L1873" t="s">
        <v>65</v>
      </c>
      <c r="M1873" t="s">
        <v>1456</v>
      </c>
      <c r="N1873">
        <v>22</v>
      </c>
      <c r="O1873">
        <v>6</v>
      </c>
      <c r="P1873">
        <v>175.5</v>
      </c>
      <c r="Q1873">
        <v>181.5</v>
      </c>
      <c r="R1873">
        <v>0</v>
      </c>
      <c r="S1873">
        <v>181.5</v>
      </c>
      <c r="T1873">
        <v>122</v>
      </c>
      <c r="U1873">
        <f>SUMIF(货件明细!J:J,E1873,货件明细!AP:AP)</f>
        <v>0</v>
      </c>
      <c r="V1873">
        <f>IF(U1873=T1873,0,1)</f>
        <v>1</v>
      </c>
      <c r="W1873">
        <f>T1873</f>
        <v>122</v>
      </c>
      <c r="X1873">
        <f>SUMIF(货件明细!J:J,E1873,货件明细!H:H)</f>
        <v>0</v>
      </c>
      <c r="Y1873">
        <f>N1873-X1873</f>
        <v>22</v>
      </c>
      <c r="Z1873">
        <f>SUMIF(货件明细!J:J,E1873,货件明细!I:I)</f>
        <v>0</v>
      </c>
      <c r="AA1873">
        <f>IF(S1873=Z1873,0,1)</f>
        <v>1</v>
      </c>
    </row>
    <row r="1874" hidden="1" spans="1:27">
      <c r="A1874">
        <v>4</v>
      </c>
      <c r="B1874">
        <v>16</v>
      </c>
      <c r="C1874" s="3">
        <v>46129</v>
      </c>
      <c r="D1874" t="s">
        <v>27</v>
      </c>
      <c r="E1874" t="s">
        <v>1999</v>
      </c>
      <c r="F1874" t="s">
        <v>68</v>
      </c>
      <c r="G1874" t="s">
        <v>69</v>
      </c>
      <c r="H1874" t="s">
        <v>31</v>
      </c>
      <c r="I1874" t="s">
        <v>63</v>
      </c>
      <c r="J1874" t="s">
        <v>63</v>
      </c>
      <c r="K1874" t="s">
        <v>64</v>
      </c>
      <c r="L1874" t="s">
        <v>65</v>
      </c>
      <c r="M1874" t="s">
        <v>1456</v>
      </c>
      <c r="N1874">
        <v>22</v>
      </c>
      <c r="O1874">
        <v>6</v>
      </c>
      <c r="P1874">
        <v>136.8</v>
      </c>
      <c r="Q1874">
        <v>142.8</v>
      </c>
      <c r="R1874">
        <v>0</v>
      </c>
      <c r="S1874">
        <v>142.8</v>
      </c>
      <c r="T1874">
        <v>122</v>
      </c>
      <c r="U1874">
        <f>SUMIF(货件明细!J:J,E1874,货件明细!AP:AP)</f>
        <v>0</v>
      </c>
      <c r="V1874">
        <f>IF(U1874=T1874,0,1)</f>
        <v>1</v>
      </c>
      <c r="W1874">
        <f>T1874</f>
        <v>122</v>
      </c>
      <c r="X1874">
        <f>SUMIF(货件明细!J:J,E1874,货件明细!H:H)</f>
        <v>0</v>
      </c>
      <c r="Y1874">
        <f>N1874-X1874</f>
        <v>22</v>
      </c>
      <c r="Z1874">
        <f>SUMIF(货件明细!J:J,E1874,货件明细!I:I)</f>
        <v>0</v>
      </c>
      <c r="AA1874">
        <f>IF(S1874=Z1874,0,1)</f>
        <v>1</v>
      </c>
    </row>
    <row r="1875" hidden="1" spans="1:27">
      <c r="A1875">
        <v>4</v>
      </c>
      <c r="B1875">
        <v>16</v>
      </c>
      <c r="C1875" s="3">
        <v>46129</v>
      </c>
      <c r="D1875" t="s">
        <v>27</v>
      </c>
      <c r="E1875" t="s">
        <v>2000</v>
      </c>
      <c r="F1875" t="s">
        <v>143</v>
      </c>
      <c r="G1875" t="s">
        <v>72</v>
      </c>
      <c r="H1875" t="s">
        <v>31</v>
      </c>
      <c r="I1875" t="s">
        <v>63</v>
      </c>
      <c r="J1875" t="s">
        <v>63</v>
      </c>
      <c r="K1875" t="s">
        <v>64</v>
      </c>
      <c r="L1875" t="s">
        <v>65</v>
      </c>
      <c r="M1875" t="s">
        <v>2001</v>
      </c>
      <c r="N1875">
        <v>22</v>
      </c>
      <c r="O1875">
        <v>6</v>
      </c>
      <c r="P1875">
        <v>125.18</v>
      </c>
      <c r="Q1875">
        <v>131.18</v>
      </c>
      <c r="R1875">
        <v>0</v>
      </c>
      <c r="S1875">
        <v>131.18</v>
      </c>
      <c r="T1875">
        <v>122</v>
      </c>
      <c r="U1875">
        <f>SUMIF(货件明细!J:J,E1875,货件明细!AP:AP)</f>
        <v>0</v>
      </c>
      <c r="V1875">
        <f>IF(U1875=T1875,0,1)</f>
        <v>1</v>
      </c>
      <c r="W1875">
        <f>T1875</f>
        <v>122</v>
      </c>
      <c r="X1875">
        <f>SUMIF(货件明细!J:J,E1875,货件明细!H:H)</f>
        <v>0</v>
      </c>
      <c r="Y1875">
        <f>N1875-X1875</f>
        <v>22</v>
      </c>
      <c r="Z1875">
        <f>SUMIF(货件明细!J:J,E1875,货件明细!I:I)</f>
        <v>0</v>
      </c>
      <c r="AA1875">
        <f>IF(S1875=Z1875,0,1)</f>
        <v>1</v>
      </c>
    </row>
    <row r="1876" hidden="1" spans="1:27">
      <c r="A1876">
        <v>4</v>
      </c>
      <c r="B1876">
        <v>16</v>
      </c>
      <c r="C1876" s="3">
        <v>46129</v>
      </c>
      <c r="D1876" t="s">
        <v>27</v>
      </c>
      <c r="E1876" t="s">
        <v>2002</v>
      </c>
      <c r="F1876" t="s">
        <v>76</v>
      </c>
      <c r="G1876" t="s">
        <v>72</v>
      </c>
      <c r="H1876" t="s">
        <v>31</v>
      </c>
      <c r="I1876" t="s">
        <v>63</v>
      </c>
      <c r="J1876" t="s">
        <v>63</v>
      </c>
      <c r="K1876" t="s">
        <v>64</v>
      </c>
      <c r="L1876" t="s">
        <v>65</v>
      </c>
      <c r="M1876" t="s">
        <v>1456</v>
      </c>
      <c r="N1876">
        <v>22</v>
      </c>
      <c r="O1876">
        <v>6</v>
      </c>
      <c r="P1876">
        <v>102.6</v>
      </c>
      <c r="Q1876">
        <v>108.6</v>
      </c>
      <c r="R1876">
        <v>0</v>
      </c>
      <c r="S1876">
        <v>108.6</v>
      </c>
      <c r="T1876">
        <v>122</v>
      </c>
      <c r="U1876">
        <f>SUMIF(货件明细!J:J,E1876,货件明细!AP:AP)</f>
        <v>0</v>
      </c>
      <c r="V1876">
        <f>IF(U1876=T1876,0,1)</f>
        <v>1</v>
      </c>
      <c r="W1876">
        <f>T1876</f>
        <v>122</v>
      </c>
      <c r="X1876">
        <f>SUMIF(货件明细!J:J,E1876,货件明细!H:H)</f>
        <v>0</v>
      </c>
      <c r="Y1876">
        <f>N1876-X1876</f>
        <v>22</v>
      </c>
      <c r="Z1876">
        <f>SUMIF(货件明细!J:J,E1876,货件明细!I:I)</f>
        <v>0</v>
      </c>
      <c r="AA1876">
        <f>IF(S1876=Z1876,0,1)</f>
        <v>1</v>
      </c>
    </row>
    <row r="1877" hidden="1" spans="1:27">
      <c r="A1877">
        <v>4</v>
      </c>
      <c r="B1877">
        <v>16</v>
      </c>
      <c r="C1877" s="3">
        <v>46129</v>
      </c>
      <c r="D1877" t="s">
        <v>27</v>
      </c>
      <c r="E1877" t="s">
        <v>2003</v>
      </c>
      <c r="F1877" t="s">
        <v>185</v>
      </c>
      <c r="G1877" t="s">
        <v>30</v>
      </c>
      <c r="H1877" t="s">
        <v>56</v>
      </c>
      <c r="I1877" t="s">
        <v>63</v>
      </c>
      <c r="J1877" t="s">
        <v>63</v>
      </c>
      <c r="K1877" t="s">
        <v>64</v>
      </c>
      <c r="L1877" t="s">
        <v>65</v>
      </c>
      <c r="M1877" t="s">
        <v>1456</v>
      </c>
      <c r="N1877">
        <v>10.55</v>
      </c>
      <c r="O1877">
        <v>6</v>
      </c>
      <c r="P1877">
        <v>92</v>
      </c>
      <c r="Q1877">
        <v>98</v>
      </c>
      <c r="R1877">
        <v>0</v>
      </c>
      <c r="S1877">
        <v>98</v>
      </c>
      <c r="T1877">
        <v>53</v>
      </c>
      <c r="U1877">
        <f>SUMIF(货件明细!J:J,E1877,货件明细!AP:AP)</f>
        <v>0</v>
      </c>
      <c r="V1877">
        <f>IF(U1877=T1877,0,1)</f>
        <v>1</v>
      </c>
      <c r="W1877">
        <f>T1877</f>
        <v>53</v>
      </c>
      <c r="X1877">
        <f>SUMIF(货件明细!J:J,E1877,货件明细!H:H)</f>
        <v>0</v>
      </c>
      <c r="Y1877">
        <f>N1877-X1877</f>
        <v>10.55</v>
      </c>
      <c r="Z1877">
        <f>SUMIF(货件明细!J:J,E1877,货件明细!I:I)</f>
        <v>0</v>
      </c>
      <c r="AA1877">
        <f>IF(S1877=Z1877,0,1)</f>
        <v>1</v>
      </c>
    </row>
    <row r="1878" hidden="1" spans="1:27">
      <c r="A1878">
        <v>4</v>
      </c>
      <c r="B1878">
        <v>16</v>
      </c>
      <c r="C1878" s="3">
        <v>46129</v>
      </c>
      <c r="D1878" t="s">
        <v>27</v>
      </c>
      <c r="E1878" t="s">
        <v>2004</v>
      </c>
      <c r="F1878" t="s">
        <v>62</v>
      </c>
      <c r="G1878" t="s">
        <v>30</v>
      </c>
      <c r="H1878" t="s">
        <v>56</v>
      </c>
      <c r="I1878" t="s">
        <v>63</v>
      </c>
      <c r="J1878" t="s">
        <v>63</v>
      </c>
      <c r="K1878" t="s">
        <v>64</v>
      </c>
      <c r="L1878" t="s">
        <v>65</v>
      </c>
      <c r="M1878" t="s">
        <v>1456</v>
      </c>
      <c r="N1878">
        <v>10.55</v>
      </c>
      <c r="O1878">
        <v>6</v>
      </c>
      <c r="P1878">
        <v>87.75</v>
      </c>
      <c r="Q1878">
        <v>93.75</v>
      </c>
      <c r="R1878">
        <v>0</v>
      </c>
      <c r="S1878">
        <v>93.75</v>
      </c>
      <c r="T1878">
        <v>53</v>
      </c>
      <c r="U1878">
        <f>SUMIF(货件明细!J:J,E1878,货件明细!AP:AP)</f>
        <v>0</v>
      </c>
      <c r="V1878">
        <f>IF(U1878=T1878,0,1)</f>
        <v>1</v>
      </c>
      <c r="W1878">
        <f>T1878</f>
        <v>53</v>
      </c>
      <c r="X1878">
        <f>SUMIF(货件明细!J:J,E1878,货件明细!H:H)</f>
        <v>0</v>
      </c>
      <c r="Y1878">
        <f>N1878-X1878</f>
        <v>10.55</v>
      </c>
      <c r="Z1878">
        <f>SUMIF(货件明细!J:J,E1878,货件明细!I:I)</f>
        <v>0</v>
      </c>
      <c r="AA1878">
        <f>IF(S1878=Z1878,0,1)</f>
        <v>1</v>
      </c>
    </row>
    <row r="1879" hidden="1" spans="1:27">
      <c r="A1879">
        <v>4</v>
      </c>
      <c r="B1879">
        <v>16</v>
      </c>
      <c r="C1879" s="3">
        <v>46129</v>
      </c>
      <c r="D1879" t="s">
        <v>27</v>
      </c>
      <c r="E1879" t="s">
        <v>2005</v>
      </c>
      <c r="F1879" t="s">
        <v>68</v>
      </c>
      <c r="G1879" t="s">
        <v>69</v>
      </c>
      <c r="H1879" t="s">
        <v>56</v>
      </c>
      <c r="I1879" t="s">
        <v>63</v>
      </c>
      <c r="J1879" t="s">
        <v>63</v>
      </c>
      <c r="K1879" t="s">
        <v>64</v>
      </c>
      <c r="L1879" t="s">
        <v>65</v>
      </c>
      <c r="M1879" t="s">
        <v>1456</v>
      </c>
      <c r="N1879">
        <v>10.55</v>
      </c>
      <c r="O1879">
        <v>6</v>
      </c>
      <c r="P1879">
        <v>76</v>
      </c>
      <c r="Q1879">
        <v>82</v>
      </c>
      <c r="R1879">
        <v>0</v>
      </c>
      <c r="S1879">
        <v>82</v>
      </c>
      <c r="T1879">
        <v>53</v>
      </c>
      <c r="U1879">
        <f>SUMIF(货件明细!J:J,E1879,货件明细!AP:AP)</f>
        <v>0</v>
      </c>
      <c r="V1879">
        <f>IF(U1879=T1879,0,1)</f>
        <v>1</v>
      </c>
      <c r="W1879">
        <f>T1879</f>
        <v>53</v>
      </c>
      <c r="X1879">
        <f>SUMIF(货件明细!J:J,E1879,货件明细!H:H)</f>
        <v>0</v>
      </c>
      <c r="Y1879">
        <f>N1879-X1879</f>
        <v>10.55</v>
      </c>
      <c r="Z1879">
        <f>SUMIF(货件明细!J:J,E1879,货件明细!I:I)</f>
        <v>0</v>
      </c>
      <c r="AA1879">
        <f>IF(S1879=Z1879,0,1)</f>
        <v>1</v>
      </c>
    </row>
    <row r="1880" hidden="1" spans="1:27">
      <c r="A1880">
        <v>4</v>
      </c>
      <c r="B1880">
        <v>16</v>
      </c>
      <c r="C1880" s="3">
        <v>46129</v>
      </c>
      <c r="D1880" t="s">
        <v>27</v>
      </c>
      <c r="E1880" t="s">
        <v>2006</v>
      </c>
      <c r="F1880" t="s">
        <v>143</v>
      </c>
      <c r="G1880" t="s">
        <v>72</v>
      </c>
      <c r="H1880" t="s">
        <v>56</v>
      </c>
      <c r="I1880" t="s">
        <v>63</v>
      </c>
      <c r="J1880" t="s">
        <v>63</v>
      </c>
      <c r="K1880" t="s">
        <v>64</v>
      </c>
      <c r="L1880" t="s">
        <v>65</v>
      </c>
      <c r="M1880" t="s">
        <v>2001</v>
      </c>
      <c r="N1880">
        <v>10.55</v>
      </c>
      <c r="O1880">
        <v>6</v>
      </c>
      <c r="P1880">
        <v>62.59</v>
      </c>
      <c r="Q1880">
        <v>68.59</v>
      </c>
      <c r="R1880">
        <v>0</v>
      </c>
      <c r="S1880">
        <v>68.59</v>
      </c>
      <c r="T1880">
        <v>53</v>
      </c>
      <c r="U1880">
        <f>SUMIF(货件明细!J:J,E1880,货件明细!AP:AP)</f>
        <v>0</v>
      </c>
      <c r="V1880">
        <f>IF(U1880=T1880,0,1)</f>
        <v>1</v>
      </c>
      <c r="W1880">
        <f>T1880</f>
        <v>53</v>
      </c>
      <c r="X1880">
        <f>SUMIF(货件明细!J:J,E1880,货件明细!H:H)</f>
        <v>0</v>
      </c>
      <c r="Y1880">
        <f>N1880-X1880</f>
        <v>10.55</v>
      </c>
      <c r="Z1880">
        <f>SUMIF(货件明细!J:J,E1880,货件明细!I:I)</f>
        <v>0</v>
      </c>
      <c r="AA1880">
        <f>IF(S1880=Z1880,0,1)</f>
        <v>1</v>
      </c>
    </row>
    <row r="1881" hidden="1" spans="1:27">
      <c r="A1881">
        <v>4</v>
      </c>
      <c r="B1881">
        <v>16</v>
      </c>
      <c r="C1881" s="3">
        <v>46129</v>
      </c>
      <c r="D1881" t="s">
        <v>27</v>
      </c>
      <c r="E1881" t="s">
        <v>2007</v>
      </c>
      <c r="F1881" t="s">
        <v>76</v>
      </c>
      <c r="G1881" t="s">
        <v>72</v>
      </c>
      <c r="H1881" t="s">
        <v>56</v>
      </c>
      <c r="I1881" t="s">
        <v>63</v>
      </c>
      <c r="J1881" t="s">
        <v>63</v>
      </c>
      <c r="K1881" t="s">
        <v>64</v>
      </c>
      <c r="L1881" t="s">
        <v>65</v>
      </c>
      <c r="M1881" t="s">
        <v>1456</v>
      </c>
      <c r="N1881">
        <v>10.55</v>
      </c>
      <c r="O1881">
        <v>6</v>
      </c>
      <c r="P1881">
        <v>57</v>
      </c>
      <c r="Q1881">
        <v>63</v>
      </c>
      <c r="R1881">
        <v>0</v>
      </c>
      <c r="S1881">
        <v>63</v>
      </c>
      <c r="T1881">
        <v>53</v>
      </c>
      <c r="U1881">
        <f>SUMIF(货件明细!J:J,E1881,货件明细!AP:AP)</f>
        <v>0</v>
      </c>
      <c r="V1881">
        <f>IF(U1881=T1881,0,1)</f>
        <v>1</v>
      </c>
      <c r="W1881">
        <f>T1881</f>
        <v>53</v>
      </c>
      <c r="X1881">
        <f>SUMIF(货件明细!J:J,E1881,货件明细!H:H)</f>
        <v>0</v>
      </c>
      <c r="Y1881">
        <f>N1881-X1881</f>
        <v>10.55</v>
      </c>
      <c r="Z1881">
        <f>SUMIF(货件明细!J:J,E1881,货件明细!I:I)</f>
        <v>0</v>
      </c>
      <c r="AA1881">
        <f>IF(S1881=Z1881,0,1)</f>
        <v>1</v>
      </c>
    </row>
    <row r="1882" hidden="1" spans="1:27">
      <c r="A1882">
        <v>4</v>
      </c>
      <c r="B1882">
        <v>16</v>
      </c>
      <c r="C1882" s="3">
        <v>46129</v>
      </c>
      <c r="D1882" t="s">
        <v>27</v>
      </c>
      <c r="E1882" t="s">
        <v>2008</v>
      </c>
      <c r="F1882" t="s">
        <v>76</v>
      </c>
      <c r="G1882" t="s">
        <v>72</v>
      </c>
      <c r="H1882" t="s">
        <v>37</v>
      </c>
      <c r="I1882" t="s">
        <v>63</v>
      </c>
      <c r="J1882" t="s">
        <v>63</v>
      </c>
      <c r="K1882" t="s">
        <v>64</v>
      </c>
      <c r="L1882" t="s">
        <v>65</v>
      </c>
      <c r="M1882" t="s">
        <v>1456</v>
      </c>
      <c r="N1882">
        <v>31.9</v>
      </c>
      <c r="O1882">
        <v>6</v>
      </c>
      <c r="P1882">
        <v>114</v>
      </c>
      <c r="Q1882">
        <v>120</v>
      </c>
      <c r="R1882">
        <v>0</v>
      </c>
      <c r="S1882">
        <v>120</v>
      </c>
      <c r="T1882">
        <v>255</v>
      </c>
      <c r="U1882">
        <f>SUMIF(货件明细!J:J,E1882,货件明细!AP:AP)</f>
        <v>0</v>
      </c>
      <c r="V1882">
        <f>IF(U1882=T1882,0,1)</f>
        <v>1</v>
      </c>
      <c r="W1882">
        <f>T1882</f>
        <v>255</v>
      </c>
      <c r="X1882">
        <f>SUMIF(货件明细!J:J,E1882,货件明细!H:H)</f>
        <v>0</v>
      </c>
      <c r="Y1882">
        <f>N1882-X1882</f>
        <v>31.9</v>
      </c>
      <c r="Z1882">
        <f>SUMIF(货件明细!J:J,E1882,货件明细!I:I)</f>
        <v>0</v>
      </c>
      <c r="AA1882">
        <f>IF(S1882=Z1882,0,1)</f>
        <v>1</v>
      </c>
    </row>
    <row r="1883" hidden="1" spans="1:27">
      <c r="A1883">
        <v>4</v>
      </c>
      <c r="B1883">
        <v>16</v>
      </c>
      <c r="C1883" s="3">
        <v>46129</v>
      </c>
      <c r="D1883" t="s">
        <v>27</v>
      </c>
      <c r="E1883" t="s">
        <v>2009</v>
      </c>
      <c r="F1883" t="s">
        <v>185</v>
      </c>
      <c r="G1883" t="s">
        <v>30</v>
      </c>
      <c r="H1883" t="s">
        <v>37</v>
      </c>
      <c r="I1883" t="s">
        <v>63</v>
      </c>
      <c r="J1883" t="s">
        <v>63</v>
      </c>
      <c r="K1883" t="s">
        <v>64</v>
      </c>
      <c r="L1883" t="s">
        <v>65</v>
      </c>
      <c r="M1883" t="s">
        <v>1456</v>
      </c>
      <c r="N1883">
        <v>32.1</v>
      </c>
      <c r="O1883">
        <v>6</v>
      </c>
      <c r="P1883">
        <v>184</v>
      </c>
      <c r="Q1883">
        <v>190</v>
      </c>
      <c r="R1883">
        <v>0</v>
      </c>
      <c r="S1883">
        <v>190</v>
      </c>
      <c r="T1883">
        <v>256</v>
      </c>
      <c r="U1883">
        <f>SUMIF(货件明细!J:J,E1883,货件明细!AP:AP)</f>
        <v>0</v>
      </c>
      <c r="V1883">
        <f>IF(U1883=T1883,0,1)</f>
        <v>1</v>
      </c>
      <c r="W1883">
        <f>T1883</f>
        <v>256</v>
      </c>
      <c r="X1883">
        <f>SUMIF(货件明细!J:J,E1883,货件明细!H:H)</f>
        <v>0</v>
      </c>
      <c r="Y1883">
        <f>N1883-X1883</f>
        <v>32.1</v>
      </c>
      <c r="Z1883">
        <f>SUMIF(货件明细!J:J,E1883,货件明细!I:I)</f>
        <v>0</v>
      </c>
      <c r="AA1883">
        <f>IF(S1883=Z1883,0,1)</f>
        <v>1</v>
      </c>
    </row>
    <row r="1884" hidden="1" spans="1:27">
      <c r="A1884">
        <v>4</v>
      </c>
      <c r="B1884">
        <v>16</v>
      </c>
      <c r="C1884" s="3">
        <v>46129</v>
      </c>
      <c r="D1884" t="s">
        <v>27</v>
      </c>
      <c r="E1884" t="s">
        <v>2010</v>
      </c>
      <c r="F1884" t="s">
        <v>62</v>
      </c>
      <c r="G1884" t="s">
        <v>30</v>
      </c>
      <c r="H1884" t="s">
        <v>37</v>
      </c>
      <c r="I1884" t="s">
        <v>63</v>
      </c>
      <c r="J1884" t="s">
        <v>63</v>
      </c>
      <c r="K1884" t="s">
        <v>64</v>
      </c>
      <c r="L1884" t="s">
        <v>65</v>
      </c>
      <c r="M1884" t="s">
        <v>1456</v>
      </c>
      <c r="N1884">
        <v>32.1</v>
      </c>
      <c r="O1884">
        <v>6</v>
      </c>
      <c r="P1884">
        <v>193.05</v>
      </c>
      <c r="Q1884">
        <v>199.05</v>
      </c>
      <c r="R1884">
        <v>0</v>
      </c>
      <c r="S1884">
        <v>199.05</v>
      </c>
      <c r="T1884">
        <v>256</v>
      </c>
      <c r="U1884">
        <f>SUMIF(货件明细!J:J,E1884,货件明细!AP:AP)</f>
        <v>0</v>
      </c>
      <c r="V1884">
        <f>IF(U1884=T1884,0,1)</f>
        <v>1</v>
      </c>
      <c r="W1884">
        <f>T1884</f>
        <v>256</v>
      </c>
      <c r="X1884">
        <f>SUMIF(货件明细!J:J,E1884,货件明细!H:H)</f>
        <v>0</v>
      </c>
      <c r="Y1884">
        <f>N1884-X1884</f>
        <v>32.1</v>
      </c>
      <c r="Z1884">
        <f>SUMIF(货件明细!J:J,E1884,货件明细!I:I)</f>
        <v>0</v>
      </c>
      <c r="AA1884">
        <f>IF(S1884=Z1884,0,1)</f>
        <v>1</v>
      </c>
    </row>
    <row r="1885" hidden="1" spans="1:27">
      <c r="A1885">
        <v>4</v>
      </c>
      <c r="B1885">
        <v>16</v>
      </c>
      <c r="C1885" s="3">
        <v>46129</v>
      </c>
      <c r="D1885" t="s">
        <v>27</v>
      </c>
      <c r="E1885" t="s">
        <v>2011</v>
      </c>
      <c r="F1885" t="s">
        <v>68</v>
      </c>
      <c r="G1885" t="s">
        <v>69</v>
      </c>
      <c r="H1885" t="s">
        <v>37</v>
      </c>
      <c r="I1885" t="s">
        <v>63</v>
      </c>
      <c r="J1885" t="s">
        <v>63</v>
      </c>
      <c r="K1885" t="s">
        <v>64</v>
      </c>
      <c r="L1885" t="s">
        <v>65</v>
      </c>
      <c r="M1885" t="s">
        <v>1456</v>
      </c>
      <c r="N1885">
        <v>32.1</v>
      </c>
      <c r="O1885">
        <v>6</v>
      </c>
      <c r="P1885">
        <v>152</v>
      </c>
      <c r="Q1885">
        <v>158</v>
      </c>
      <c r="R1885">
        <v>0</v>
      </c>
      <c r="S1885">
        <v>158</v>
      </c>
      <c r="T1885">
        <v>256</v>
      </c>
      <c r="U1885">
        <f>SUMIF(货件明细!J:J,E1885,货件明细!AP:AP)</f>
        <v>0</v>
      </c>
      <c r="V1885">
        <f>IF(U1885=T1885,0,1)</f>
        <v>1</v>
      </c>
      <c r="W1885">
        <f>T1885</f>
        <v>256</v>
      </c>
      <c r="X1885">
        <f>SUMIF(货件明细!J:J,E1885,货件明细!H:H)</f>
        <v>0</v>
      </c>
      <c r="Y1885">
        <f>N1885-X1885</f>
        <v>32.1</v>
      </c>
      <c r="Z1885">
        <f>SUMIF(货件明细!J:J,E1885,货件明细!I:I)</f>
        <v>0</v>
      </c>
      <c r="AA1885">
        <f>IF(S1885=Z1885,0,1)</f>
        <v>1</v>
      </c>
    </row>
    <row r="1886" hidden="1" spans="1:27">
      <c r="A1886">
        <v>4</v>
      </c>
      <c r="B1886">
        <v>16</v>
      </c>
      <c r="C1886" s="3">
        <v>46129</v>
      </c>
      <c r="D1886" t="s">
        <v>27</v>
      </c>
      <c r="E1886" t="s">
        <v>2012</v>
      </c>
      <c r="F1886" t="s">
        <v>143</v>
      </c>
      <c r="G1886" t="s">
        <v>72</v>
      </c>
      <c r="H1886" t="s">
        <v>37</v>
      </c>
      <c r="I1886" t="s">
        <v>63</v>
      </c>
      <c r="J1886" t="s">
        <v>63</v>
      </c>
      <c r="K1886" t="s">
        <v>64</v>
      </c>
      <c r="L1886" t="s">
        <v>65</v>
      </c>
      <c r="M1886" t="s">
        <v>2001</v>
      </c>
      <c r="N1886">
        <v>32.1</v>
      </c>
      <c r="O1886">
        <v>6</v>
      </c>
      <c r="P1886">
        <v>182.08</v>
      </c>
      <c r="Q1886">
        <v>188.08</v>
      </c>
      <c r="R1886">
        <v>0</v>
      </c>
      <c r="S1886">
        <v>188.08</v>
      </c>
      <c r="T1886">
        <v>256</v>
      </c>
      <c r="U1886">
        <f>SUMIF(货件明细!J:J,E1886,货件明细!AP:AP)</f>
        <v>0</v>
      </c>
      <c r="V1886">
        <f>IF(U1886=T1886,0,1)</f>
        <v>1</v>
      </c>
      <c r="W1886">
        <f>T1886</f>
        <v>256</v>
      </c>
      <c r="X1886">
        <f>SUMIF(货件明细!J:J,E1886,货件明细!H:H)</f>
        <v>0</v>
      </c>
      <c r="Y1886">
        <f>N1886-X1886</f>
        <v>32.1</v>
      </c>
      <c r="Z1886">
        <f>SUMIF(货件明细!J:J,E1886,货件明细!I:I)</f>
        <v>0</v>
      </c>
      <c r="AA1886">
        <f>IF(S1886=Z1886,0,1)</f>
        <v>1</v>
      </c>
    </row>
    <row r="1887" hidden="1" spans="1:27">
      <c r="A1887">
        <v>4</v>
      </c>
      <c r="B1887">
        <v>16</v>
      </c>
      <c r="C1887" s="3">
        <v>46129</v>
      </c>
      <c r="D1887" t="s">
        <v>27</v>
      </c>
      <c r="E1887" t="s">
        <v>2013</v>
      </c>
      <c r="F1887" t="s">
        <v>185</v>
      </c>
      <c r="G1887" t="s">
        <v>30</v>
      </c>
      <c r="H1887" t="s">
        <v>51</v>
      </c>
      <c r="I1887" t="s">
        <v>63</v>
      </c>
      <c r="J1887" t="s">
        <v>63</v>
      </c>
      <c r="K1887" t="s">
        <v>64</v>
      </c>
      <c r="L1887" t="s">
        <v>65</v>
      </c>
      <c r="M1887" t="s">
        <v>1456</v>
      </c>
      <c r="N1887">
        <v>11.25</v>
      </c>
      <c r="O1887">
        <v>6</v>
      </c>
      <c r="P1887">
        <v>202.4</v>
      </c>
      <c r="Q1887">
        <v>208.4</v>
      </c>
      <c r="R1887">
        <v>0</v>
      </c>
      <c r="S1887">
        <v>208.4</v>
      </c>
      <c r="T1887">
        <v>70</v>
      </c>
      <c r="U1887">
        <f>SUMIF(货件明细!J:J,E1887,货件明细!AP:AP)</f>
        <v>0</v>
      </c>
      <c r="V1887">
        <f>IF(U1887=T1887,0,1)</f>
        <v>1</v>
      </c>
      <c r="W1887">
        <f>T1887</f>
        <v>70</v>
      </c>
      <c r="X1887">
        <f>SUMIF(货件明细!J:J,E1887,货件明细!H:H)</f>
        <v>0</v>
      </c>
      <c r="Y1887">
        <f>N1887-X1887</f>
        <v>11.25</v>
      </c>
      <c r="Z1887">
        <f>SUMIF(货件明细!J:J,E1887,货件明细!I:I)</f>
        <v>0</v>
      </c>
      <c r="AA1887">
        <f>IF(S1887=Z1887,0,1)</f>
        <v>1</v>
      </c>
    </row>
    <row r="1888" hidden="1" spans="1:27">
      <c r="A1888">
        <v>4</v>
      </c>
      <c r="B1888">
        <v>16</v>
      </c>
      <c r="C1888" s="3">
        <v>46129</v>
      </c>
      <c r="D1888" t="s">
        <v>27</v>
      </c>
      <c r="E1888" t="s">
        <v>2014</v>
      </c>
      <c r="F1888" t="s">
        <v>62</v>
      </c>
      <c r="G1888" t="s">
        <v>30</v>
      </c>
      <c r="H1888" t="s">
        <v>51</v>
      </c>
      <c r="I1888" t="s">
        <v>63</v>
      </c>
      <c r="J1888" t="s">
        <v>63</v>
      </c>
      <c r="K1888" t="s">
        <v>64</v>
      </c>
      <c r="L1888" t="s">
        <v>65</v>
      </c>
      <c r="M1888" t="s">
        <v>1456</v>
      </c>
      <c r="N1888">
        <v>11.25</v>
      </c>
      <c r="O1888">
        <v>6</v>
      </c>
      <c r="P1888">
        <v>193.05</v>
      </c>
      <c r="Q1888">
        <v>199.05</v>
      </c>
      <c r="R1888">
        <v>0</v>
      </c>
      <c r="S1888">
        <v>199.05</v>
      </c>
      <c r="T1888">
        <v>70</v>
      </c>
      <c r="U1888">
        <f>SUMIF(货件明细!J:J,E1888,货件明细!AP:AP)</f>
        <v>0</v>
      </c>
      <c r="V1888">
        <f>IF(U1888=T1888,0,1)</f>
        <v>1</v>
      </c>
      <c r="W1888">
        <f>T1888</f>
        <v>70</v>
      </c>
      <c r="X1888">
        <f>SUMIF(货件明细!J:J,E1888,货件明细!H:H)</f>
        <v>0</v>
      </c>
      <c r="Y1888">
        <f>N1888-X1888</f>
        <v>11.25</v>
      </c>
      <c r="Z1888">
        <f>SUMIF(货件明细!J:J,E1888,货件明细!I:I)</f>
        <v>0</v>
      </c>
      <c r="AA1888">
        <f>IF(S1888=Z1888,0,1)</f>
        <v>1</v>
      </c>
    </row>
    <row r="1889" hidden="1" spans="1:27">
      <c r="A1889">
        <v>4</v>
      </c>
      <c r="B1889">
        <v>16</v>
      </c>
      <c r="C1889" s="3">
        <v>46129</v>
      </c>
      <c r="D1889" t="s">
        <v>27</v>
      </c>
      <c r="E1889" t="s">
        <v>2015</v>
      </c>
      <c r="F1889" t="s">
        <v>68</v>
      </c>
      <c r="G1889" t="s">
        <v>69</v>
      </c>
      <c r="H1889" t="s">
        <v>51</v>
      </c>
      <c r="I1889" t="s">
        <v>63</v>
      </c>
      <c r="J1889" t="s">
        <v>63</v>
      </c>
      <c r="K1889" t="s">
        <v>64</v>
      </c>
      <c r="L1889" t="s">
        <v>65</v>
      </c>
      <c r="M1889" t="s">
        <v>1456</v>
      </c>
      <c r="N1889">
        <v>11.25</v>
      </c>
      <c r="O1889">
        <v>6</v>
      </c>
      <c r="P1889">
        <v>167.2</v>
      </c>
      <c r="Q1889">
        <v>173.2</v>
      </c>
      <c r="R1889">
        <v>0</v>
      </c>
      <c r="S1889">
        <v>173.2</v>
      </c>
      <c r="T1889">
        <v>70</v>
      </c>
      <c r="U1889">
        <f>SUMIF(货件明细!J:J,E1889,货件明细!AP:AP)</f>
        <v>0</v>
      </c>
      <c r="V1889">
        <f>IF(U1889=T1889,0,1)</f>
        <v>1</v>
      </c>
      <c r="W1889">
        <f>T1889</f>
        <v>70</v>
      </c>
      <c r="X1889">
        <f>SUMIF(货件明细!J:J,E1889,货件明细!H:H)</f>
        <v>0</v>
      </c>
      <c r="Y1889">
        <f>N1889-X1889</f>
        <v>11.25</v>
      </c>
      <c r="Z1889">
        <f>SUMIF(货件明细!J:J,E1889,货件明细!I:I)</f>
        <v>0</v>
      </c>
      <c r="AA1889">
        <f>IF(S1889=Z1889,0,1)</f>
        <v>1</v>
      </c>
    </row>
    <row r="1890" hidden="1" spans="1:27">
      <c r="A1890">
        <v>4</v>
      </c>
      <c r="B1890">
        <v>16</v>
      </c>
      <c r="C1890" s="3">
        <v>46129</v>
      </c>
      <c r="D1890" t="s">
        <v>27</v>
      </c>
      <c r="E1890" t="s">
        <v>2016</v>
      </c>
      <c r="F1890" t="s">
        <v>143</v>
      </c>
      <c r="G1890" t="s">
        <v>72</v>
      </c>
      <c r="H1890" t="s">
        <v>51</v>
      </c>
      <c r="I1890" t="s">
        <v>63</v>
      </c>
      <c r="J1890" t="s">
        <v>63</v>
      </c>
      <c r="K1890" t="s">
        <v>64</v>
      </c>
      <c r="L1890" t="s">
        <v>65</v>
      </c>
      <c r="M1890" t="s">
        <v>2001</v>
      </c>
      <c r="N1890">
        <v>11.25</v>
      </c>
      <c r="O1890">
        <v>6</v>
      </c>
      <c r="P1890">
        <v>68.28</v>
      </c>
      <c r="Q1890">
        <v>74.28</v>
      </c>
      <c r="R1890">
        <v>0</v>
      </c>
      <c r="S1890">
        <v>74.28</v>
      </c>
      <c r="T1890">
        <v>70</v>
      </c>
      <c r="U1890">
        <f>SUMIF(货件明细!J:J,E1890,货件明细!AP:AP)</f>
        <v>0</v>
      </c>
      <c r="V1890">
        <f>IF(U1890=T1890,0,1)</f>
        <v>1</v>
      </c>
      <c r="W1890">
        <f>T1890</f>
        <v>70</v>
      </c>
      <c r="X1890">
        <f>SUMIF(货件明细!J:J,E1890,货件明细!H:H)</f>
        <v>0</v>
      </c>
      <c r="Y1890">
        <f>N1890-X1890</f>
        <v>11.25</v>
      </c>
      <c r="Z1890">
        <f>SUMIF(货件明细!J:J,E1890,货件明细!I:I)</f>
        <v>0</v>
      </c>
      <c r="AA1890">
        <f>IF(S1890=Z1890,0,1)</f>
        <v>1</v>
      </c>
    </row>
    <row r="1891" hidden="1" spans="1:27">
      <c r="A1891">
        <v>4</v>
      </c>
      <c r="B1891">
        <v>16</v>
      </c>
      <c r="C1891" s="3">
        <v>46129</v>
      </c>
      <c r="D1891" t="s">
        <v>27</v>
      </c>
      <c r="E1891" t="s">
        <v>2017</v>
      </c>
      <c r="F1891" t="s">
        <v>76</v>
      </c>
      <c r="G1891" t="s">
        <v>72</v>
      </c>
      <c r="H1891" t="s">
        <v>51</v>
      </c>
      <c r="I1891" t="s">
        <v>63</v>
      </c>
      <c r="J1891" t="s">
        <v>63</v>
      </c>
      <c r="K1891" t="s">
        <v>64</v>
      </c>
      <c r="L1891" t="s">
        <v>65</v>
      </c>
      <c r="M1891" t="s">
        <v>1456</v>
      </c>
      <c r="N1891">
        <v>11.25</v>
      </c>
      <c r="O1891">
        <v>6</v>
      </c>
      <c r="P1891">
        <v>125.4</v>
      </c>
      <c r="Q1891">
        <v>131.4</v>
      </c>
      <c r="R1891">
        <v>0</v>
      </c>
      <c r="S1891">
        <v>131.4</v>
      </c>
      <c r="T1891">
        <v>70</v>
      </c>
      <c r="U1891">
        <f>SUMIF(货件明细!J:J,E1891,货件明细!AP:AP)</f>
        <v>0</v>
      </c>
      <c r="V1891">
        <f>IF(U1891=T1891,0,1)</f>
        <v>1</v>
      </c>
      <c r="W1891">
        <f>T1891</f>
        <v>70</v>
      </c>
      <c r="X1891">
        <f>SUMIF(货件明细!J:J,E1891,货件明细!H:H)</f>
        <v>0</v>
      </c>
      <c r="Y1891">
        <f>N1891-X1891</f>
        <v>11.25</v>
      </c>
      <c r="Z1891">
        <f>SUMIF(货件明细!J:J,E1891,货件明细!I:I)</f>
        <v>0</v>
      </c>
      <c r="AA1891">
        <f>IF(S1891=Z1891,0,1)</f>
        <v>1</v>
      </c>
    </row>
    <row r="1892" hidden="1" spans="1:27">
      <c r="A1892">
        <v>4</v>
      </c>
      <c r="B1892">
        <v>16</v>
      </c>
      <c r="C1892" s="3">
        <v>46129</v>
      </c>
      <c r="D1892" t="s">
        <v>27</v>
      </c>
      <c r="E1892" t="s">
        <v>2018</v>
      </c>
      <c r="F1892" t="s">
        <v>185</v>
      </c>
      <c r="G1892" t="s">
        <v>30</v>
      </c>
      <c r="H1892" t="s">
        <v>54</v>
      </c>
      <c r="I1892" t="s">
        <v>63</v>
      </c>
      <c r="J1892" t="s">
        <v>63</v>
      </c>
      <c r="K1892" t="s">
        <v>64</v>
      </c>
      <c r="L1892" t="s">
        <v>65</v>
      </c>
      <c r="M1892" t="s">
        <v>1456</v>
      </c>
      <c r="N1892">
        <v>11.7</v>
      </c>
      <c r="O1892">
        <v>6</v>
      </c>
      <c r="P1892">
        <v>110.4</v>
      </c>
      <c r="Q1892">
        <v>116.4</v>
      </c>
      <c r="R1892">
        <v>0</v>
      </c>
      <c r="S1892">
        <v>116.4</v>
      </c>
      <c r="T1892">
        <v>76</v>
      </c>
      <c r="U1892">
        <f>SUMIF(货件明细!J:J,E1892,货件明细!AP:AP)</f>
        <v>0</v>
      </c>
      <c r="V1892">
        <f>IF(U1892=T1892,0,1)</f>
        <v>1</v>
      </c>
      <c r="W1892">
        <f>T1892</f>
        <v>76</v>
      </c>
      <c r="X1892">
        <f>SUMIF(货件明细!J:J,E1892,货件明细!H:H)</f>
        <v>0</v>
      </c>
      <c r="Y1892">
        <f>N1892-X1892</f>
        <v>11.7</v>
      </c>
      <c r="Z1892">
        <f>SUMIF(货件明细!J:J,E1892,货件明细!I:I)</f>
        <v>0</v>
      </c>
      <c r="AA1892">
        <f>IF(S1892=Z1892,0,1)</f>
        <v>1</v>
      </c>
    </row>
    <row r="1893" hidden="1" spans="1:27">
      <c r="A1893">
        <v>4</v>
      </c>
      <c r="B1893">
        <v>16</v>
      </c>
      <c r="C1893" s="3">
        <v>46129</v>
      </c>
      <c r="D1893" t="s">
        <v>27</v>
      </c>
      <c r="E1893" t="s">
        <v>2019</v>
      </c>
      <c r="F1893" t="s">
        <v>62</v>
      </c>
      <c r="G1893" t="s">
        <v>30</v>
      </c>
      <c r="H1893" t="s">
        <v>54</v>
      </c>
      <c r="I1893" t="s">
        <v>63</v>
      </c>
      <c r="J1893" t="s">
        <v>63</v>
      </c>
      <c r="K1893" t="s">
        <v>64</v>
      </c>
      <c r="L1893" t="s">
        <v>65</v>
      </c>
      <c r="M1893" t="s">
        <v>1456</v>
      </c>
      <c r="N1893">
        <v>11.7</v>
      </c>
      <c r="O1893">
        <v>6</v>
      </c>
      <c r="P1893">
        <v>105.3</v>
      </c>
      <c r="Q1893">
        <v>111.3</v>
      </c>
      <c r="R1893">
        <v>0</v>
      </c>
      <c r="S1893">
        <v>111.3</v>
      </c>
      <c r="T1893">
        <v>76</v>
      </c>
      <c r="U1893">
        <f>SUMIF(货件明细!J:J,E1893,货件明细!AP:AP)</f>
        <v>0</v>
      </c>
      <c r="V1893">
        <f>IF(U1893=T1893,0,1)</f>
        <v>1</v>
      </c>
      <c r="W1893">
        <f>T1893</f>
        <v>76</v>
      </c>
      <c r="X1893">
        <f>SUMIF(货件明细!J:J,E1893,货件明细!H:H)</f>
        <v>0</v>
      </c>
      <c r="Y1893">
        <f>N1893-X1893</f>
        <v>11.7</v>
      </c>
      <c r="Z1893">
        <f>SUMIF(货件明细!J:J,E1893,货件明细!I:I)</f>
        <v>0</v>
      </c>
      <c r="AA1893">
        <f>IF(S1893=Z1893,0,1)</f>
        <v>1</v>
      </c>
    </row>
    <row r="1894" hidden="1" spans="1:27">
      <c r="A1894">
        <v>4</v>
      </c>
      <c r="B1894">
        <v>16</v>
      </c>
      <c r="C1894" s="3">
        <v>46129</v>
      </c>
      <c r="D1894" t="s">
        <v>27</v>
      </c>
      <c r="E1894" t="s">
        <v>2020</v>
      </c>
      <c r="F1894" t="s">
        <v>68</v>
      </c>
      <c r="G1894" t="s">
        <v>69</v>
      </c>
      <c r="H1894" t="s">
        <v>54</v>
      </c>
      <c r="I1894" t="s">
        <v>63</v>
      </c>
      <c r="J1894" t="s">
        <v>63</v>
      </c>
      <c r="K1894" t="s">
        <v>64</v>
      </c>
      <c r="L1894" t="s">
        <v>65</v>
      </c>
      <c r="M1894" t="s">
        <v>1456</v>
      </c>
      <c r="N1894">
        <v>11.7</v>
      </c>
      <c r="O1894">
        <v>6</v>
      </c>
      <c r="P1894">
        <v>91.2</v>
      </c>
      <c r="Q1894">
        <v>97.2</v>
      </c>
      <c r="R1894">
        <v>0</v>
      </c>
      <c r="S1894">
        <v>97.2</v>
      </c>
      <c r="T1894">
        <v>76</v>
      </c>
      <c r="U1894">
        <f>SUMIF(货件明细!J:J,E1894,货件明细!AP:AP)</f>
        <v>0</v>
      </c>
      <c r="V1894">
        <f>IF(U1894=T1894,0,1)</f>
        <v>1</v>
      </c>
      <c r="W1894">
        <f>T1894</f>
        <v>76</v>
      </c>
      <c r="X1894">
        <f>SUMIF(货件明细!J:J,E1894,货件明细!H:H)</f>
        <v>0</v>
      </c>
      <c r="Y1894">
        <f>N1894-X1894</f>
        <v>11.7</v>
      </c>
      <c r="Z1894">
        <f>SUMIF(货件明细!J:J,E1894,货件明细!I:I)</f>
        <v>0</v>
      </c>
      <c r="AA1894">
        <f>IF(S1894=Z1894,0,1)</f>
        <v>1</v>
      </c>
    </row>
    <row r="1895" hidden="1" spans="1:27">
      <c r="A1895">
        <v>4</v>
      </c>
      <c r="B1895">
        <v>16</v>
      </c>
      <c r="C1895" s="3">
        <v>46129</v>
      </c>
      <c r="D1895" t="s">
        <v>27</v>
      </c>
      <c r="E1895" t="s">
        <v>2021</v>
      </c>
      <c r="F1895" t="s">
        <v>143</v>
      </c>
      <c r="G1895" t="s">
        <v>72</v>
      </c>
      <c r="H1895" t="s">
        <v>54</v>
      </c>
      <c r="I1895" t="s">
        <v>63</v>
      </c>
      <c r="J1895" t="s">
        <v>63</v>
      </c>
      <c r="K1895" t="s">
        <v>64</v>
      </c>
      <c r="L1895" t="s">
        <v>65</v>
      </c>
      <c r="M1895" t="s">
        <v>2001</v>
      </c>
      <c r="N1895">
        <v>11.7</v>
      </c>
      <c r="O1895">
        <v>6</v>
      </c>
      <c r="P1895">
        <v>62.59</v>
      </c>
      <c r="Q1895">
        <v>68.59</v>
      </c>
      <c r="R1895">
        <v>0</v>
      </c>
      <c r="S1895">
        <v>68.59</v>
      </c>
      <c r="T1895">
        <v>76</v>
      </c>
      <c r="U1895">
        <f>SUMIF(货件明细!J:J,E1895,货件明细!AP:AP)</f>
        <v>0</v>
      </c>
      <c r="V1895">
        <f>IF(U1895=T1895,0,1)</f>
        <v>1</v>
      </c>
      <c r="W1895">
        <f>T1895</f>
        <v>76</v>
      </c>
      <c r="X1895">
        <f>SUMIF(货件明细!J:J,E1895,货件明细!H:H)</f>
        <v>0</v>
      </c>
      <c r="Y1895">
        <f>N1895-X1895</f>
        <v>11.7</v>
      </c>
      <c r="Z1895">
        <f>SUMIF(货件明细!J:J,E1895,货件明细!I:I)</f>
        <v>0</v>
      </c>
      <c r="AA1895">
        <f>IF(S1895=Z1895,0,1)</f>
        <v>1</v>
      </c>
    </row>
    <row r="1896" hidden="1" spans="1:27">
      <c r="A1896">
        <v>4</v>
      </c>
      <c r="B1896">
        <v>16</v>
      </c>
      <c r="C1896" s="3">
        <v>46129</v>
      </c>
      <c r="D1896" t="s">
        <v>27</v>
      </c>
      <c r="E1896" t="s">
        <v>2022</v>
      </c>
      <c r="F1896" t="s">
        <v>76</v>
      </c>
      <c r="G1896" t="s">
        <v>72</v>
      </c>
      <c r="H1896" t="s">
        <v>54</v>
      </c>
      <c r="I1896" t="s">
        <v>63</v>
      </c>
      <c r="J1896" t="s">
        <v>63</v>
      </c>
      <c r="K1896" t="s">
        <v>64</v>
      </c>
      <c r="L1896" t="s">
        <v>65</v>
      </c>
      <c r="M1896" t="s">
        <v>1456</v>
      </c>
      <c r="N1896">
        <v>11.7</v>
      </c>
      <c r="O1896">
        <v>6</v>
      </c>
      <c r="P1896">
        <v>68.4</v>
      </c>
      <c r="Q1896">
        <v>74.4</v>
      </c>
      <c r="R1896">
        <v>0</v>
      </c>
      <c r="S1896">
        <v>74.4</v>
      </c>
      <c r="T1896">
        <v>76</v>
      </c>
      <c r="U1896">
        <f>SUMIF(货件明细!J:J,E1896,货件明细!AP:AP)</f>
        <v>0</v>
      </c>
      <c r="V1896">
        <f>IF(U1896=T1896,0,1)</f>
        <v>1</v>
      </c>
      <c r="W1896">
        <f>T1896</f>
        <v>76</v>
      </c>
      <c r="X1896">
        <f>SUMIF(货件明细!J:J,E1896,货件明细!H:H)</f>
        <v>0</v>
      </c>
      <c r="Y1896">
        <f>N1896-X1896</f>
        <v>11.7</v>
      </c>
      <c r="Z1896">
        <f>SUMIF(货件明细!J:J,E1896,货件明细!I:I)</f>
        <v>0</v>
      </c>
      <c r="AA1896">
        <f>IF(S1896=Z1896,0,1)</f>
        <v>1</v>
      </c>
    </row>
    <row r="1897" hidden="1" spans="1:27">
      <c r="A1897">
        <v>4</v>
      </c>
      <c r="B1897">
        <v>16</v>
      </c>
      <c r="C1897" s="3">
        <v>46129</v>
      </c>
      <c r="D1897" t="s">
        <v>27</v>
      </c>
      <c r="E1897" t="s">
        <v>2023</v>
      </c>
      <c r="F1897" t="s">
        <v>185</v>
      </c>
      <c r="G1897" t="s">
        <v>30</v>
      </c>
      <c r="H1897" t="s">
        <v>51</v>
      </c>
      <c r="I1897" t="s">
        <v>146</v>
      </c>
      <c r="J1897" t="s">
        <v>146</v>
      </c>
      <c r="K1897" t="s">
        <v>64</v>
      </c>
      <c r="L1897" t="s">
        <v>147</v>
      </c>
      <c r="M1897" t="s">
        <v>148</v>
      </c>
      <c r="N1897">
        <v>55.3</v>
      </c>
      <c r="O1897">
        <v>25</v>
      </c>
      <c r="P1897">
        <v>548.7</v>
      </c>
      <c r="Q1897">
        <v>573.7</v>
      </c>
      <c r="R1897">
        <v>0</v>
      </c>
      <c r="S1897">
        <v>573.7</v>
      </c>
      <c r="T1897">
        <v>210</v>
      </c>
      <c r="U1897">
        <f>SUMIF(货件明细!J:J,E1897,货件明细!AP:AP)</f>
        <v>0</v>
      </c>
      <c r="V1897">
        <f>IF(U1897=T1897,0,1)</f>
        <v>1</v>
      </c>
      <c r="W1897">
        <f>T1897</f>
        <v>210</v>
      </c>
      <c r="X1897">
        <f>SUMIF(货件明细!J:J,E1897,货件明细!H:H)</f>
        <v>0</v>
      </c>
      <c r="Y1897">
        <f>N1897-X1897</f>
        <v>55.3</v>
      </c>
      <c r="Z1897">
        <f>SUMIF(货件明细!J:J,E1897,货件明细!I:I)</f>
        <v>0</v>
      </c>
      <c r="AA1897">
        <f>IF(S1897=Z1897,0,1)</f>
        <v>1</v>
      </c>
    </row>
    <row r="1898" hidden="1" spans="1:27">
      <c r="A1898">
        <v>4</v>
      </c>
      <c r="B1898">
        <v>16</v>
      </c>
      <c r="C1898" s="3">
        <v>46129</v>
      </c>
      <c r="D1898" t="s">
        <v>27</v>
      </c>
      <c r="E1898" t="s">
        <v>2024</v>
      </c>
      <c r="F1898" t="s">
        <v>62</v>
      </c>
      <c r="G1898" t="s">
        <v>30</v>
      </c>
      <c r="H1898" t="s">
        <v>51</v>
      </c>
      <c r="I1898" t="s">
        <v>146</v>
      </c>
      <c r="J1898" t="s">
        <v>146</v>
      </c>
      <c r="K1898" t="s">
        <v>64</v>
      </c>
      <c r="L1898" t="s">
        <v>147</v>
      </c>
      <c r="M1898" t="s">
        <v>148</v>
      </c>
      <c r="N1898">
        <v>55.3</v>
      </c>
      <c r="O1898">
        <v>30</v>
      </c>
      <c r="P1898">
        <v>611.2</v>
      </c>
      <c r="Q1898">
        <v>641.2</v>
      </c>
      <c r="R1898">
        <v>0</v>
      </c>
      <c r="S1898">
        <v>641.2</v>
      </c>
      <c r="T1898">
        <v>213</v>
      </c>
      <c r="U1898">
        <f>SUMIF(货件明细!J:J,E1898,货件明细!AP:AP)</f>
        <v>0</v>
      </c>
      <c r="V1898">
        <f>IF(U1898=T1898,0,1)</f>
        <v>1</v>
      </c>
      <c r="W1898">
        <f>T1898</f>
        <v>213</v>
      </c>
      <c r="X1898">
        <f>SUMIF(货件明细!J:J,E1898,货件明细!H:H)</f>
        <v>0</v>
      </c>
      <c r="Y1898">
        <f>N1898-X1898</f>
        <v>55.3</v>
      </c>
      <c r="Z1898">
        <f>SUMIF(货件明细!J:J,E1898,货件明细!I:I)</f>
        <v>0</v>
      </c>
      <c r="AA1898">
        <f>IF(S1898=Z1898,0,1)</f>
        <v>1</v>
      </c>
    </row>
    <row r="1899" hidden="1" spans="1:27">
      <c r="A1899">
        <v>4</v>
      </c>
      <c r="B1899">
        <v>16</v>
      </c>
      <c r="C1899" s="3">
        <v>46129</v>
      </c>
      <c r="D1899" t="s">
        <v>27</v>
      </c>
      <c r="E1899" t="s">
        <v>2025</v>
      </c>
      <c r="F1899" t="s">
        <v>68</v>
      </c>
      <c r="G1899" t="s">
        <v>69</v>
      </c>
      <c r="H1899" t="s">
        <v>51</v>
      </c>
      <c r="I1899" t="s">
        <v>146</v>
      </c>
      <c r="J1899" t="s">
        <v>146</v>
      </c>
      <c r="K1899" t="s">
        <v>64</v>
      </c>
      <c r="L1899" t="s">
        <v>147</v>
      </c>
      <c r="M1899" t="s">
        <v>1545</v>
      </c>
      <c r="N1899">
        <v>55.3</v>
      </c>
      <c r="O1899">
        <v>21.4285714285714</v>
      </c>
      <c r="P1899">
        <v>489</v>
      </c>
      <c r="Q1899">
        <v>510.428571428571</v>
      </c>
      <c r="R1899">
        <v>0</v>
      </c>
      <c r="S1899">
        <v>510.428571428571</v>
      </c>
      <c r="T1899">
        <v>210</v>
      </c>
      <c r="U1899">
        <f>SUMIF(货件明细!J:J,E1899,货件明细!AP:AP)</f>
        <v>0</v>
      </c>
      <c r="V1899">
        <f>IF(U1899=T1899,0,1)</f>
        <v>1</v>
      </c>
      <c r="W1899">
        <f>T1899</f>
        <v>210</v>
      </c>
      <c r="X1899">
        <f>SUMIF(货件明细!J:J,E1899,货件明细!H:H)</f>
        <v>0</v>
      </c>
      <c r="Y1899">
        <f>N1899-X1899</f>
        <v>55.3</v>
      </c>
      <c r="Z1899">
        <f>SUMIF(货件明细!J:J,E1899,货件明细!I:I)</f>
        <v>0</v>
      </c>
      <c r="AA1899">
        <f>IF(S1899=Z1899,0,1)</f>
        <v>1</v>
      </c>
    </row>
    <row r="1900" hidden="1" spans="1:27">
      <c r="A1900">
        <v>4</v>
      </c>
      <c r="B1900">
        <v>16</v>
      </c>
      <c r="C1900" s="3">
        <v>46129</v>
      </c>
      <c r="D1900" t="s">
        <v>27</v>
      </c>
      <c r="E1900" t="s">
        <v>2026</v>
      </c>
      <c r="F1900" t="s">
        <v>143</v>
      </c>
      <c r="G1900" t="s">
        <v>72</v>
      </c>
      <c r="H1900" t="s">
        <v>51</v>
      </c>
      <c r="I1900" t="s">
        <v>146</v>
      </c>
      <c r="J1900" t="s">
        <v>146</v>
      </c>
      <c r="K1900" t="s">
        <v>64</v>
      </c>
      <c r="L1900" t="s">
        <v>147</v>
      </c>
      <c r="M1900" t="s">
        <v>1545</v>
      </c>
      <c r="N1900">
        <v>55.3</v>
      </c>
      <c r="O1900">
        <v>12.5</v>
      </c>
      <c r="P1900">
        <v>378</v>
      </c>
      <c r="Q1900">
        <v>390.5</v>
      </c>
      <c r="R1900">
        <v>0</v>
      </c>
      <c r="S1900">
        <v>390.5</v>
      </c>
      <c r="T1900">
        <v>210</v>
      </c>
      <c r="U1900">
        <f>SUMIF(货件明细!J:J,E1900,货件明细!AP:AP)</f>
        <v>0</v>
      </c>
      <c r="V1900">
        <f>IF(U1900=T1900,0,1)</f>
        <v>1</v>
      </c>
      <c r="W1900">
        <f>T1900</f>
        <v>210</v>
      </c>
      <c r="X1900">
        <f>SUMIF(货件明细!J:J,E1900,货件明细!H:H)</f>
        <v>0</v>
      </c>
      <c r="Y1900">
        <f>N1900-X1900</f>
        <v>55.3</v>
      </c>
      <c r="Z1900">
        <f>SUMIF(货件明细!J:J,E1900,货件明细!I:I)</f>
        <v>0</v>
      </c>
      <c r="AA1900">
        <f>IF(S1900=Z1900,0,1)</f>
        <v>1</v>
      </c>
    </row>
    <row r="1901" hidden="1" spans="1:27">
      <c r="A1901">
        <v>4</v>
      </c>
      <c r="B1901">
        <v>16</v>
      </c>
      <c r="C1901" s="3">
        <v>46129</v>
      </c>
      <c r="D1901" t="s">
        <v>27</v>
      </c>
      <c r="E1901" t="s">
        <v>2027</v>
      </c>
      <c r="F1901" t="s">
        <v>76</v>
      </c>
      <c r="G1901" t="s">
        <v>72</v>
      </c>
      <c r="H1901" t="s">
        <v>51</v>
      </c>
      <c r="I1901" t="s">
        <v>146</v>
      </c>
      <c r="J1901" t="s">
        <v>146</v>
      </c>
      <c r="K1901" t="s">
        <v>64</v>
      </c>
      <c r="L1901" t="s">
        <v>147</v>
      </c>
      <c r="M1901" t="s">
        <v>1545</v>
      </c>
      <c r="N1901">
        <v>55.3</v>
      </c>
      <c r="O1901">
        <v>12.5</v>
      </c>
      <c r="P1901">
        <v>342</v>
      </c>
      <c r="Q1901">
        <v>354.5</v>
      </c>
      <c r="R1901">
        <v>0</v>
      </c>
      <c r="S1901">
        <v>354.5</v>
      </c>
      <c r="T1901">
        <v>210</v>
      </c>
      <c r="U1901">
        <f>SUMIF(货件明细!J:J,E1901,货件明细!AP:AP)</f>
        <v>0</v>
      </c>
      <c r="V1901">
        <f>IF(U1901=T1901,0,1)</f>
        <v>1</v>
      </c>
      <c r="W1901">
        <f>T1901</f>
        <v>210</v>
      </c>
      <c r="X1901">
        <f>SUMIF(货件明细!J:J,E1901,货件明细!H:H)</f>
        <v>0</v>
      </c>
      <c r="Y1901">
        <f>N1901-X1901</f>
        <v>55.3</v>
      </c>
      <c r="Z1901">
        <f>SUMIF(货件明细!J:J,E1901,货件明细!I:I)</f>
        <v>0</v>
      </c>
      <c r="AA1901">
        <f>IF(S1901=Z1901,0,1)</f>
        <v>1</v>
      </c>
    </row>
    <row r="1902" hidden="1" spans="1:27">
      <c r="A1902">
        <v>4</v>
      </c>
      <c r="B1902">
        <v>16</v>
      </c>
      <c r="C1902" s="3">
        <v>46129</v>
      </c>
      <c r="D1902" t="s">
        <v>27</v>
      </c>
      <c r="E1902" t="s">
        <v>2028</v>
      </c>
      <c r="F1902" t="s">
        <v>185</v>
      </c>
      <c r="G1902" t="s">
        <v>30</v>
      </c>
      <c r="H1902" t="s">
        <v>31</v>
      </c>
      <c r="I1902" t="s">
        <v>146</v>
      </c>
      <c r="J1902" t="s">
        <v>146</v>
      </c>
      <c r="K1902" t="s">
        <v>64</v>
      </c>
      <c r="L1902" t="s">
        <v>147</v>
      </c>
      <c r="M1902" t="s">
        <v>148</v>
      </c>
      <c r="N1902">
        <v>87.9</v>
      </c>
      <c r="O1902">
        <v>25</v>
      </c>
      <c r="P1902">
        <v>690.3</v>
      </c>
      <c r="Q1902">
        <v>715.3</v>
      </c>
      <c r="R1902">
        <v>0</v>
      </c>
      <c r="S1902">
        <v>715.3</v>
      </c>
      <c r="T1902">
        <v>545</v>
      </c>
      <c r="U1902">
        <f>SUMIF(货件明细!J:J,E1902,货件明细!AP:AP)</f>
        <v>0</v>
      </c>
      <c r="V1902">
        <f>IF(U1902=T1902,0,1)</f>
        <v>1</v>
      </c>
      <c r="W1902">
        <f>T1902</f>
        <v>545</v>
      </c>
      <c r="X1902">
        <f>SUMIF(货件明细!J:J,E1902,货件明细!H:H)</f>
        <v>0</v>
      </c>
      <c r="Y1902">
        <f>N1902-X1902</f>
        <v>87.9</v>
      </c>
      <c r="Z1902">
        <f>SUMIF(货件明细!J:J,E1902,货件明细!I:I)</f>
        <v>0</v>
      </c>
      <c r="AA1902">
        <f>IF(S1902=Z1902,0,1)</f>
        <v>1</v>
      </c>
    </row>
    <row r="1903" hidden="1" spans="1:27">
      <c r="A1903">
        <v>4</v>
      </c>
      <c r="B1903">
        <v>16</v>
      </c>
      <c r="C1903" s="3">
        <v>46129</v>
      </c>
      <c r="D1903" t="s">
        <v>27</v>
      </c>
      <c r="E1903" t="s">
        <v>2029</v>
      </c>
      <c r="F1903" t="s">
        <v>62</v>
      </c>
      <c r="G1903" t="s">
        <v>30</v>
      </c>
      <c r="H1903" t="s">
        <v>31</v>
      </c>
      <c r="I1903" t="s">
        <v>146</v>
      </c>
      <c r="J1903" t="s">
        <v>146</v>
      </c>
      <c r="K1903" t="s">
        <v>64</v>
      </c>
      <c r="L1903" t="s">
        <v>147</v>
      </c>
      <c r="M1903" t="s">
        <v>148</v>
      </c>
      <c r="N1903">
        <v>87.9</v>
      </c>
      <c r="O1903">
        <v>30</v>
      </c>
      <c r="P1903">
        <v>764</v>
      </c>
      <c r="Q1903">
        <v>794</v>
      </c>
      <c r="R1903">
        <v>0</v>
      </c>
      <c r="S1903">
        <v>794</v>
      </c>
      <c r="T1903">
        <v>545</v>
      </c>
      <c r="U1903">
        <f>SUMIF(货件明细!J:J,E1903,货件明细!AP:AP)</f>
        <v>0</v>
      </c>
      <c r="V1903">
        <f>IF(U1903=T1903,0,1)</f>
        <v>1</v>
      </c>
      <c r="W1903">
        <f>T1903</f>
        <v>545</v>
      </c>
      <c r="X1903">
        <f>SUMIF(货件明细!J:J,E1903,货件明细!H:H)</f>
        <v>0</v>
      </c>
      <c r="Y1903">
        <f>N1903-X1903</f>
        <v>87.9</v>
      </c>
      <c r="Z1903">
        <f>SUMIF(货件明细!J:J,E1903,货件明细!I:I)</f>
        <v>0</v>
      </c>
      <c r="AA1903">
        <f>IF(S1903=Z1903,0,1)</f>
        <v>1</v>
      </c>
    </row>
    <row r="1904" hidden="1" spans="1:27">
      <c r="A1904">
        <v>4</v>
      </c>
      <c r="B1904">
        <v>16</v>
      </c>
      <c r="C1904" s="3">
        <v>46129</v>
      </c>
      <c r="D1904" t="s">
        <v>27</v>
      </c>
      <c r="E1904" t="s">
        <v>2030</v>
      </c>
      <c r="F1904" t="s">
        <v>68</v>
      </c>
      <c r="G1904" t="s">
        <v>69</v>
      </c>
      <c r="H1904" t="s">
        <v>31</v>
      </c>
      <c r="I1904" t="s">
        <v>146</v>
      </c>
      <c r="J1904" t="s">
        <v>146</v>
      </c>
      <c r="K1904" t="s">
        <v>64</v>
      </c>
      <c r="L1904" t="s">
        <v>147</v>
      </c>
      <c r="M1904" t="s">
        <v>1545</v>
      </c>
      <c r="N1904">
        <v>87.9</v>
      </c>
      <c r="O1904">
        <v>21.4285714285714</v>
      </c>
      <c r="P1904">
        <v>635.7</v>
      </c>
      <c r="Q1904">
        <v>657.128571428571</v>
      </c>
      <c r="R1904">
        <v>0</v>
      </c>
      <c r="S1904">
        <v>657.128571428571</v>
      </c>
      <c r="T1904">
        <v>545</v>
      </c>
      <c r="U1904">
        <f>SUMIF(货件明细!J:J,E1904,货件明细!AP:AP)</f>
        <v>0</v>
      </c>
      <c r="V1904">
        <f>IF(U1904=T1904,0,1)</f>
        <v>1</v>
      </c>
      <c r="W1904">
        <f>T1904</f>
        <v>545</v>
      </c>
      <c r="X1904">
        <f>SUMIF(货件明细!J:J,E1904,货件明细!H:H)</f>
        <v>0</v>
      </c>
      <c r="Y1904">
        <f>N1904-X1904</f>
        <v>87.9</v>
      </c>
      <c r="Z1904">
        <f>SUMIF(货件明细!J:J,E1904,货件明细!I:I)</f>
        <v>0</v>
      </c>
      <c r="AA1904">
        <f>IF(S1904=Z1904,0,1)</f>
        <v>1</v>
      </c>
    </row>
    <row r="1905" hidden="1" spans="1:27">
      <c r="A1905">
        <v>4</v>
      </c>
      <c r="B1905">
        <v>16</v>
      </c>
      <c r="C1905" s="3">
        <v>46129</v>
      </c>
      <c r="D1905" t="s">
        <v>27</v>
      </c>
      <c r="E1905" t="s">
        <v>2031</v>
      </c>
      <c r="F1905" t="s">
        <v>143</v>
      </c>
      <c r="G1905" t="s">
        <v>72</v>
      </c>
      <c r="H1905" t="s">
        <v>31</v>
      </c>
      <c r="I1905" t="s">
        <v>146</v>
      </c>
      <c r="J1905" t="s">
        <v>146</v>
      </c>
      <c r="K1905" t="s">
        <v>64</v>
      </c>
      <c r="L1905" t="s">
        <v>147</v>
      </c>
      <c r="M1905" t="s">
        <v>1545</v>
      </c>
      <c r="N1905">
        <v>87.9</v>
      </c>
      <c r="O1905">
        <v>12.5</v>
      </c>
      <c r="P1905">
        <v>491.4</v>
      </c>
      <c r="Q1905">
        <v>503.9</v>
      </c>
      <c r="R1905">
        <v>0</v>
      </c>
      <c r="S1905">
        <v>503.9</v>
      </c>
      <c r="T1905">
        <v>545</v>
      </c>
      <c r="U1905">
        <f>SUMIF(货件明细!J:J,E1905,货件明细!AP:AP)</f>
        <v>0</v>
      </c>
      <c r="V1905">
        <f>IF(U1905=T1905,0,1)</f>
        <v>1</v>
      </c>
      <c r="W1905">
        <f>T1905</f>
        <v>545</v>
      </c>
      <c r="X1905">
        <f>SUMIF(货件明细!J:J,E1905,货件明细!H:H)</f>
        <v>0</v>
      </c>
      <c r="Y1905">
        <f>N1905-X1905</f>
        <v>87.9</v>
      </c>
      <c r="Z1905">
        <f>SUMIF(货件明细!J:J,E1905,货件明细!I:I)</f>
        <v>0</v>
      </c>
      <c r="AA1905">
        <f>IF(S1905=Z1905,0,1)</f>
        <v>1</v>
      </c>
    </row>
    <row r="1906" hidden="1" spans="1:27">
      <c r="A1906">
        <v>4</v>
      </c>
      <c r="B1906">
        <v>16</v>
      </c>
      <c r="C1906" s="3">
        <v>46129</v>
      </c>
      <c r="D1906" t="s">
        <v>27</v>
      </c>
      <c r="E1906" t="s">
        <v>2032</v>
      </c>
      <c r="F1906" t="s">
        <v>76</v>
      </c>
      <c r="G1906" t="s">
        <v>72</v>
      </c>
      <c r="H1906" t="s">
        <v>31</v>
      </c>
      <c r="I1906" t="s">
        <v>146</v>
      </c>
      <c r="J1906" t="s">
        <v>146</v>
      </c>
      <c r="K1906" t="s">
        <v>64</v>
      </c>
      <c r="L1906" t="s">
        <v>147</v>
      </c>
      <c r="M1906" t="s">
        <v>1545</v>
      </c>
      <c r="N1906">
        <v>87.9</v>
      </c>
      <c r="O1906">
        <v>12.5</v>
      </c>
      <c r="P1906">
        <v>444.6</v>
      </c>
      <c r="Q1906">
        <v>457.1</v>
      </c>
      <c r="R1906">
        <v>0</v>
      </c>
      <c r="S1906">
        <v>457.1</v>
      </c>
      <c r="T1906">
        <v>545</v>
      </c>
      <c r="U1906">
        <f>SUMIF(货件明细!J:J,E1906,货件明细!AP:AP)</f>
        <v>0</v>
      </c>
      <c r="V1906">
        <f>IF(U1906=T1906,0,1)</f>
        <v>1</v>
      </c>
      <c r="W1906">
        <f>T1906</f>
        <v>545</v>
      </c>
      <c r="X1906">
        <f>SUMIF(货件明细!J:J,E1906,货件明细!H:H)</f>
        <v>0</v>
      </c>
      <c r="Y1906">
        <f>N1906-X1906</f>
        <v>87.9</v>
      </c>
      <c r="Z1906">
        <f>SUMIF(货件明细!J:J,E1906,货件明细!I:I)</f>
        <v>0</v>
      </c>
      <c r="AA1906">
        <f>IF(S1906=Z1906,0,1)</f>
        <v>1</v>
      </c>
    </row>
    <row r="1907" hidden="1" spans="1:27">
      <c r="A1907">
        <v>4</v>
      </c>
      <c r="B1907">
        <v>16</v>
      </c>
      <c r="C1907" s="3">
        <v>46129</v>
      </c>
      <c r="D1907" t="s">
        <v>27</v>
      </c>
      <c r="E1907" t="s">
        <v>2033</v>
      </c>
      <c r="F1907" t="s">
        <v>185</v>
      </c>
      <c r="G1907" t="s">
        <v>30</v>
      </c>
      <c r="H1907" t="s">
        <v>46</v>
      </c>
      <c r="I1907" t="s">
        <v>146</v>
      </c>
      <c r="J1907" t="s">
        <v>146</v>
      </c>
      <c r="K1907" t="s">
        <v>64</v>
      </c>
      <c r="L1907" t="s">
        <v>65</v>
      </c>
      <c r="M1907" t="s">
        <v>1235</v>
      </c>
      <c r="N1907">
        <v>10.7</v>
      </c>
      <c r="O1907">
        <v>6</v>
      </c>
      <c r="P1907">
        <v>100.925</v>
      </c>
      <c r="Q1907">
        <v>106.925</v>
      </c>
      <c r="R1907">
        <v>0</v>
      </c>
      <c r="S1907">
        <v>106.925</v>
      </c>
      <c r="T1907">
        <v>93</v>
      </c>
      <c r="U1907">
        <f>SUMIF(货件明细!J:J,E1907,货件明细!AP:AP)</f>
        <v>0</v>
      </c>
      <c r="V1907">
        <f>IF(U1907=T1907,0,1)</f>
        <v>1</v>
      </c>
      <c r="W1907">
        <f>T1907</f>
        <v>93</v>
      </c>
      <c r="X1907">
        <f>SUMIF(货件明细!J:J,E1907,货件明细!H:H)</f>
        <v>0</v>
      </c>
      <c r="Y1907">
        <f>N1907-X1907</f>
        <v>10.7</v>
      </c>
      <c r="Z1907">
        <f>SUMIF(货件明细!J:J,E1907,货件明细!I:I)</f>
        <v>0</v>
      </c>
      <c r="AA1907">
        <f>IF(S1907=Z1907,0,1)</f>
        <v>1</v>
      </c>
    </row>
    <row r="1908" hidden="1" spans="1:27">
      <c r="A1908">
        <v>4</v>
      </c>
      <c r="B1908">
        <v>16</v>
      </c>
      <c r="C1908" s="3">
        <v>46129</v>
      </c>
      <c r="D1908" t="s">
        <v>27</v>
      </c>
      <c r="E1908" t="s">
        <v>2034</v>
      </c>
      <c r="F1908" t="s">
        <v>62</v>
      </c>
      <c r="G1908" t="s">
        <v>30</v>
      </c>
      <c r="H1908" t="s">
        <v>46</v>
      </c>
      <c r="I1908" t="s">
        <v>146</v>
      </c>
      <c r="J1908" t="s">
        <v>146</v>
      </c>
      <c r="K1908" t="s">
        <v>64</v>
      </c>
      <c r="L1908" t="s">
        <v>65</v>
      </c>
      <c r="M1908" t="s">
        <v>1235</v>
      </c>
      <c r="N1908">
        <v>10.7</v>
      </c>
      <c r="O1908">
        <v>6</v>
      </c>
      <c r="P1908">
        <v>99</v>
      </c>
      <c r="Q1908">
        <v>105</v>
      </c>
      <c r="R1908">
        <v>0</v>
      </c>
      <c r="S1908">
        <v>105</v>
      </c>
      <c r="T1908">
        <v>93</v>
      </c>
      <c r="U1908">
        <f>SUMIF(货件明细!J:J,E1908,货件明细!AP:AP)</f>
        <v>0</v>
      </c>
      <c r="V1908">
        <f>IF(U1908=T1908,0,1)</f>
        <v>1</v>
      </c>
      <c r="W1908">
        <f>T1908</f>
        <v>93</v>
      </c>
      <c r="X1908">
        <f>SUMIF(货件明细!J:J,E1908,货件明细!H:H)</f>
        <v>0</v>
      </c>
      <c r="Y1908">
        <f>N1908-X1908</f>
        <v>10.7</v>
      </c>
      <c r="Z1908">
        <f>SUMIF(货件明细!J:J,E1908,货件明细!I:I)</f>
        <v>0</v>
      </c>
      <c r="AA1908">
        <f>IF(S1908=Z1908,0,1)</f>
        <v>1</v>
      </c>
    </row>
    <row r="1909" hidden="1" spans="1:27">
      <c r="A1909">
        <v>4</v>
      </c>
      <c r="B1909">
        <v>16</v>
      </c>
      <c r="C1909" s="3">
        <v>46129</v>
      </c>
      <c r="D1909" t="s">
        <v>27</v>
      </c>
      <c r="E1909" t="s">
        <v>2035</v>
      </c>
      <c r="F1909" t="s">
        <v>68</v>
      </c>
      <c r="G1909" t="s">
        <v>69</v>
      </c>
      <c r="H1909" t="s">
        <v>46</v>
      </c>
      <c r="I1909" t="s">
        <v>146</v>
      </c>
      <c r="J1909" t="s">
        <v>146</v>
      </c>
      <c r="K1909" t="s">
        <v>64</v>
      </c>
      <c r="L1909" t="s">
        <v>65</v>
      </c>
      <c r="M1909" t="s">
        <v>1235</v>
      </c>
      <c r="N1909">
        <v>10.7</v>
      </c>
      <c r="O1909">
        <v>6</v>
      </c>
      <c r="P1909">
        <v>94.6</v>
      </c>
      <c r="Q1909">
        <v>100.6</v>
      </c>
      <c r="R1909">
        <v>0</v>
      </c>
      <c r="S1909">
        <v>100.6</v>
      </c>
      <c r="T1909">
        <v>93</v>
      </c>
      <c r="U1909">
        <f>SUMIF(货件明细!J:J,E1909,货件明细!AP:AP)</f>
        <v>0</v>
      </c>
      <c r="V1909">
        <f>IF(U1909=T1909,0,1)</f>
        <v>1</v>
      </c>
      <c r="W1909">
        <f>T1909</f>
        <v>93</v>
      </c>
      <c r="X1909">
        <f>SUMIF(货件明细!J:J,E1909,货件明细!H:H)</f>
        <v>0</v>
      </c>
      <c r="Y1909">
        <f>N1909-X1909</f>
        <v>10.7</v>
      </c>
      <c r="Z1909">
        <f>SUMIF(货件明细!J:J,E1909,货件明细!I:I)</f>
        <v>0</v>
      </c>
      <c r="AA1909">
        <f>IF(S1909=Z1909,0,1)</f>
        <v>1</v>
      </c>
    </row>
    <row r="1910" hidden="1" spans="1:27">
      <c r="A1910">
        <v>4</v>
      </c>
      <c r="B1910">
        <v>16</v>
      </c>
      <c r="C1910" s="3">
        <v>46129</v>
      </c>
      <c r="D1910" t="s">
        <v>27</v>
      </c>
      <c r="E1910" t="s">
        <v>2036</v>
      </c>
      <c r="F1910" t="s">
        <v>143</v>
      </c>
      <c r="G1910" t="s">
        <v>72</v>
      </c>
      <c r="H1910" t="s">
        <v>46</v>
      </c>
      <c r="I1910" t="s">
        <v>146</v>
      </c>
      <c r="J1910" t="s">
        <v>146</v>
      </c>
      <c r="K1910" t="s">
        <v>64</v>
      </c>
      <c r="L1910" t="s">
        <v>65</v>
      </c>
      <c r="M1910" t="s">
        <v>1235</v>
      </c>
      <c r="N1910">
        <v>10.7</v>
      </c>
      <c r="O1910">
        <v>6</v>
      </c>
      <c r="P1910">
        <v>91.84</v>
      </c>
      <c r="Q1910">
        <v>97.84</v>
      </c>
      <c r="R1910">
        <v>0</v>
      </c>
      <c r="S1910">
        <v>97.84</v>
      </c>
      <c r="T1910">
        <v>93</v>
      </c>
      <c r="U1910">
        <f>SUMIF(货件明细!J:J,E1910,货件明细!AP:AP)</f>
        <v>0</v>
      </c>
      <c r="V1910">
        <f>IF(U1910=T1910,0,1)</f>
        <v>1</v>
      </c>
      <c r="W1910">
        <f>T1910</f>
        <v>93</v>
      </c>
      <c r="X1910">
        <f>SUMIF(货件明细!J:J,E1910,货件明细!H:H)</f>
        <v>0</v>
      </c>
      <c r="Y1910">
        <f>N1910-X1910</f>
        <v>10.7</v>
      </c>
      <c r="Z1910">
        <f>SUMIF(货件明细!J:J,E1910,货件明细!I:I)</f>
        <v>0</v>
      </c>
      <c r="AA1910">
        <f>IF(S1910=Z1910,0,1)</f>
        <v>1</v>
      </c>
    </row>
    <row r="1911" hidden="1" spans="1:27">
      <c r="A1911">
        <v>4</v>
      </c>
      <c r="B1911">
        <v>16</v>
      </c>
      <c r="C1911" s="3">
        <v>46129</v>
      </c>
      <c r="D1911" t="s">
        <v>27</v>
      </c>
      <c r="E1911" t="s">
        <v>2037</v>
      </c>
      <c r="F1911" t="s">
        <v>76</v>
      </c>
      <c r="G1911" t="s">
        <v>72</v>
      </c>
      <c r="H1911" t="s">
        <v>46</v>
      </c>
      <c r="I1911" t="s">
        <v>146</v>
      </c>
      <c r="J1911" t="s">
        <v>146</v>
      </c>
      <c r="K1911" t="s">
        <v>64</v>
      </c>
      <c r="L1911" t="s">
        <v>65</v>
      </c>
      <c r="M1911" t="s">
        <v>1235</v>
      </c>
      <c r="N1911">
        <v>10.7</v>
      </c>
      <c r="O1911">
        <v>6</v>
      </c>
      <c r="P1911">
        <v>63.45</v>
      </c>
      <c r="Q1911">
        <v>69.45</v>
      </c>
      <c r="R1911">
        <v>0</v>
      </c>
      <c r="S1911">
        <v>69.45</v>
      </c>
      <c r="T1911">
        <v>93</v>
      </c>
      <c r="U1911">
        <f>SUMIF(货件明细!J:J,E1911,货件明细!AP:AP)</f>
        <v>0</v>
      </c>
      <c r="V1911">
        <f>IF(U1911=T1911,0,1)</f>
        <v>1</v>
      </c>
      <c r="W1911">
        <f>T1911</f>
        <v>93</v>
      </c>
      <c r="X1911">
        <f>SUMIF(货件明细!J:J,E1911,货件明细!H:H)</f>
        <v>0</v>
      </c>
      <c r="Y1911">
        <f>N1911-X1911</f>
        <v>10.7</v>
      </c>
      <c r="Z1911">
        <f>SUMIF(货件明细!J:J,E1911,货件明细!I:I)</f>
        <v>0</v>
      </c>
      <c r="AA1911">
        <f>IF(S1911=Z1911,0,1)</f>
        <v>1</v>
      </c>
    </row>
    <row r="1912" hidden="1" spans="1:27">
      <c r="A1912">
        <v>4</v>
      </c>
      <c r="B1912">
        <v>16</v>
      </c>
      <c r="C1912" s="3">
        <v>46129</v>
      </c>
      <c r="D1912" t="s">
        <v>27</v>
      </c>
      <c r="E1912" t="s">
        <v>2038</v>
      </c>
      <c r="F1912" t="s">
        <v>185</v>
      </c>
      <c r="G1912" t="s">
        <v>30</v>
      </c>
      <c r="H1912" t="s">
        <v>224</v>
      </c>
      <c r="I1912" t="s">
        <v>146</v>
      </c>
      <c r="J1912" t="s">
        <v>146</v>
      </c>
      <c r="K1912" t="s">
        <v>64</v>
      </c>
      <c r="L1912" t="s">
        <v>147</v>
      </c>
      <c r="M1912" t="s">
        <v>148</v>
      </c>
      <c r="N1912">
        <v>11.75</v>
      </c>
      <c r="O1912">
        <v>25</v>
      </c>
      <c r="P1912">
        <v>106.2</v>
      </c>
      <c r="Q1912">
        <v>131.2</v>
      </c>
      <c r="R1912">
        <v>0</v>
      </c>
      <c r="S1912">
        <v>131.2</v>
      </c>
      <c r="T1912">
        <v>112</v>
      </c>
      <c r="U1912">
        <f>SUMIF(货件明细!J:J,E1912,货件明细!AP:AP)</f>
        <v>0</v>
      </c>
      <c r="V1912">
        <f>IF(U1912=T1912,0,1)</f>
        <v>1</v>
      </c>
      <c r="W1912">
        <f>T1912</f>
        <v>112</v>
      </c>
      <c r="X1912">
        <f>SUMIF(货件明细!J:J,E1912,货件明细!H:H)</f>
        <v>0</v>
      </c>
      <c r="Y1912">
        <f>N1912-X1912</f>
        <v>11.75</v>
      </c>
      <c r="Z1912">
        <f>SUMIF(货件明细!J:J,E1912,货件明细!I:I)</f>
        <v>0</v>
      </c>
      <c r="AA1912">
        <f>IF(S1912=Z1912,0,1)</f>
        <v>1</v>
      </c>
    </row>
    <row r="1913" hidden="1" spans="1:27">
      <c r="A1913">
        <v>4</v>
      </c>
      <c r="B1913">
        <v>16</v>
      </c>
      <c r="C1913" s="3">
        <v>46129</v>
      </c>
      <c r="D1913" t="s">
        <v>27</v>
      </c>
      <c r="E1913" t="s">
        <v>2039</v>
      </c>
      <c r="F1913" t="s">
        <v>68</v>
      </c>
      <c r="G1913" t="s">
        <v>69</v>
      </c>
      <c r="H1913" t="s">
        <v>224</v>
      </c>
      <c r="I1913" t="s">
        <v>146</v>
      </c>
      <c r="J1913" t="s">
        <v>146</v>
      </c>
      <c r="K1913" t="s">
        <v>64</v>
      </c>
      <c r="L1913" t="s">
        <v>147</v>
      </c>
      <c r="M1913" t="s">
        <v>1545</v>
      </c>
      <c r="N1913">
        <v>11.75</v>
      </c>
      <c r="O1913">
        <v>21.4285714285714</v>
      </c>
      <c r="P1913">
        <v>97.8</v>
      </c>
      <c r="Q1913">
        <v>119.228571428571</v>
      </c>
      <c r="R1913">
        <v>0</v>
      </c>
      <c r="S1913">
        <v>119.228571428571</v>
      </c>
      <c r="T1913">
        <v>112</v>
      </c>
      <c r="U1913">
        <f>SUMIF(货件明细!J:J,E1913,货件明细!AP:AP)</f>
        <v>0</v>
      </c>
      <c r="V1913">
        <f>IF(U1913=T1913,0,1)</f>
        <v>1</v>
      </c>
      <c r="W1913">
        <f>T1913</f>
        <v>112</v>
      </c>
      <c r="X1913">
        <f>SUMIF(货件明细!J:J,E1913,货件明细!H:H)</f>
        <v>0</v>
      </c>
      <c r="Y1913">
        <f>N1913-X1913</f>
        <v>11.75</v>
      </c>
      <c r="Z1913">
        <f>SUMIF(货件明细!J:J,E1913,货件明细!I:I)</f>
        <v>0</v>
      </c>
      <c r="AA1913">
        <f>IF(S1913=Z1913,0,1)</f>
        <v>1</v>
      </c>
    </row>
    <row r="1914" hidden="1" spans="1:27">
      <c r="A1914">
        <v>4</v>
      </c>
      <c r="B1914">
        <v>16</v>
      </c>
      <c r="C1914" s="3">
        <v>46129</v>
      </c>
      <c r="D1914" t="s">
        <v>27</v>
      </c>
      <c r="E1914" t="s">
        <v>2040</v>
      </c>
      <c r="F1914" t="s">
        <v>198</v>
      </c>
      <c r="G1914" t="s">
        <v>69</v>
      </c>
      <c r="H1914" t="s">
        <v>224</v>
      </c>
      <c r="I1914" t="s">
        <v>146</v>
      </c>
      <c r="J1914" t="s">
        <v>146</v>
      </c>
      <c r="K1914" t="s">
        <v>64</v>
      </c>
      <c r="L1914" t="s">
        <v>147</v>
      </c>
      <c r="M1914" t="s">
        <v>1545</v>
      </c>
      <c r="N1914">
        <v>11.75</v>
      </c>
      <c r="O1914">
        <v>21.4285714285714</v>
      </c>
      <c r="P1914">
        <v>163</v>
      </c>
      <c r="Q1914">
        <v>184.428571428571</v>
      </c>
      <c r="R1914">
        <v>0</v>
      </c>
      <c r="S1914">
        <v>184.428571428571</v>
      </c>
      <c r="T1914">
        <v>112</v>
      </c>
      <c r="U1914">
        <f>SUMIF(货件明细!J:J,E1914,货件明细!AP:AP)</f>
        <v>0</v>
      </c>
      <c r="V1914">
        <f>IF(U1914=T1914,0,1)</f>
        <v>1</v>
      </c>
      <c r="W1914">
        <f>T1914</f>
        <v>112</v>
      </c>
      <c r="X1914">
        <f>SUMIF(货件明细!J:J,E1914,货件明细!H:H)</f>
        <v>0</v>
      </c>
      <c r="Y1914">
        <f>N1914-X1914</f>
        <v>11.75</v>
      </c>
      <c r="Z1914">
        <f>SUMIF(货件明细!J:J,E1914,货件明细!I:I)</f>
        <v>0</v>
      </c>
      <c r="AA1914">
        <f>IF(S1914=Z1914,0,1)</f>
        <v>1</v>
      </c>
    </row>
    <row r="1915" hidden="1" spans="1:27">
      <c r="A1915">
        <v>4</v>
      </c>
      <c r="B1915">
        <v>16</v>
      </c>
      <c r="C1915" s="3">
        <v>46129</v>
      </c>
      <c r="D1915" t="s">
        <v>27</v>
      </c>
      <c r="E1915" t="s">
        <v>2041</v>
      </c>
      <c r="F1915" t="s">
        <v>143</v>
      </c>
      <c r="G1915" t="s">
        <v>72</v>
      </c>
      <c r="H1915" t="s">
        <v>224</v>
      </c>
      <c r="I1915" t="s">
        <v>146</v>
      </c>
      <c r="J1915" t="s">
        <v>146</v>
      </c>
      <c r="K1915" t="s">
        <v>64</v>
      </c>
      <c r="L1915" t="s">
        <v>147</v>
      </c>
      <c r="M1915" t="s">
        <v>1545</v>
      </c>
      <c r="N1915">
        <v>11.75</v>
      </c>
      <c r="O1915">
        <v>12.5</v>
      </c>
      <c r="P1915">
        <v>75.6</v>
      </c>
      <c r="Q1915">
        <v>88.1</v>
      </c>
      <c r="R1915">
        <v>0</v>
      </c>
      <c r="S1915">
        <v>88.1</v>
      </c>
      <c r="T1915">
        <v>112</v>
      </c>
      <c r="U1915">
        <f>SUMIF(货件明细!J:J,E1915,货件明细!AP:AP)</f>
        <v>0</v>
      </c>
      <c r="V1915">
        <f>IF(U1915=T1915,0,1)</f>
        <v>1</v>
      </c>
      <c r="W1915">
        <f>T1915</f>
        <v>112</v>
      </c>
      <c r="X1915">
        <f>SUMIF(货件明细!J:J,E1915,货件明细!H:H)</f>
        <v>0</v>
      </c>
      <c r="Y1915">
        <f>N1915-X1915</f>
        <v>11.75</v>
      </c>
      <c r="Z1915">
        <f>SUMIF(货件明细!J:J,E1915,货件明细!I:I)</f>
        <v>0</v>
      </c>
      <c r="AA1915">
        <f>IF(S1915=Z1915,0,1)</f>
        <v>1</v>
      </c>
    </row>
    <row r="1916" hidden="1" spans="1:27">
      <c r="A1916">
        <v>4</v>
      </c>
      <c r="B1916">
        <v>16</v>
      </c>
      <c r="C1916" s="3">
        <v>46129</v>
      </c>
      <c r="D1916" t="s">
        <v>27</v>
      </c>
      <c r="E1916" t="s">
        <v>2042</v>
      </c>
      <c r="F1916" t="s">
        <v>76</v>
      </c>
      <c r="G1916" t="s">
        <v>72</v>
      </c>
      <c r="H1916" t="s">
        <v>224</v>
      </c>
      <c r="I1916" t="s">
        <v>146</v>
      </c>
      <c r="J1916" t="s">
        <v>146</v>
      </c>
      <c r="K1916" t="s">
        <v>64</v>
      </c>
      <c r="L1916" t="s">
        <v>147</v>
      </c>
      <c r="M1916" t="s">
        <v>1545</v>
      </c>
      <c r="N1916">
        <v>11.75</v>
      </c>
      <c r="O1916">
        <v>12.5</v>
      </c>
      <c r="P1916">
        <v>68.4</v>
      </c>
      <c r="Q1916">
        <v>80.9</v>
      </c>
      <c r="R1916">
        <v>0</v>
      </c>
      <c r="S1916">
        <v>80.9</v>
      </c>
      <c r="T1916">
        <v>112</v>
      </c>
      <c r="U1916">
        <f>SUMIF(货件明细!J:J,E1916,货件明细!AP:AP)</f>
        <v>0</v>
      </c>
      <c r="V1916">
        <f>IF(U1916=T1916,0,1)</f>
        <v>1</v>
      </c>
      <c r="W1916">
        <f>T1916</f>
        <v>112</v>
      </c>
      <c r="X1916">
        <f>SUMIF(货件明细!J:J,E1916,货件明细!H:H)</f>
        <v>0</v>
      </c>
      <c r="Y1916">
        <f>N1916-X1916</f>
        <v>11.75</v>
      </c>
      <c r="Z1916">
        <f>SUMIF(货件明细!J:J,E1916,货件明细!I:I)</f>
        <v>0</v>
      </c>
      <c r="AA1916">
        <f>IF(S1916=Z1916,0,1)</f>
        <v>1</v>
      </c>
    </row>
    <row r="1917" hidden="1" spans="1:27">
      <c r="A1917">
        <v>4</v>
      </c>
      <c r="B1917">
        <v>16</v>
      </c>
      <c r="C1917" s="3">
        <v>46129</v>
      </c>
      <c r="D1917" t="s">
        <v>27</v>
      </c>
      <c r="E1917" t="s">
        <v>2043</v>
      </c>
      <c r="F1917" t="s">
        <v>185</v>
      </c>
      <c r="G1917" t="s">
        <v>30</v>
      </c>
      <c r="H1917" t="s">
        <v>37</v>
      </c>
      <c r="I1917" t="s">
        <v>146</v>
      </c>
      <c r="J1917" t="s">
        <v>146</v>
      </c>
      <c r="K1917" t="s">
        <v>64</v>
      </c>
      <c r="L1917" t="s">
        <v>65</v>
      </c>
      <c r="M1917" t="s">
        <v>1235</v>
      </c>
      <c r="N1917">
        <v>48.05</v>
      </c>
      <c r="O1917">
        <v>6</v>
      </c>
      <c r="P1917">
        <v>403.7</v>
      </c>
      <c r="Q1917">
        <v>409.7</v>
      </c>
      <c r="R1917">
        <v>0</v>
      </c>
      <c r="S1917">
        <v>409.7</v>
      </c>
      <c r="T1917">
        <v>415</v>
      </c>
      <c r="U1917">
        <f>SUMIF(货件明细!J:J,E1917,货件明细!AP:AP)</f>
        <v>0</v>
      </c>
      <c r="V1917">
        <f>IF(U1917=T1917,0,1)</f>
        <v>1</v>
      </c>
      <c r="W1917">
        <f>T1917</f>
        <v>415</v>
      </c>
      <c r="X1917">
        <f>SUMIF(货件明细!J:J,E1917,货件明细!H:H)</f>
        <v>0</v>
      </c>
      <c r="Y1917">
        <f>N1917-X1917</f>
        <v>48.05</v>
      </c>
      <c r="Z1917">
        <f>SUMIF(货件明细!J:J,E1917,货件明细!I:I)</f>
        <v>0</v>
      </c>
      <c r="AA1917">
        <f>IF(S1917=Z1917,0,1)</f>
        <v>1</v>
      </c>
    </row>
    <row r="1918" hidden="1" spans="1:27">
      <c r="A1918">
        <v>4</v>
      </c>
      <c r="B1918">
        <v>16</v>
      </c>
      <c r="C1918" s="3">
        <v>46129</v>
      </c>
      <c r="D1918" t="s">
        <v>27</v>
      </c>
      <c r="E1918" t="s">
        <v>2044</v>
      </c>
      <c r="F1918" t="s">
        <v>62</v>
      </c>
      <c r="G1918" t="s">
        <v>30</v>
      </c>
      <c r="H1918" t="s">
        <v>37</v>
      </c>
      <c r="I1918" t="s">
        <v>146</v>
      </c>
      <c r="J1918" t="s">
        <v>146</v>
      </c>
      <c r="K1918" t="s">
        <v>64</v>
      </c>
      <c r="L1918" t="s">
        <v>65</v>
      </c>
      <c r="M1918" t="s">
        <v>1235</v>
      </c>
      <c r="N1918">
        <v>48.05</v>
      </c>
      <c r="O1918">
        <v>6</v>
      </c>
      <c r="P1918">
        <v>396</v>
      </c>
      <c r="Q1918">
        <v>402</v>
      </c>
      <c r="R1918">
        <v>0</v>
      </c>
      <c r="S1918">
        <v>402</v>
      </c>
      <c r="T1918">
        <v>415</v>
      </c>
      <c r="U1918">
        <f>SUMIF(货件明细!J:J,E1918,货件明细!AP:AP)</f>
        <v>0</v>
      </c>
      <c r="V1918">
        <f>IF(U1918=T1918,0,1)</f>
        <v>1</v>
      </c>
      <c r="W1918">
        <f>T1918</f>
        <v>415</v>
      </c>
      <c r="X1918">
        <f>SUMIF(货件明细!J:J,E1918,货件明细!H:H)</f>
        <v>0</v>
      </c>
      <c r="Y1918">
        <f>N1918-X1918</f>
        <v>48.05</v>
      </c>
      <c r="Z1918">
        <f>SUMIF(货件明细!J:J,E1918,货件明细!I:I)</f>
        <v>0</v>
      </c>
      <c r="AA1918">
        <f>IF(S1918=Z1918,0,1)</f>
        <v>1</v>
      </c>
    </row>
    <row r="1919" hidden="1" spans="1:27">
      <c r="A1919">
        <v>4</v>
      </c>
      <c r="B1919">
        <v>16</v>
      </c>
      <c r="C1919" s="3">
        <v>46129</v>
      </c>
      <c r="D1919" t="s">
        <v>27</v>
      </c>
      <c r="E1919" t="s">
        <v>2045</v>
      </c>
      <c r="F1919" t="s">
        <v>68</v>
      </c>
      <c r="G1919" t="s">
        <v>69</v>
      </c>
      <c r="H1919" t="s">
        <v>37</v>
      </c>
      <c r="I1919" t="s">
        <v>146</v>
      </c>
      <c r="J1919" t="s">
        <v>146</v>
      </c>
      <c r="K1919" t="s">
        <v>64</v>
      </c>
      <c r="L1919" t="s">
        <v>65</v>
      </c>
      <c r="M1919" t="s">
        <v>1235</v>
      </c>
      <c r="N1919">
        <v>48.05</v>
      </c>
      <c r="O1919">
        <v>6</v>
      </c>
      <c r="P1919">
        <v>378.4</v>
      </c>
      <c r="Q1919">
        <v>384.4</v>
      </c>
      <c r="R1919">
        <v>0</v>
      </c>
      <c r="S1919">
        <v>384.4</v>
      </c>
      <c r="T1919">
        <v>415</v>
      </c>
      <c r="U1919">
        <f>SUMIF(货件明细!J:J,E1919,货件明细!AP:AP)</f>
        <v>0</v>
      </c>
      <c r="V1919">
        <f>IF(U1919=T1919,0,1)</f>
        <v>1</v>
      </c>
      <c r="W1919">
        <f>T1919</f>
        <v>415</v>
      </c>
      <c r="X1919">
        <f>SUMIF(货件明细!J:J,E1919,货件明细!H:H)</f>
        <v>0</v>
      </c>
      <c r="Y1919">
        <f>N1919-X1919</f>
        <v>48.05</v>
      </c>
      <c r="Z1919">
        <f>SUMIF(货件明细!J:J,E1919,货件明细!I:I)</f>
        <v>0</v>
      </c>
      <c r="AA1919">
        <f>IF(S1919=Z1919,0,1)</f>
        <v>1</v>
      </c>
    </row>
    <row r="1920" hidden="1" spans="1:27">
      <c r="A1920">
        <v>4</v>
      </c>
      <c r="B1920">
        <v>16</v>
      </c>
      <c r="C1920" s="3">
        <v>46129</v>
      </c>
      <c r="D1920" t="s">
        <v>27</v>
      </c>
      <c r="E1920" t="s">
        <v>2046</v>
      </c>
      <c r="F1920" t="s">
        <v>143</v>
      </c>
      <c r="G1920" t="s">
        <v>72</v>
      </c>
      <c r="H1920" t="s">
        <v>37</v>
      </c>
      <c r="I1920" t="s">
        <v>146</v>
      </c>
      <c r="J1920" t="s">
        <v>146</v>
      </c>
      <c r="K1920" t="s">
        <v>64</v>
      </c>
      <c r="L1920" t="s">
        <v>65</v>
      </c>
      <c r="M1920" t="s">
        <v>1235</v>
      </c>
      <c r="N1920">
        <v>48.05</v>
      </c>
      <c r="O1920">
        <v>6</v>
      </c>
      <c r="P1920">
        <v>367.36</v>
      </c>
      <c r="Q1920">
        <v>373.36</v>
      </c>
      <c r="R1920">
        <v>0</v>
      </c>
      <c r="S1920">
        <v>373.36</v>
      </c>
      <c r="T1920">
        <v>415</v>
      </c>
      <c r="U1920">
        <f>SUMIF(货件明细!J:J,E1920,货件明细!AP:AP)</f>
        <v>0</v>
      </c>
      <c r="V1920">
        <f>IF(U1920=T1920,0,1)</f>
        <v>1</v>
      </c>
      <c r="W1920">
        <f>T1920</f>
        <v>415</v>
      </c>
      <c r="X1920">
        <f>SUMIF(货件明细!J:J,E1920,货件明细!H:H)</f>
        <v>0</v>
      </c>
      <c r="Y1920">
        <f>N1920-X1920</f>
        <v>48.05</v>
      </c>
      <c r="Z1920">
        <f>SUMIF(货件明细!J:J,E1920,货件明细!I:I)</f>
        <v>0</v>
      </c>
      <c r="AA1920">
        <f>IF(S1920=Z1920,0,1)</f>
        <v>1</v>
      </c>
    </row>
    <row r="1921" hidden="1" spans="1:27">
      <c r="A1921">
        <v>4</v>
      </c>
      <c r="B1921">
        <v>16</v>
      </c>
      <c r="C1921" s="3">
        <v>46129</v>
      </c>
      <c r="D1921" t="s">
        <v>27</v>
      </c>
      <c r="E1921" t="s">
        <v>2047</v>
      </c>
      <c r="F1921" t="s">
        <v>76</v>
      </c>
      <c r="G1921" t="s">
        <v>72</v>
      </c>
      <c r="H1921" t="s">
        <v>37</v>
      </c>
      <c r="I1921" t="s">
        <v>146</v>
      </c>
      <c r="J1921" t="s">
        <v>146</v>
      </c>
      <c r="K1921" t="s">
        <v>64</v>
      </c>
      <c r="L1921" t="s">
        <v>65</v>
      </c>
      <c r="M1921" t="s">
        <v>1235</v>
      </c>
      <c r="N1921">
        <v>48.05</v>
      </c>
      <c r="O1921">
        <v>6</v>
      </c>
      <c r="P1921">
        <v>253.8</v>
      </c>
      <c r="Q1921">
        <v>259.8</v>
      </c>
      <c r="R1921">
        <v>0</v>
      </c>
      <c r="S1921">
        <v>259.8</v>
      </c>
      <c r="T1921">
        <v>415</v>
      </c>
      <c r="U1921">
        <f>SUMIF(货件明细!J:J,E1921,货件明细!AP:AP)</f>
        <v>0</v>
      </c>
      <c r="V1921">
        <f>IF(U1921=T1921,0,1)</f>
        <v>1</v>
      </c>
      <c r="W1921">
        <f>T1921</f>
        <v>415</v>
      </c>
      <c r="X1921">
        <f>SUMIF(货件明细!J:J,E1921,货件明细!H:H)</f>
        <v>0</v>
      </c>
      <c r="Y1921">
        <f>N1921-X1921</f>
        <v>48.05</v>
      </c>
      <c r="Z1921">
        <f>SUMIF(货件明细!J:J,E1921,货件明细!I:I)</f>
        <v>0</v>
      </c>
      <c r="AA1921">
        <f>IF(S1921=Z1921,0,1)</f>
        <v>1</v>
      </c>
    </row>
    <row r="1922" hidden="1" spans="1:27">
      <c r="A1922">
        <v>4</v>
      </c>
      <c r="B1922">
        <v>16</v>
      </c>
      <c r="C1922" s="3">
        <v>46129</v>
      </c>
      <c r="D1922" t="s">
        <v>27</v>
      </c>
      <c r="E1922" t="s">
        <v>2048</v>
      </c>
      <c r="F1922" t="s">
        <v>185</v>
      </c>
      <c r="G1922" t="s">
        <v>30</v>
      </c>
      <c r="H1922" t="s">
        <v>54</v>
      </c>
      <c r="I1922" t="s">
        <v>146</v>
      </c>
      <c r="J1922" t="s">
        <v>146</v>
      </c>
      <c r="K1922" t="s">
        <v>64</v>
      </c>
      <c r="L1922" t="s">
        <v>65</v>
      </c>
      <c r="M1922" t="s">
        <v>1235</v>
      </c>
      <c r="N1922">
        <v>45.3</v>
      </c>
      <c r="O1922">
        <v>6</v>
      </c>
      <c r="P1922">
        <v>302.775</v>
      </c>
      <c r="Q1922">
        <v>308.775</v>
      </c>
      <c r="R1922">
        <v>0</v>
      </c>
      <c r="S1922">
        <v>308.775</v>
      </c>
      <c r="T1922">
        <v>341</v>
      </c>
      <c r="U1922">
        <f>SUMIF(货件明细!J:J,E1922,货件明细!AP:AP)</f>
        <v>0</v>
      </c>
      <c r="V1922">
        <f>IF(U1922=T1922,0,1)</f>
        <v>1</v>
      </c>
      <c r="W1922">
        <f>T1922</f>
        <v>341</v>
      </c>
      <c r="X1922">
        <f>SUMIF(货件明细!J:J,E1922,货件明细!H:H)</f>
        <v>0</v>
      </c>
      <c r="Y1922">
        <f>N1922-X1922</f>
        <v>45.3</v>
      </c>
      <c r="Z1922">
        <f>SUMIF(货件明细!J:J,E1922,货件明细!I:I)</f>
        <v>0</v>
      </c>
      <c r="AA1922">
        <f>IF(S1922=Z1922,0,1)</f>
        <v>1</v>
      </c>
    </row>
    <row r="1923" hidden="1" spans="1:27">
      <c r="A1923">
        <v>4</v>
      </c>
      <c r="B1923">
        <v>16</v>
      </c>
      <c r="C1923" s="3">
        <v>46129</v>
      </c>
      <c r="D1923" t="s">
        <v>27</v>
      </c>
      <c r="E1923" t="s">
        <v>2049</v>
      </c>
      <c r="F1923" t="s">
        <v>62</v>
      </c>
      <c r="G1923" t="s">
        <v>30</v>
      </c>
      <c r="H1923" t="s">
        <v>54</v>
      </c>
      <c r="I1923" t="s">
        <v>146</v>
      </c>
      <c r="J1923" t="s">
        <v>146</v>
      </c>
      <c r="K1923" t="s">
        <v>64</v>
      </c>
      <c r="L1923" t="s">
        <v>65</v>
      </c>
      <c r="M1923" t="s">
        <v>1235</v>
      </c>
      <c r="N1923">
        <v>45.4</v>
      </c>
      <c r="O1923">
        <v>6</v>
      </c>
      <c r="P1923">
        <v>297</v>
      </c>
      <c r="Q1923">
        <v>303</v>
      </c>
      <c r="R1923">
        <v>0</v>
      </c>
      <c r="S1923">
        <v>303</v>
      </c>
      <c r="T1923">
        <v>341</v>
      </c>
      <c r="U1923">
        <f>SUMIF(货件明细!J:J,E1923,货件明细!AP:AP)</f>
        <v>0</v>
      </c>
      <c r="V1923">
        <f>IF(U1923=T1923,0,1)</f>
        <v>1</v>
      </c>
      <c r="W1923">
        <f>T1923</f>
        <v>341</v>
      </c>
      <c r="X1923">
        <f>SUMIF(货件明细!J:J,E1923,货件明细!H:H)</f>
        <v>0</v>
      </c>
      <c r="Y1923">
        <f>N1923-X1923</f>
        <v>45.4</v>
      </c>
      <c r="Z1923">
        <f>SUMIF(货件明细!J:J,E1923,货件明细!I:I)</f>
        <v>0</v>
      </c>
      <c r="AA1923">
        <f>IF(S1923=Z1923,0,1)</f>
        <v>1</v>
      </c>
    </row>
    <row r="1924" hidden="1" spans="1:27">
      <c r="A1924">
        <v>4</v>
      </c>
      <c r="B1924">
        <v>16</v>
      </c>
      <c r="C1924" s="3">
        <v>46129</v>
      </c>
      <c r="D1924" t="s">
        <v>27</v>
      </c>
      <c r="E1924" t="s">
        <v>2050</v>
      </c>
      <c r="F1924" t="s">
        <v>68</v>
      </c>
      <c r="G1924" t="s">
        <v>69</v>
      </c>
      <c r="H1924" t="s">
        <v>54</v>
      </c>
      <c r="I1924" t="s">
        <v>146</v>
      </c>
      <c r="J1924" t="s">
        <v>146</v>
      </c>
      <c r="K1924" t="s">
        <v>64</v>
      </c>
      <c r="L1924" t="s">
        <v>65</v>
      </c>
      <c r="M1924" t="s">
        <v>1235</v>
      </c>
      <c r="N1924">
        <v>45.4</v>
      </c>
      <c r="O1924">
        <v>6</v>
      </c>
      <c r="P1924">
        <v>283.8</v>
      </c>
      <c r="Q1924">
        <v>289.8</v>
      </c>
      <c r="R1924">
        <v>0</v>
      </c>
      <c r="S1924">
        <v>289.8</v>
      </c>
      <c r="T1924">
        <v>340</v>
      </c>
      <c r="U1924">
        <f>SUMIF(货件明细!J:J,E1924,货件明细!AP:AP)</f>
        <v>0</v>
      </c>
      <c r="V1924">
        <f>IF(U1924=T1924,0,1)</f>
        <v>1</v>
      </c>
      <c r="W1924">
        <f>T1924</f>
        <v>340</v>
      </c>
      <c r="X1924">
        <f>SUMIF(货件明细!J:J,E1924,货件明细!H:H)</f>
        <v>0</v>
      </c>
      <c r="Y1924">
        <f>N1924-X1924</f>
        <v>45.4</v>
      </c>
      <c r="Z1924">
        <f>SUMIF(货件明细!J:J,E1924,货件明细!I:I)</f>
        <v>0</v>
      </c>
      <c r="AA1924">
        <f>IF(S1924=Z1924,0,1)</f>
        <v>1</v>
      </c>
    </row>
    <row r="1925" hidden="1" spans="1:27">
      <c r="A1925">
        <v>4</v>
      </c>
      <c r="B1925">
        <v>16</v>
      </c>
      <c r="C1925" s="3">
        <v>46129</v>
      </c>
      <c r="D1925" t="s">
        <v>27</v>
      </c>
      <c r="E1925" t="s">
        <v>2051</v>
      </c>
      <c r="F1925" t="s">
        <v>143</v>
      </c>
      <c r="G1925" t="s">
        <v>72</v>
      </c>
      <c r="H1925" t="s">
        <v>54</v>
      </c>
      <c r="I1925" t="s">
        <v>146</v>
      </c>
      <c r="J1925" t="s">
        <v>146</v>
      </c>
      <c r="K1925" t="s">
        <v>64</v>
      </c>
      <c r="L1925" t="s">
        <v>65</v>
      </c>
      <c r="M1925" t="s">
        <v>1235</v>
      </c>
      <c r="N1925">
        <v>45.4</v>
      </c>
      <c r="O1925">
        <v>6</v>
      </c>
      <c r="P1925">
        <v>275.52</v>
      </c>
      <c r="Q1925">
        <v>281.52</v>
      </c>
      <c r="R1925">
        <v>0</v>
      </c>
      <c r="S1925">
        <v>281.52</v>
      </c>
      <c r="T1925">
        <v>341</v>
      </c>
      <c r="U1925">
        <f>SUMIF(货件明细!J:J,E1925,货件明细!AP:AP)</f>
        <v>0</v>
      </c>
      <c r="V1925">
        <f>IF(U1925=T1925,0,1)</f>
        <v>1</v>
      </c>
      <c r="W1925">
        <f>T1925</f>
        <v>341</v>
      </c>
      <c r="X1925">
        <f>SUMIF(货件明细!J:J,E1925,货件明细!H:H)</f>
        <v>0</v>
      </c>
      <c r="Y1925">
        <f>N1925-X1925</f>
        <v>45.4</v>
      </c>
      <c r="Z1925">
        <f>SUMIF(货件明细!J:J,E1925,货件明细!I:I)</f>
        <v>0</v>
      </c>
      <c r="AA1925">
        <f>IF(S1925=Z1925,0,1)</f>
        <v>1</v>
      </c>
    </row>
    <row r="1926" hidden="1" spans="1:27">
      <c r="A1926">
        <v>4</v>
      </c>
      <c r="B1926">
        <v>16</v>
      </c>
      <c r="C1926" s="3">
        <v>46129</v>
      </c>
      <c r="D1926" t="s">
        <v>27</v>
      </c>
      <c r="E1926" t="s">
        <v>2052</v>
      </c>
      <c r="F1926" t="s">
        <v>76</v>
      </c>
      <c r="G1926" t="s">
        <v>72</v>
      </c>
      <c r="H1926" t="s">
        <v>54</v>
      </c>
      <c r="I1926" t="s">
        <v>146</v>
      </c>
      <c r="J1926" t="s">
        <v>146</v>
      </c>
      <c r="K1926" t="s">
        <v>64</v>
      </c>
      <c r="L1926" t="s">
        <v>65</v>
      </c>
      <c r="M1926" t="s">
        <v>1235</v>
      </c>
      <c r="N1926">
        <v>45.4</v>
      </c>
      <c r="O1926">
        <v>6</v>
      </c>
      <c r="P1926">
        <v>190.35</v>
      </c>
      <c r="Q1926">
        <v>196.35</v>
      </c>
      <c r="R1926">
        <v>0</v>
      </c>
      <c r="S1926">
        <v>196.35</v>
      </c>
      <c r="T1926">
        <v>341</v>
      </c>
      <c r="U1926">
        <f>SUMIF(货件明细!J:J,E1926,货件明细!AP:AP)</f>
        <v>0</v>
      </c>
      <c r="V1926">
        <f>IF(U1926=T1926,0,1)</f>
        <v>1</v>
      </c>
      <c r="W1926">
        <f>T1926</f>
        <v>341</v>
      </c>
      <c r="X1926">
        <f>SUMIF(货件明细!J:J,E1926,货件明细!H:H)</f>
        <v>0</v>
      </c>
      <c r="Y1926">
        <f>N1926-X1926</f>
        <v>45.4</v>
      </c>
      <c r="Z1926">
        <f>SUMIF(货件明细!J:J,E1926,货件明细!I:I)</f>
        <v>0</v>
      </c>
      <c r="AA1926">
        <f>IF(S1926=Z1926,0,1)</f>
        <v>1</v>
      </c>
    </row>
    <row r="1927" hidden="1" spans="1:27">
      <c r="A1927">
        <v>4</v>
      </c>
      <c r="B1927">
        <v>16</v>
      </c>
      <c r="C1927" s="3">
        <v>46129</v>
      </c>
      <c r="D1927" t="s">
        <v>27</v>
      </c>
      <c r="E1927" t="s">
        <v>2053</v>
      </c>
      <c r="F1927" t="s">
        <v>185</v>
      </c>
      <c r="G1927" t="s">
        <v>30</v>
      </c>
      <c r="H1927" t="s">
        <v>78</v>
      </c>
      <c r="I1927" t="s">
        <v>146</v>
      </c>
      <c r="J1927" t="s">
        <v>146</v>
      </c>
      <c r="K1927" t="s">
        <v>64</v>
      </c>
      <c r="L1927" t="s">
        <v>65</v>
      </c>
      <c r="M1927" t="s">
        <v>1235</v>
      </c>
      <c r="N1927">
        <v>17.25</v>
      </c>
      <c r="O1927">
        <v>6</v>
      </c>
      <c r="P1927">
        <v>100.925</v>
      </c>
      <c r="Q1927">
        <v>106.925</v>
      </c>
      <c r="R1927">
        <v>0</v>
      </c>
      <c r="S1927">
        <v>106.925</v>
      </c>
      <c r="T1927">
        <v>126</v>
      </c>
      <c r="U1927">
        <f>SUMIF(货件明细!J:J,E1927,货件明细!AP:AP)</f>
        <v>0</v>
      </c>
      <c r="V1927">
        <f>IF(U1927=T1927,0,1)</f>
        <v>1</v>
      </c>
      <c r="W1927">
        <f>T1927</f>
        <v>126</v>
      </c>
      <c r="X1927">
        <f>SUMIF(货件明细!J:J,E1927,货件明细!H:H)</f>
        <v>0</v>
      </c>
      <c r="Y1927">
        <f>N1927-X1927</f>
        <v>17.25</v>
      </c>
      <c r="Z1927">
        <f>SUMIF(货件明细!J:J,E1927,货件明细!I:I)</f>
        <v>0</v>
      </c>
      <c r="AA1927">
        <f>IF(S1927=Z1927,0,1)</f>
        <v>1</v>
      </c>
    </row>
    <row r="1928" hidden="1" spans="1:27">
      <c r="A1928">
        <v>4</v>
      </c>
      <c r="B1928">
        <v>16</v>
      </c>
      <c r="C1928" s="3">
        <v>46129</v>
      </c>
      <c r="D1928" t="s">
        <v>27</v>
      </c>
      <c r="E1928" t="s">
        <v>2054</v>
      </c>
      <c r="F1928" t="s">
        <v>62</v>
      </c>
      <c r="G1928" t="s">
        <v>30</v>
      </c>
      <c r="H1928" t="s">
        <v>78</v>
      </c>
      <c r="I1928" t="s">
        <v>146</v>
      </c>
      <c r="J1928" t="s">
        <v>146</v>
      </c>
      <c r="K1928" t="s">
        <v>64</v>
      </c>
      <c r="L1928" t="s">
        <v>65</v>
      </c>
      <c r="M1928" t="s">
        <v>1235</v>
      </c>
      <c r="N1928">
        <v>17.25</v>
      </c>
      <c r="O1928">
        <v>6</v>
      </c>
      <c r="P1928">
        <v>99</v>
      </c>
      <c r="Q1928">
        <v>105</v>
      </c>
      <c r="R1928">
        <v>0</v>
      </c>
      <c r="S1928">
        <v>105</v>
      </c>
      <c r="T1928">
        <v>126</v>
      </c>
      <c r="U1928">
        <f>SUMIF(货件明细!J:J,E1928,货件明细!AP:AP)</f>
        <v>0</v>
      </c>
      <c r="V1928">
        <f>IF(U1928=T1928,0,1)</f>
        <v>1</v>
      </c>
      <c r="W1928">
        <f>T1928</f>
        <v>126</v>
      </c>
      <c r="X1928">
        <f>SUMIF(货件明细!J:J,E1928,货件明细!H:H)</f>
        <v>0</v>
      </c>
      <c r="Y1928">
        <f>N1928-X1928</f>
        <v>17.25</v>
      </c>
      <c r="Z1928">
        <f>SUMIF(货件明细!J:J,E1928,货件明细!I:I)</f>
        <v>0</v>
      </c>
      <c r="AA1928">
        <f>IF(S1928=Z1928,0,1)</f>
        <v>1</v>
      </c>
    </row>
    <row r="1929" hidden="1" spans="1:27">
      <c r="A1929">
        <v>4</v>
      </c>
      <c r="B1929">
        <v>16</v>
      </c>
      <c r="C1929" s="3">
        <v>46129</v>
      </c>
      <c r="D1929" t="s">
        <v>27</v>
      </c>
      <c r="E1929" t="s">
        <v>2055</v>
      </c>
      <c r="F1929" t="s">
        <v>68</v>
      </c>
      <c r="G1929" t="s">
        <v>69</v>
      </c>
      <c r="H1929" t="s">
        <v>78</v>
      </c>
      <c r="I1929" t="s">
        <v>146</v>
      </c>
      <c r="J1929" t="s">
        <v>146</v>
      </c>
      <c r="K1929" t="s">
        <v>64</v>
      </c>
      <c r="L1929" t="s">
        <v>65</v>
      </c>
      <c r="M1929" t="s">
        <v>1235</v>
      </c>
      <c r="N1929">
        <v>17.25</v>
      </c>
      <c r="O1929">
        <v>6</v>
      </c>
      <c r="P1929">
        <v>94.6</v>
      </c>
      <c r="Q1929">
        <v>100.6</v>
      </c>
      <c r="R1929">
        <v>0</v>
      </c>
      <c r="S1929">
        <v>100.6</v>
      </c>
      <c r="T1929">
        <v>126</v>
      </c>
      <c r="U1929">
        <f>SUMIF(货件明细!J:J,E1929,货件明细!AP:AP)</f>
        <v>0</v>
      </c>
      <c r="V1929">
        <f>IF(U1929=T1929,0,1)</f>
        <v>1</v>
      </c>
      <c r="W1929">
        <f>T1929</f>
        <v>126</v>
      </c>
      <c r="X1929">
        <f>SUMIF(货件明细!J:J,E1929,货件明细!H:H)</f>
        <v>0</v>
      </c>
      <c r="Y1929">
        <f>N1929-X1929</f>
        <v>17.25</v>
      </c>
      <c r="Z1929">
        <f>SUMIF(货件明细!J:J,E1929,货件明细!I:I)</f>
        <v>0</v>
      </c>
      <c r="AA1929">
        <f>IF(S1929=Z1929,0,1)</f>
        <v>1</v>
      </c>
    </row>
    <row r="1930" hidden="1" spans="1:27">
      <c r="A1930">
        <v>4</v>
      </c>
      <c r="B1930">
        <v>16</v>
      </c>
      <c r="C1930" s="3">
        <v>46129</v>
      </c>
      <c r="D1930" t="s">
        <v>27</v>
      </c>
      <c r="E1930" t="s">
        <v>2056</v>
      </c>
      <c r="F1930" t="s">
        <v>143</v>
      </c>
      <c r="G1930" t="s">
        <v>72</v>
      </c>
      <c r="H1930" t="s">
        <v>78</v>
      </c>
      <c r="I1930" t="s">
        <v>146</v>
      </c>
      <c r="J1930" t="s">
        <v>146</v>
      </c>
      <c r="K1930" t="s">
        <v>64</v>
      </c>
      <c r="L1930" t="s">
        <v>65</v>
      </c>
      <c r="M1930" t="s">
        <v>1235</v>
      </c>
      <c r="N1930">
        <v>17.25</v>
      </c>
      <c r="O1930">
        <v>6</v>
      </c>
      <c r="P1930">
        <v>91.84</v>
      </c>
      <c r="Q1930">
        <v>97.84</v>
      </c>
      <c r="R1930">
        <v>0</v>
      </c>
      <c r="S1930">
        <v>97.84</v>
      </c>
      <c r="T1930">
        <v>126</v>
      </c>
      <c r="U1930">
        <f>SUMIF(货件明细!J:J,E1930,货件明细!AP:AP)</f>
        <v>0</v>
      </c>
      <c r="V1930">
        <f>IF(U1930=T1930,0,1)</f>
        <v>1</v>
      </c>
      <c r="W1930">
        <f>T1930</f>
        <v>126</v>
      </c>
      <c r="X1930">
        <f>SUMIF(货件明细!J:J,E1930,货件明细!H:H)</f>
        <v>0</v>
      </c>
      <c r="Y1930">
        <f>N1930-X1930</f>
        <v>17.25</v>
      </c>
      <c r="Z1930">
        <f>SUMIF(货件明细!J:J,E1930,货件明细!I:I)</f>
        <v>0</v>
      </c>
      <c r="AA1930">
        <f>IF(S1930=Z1930,0,1)</f>
        <v>1</v>
      </c>
    </row>
    <row r="1931" hidden="1" spans="1:27">
      <c r="A1931">
        <v>4</v>
      </c>
      <c r="B1931">
        <v>16</v>
      </c>
      <c r="C1931" s="3">
        <v>46129</v>
      </c>
      <c r="D1931" t="s">
        <v>27</v>
      </c>
      <c r="E1931" t="s">
        <v>2057</v>
      </c>
      <c r="F1931" t="s">
        <v>76</v>
      </c>
      <c r="G1931" t="s">
        <v>72</v>
      </c>
      <c r="H1931" t="s">
        <v>78</v>
      </c>
      <c r="I1931" t="s">
        <v>146</v>
      </c>
      <c r="J1931" t="s">
        <v>146</v>
      </c>
      <c r="K1931" t="s">
        <v>64</v>
      </c>
      <c r="L1931" t="s">
        <v>65</v>
      </c>
      <c r="M1931" t="s">
        <v>1235</v>
      </c>
      <c r="N1931">
        <v>17.25</v>
      </c>
      <c r="O1931">
        <v>6</v>
      </c>
      <c r="P1931">
        <v>63.45</v>
      </c>
      <c r="Q1931">
        <v>69.45</v>
      </c>
      <c r="R1931">
        <v>0</v>
      </c>
      <c r="S1931">
        <v>69.45</v>
      </c>
      <c r="T1931">
        <v>126</v>
      </c>
      <c r="U1931">
        <f>SUMIF(货件明细!J:J,E1931,货件明细!AP:AP)</f>
        <v>0</v>
      </c>
      <c r="V1931">
        <f>IF(U1931=T1931,0,1)</f>
        <v>1</v>
      </c>
      <c r="W1931">
        <f>T1931</f>
        <v>126</v>
      </c>
      <c r="X1931">
        <f>SUMIF(货件明细!J:J,E1931,货件明细!H:H)</f>
        <v>0</v>
      </c>
      <c r="Y1931">
        <f>N1931-X1931</f>
        <v>17.25</v>
      </c>
      <c r="Z1931">
        <f>SUMIF(货件明细!J:J,E1931,货件明细!I:I)</f>
        <v>0</v>
      </c>
      <c r="AA1931">
        <f>IF(S1931=Z1931,0,1)</f>
        <v>1</v>
      </c>
    </row>
    <row r="1932" hidden="1" spans="1:27">
      <c r="A1932">
        <v>4</v>
      </c>
      <c r="B1932">
        <v>16</v>
      </c>
      <c r="C1932" s="3">
        <v>46129</v>
      </c>
      <c r="D1932" t="s">
        <v>27</v>
      </c>
      <c r="E1932" t="s">
        <v>2058</v>
      </c>
      <c r="F1932" t="s">
        <v>185</v>
      </c>
      <c r="G1932" t="s">
        <v>30</v>
      </c>
      <c r="H1932" t="s">
        <v>39</v>
      </c>
      <c r="I1932" t="s">
        <v>146</v>
      </c>
      <c r="J1932" t="s">
        <v>146</v>
      </c>
      <c r="K1932" t="s">
        <v>64</v>
      </c>
      <c r="L1932" t="s">
        <v>147</v>
      </c>
      <c r="M1932" t="s">
        <v>148</v>
      </c>
      <c r="N1932">
        <v>12.5</v>
      </c>
      <c r="O1932">
        <v>25</v>
      </c>
      <c r="P1932">
        <v>88.5</v>
      </c>
      <c r="Q1932">
        <v>113.5</v>
      </c>
      <c r="R1932">
        <v>0</v>
      </c>
      <c r="S1932">
        <v>113.5</v>
      </c>
      <c r="T1932">
        <v>45</v>
      </c>
      <c r="U1932">
        <f>SUMIF(货件明细!J:J,E1932,货件明细!AP:AP)</f>
        <v>0</v>
      </c>
      <c r="V1932">
        <f>IF(U1932=T1932,0,1)</f>
        <v>1</v>
      </c>
      <c r="W1932">
        <f>T1932</f>
        <v>45</v>
      </c>
      <c r="X1932">
        <f>SUMIF(货件明细!J:J,E1932,货件明细!H:H)</f>
        <v>0</v>
      </c>
      <c r="Y1932">
        <f>N1932-X1932</f>
        <v>12.5</v>
      </c>
      <c r="Z1932">
        <f>SUMIF(货件明细!J:J,E1932,货件明细!I:I)</f>
        <v>0</v>
      </c>
      <c r="AA1932">
        <f>IF(S1932=Z1932,0,1)</f>
        <v>1</v>
      </c>
    </row>
    <row r="1933" hidden="1" spans="1:27">
      <c r="A1933">
        <v>4</v>
      </c>
      <c r="B1933">
        <v>16</v>
      </c>
      <c r="C1933" s="3">
        <v>46129</v>
      </c>
      <c r="D1933" t="s">
        <v>27</v>
      </c>
      <c r="E1933" t="s">
        <v>2059</v>
      </c>
      <c r="F1933" t="s">
        <v>62</v>
      </c>
      <c r="G1933" t="s">
        <v>30</v>
      </c>
      <c r="H1933" t="s">
        <v>39</v>
      </c>
      <c r="I1933" t="s">
        <v>146</v>
      </c>
      <c r="J1933" t="s">
        <v>146</v>
      </c>
      <c r="K1933" t="s">
        <v>64</v>
      </c>
      <c r="L1933" t="s">
        <v>147</v>
      </c>
      <c r="M1933" t="s">
        <v>148</v>
      </c>
      <c r="N1933">
        <v>12.5</v>
      </c>
      <c r="O1933">
        <v>30</v>
      </c>
      <c r="P1933">
        <v>95.5</v>
      </c>
      <c r="Q1933">
        <v>125.5</v>
      </c>
      <c r="R1933">
        <v>0</v>
      </c>
      <c r="S1933">
        <v>125.5</v>
      </c>
      <c r="T1933">
        <v>45</v>
      </c>
      <c r="U1933">
        <f>SUMIF(货件明细!J:J,E1933,货件明细!AP:AP)</f>
        <v>0</v>
      </c>
      <c r="V1933">
        <f>IF(U1933=T1933,0,1)</f>
        <v>1</v>
      </c>
      <c r="W1933">
        <f>T1933</f>
        <v>45</v>
      </c>
      <c r="X1933">
        <f>SUMIF(货件明细!J:J,E1933,货件明细!H:H)</f>
        <v>0</v>
      </c>
      <c r="Y1933">
        <f>N1933-X1933</f>
        <v>12.5</v>
      </c>
      <c r="Z1933">
        <f>SUMIF(货件明细!J:J,E1933,货件明细!I:I)</f>
        <v>0</v>
      </c>
      <c r="AA1933">
        <f>IF(S1933=Z1933,0,1)</f>
        <v>1</v>
      </c>
    </row>
    <row r="1934" hidden="1" spans="1:27">
      <c r="A1934">
        <v>4</v>
      </c>
      <c r="B1934">
        <v>16</v>
      </c>
      <c r="C1934" s="3">
        <v>46129</v>
      </c>
      <c r="D1934" t="s">
        <v>27</v>
      </c>
      <c r="E1934" t="s">
        <v>2060</v>
      </c>
      <c r="F1934" t="s">
        <v>68</v>
      </c>
      <c r="G1934" t="s">
        <v>69</v>
      </c>
      <c r="H1934" t="s">
        <v>39</v>
      </c>
      <c r="I1934" t="s">
        <v>146</v>
      </c>
      <c r="J1934" t="s">
        <v>146</v>
      </c>
      <c r="K1934" t="s">
        <v>64</v>
      </c>
      <c r="L1934" t="s">
        <v>147</v>
      </c>
      <c r="M1934" t="s">
        <v>1545</v>
      </c>
      <c r="N1934">
        <v>12.5</v>
      </c>
      <c r="O1934">
        <v>21.4285714285714</v>
      </c>
      <c r="P1934">
        <v>81.5</v>
      </c>
      <c r="Q1934">
        <v>102.928571428571</v>
      </c>
      <c r="R1934">
        <v>0</v>
      </c>
      <c r="S1934">
        <v>102.928571428571</v>
      </c>
      <c r="T1934">
        <v>45</v>
      </c>
      <c r="U1934">
        <f>SUMIF(货件明细!J:J,E1934,货件明细!AP:AP)</f>
        <v>0</v>
      </c>
      <c r="V1934">
        <f>IF(U1934=T1934,0,1)</f>
        <v>1</v>
      </c>
      <c r="W1934">
        <f>T1934</f>
        <v>45</v>
      </c>
      <c r="X1934">
        <f>SUMIF(货件明细!J:J,E1934,货件明细!H:H)</f>
        <v>0</v>
      </c>
      <c r="Y1934">
        <f>N1934-X1934</f>
        <v>12.5</v>
      </c>
      <c r="Z1934">
        <f>SUMIF(货件明细!J:J,E1934,货件明细!I:I)</f>
        <v>0</v>
      </c>
      <c r="AA1934">
        <f>IF(S1934=Z1934,0,1)</f>
        <v>1</v>
      </c>
    </row>
    <row r="1935" hidden="1" spans="1:27">
      <c r="A1935">
        <v>4</v>
      </c>
      <c r="B1935">
        <v>16</v>
      </c>
      <c r="C1935" s="3">
        <v>46129</v>
      </c>
      <c r="D1935" t="s">
        <v>27</v>
      </c>
      <c r="E1935" t="s">
        <v>2061</v>
      </c>
      <c r="F1935" t="s">
        <v>143</v>
      </c>
      <c r="G1935" t="s">
        <v>72</v>
      </c>
      <c r="H1935" t="s">
        <v>39</v>
      </c>
      <c r="I1935" t="s">
        <v>146</v>
      </c>
      <c r="J1935" t="s">
        <v>146</v>
      </c>
      <c r="K1935" t="s">
        <v>64</v>
      </c>
      <c r="L1935" t="s">
        <v>147</v>
      </c>
      <c r="M1935" t="s">
        <v>1545</v>
      </c>
      <c r="N1935">
        <v>12.5</v>
      </c>
      <c r="O1935">
        <v>12.5</v>
      </c>
      <c r="P1935">
        <v>63</v>
      </c>
      <c r="Q1935">
        <v>75.5</v>
      </c>
      <c r="R1935">
        <v>0</v>
      </c>
      <c r="S1935">
        <v>75.5</v>
      </c>
      <c r="T1935">
        <v>45</v>
      </c>
      <c r="U1935">
        <f>SUMIF(货件明细!J:J,E1935,货件明细!AP:AP)</f>
        <v>0</v>
      </c>
      <c r="V1935">
        <f>IF(U1935=T1935,0,1)</f>
        <v>1</v>
      </c>
      <c r="W1935">
        <f>T1935</f>
        <v>45</v>
      </c>
      <c r="X1935">
        <f>SUMIF(货件明细!J:J,E1935,货件明细!H:H)</f>
        <v>0</v>
      </c>
      <c r="Y1935">
        <f>N1935-X1935</f>
        <v>12.5</v>
      </c>
      <c r="Z1935">
        <f>SUMIF(货件明细!J:J,E1935,货件明细!I:I)</f>
        <v>0</v>
      </c>
      <c r="AA1935">
        <f>IF(S1935=Z1935,0,1)</f>
        <v>1</v>
      </c>
    </row>
    <row r="1936" hidden="1" spans="1:27">
      <c r="A1936">
        <v>4</v>
      </c>
      <c r="B1936">
        <v>16</v>
      </c>
      <c r="C1936" s="3">
        <v>46129</v>
      </c>
      <c r="D1936" t="s">
        <v>27</v>
      </c>
      <c r="E1936" t="s">
        <v>2062</v>
      </c>
      <c r="F1936" t="s">
        <v>76</v>
      </c>
      <c r="G1936" t="s">
        <v>72</v>
      </c>
      <c r="H1936" t="s">
        <v>39</v>
      </c>
      <c r="I1936" t="s">
        <v>146</v>
      </c>
      <c r="J1936" t="s">
        <v>146</v>
      </c>
      <c r="K1936" t="s">
        <v>64</v>
      </c>
      <c r="L1936" t="s">
        <v>147</v>
      </c>
      <c r="M1936" t="s">
        <v>1545</v>
      </c>
      <c r="N1936">
        <v>12.5</v>
      </c>
      <c r="O1936">
        <v>12.5</v>
      </c>
      <c r="P1936">
        <v>57</v>
      </c>
      <c r="Q1936">
        <v>69.5</v>
      </c>
      <c r="R1936">
        <v>0</v>
      </c>
      <c r="S1936">
        <v>69.5</v>
      </c>
      <c r="T1936">
        <v>45</v>
      </c>
      <c r="U1936">
        <f>SUMIF(货件明细!J:J,E1936,货件明细!AP:AP)</f>
        <v>0</v>
      </c>
      <c r="V1936">
        <f>IF(U1936=T1936,0,1)</f>
        <v>1</v>
      </c>
      <c r="W1936">
        <f>T1936</f>
        <v>45</v>
      </c>
      <c r="X1936">
        <f>SUMIF(货件明细!J:J,E1936,货件明细!H:H)</f>
        <v>0</v>
      </c>
      <c r="Y1936">
        <f>N1936-X1936</f>
        <v>12.5</v>
      </c>
      <c r="Z1936">
        <f>SUMIF(货件明细!J:J,E1936,货件明细!I:I)</f>
        <v>0</v>
      </c>
      <c r="AA1936">
        <f>IF(S1936=Z1936,0,1)</f>
        <v>1</v>
      </c>
    </row>
    <row r="1937" hidden="1" spans="1:27">
      <c r="A1937">
        <v>4</v>
      </c>
      <c r="B1937">
        <v>16</v>
      </c>
      <c r="C1937" s="3">
        <v>46129</v>
      </c>
      <c r="D1937" t="s">
        <v>27</v>
      </c>
      <c r="E1937" t="s">
        <v>2063</v>
      </c>
      <c r="F1937" t="s">
        <v>185</v>
      </c>
      <c r="G1937" t="s">
        <v>30</v>
      </c>
      <c r="H1937" t="s">
        <v>59</v>
      </c>
      <c r="I1937" t="s">
        <v>146</v>
      </c>
      <c r="J1937" t="s">
        <v>146</v>
      </c>
      <c r="K1937" t="s">
        <v>64</v>
      </c>
      <c r="L1937" t="s">
        <v>65</v>
      </c>
      <c r="M1937" t="s">
        <v>1235</v>
      </c>
      <c r="N1937">
        <v>15.45</v>
      </c>
      <c r="O1937">
        <v>6</v>
      </c>
      <c r="P1937">
        <v>100.925</v>
      </c>
      <c r="Q1937">
        <v>106.925</v>
      </c>
      <c r="R1937">
        <v>0</v>
      </c>
      <c r="S1937">
        <v>106.925</v>
      </c>
      <c r="T1937">
        <v>78</v>
      </c>
      <c r="U1937">
        <f>SUMIF(货件明细!J:J,E1937,货件明细!AP:AP)</f>
        <v>0</v>
      </c>
      <c r="V1937">
        <f>IF(U1937=T1937,0,1)</f>
        <v>1</v>
      </c>
      <c r="W1937">
        <f>T1937</f>
        <v>78</v>
      </c>
      <c r="X1937">
        <f>SUMIF(货件明细!J:J,E1937,货件明细!H:H)</f>
        <v>0</v>
      </c>
      <c r="Y1937">
        <f>N1937-X1937</f>
        <v>15.45</v>
      </c>
      <c r="Z1937">
        <f>SUMIF(货件明细!J:J,E1937,货件明细!I:I)</f>
        <v>0</v>
      </c>
      <c r="AA1937">
        <f>IF(S1937=Z1937,0,1)</f>
        <v>1</v>
      </c>
    </row>
    <row r="1938" hidden="1" spans="1:27">
      <c r="A1938">
        <v>4</v>
      </c>
      <c r="B1938">
        <v>16</v>
      </c>
      <c r="C1938" s="3">
        <v>46129</v>
      </c>
      <c r="D1938" t="s">
        <v>27</v>
      </c>
      <c r="E1938" t="s">
        <v>2064</v>
      </c>
      <c r="F1938" t="s">
        <v>62</v>
      </c>
      <c r="G1938" t="s">
        <v>30</v>
      </c>
      <c r="H1938" t="s">
        <v>59</v>
      </c>
      <c r="I1938" t="s">
        <v>146</v>
      </c>
      <c r="J1938" t="s">
        <v>146</v>
      </c>
      <c r="K1938" t="s">
        <v>64</v>
      </c>
      <c r="L1938" t="s">
        <v>65</v>
      </c>
      <c r="M1938" t="s">
        <v>1235</v>
      </c>
      <c r="N1938">
        <v>15.45</v>
      </c>
      <c r="O1938">
        <v>6</v>
      </c>
      <c r="P1938">
        <v>99</v>
      </c>
      <c r="Q1938">
        <v>105</v>
      </c>
      <c r="R1938">
        <v>0</v>
      </c>
      <c r="S1938">
        <v>105</v>
      </c>
      <c r="T1938">
        <v>78</v>
      </c>
      <c r="U1938">
        <f>SUMIF(货件明细!J:J,E1938,货件明细!AP:AP)</f>
        <v>0</v>
      </c>
      <c r="V1938">
        <f>IF(U1938=T1938,0,1)</f>
        <v>1</v>
      </c>
      <c r="W1938">
        <f>T1938</f>
        <v>78</v>
      </c>
      <c r="X1938">
        <f>SUMIF(货件明细!J:J,E1938,货件明细!H:H)</f>
        <v>0</v>
      </c>
      <c r="Y1938">
        <f>N1938-X1938</f>
        <v>15.45</v>
      </c>
      <c r="Z1938">
        <f>SUMIF(货件明细!J:J,E1938,货件明细!I:I)</f>
        <v>0</v>
      </c>
      <c r="AA1938">
        <f>IF(S1938=Z1938,0,1)</f>
        <v>1</v>
      </c>
    </row>
    <row r="1939" hidden="1" spans="1:27">
      <c r="A1939">
        <v>4</v>
      </c>
      <c r="B1939">
        <v>16</v>
      </c>
      <c r="C1939" s="3">
        <v>46129</v>
      </c>
      <c r="D1939" t="s">
        <v>27</v>
      </c>
      <c r="E1939" t="s">
        <v>2065</v>
      </c>
      <c r="F1939" t="s">
        <v>68</v>
      </c>
      <c r="G1939" t="s">
        <v>69</v>
      </c>
      <c r="H1939" t="s">
        <v>59</v>
      </c>
      <c r="I1939" t="s">
        <v>146</v>
      </c>
      <c r="J1939" t="s">
        <v>146</v>
      </c>
      <c r="K1939" t="s">
        <v>64</v>
      </c>
      <c r="L1939" t="s">
        <v>65</v>
      </c>
      <c r="M1939" t="s">
        <v>1235</v>
      </c>
      <c r="N1939">
        <v>15.45</v>
      </c>
      <c r="O1939">
        <v>6</v>
      </c>
      <c r="P1939">
        <v>94.6</v>
      </c>
      <c r="Q1939">
        <v>100.6</v>
      </c>
      <c r="R1939">
        <v>0</v>
      </c>
      <c r="S1939">
        <v>100.6</v>
      </c>
      <c r="T1939">
        <v>78</v>
      </c>
      <c r="U1939">
        <f>SUMIF(货件明细!J:J,E1939,货件明细!AP:AP)</f>
        <v>0</v>
      </c>
      <c r="V1939">
        <f>IF(U1939=T1939,0,1)</f>
        <v>1</v>
      </c>
      <c r="W1939">
        <f>T1939</f>
        <v>78</v>
      </c>
      <c r="X1939">
        <f>SUMIF(货件明细!J:J,E1939,货件明细!H:H)</f>
        <v>0</v>
      </c>
      <c r="Y1939">
        <f>N1939-X1939</f>
        <v>15.45</v>
      </c>
      <c r="Z1939">
        <f>SUMIF(货件明细!J:J,E1939,货件明细!I:I)</f>
        <v>0</v>
      </c>
      <c r="AA1939">
        <f>IF(S1939=Z1939,0,1)</f>
        <v>1</v>
      </c>
    </row>
    <row r="1940" hidden="1" spans="1:27">
      <c r="A1940">
        <v>4</v>
      </c>
      <c r="B1940">
        <v>16</v>
      </c>
      <c r="C1940" s="3">
        <v>46129</v>
      </c>
      <c r="D1940" t="s">
        <v>27</v>
      </c>
      <c r="E1940" t="s">
        <v>2066</v>
      </c>
      <c r="F1940" t="s">
        <v>143</v>
      </c>
      <c r="G1940" t="s">
        <v>72</v>
      </c>
      <c r="H1940" t="s">
        <v>59</v>
      </c>
      <c r="I1940" t="s">
        <v>146</v>
      </c>
      <c r="J1940" t="s">
        <v>146</v>
      </c>
      <c r="K1940" t="s">
        <v>64</v>
      </c>
      <c r="L1940" t="s">
        <v>65</v>
      </c>
      <c r="M1940" t="s">
        <v>1235</v>
      </c>
      <c r="N1940">
        <v>15.45</v>
      </c>
      <c r="O1940">
        <v>6</v>
      </c>
      <c r="P1940">
        <v>91.84</v>
      </c>
      <c r="Q1940">
        <v>97.84</v>
      </c>
      <c r="R1940">
        <v>0</v>
      </c>
      <c r="S1940">
        <v>97.84</v>
      </c>
      <c r="T1940">
        <v>78</v>
      </c>
      <c r="U1940">
        <f>SUMIF(货件明细!J:J,E1940,货件明细!AP:AP)</f>
        <v>0</v>
      </c>
      <c r="V1940">
        <f>IF(U1940=T1940,0,1)</f>
        <v>1</v>
      </c>
      <c r="W1940">
        <f>T1940</f>
        <v>78</v>
      </c>
      <c r="X1940">
        <f>SUMIF(货件明细!J:J,E1940,货件明细!H:H)</f>
        <v>0</v>
      </c>
      <c r="Y1940">
        <f>N1940-X1940</f>
        <v>15.45</v>
      </c>
      <c r="Z1940">
        <f>SUMIF(货件明细!J:J,E1940,货件明细!I:I)</f>
        <v>0</v>
      </c>
      <c r="AA1940">
        <f>IF(S1940=Z1940,0,1)</f>
        <v>1</v>
      </c>
    </row>
    <row r="1941" hidden="1" spans="1:27">
      <c r="A1941">
        <v>4</v>
      </c>
      <c r="B1941">
        <v>16</v>
      </c>
      <c r="C1941" s="3">
        <v>46129</v>
      </c>
      <c r="D1941" t="s">
        <v>27</v>
      </c>
      <c r="E1941" t="s">
        <v>2067</v>
      </c>
      <c r="F1941" t="s">
        <v>76</v>
      </c>
      <c r="G1941" t="s">
        <v>72</v>
      </c>
      <c r="H1941" t="s">
        <v>59</v>
      </c>
      <c r="I1941" t="s">
        <v>146</v>
      </c>
      <c r="J1941" t="s">
        <v>146</v>
      </c>
      <c r="K1941" t="s">
        <v>64</v>
      </c>
      <c r="L1941" t="s">
        <v>65</v>
      </c>
      <c r="M1941" t="s">
        <v>1235</v>
      </c>
      <c r="N1941">
        <v>15.45</v>
      </c>
      <c r="O1941">
        <v>6</v>
      </c>
      <c r="P1941">
        <v>63.45</v>
      </c>
      <c r="Q1941">
        <v>69.45</v>
      </c>
      <c r="R1941">
        <v>0</v>
      </c>
      <c r="S1941">
        <v>69.45</v>
      </c>
      <c r="T1941">
        <v>78</v>
      </c>
      <c r="U1941">
        <f>SUMIF(货件明细!J:J,E1941,货件明细!AP:AP)</f>
        <v>0</v>
      </c>
      <c r="V1941">
        <f>IF(U1941=T1941,0,1)</f>
        <v>1</v>
      </c>
      <c r="W1941">
        <f>T1941</f>
        <v>78</v>
      </c>
      <c r="X1941">
        <f>SUMIF(货件明细!J:J,E1941,货件明细!H:H)</f>
        <v>0</v>
      </c>
      <c r="Y1941">
        <f>N1941-X1941</f>
        <v>15.45</v>
      </c>
      <c r="Z1941">
        <f>SUMIF(货件明细!J:J,E1941,货件明细!I:I)</f>
        <v>0</v>
      </c>
      <c r="AA1941">
        <f>IF(S1941=Z1941,0,1)</f>
        <v>1</v>
      </c>
    </row>
    <row r="1942" hidden="1" spans="1:27">
      <c r="A1942">
        <v>4</v>
      </c>
      <c r="B1942">
        <v>16</v>
      </c>
      <c r="C1942" s="3">
        <v>46129</v>
      </c>
      <c r="D1942" t="s">
        <v>27</v>
      </c>
      <c r="E1942" t="s">
        <v>2068</v>
      </c>
      <c r="F1942" t="s">
        <v>185</v>
      </c>
      <c r="G1942" t="s">
        <v>30</v>
      </c>
      <c r="H1942" t="s">
        <v>56</v>
      </c>
      <c r="I1942" t="s">
        <v>146</v>
      </c>
      <c r="J1942" t="s">
        <v>146</v>
      </c>
      <c r="K1942" t="s">
        <v>64</v>
      </c>
      <c r="L1942" t="s">
        <v>147</v>
      </c>
      <c r="M1942" t="s">
        <v>148</v>
      </c>
      <c r="N1942">
        <v>35.05</v>
      </c>
      <c r="O1942">
        <v>25</v>
      </c>
      <c r="P1942">
        <v>283.2</v>
      </c>
      <c r="Q1942">
        <v>308.2</v>
      </c>
      <c r="R1942">
        <v>0</v>
      </c>
      <c r="S1942">
        <v>308.2</v>
      </c>
      <c r="T1942">
        <v>156</v>
      </c>
      <c r="U1942">
        <f>SUMIF(货件明细!J:J,E1942,货件明细!AP:AP)</f>
        <v>0</v>
      </c>
      <c r="V1942">
        <f>IF(U1942=T1942,0,1)</f>
        <v>1</v>
      </c>
      <c r="W1942">
        <f>T1942</f>
        <v>156</v>
      </c>
      <c r="X1942">
        <f>SUMIF(货件明细!J:J,E1942,货件明细!H:H)</f>
        <v>0</v>
      </c>
      <c r="Y1942">
        <f>N1942-X1942</f>
        <v>35.05</v>
      </c>
      <c r="Z1942">
        <f>SUMIF(货件明细!J:J,E1942,货件明细!I:I)</f>
        <v>0</v>
      </c>
      <c r="AA1942">
        <f>IF(S1942=Z1942,0,1)</f>
        <v>1</v>
      </c>
    </row>
    <row r="1943" hidden="1" spans="1:27">
      <c r="A1943">
        <v>4</v>
      </c>
      <c r="B1943">
        <v>16</v>
      </c>
      <c r="C1943" s="3">
        <v>46129</v>
      </c>
      <c r="D1943" t="s">
        <v>27</v>
      </c>
      <c r="E1943" t="s">
        <v>2069</v>
      </c>
      <c r="F1943" t="s">
        <v>62</v>
      </c>
      <c r="G1943" t="s">
        <v>30</v>
      </c>
      <c r="H1943" t="s">
        <v>56</v>
      </c>
      <c r="I1943" t="s">
        <v>146</v>
      </c>
      <c r="J1943" t="s">
        <v>146</v>
      </c>
      <c r="K1943" t="s">
        <v>64</v>
      </c>
      <c r="L1943" t="s">
        <v>147</v>
      </c>
      <c r="M1943" t="s">
        <v>148</v>
      </c>
      <c r="N1943">
        <v>35.05</v>
      </c>
      <c r="O1943">
        <v>30</v>
      </c>
      <c r="P1943">
        <v>305.6</v>
      </c>
      <c r="Q1943">
        <v>335.6</v>
      </c>
      <c r="R1943">
        <v>0</v>
      </c>
      <c r="S1943">
        <v>335.6</v>
      </c>
      <c r="T1943">
        <v>156</v>
      </c>
      <c r="U1943">
        <f>SUMIF(货件明细!J:J,E1943,货件明细!AP:AP)</f>
        <v>0</v>
      </c>
      <c r="V1943">
        <f>IF(U1943=T1943,0,1)</f>
        <v>1</v>
      </c>
      <c r="W1943">
        <f>T1943</f>
        <v>156</v>
      </c>
      <c r="X1943">
        <f>SUMIF(货件明细!J:J,E1943,货件明细!H:H)</f>
        <v>0</v>
      </c>
      <c r="Y1943">
        <f>N1943-X1943</f>
        <v>35.05</v>
      </c>
      <c r="Z1943">
        <f>SUMIF(货件明细!J:J,E1943,货件明细!I:I)</f>
        <v>0</v>
      </c>
      <c r="AA1943">
        <f>IF(S1943=Z1943,0,1)</f>
        <v>1</v>
      </c>
    </row>
    <row r="1944" hidden="1" spans="1:27">
      <c r="A1944">
        <v>4</v>
      </c>
      <c r="B1944">
        <v>16</v>
      </c>
      <c r="C1944" s="3">
        <v>46129</v>
      </c>
      <c r="D1944" t="s">
        <v>27</v>
      </c>
      <c r="E1944" t="s">
        <v>2070</v>
      </c>
      <c r="F1944" t="s">
        <v>68</v>
      </c>
      <c r="G1944" t="s">
        <v>69</v>
      </c>
      <c r="H1944" t="s">
        <v>56</v>
      </c>
      <c r="I1944" t="s">
        <v>146</v>
      </c>
      <c r="J1944" t="s">
        <v>146</v>
      </c>
      <c r="K1944" t="s">
        <v>64</v>
      </c>
      <c r="L1944" t="s">
        <v>147</v>
      </c>
      <c r="M1944" t="s">
        <v>1545</v>
      </c>
      <c r="N1944">
        <v>35.05</v>
      </c>
      <c r="O1944">
        <v>21.4285714285714</v>
      </c>
      <c r="P1944">
        <v>260.8</v>
      </c>
      <c r="Q1944">
        <v>282.228571428571</v>
      </c>
      <c r="R1944">
        <v>0</v>
      </c>
      <c r="S1944">
        <v>282.228571428571</v>
      </c>
      <c r="T1944">
        <v>156</v>
      </c>
      <c r="U1944">
        <f>SUMIF(货件明细!J:J,E1944,货件明细!AP:AP)</f>
        <v>0</v>
      </c>
      <c r="V1944">
        <f>IF(U1944=T1944,0,1)</f>
        <v>1</v>
      </c>
      <c r="W1944">
        <f>T1944</f>
        <v>156</v>
      </c>
      <c r="X1944">
        <f>SUMIF(货件明细!J:J,E1944,货件明细!H:H)</f>
        <v>0</v>
      </c>
      <c r="Y1944">
        <f>N1944-X1944</f>
        <v>35.05</v>
      </c>
      <c r="Z1944">
        <f>SUMIF(货件明细!J:J,E1944,货件明细!I:I)</f>
        <v>0</v>
      </c>
      <c r="AA1944">
        <f>IF(S1944=Z1944,0,1)</f>
        <v>1</v>
      </c>
    </row>
    <row r="1945" hidden="1" spans="1:27">
      <c r="A1945">
        <v>4</v>
      </c>
      <c r="B1945">
        <v>16</v>
      </c>
      <c r="C1945" s="3">
        <v>46129</v>
      </c>
      <c r="D1945" t="s">
        <v>27</v>
      </c>
      <c r="E1945" t="s">
        <v>2071</v>
      </c>
      <c r="F1945" t="s">
        <v>143</v>
      </c>
      <c r="G1945" t="s">
        <v>72</v>
      </c>
      <c r="H1945" t="s">
        <v>56</v>
      </c>
      <c r="I1945" t="s">
        <v>146</v>
      </c>
      <c r="J1945" t="s">
        <v>146</v>
      </c>
      <c r="K1945" t="s">
        <v>64</v>
      </c>
      <c r="L1945" t="s">
        <v>147</v>
      </c>
      <c r="M1945" t="s">
        <v>1545</v>
      </c>
      <c r="N1945">
        <v>35.05</v>
      </c>
      <c r="O1945">
        <v>12.5</v>
      </c>
      <c r="P1945">
        <v>201.6</v>
      </c>
      <c r="Q1945">
        <v>214.1</v>
      </c>
      <c r="R1945">
        <v>0</v>
      </c>
      <c r="S1945">
        <v>214.1</v>
      </c>
      <c r="T1945">
        <v>156</v>
      </c>
      <c r="U1945">
        <f>SUMIF(货件明细!J:J,E1945,货件明细!AP:AP)</f>
        <v>0</v>
      </c>
      <c r="V1945">
        <f>IF(U1945=T1945,0,1)</f>
        <v>1</v>
      </c>
      <c r="W1945">
        <f>T1945</f>
        <v>156</v>
      </c>
      <c r="X1945">
        <f>SUMIF(货件明细!J:J,E1945,货件明细!H:H)</f>
        <v>0</v>
      </c>
      <c r="Y1945">
        <f>N1945-X1945</f>
        <v>35.05</v>
      </c>
      <c r="Z1945">
        <f>SUMIF(货件明细!J:J,E1945,货件明细!I:I)</f>
        <v>0</v>
      </c>
      <c r="AA1945">
        <f>IF(S1945=Z1945,0,1)</f>
        <v>1</v>
      </c>
    </row>
    <row r="1946" hidden="1" spans="1:27">
      <c r="A1946">
        <v>4</v>
      </c>
      <c r="B1946">
        <v>16</v>
      </c>
      <c r="C1946" s="3">
        <v>46129</v>
      </c>
      <c r="D1946" t="s">
        <v>27</v>
      </c>
      <c r="E1946" t="s">
        <v>2072</v>
      </c>
      <c r="F1946" t="s">
        <v>76</v>
      </c>
      <c r="G1946" t="s">
        <v>72</v>
      </c>
      <c r="H1946" t="s">
        <v>56</v>
      </c>
      <c r="I1946" t="s">
        <v>146</v>
      </c>
      <c r="J1946" t="s">
        <v>146</v>
      </c>
      <c r="K1946" t="s">
        <v>64</v>
      </c>
      <c r="L1946" t="s">
        <v>147</v>
      </c>
      <c r="M1946" t="s">
        <v>1545</v>
      </c>
      <c r="N1946">
        <v>35.05</v>
      </c>
      <c r="O1946">
        <v>12.5</v>
      </c>
      <c r="P1946">
        <v>182.4</v>
      </c>
      <c r="Q1946">
        <v>194.9</v>
      </c>
      <c r="R1946">
        <v>0</v>
      </c>
      <c r="S1946">
        <v>194.9</v>
      </c>
      <c r="T1946">
        <v>156</v>
      </c>
      <c r="U1946">
        <f>SUMIF(货件明细!J:J,E1946,货件明细!AP:AP)</f>
        <v>0</v>
      </c>
      <c r="V1946">
        <f>IF(U1946=T1946,0,1)</f>
        <v>1</v>
      </c>
      <c r="W1946">
        <f>T1946</f>
        <v>156</v>
      </c>
      <c r="X1946">
        <f>SUMIF(货件明细!J:J,E1946,货件明细!H:H)</f>
        <v>0</v>
      </c>
      <c r="Y1946">
        <f>N1946-X1946</f>
        <v>35.05</v>
      </c>
      <c r="Z1946">
        <f>SUMIF(货件明细!J:J,E1946,货件明细!I:I)</f>
        <v>0</v>
      </c>
      <c r="AA1946">
        <f>IF(S1946=Z1946,0,1)</f>
        <v>1</v>
      </c>
    </row>
    <row r="1947" hidden="1" spans="1:27">
      <c r="A1947">
        <v>4</v>
      </c>
      <c r="B1947">
        <v>16</v>
      </c>
      <c r="C1947" s="3">
        <v>46129</v>
      </c>
      <c r="D1947" t="s">
        <v>27</v>
      </c>
      <c r="E1947" t="s">
        <v>2073</v>
      </c>
      <c r="F1947" t="s">
        <v>185</v>
      </c>
      <c r="G1947" t="s">
        <v>30</v>
      </c>
      <c r="H1947" t="s">
        <v>39</v>
      </c>
      <c r="I1947" t="s">
        <v>146</v>
      </c>
      <c r="J1947" t="s">
        <v>146</v>
      </c>
      <c r="K1947" t="s">
        <v>64</v>
      </c>
      <c r="L1947" t="s">
        <v>147</v>
      </c>
      <c r="M1947" t="s">
        <v>148</v>
      </c>
      <c r="N1947">
        <v>20.8</v>
      </c>
      <c r="O1947">
        <v>25</v>
      </c>
      <c r="P1947">
        <v>123.9</v>
      </c>
      <c r="Q1947">
        <v>148.9</v>
      </c>
      <c r="R1947">
        <v>0</v>
      </c>
      <c r="S1947">
        <v>148.9</v>
      </c>
      <c r="T1947">
        <v>48</v>
      </c>
      <c r="U1947">
        <f>SUMIF(货件明细!J:J,E1947,货件明细!AP:AP)</f>
        <v>0</v>
      </c>
      <c r="V1947">
        <f>IF(U1947=T1947,0,1)</f>
        <v>1</v>
      </c>
      <c r="W1947">
        <f>T1947</f>
        <v>48</v>
      </c>
      <c r="X1947">
        <f>SUMIF(货件明细!J:J,E1947,货件明细!H:H)</f>
        <v>0</v>
      </c>
      <c r="Y1947">
        <f>N1947-X1947</f>
        <v>20.8</v>
      </c>
      <c r="Z1947">
        <f>SUMIF(货件明细!J:J,E1947,货件明细!I:I)</f>
        <v>0</v>
      </c>
      <c r="AA1947">
        <f>IF(S1947=Z1947,0,1)</f>
        <v>1</v>
      </c>
    </row>
    <row r="1948" hidden="1" spans="1:27">
      <c r="A1948">
        <v>4</v>
      </c>
      <c r="B1948">
        <v>16</v>
      </c>
      <c r="C1948" s="3">
        <v>46129</v>
      </c>
      <c r="D1948" t="s">
        <v>27</v>
      </c>
      <c r="E1948" t="s">
        <v>2074</v>
      </c>
      <c r="F1948" t="s">
        <v>62</v>
      </c>
      <c r="G1948" t="s">
        <v>30</v>
      </c>
      <c r="H1948" t="s">
        <v>39</v>
      </c>
      <c r="I1948" t="s">
        <v>146</v>
      </c>
      <c r="J1948" t="s">
        <v>146</v>
      </c>
      <c r="K1948" t="s">
        <v>64</v>
      </c>
      <c r="L1948" t="s">
        <v>147</v>
      </c>
      <c r="M1948" t="s">
        <v>148</v>
      </c>
      <c r="N1948">
        <v>20.8</v>
      </c>
      <c r="O1948">
        <v>30</v>
      </c>
      <c r="P1948">
        <v>133.7</v>
      </c>
      <c r="Q1948">
        <v>163.7</v>
      </c>
      <c r="R1948">
        <v>0</v>
      </c>
      <c r="S1948">
        <v>163.7</v>
      </c>
      <c r="T1948">
        <v>48</v>
      </c>
      <c r="U1948">
        <f>SUMIF(货件明细!J:J,E1948,货件明细!AP:AP)</f>
        <v>0</v>
      </c>
      <c r="V1948">
        <f>IF(U1948=T1948,0,1)</f>
        <v>1</v>
      </c>
      <c r="W1948">
        <f>T1948</f>
        <v>48</v>
      </c>
      <c r="X1948">
        <f>SUMIF(货件明细!J:J,E1948,货件明细!H:H)</f>
        <v>0</v>
      </c>
      <c r="Y1948">
        <f>N1948-X1948</f>
        <v>20.8</v>
      </c>
      <c r="Z1948">
        <f>SUMIF(货件明细!J:J,E1948,货件明细!I:I)</f>
        <v>0</v>
      </c>
      <c r="AA1948">
        <f>IF(S1948=Z1948,0,1)</f>
        <v>1</v>
      </c>
    </row>
    <row r="1949" hidden="1" spans="1:27">
      <c r="A1949">
        <v>4</v>
      </c>
      <c r="B1949">
        <v>16</v>
      </c>
      <c r="C1949" s="3">
        <v>46129</v>
      </c>
      <c r="D1949" t="s">
        <v>27</v>
      </c>
      <c r="E1949" t="s">
        <v>2075</v>
      </c>
      <c r="F1949" t="s">
        <v>68</v>
      </c>
      <c r="G1949" t="s">
        <v>69</v>
      </c>
      <c r="H1949" t="s">
        <v>39</v>
      </c>
      <c r="I1949" t="s">
        <v>146</v>
      </c>
      <c r="J1949" t="s">
        <v>146</v>
      </c>
      <c r="K1949" t="s">
        <v>64</v>
      </c>
      <c r="L1949" t="s">
        <v>147</v>
      </c>
      <c r="M1949" t="s">
        <v>1545</v>
      </c>
      <c r="N1949">
        <v>20.8</v>
      </c>
      <c r="O1949">
        <v>21.4285714285714</v>
      </c>
      <c r="P1949">
        <v>114.1</v>
      </c>
      <c r="Q1949">
        <v>135.528571428571</v>
      </c>
      <c r="R1949">
        <v>0</v>
      </c>
      <c r="S1949">
        <v>135.528571428571</v>
      </c>
      <c r="T1949">
        <v>48</v>
      </c>
      <c r="U1949">
        <f>SUMIF(货件明细!J:J,E1949,货件明细!AP:AP)</f>
        <v>0</v>
      </c>
      <c r="V1949">
        <f>IF(U1949=T1949,0,1)</f>
        <v>1</v>
      </c>
      <c r="W1949">
        <f>T1949</f>
        <v>48</v>
      </c>
      <c r="X1949">
        <f>SUMIF(货件明细!J:J,E1949,货件明细!H:H)</f>
        <v>0</v>
      </c>
      <c r="Y1949">
        <f>N1949-X1949</f>
        <v>20.8</v>
      </c>
      <c r="Z1949">
        <f>SUMIF(货件明细!J:J,E1949,货件明细!I:I)</f>
        <v>0</v>
      </c>
      <c r="AA1949">
        <f>IF(S1949=Z1949,0,1)</f>
        <v>1</v>
      </c>
    </row>
    <row r="1950" hidden="1" spans="1:27">
      <c r="A1950">
        <v>4</v>
      </c>
      <c r="B1950">
        <v>16</v>
      </c>
      <c r="C1950" s="3">
        <v>46129</v>
      </c>
      <c r="D1950" t="s">
        <v>27</v>
      </c>
      <c r="E1950" t="s">
        <v>2076</v>
      </c>
      <c r="F1950" t="s">
        <v>143</v>
      </c>
      <c r="G1950" t="s">
        <v>72</v>
      </c>
      <c r="H1950" t="s">
        <v>39</v>
      </c>
      <c r="I1950" t="s">
        <v>146</v>
      </c>
      <c r="J1950" t="s">
        <v>146</v>
      </c>
      <c r="K1950" t="s">
        <v>64</v>
      </c>
      <c r="L1950" t="s">
        <v>147</v>
      </c>
      <c r="M1950" t="s">
        <v>1545</v>
      </c>
      <c r="N1950">
        <v>20.8</v>
      </c>
      <c r="O1950">
        <v>12.5</v>
      </c>
      <c r="P1950">
        <v>88.2</v>
      </c>
      <c r="Q1950">
        <v>100.7</v>
      </c>
      <c r="R1950">
        <v>0</v>
      </c>
      <c r="S1950">
        <v>100.7</v>
      </c>
      <c r="T1950">
        <v>48</v>
      </c>
      <c r="U1950">
        <f>SUMIF(货件明细!J:J,E1950,货件明细!AP:AP)</f>
        <v>0</v>
      </c>
      <c r="V1950">
        <f>IF(U1950=T1950,0,1)</f>
        <v>1</v>
      </c>
      <c r="W1950">
        <f>T1950</f>
        <v>48</v>
      </c>
      <c r="X1950">
        <f>SUMIF(货件明细!J:J,E1950,货件明细!H:H)</f>
        <v>0</v>
      </c>
      <c r="Y1950">
        <f>N1950-X1950</f>
        <v>20.8</v>
      </c>
      <c r="Z1950">
        <f>SUMIF(货件明细!J:J,E1950,货件明细!I:I)</f>
        <v>0</v>
      </c>
      <c r="AA1950">
        <f>IF(S1950=Z1950,0,1)</f>
        <v>1</v>
      </c>
    </row>
    <row r="1951" hidden="1" spans="1:27">
      <c r="A1951">
        <v>4</v>
      </c>
      <c r="B1951">
        <v>16</v>
      </c>
      <c r="C1951" s="3">
        <v>46129</v>
      </c>
      <c r="D1951" t="s">
        <v>27</v>
      </c>
      <c r="E1951" t="s">
        <v>2077</v>
      </c>
      <c r="F1951" t="s">
        <v>76</v>
      </c>
      <c r="G1951" t="s">
        <v>72</v>
      </c>
      <c r="H1951" t="s">
        <v>39</v>
      </c>
      <c r="I1951" t="s">
        <v>146</v>
      </c>
      <c r="J1951" t="s">
        <v>146</v>
      </c>
      <c r="K1951" t="s">
        <v>64</v>
      </c>
      <c r="L1951" t="s">
        <v>147</v>
      </c>
      <c r="M1951" t="s">
        <v>1545</v>
      </c>
      <c r="N1951">
        <v>20.8</v>
      </c>
      <c r="O1951">
        <v>12.5</v>
      </c>
      <c r="P1951">
        <v>79.8</v>
      </c>
      <c r="Q1951">
        <v>92.3</v>
      </c>
      <c r="R1951">
        <v>0</v>
      </c>
      <c r="S1951">
        <v>92.3</v>
      </c>
      <c r="T1951">
        <v>48</v>
      </c>
      <c r="U1951">
        <f>SUMIF(货件明细!J:J,E1951,货件明细!AP:AP)</f>
        <v>0</v>
      </c>
      <c r="V1951">
        <f>IF(U1951=T1951,0,1)</f>
        <v>1</v>
      </c>
      <c r="W1951">
        <f>T1951</f>
        <v>48</v>
      </c>
      <c r="X1951">
        <f>SUMIF(货件明细!J:J,E1951,货件明细!H:H)</f>
        <v>0</v>
      </c>
      <c r="Y1951">
        <f>N1951-X1951</f>
        <v>20.8</v>
      </c>
      <c r="Z1951">
        <f>SUMIF(货件明细!J:J,E1951,货件明细!I:I)</f>
        <v>0</v>
      </c>
      <c r="AA1951">
        <f>IF(S1951=Z1951,0,1)</f>
        <v>1</v>
      </c>
    </row>
    <row r="1952" hidden="1" spans="1:27">
      <c r="A1952">
        <v>4</v>
      </c>
      <c r="B1952">
        <v>16</v>
      </c>
      <c r="C1952" s="3">
        <v>46129</v>
      </c>
      <c r="D1952" t="s">
        <v>88</v>
      </c>
      <c r="E1952" t="s">
        <v>2078</v>
      </c>
      <c r="F1952" t="s">
        <v>211</v>
      </c>
      <c r="G1952" t="s">
        <v>72</v>
      </c>
      <c r="H1952" t="s">
        <v>51</v>
      </c>
      <c r="I1952" t="s">
        <v>63</v>
      </c>
      <c r="J1952" t="s">
        <v>63</v>
      </c>
      <c r="K1952" t="s">
        <v>64</v>
      </c>
      <c r="L1952" t="s">
        <v>147</v>
      </c>
      <c r="M1952" t="s">
        <v>774</v>
      </c>
      <c r="N1952">
        <v>245.25</v>
      </c>
      <c r="O1952">
        <v>11.5384615384615</v>
      </c>
      <c r="P1952">
        <v>824.972972972973</v>
      </c>
      <c r="Q1952">
        <v>836.511434511435</v>
      </c>
      <c r="R1952">
        <v>0</v>
      </c>
      <c r="S1952">
        <v>836.511434511435</v>
      </c>
      <c r="T1952">
        <v>930</v>
      </c>
      <c r="U1952">
        <f>SUMIF(货件明细!J:J,E1952,货件明细!AP:AP)</f>
        <v>0</v>
      </c>
      <c r="V1952">
        <f>IF(U1952=T1952,0,1)</f>
        <v>1</v>
      </c>
      <c r="W1952">
        <f>T1952</f>
        <v>930</v>
      </c>
      <c r="X1952">
        <f>SUMIF(货件明细!J:J,E1952,货件明细!H:H)</f>
        <v>0</v>
      </c>
      <c r="Y1952">
        <f>N1952-X1952</f>
        <v>245.25</v>
      </c>
      <c r="Z1952">
        <f>SUMIF(货件明细!J:J,E1952,货件明细!I:I)</f>
        <v>0</v>
      </c>
      <c r="AA1952">
        <f>IF(S1952=Z1952,0,1)</f>
        <v>1</v>
      </c>
    </row>
    <row r="1953" hidden="1" spans="1:27">
      <c r="A1953">
        <v>4</v>
      </c>
      <c r="B1953">
        <v>16</v>
      </c>
      <c r="C1953" s="3">
        <v>46129</v>
      </c>
      <c r="D1953" t="s">
        <v>88</v>
      </c>
      <c r="E1953" t="s">
        <v>2079</v>
      </c>
      <c r="F1953" t="s">
        <v>211</v>
      </c>
      <c r="G1953" t="s">
        <v>72</v>
      </c>
      <c r="H1953" t="s">
        <v>31</v>
      </c>
      <c r="I1953" t="s">
        <v>63</v>
      </c>
      <c r="J1953" t="s">
        <v>63</v>
      </c>
      <c r="K1953" t="s">
        <v>64</v>
      </c>
      <c r="L1953" t="s">
        <v>147</v>
      </c>
      <c r="M1953" t="s">
        <v>774</v>
      </c>
      <c r="N1953">
        <v>83.25</v>
      </c>
      <c r="O1953">
        <v>11.5384615384615</v>
      </c>
      <c r="P1953">
        <v>384.987387387387</v>
      </c>
      <c r="Q1953">
        <v>396.525848925849</v>
      </c>
      <c r="R1953">
        <v>0</v>
      </c>
      <c r="S1953">
        <v>396.525848925849</v>
      </c>
      <c r="T1953">
        <v>485</v>
      </c>
      <c r="U1953">
        <f>SUMIF(货件明细!J:J,E1953,货件明细!AP:AP)</f>
        <v>0</v>
      </c>
      <c r="V1953">
        <f>IF(U1953=T1953,0,1)</f>
        <v>1</v>
      </c>
      <c r="W1953">
        <f>T1953</f>
        <v>485</v>
      </c>
      <c r="X1953">
        <f>SUMIF(货件明细!J:J,E1953,货件明细!H:H)</f>
        <v>0</v>
      </c>
      <c r="Y1953">
        <f>N1953-X1953</f>
        <v>83.25</v>
      </c>
      <c r="Z1953">
        <f>SUMIF(货件明细!J:J,E1953,货件明细!I:I)</f>
        <v>0</v>
      </c>
      <c r="AA1953">
        <f>IF(S1953=Z1953,0,1)</f>
        <v>1</v>
      </c>
    </row>
    <row r="1954" hidden="1" spans="1:27">
      <c r="A1954">
        <v>4</v>
      </c>
      <c r="B1954">
        <v>16</v>
      </c>
      <c r="C1954" s="3">
        <v>46129</v>
      </c>
      <c r="D1954" t="s">
        <v>88</v>
      </c>
      <c r="E1954" t="s">
        <v>2080</v>
      </c>
      <c r="F1954" t="s">
        <v>211</v>
      </c>
      <c r="G1954" t="s">
        <v>72</v>
      </c>
      <c r="H1954" t="s">
        <v>37</v>
      </c>
      <c r="I1954" t="s">
        <v>63</v>
      </c>
      <c r="J1954" t="s">
        <v>63</v>
      </c>
      <c r="K1954" t="s">
        <v>64</v>
      </c>
      <c r="L1954" t="s">
        <v>147</v>
      </c>
      <c r="M1954" t="s">
        <v>774</v>
      </c>
      <c r="N1954">
        <v>303.25</v>
      </c>
      <c r="O1954">
        <v>11.5384615384615</v>
      </c>
      <c r="P1954">
        <v>1264.95855855856</v>
      </c>
      <c r="Q1954">
        <v>1276.49702009702</v>
      </c>
      <c r="R1954">
        <v>0</v>
      </c>
      <c r="S1954">
        <v>1276.49702009702</v>
      </c>
      <c r="T1954">
        <v>2163</v>
      </c>
      <c r="U1954">
        <f>SUMIF(货件明细!J:J,E1954,货件明细!AP:AP)</f>
        <v>0</v>
      </c>
      <c r="V1954">
        <f>IF(U1954=T1954,0,1)</f>
        <v>1</v>
      </c>
      <c r="W1954">
        <f>T1954</f>
        <v>2163</v>
      </c>
      <c r="X1954">
        <f>SUMIF(货件明细!J:J,E1954,货件明细!H:H)</f>
        <v>0</v>
      </c>
      <c r="Y1954">
        <f>N1954-X1954</f>
        <v>303.25</v>
      </c>
      <c r="Z1954">
        <f>SUMIF(货件明细!J:J,E1954,货件明细!I:I)</f>
        <v>0</v>
      </c>
      <c r="AA1954">
        <f>IF(S1954=Z1954,0,1)</f>
        <v>1</v>
      </c>
    </row>
    <row r="1955" hidden="1" spans="1:27">
      <c r="A1955">
        <v>4</v>
      </c>
      <c r="B1955">
        <v>16</v>
      </c>
      <c r="C1955" s="3">
        <v>46129</v>
      </c>
      <c r="D1955" t="s">
        <v>88</v>
      </c>
      <c r="E1955" t="s">
        <v>2081</v>
      </c>
      <c r="F1955" t="s">
        <v>211</v>
      </c>
      <c r="G1955" t="s">
        <v>72</v>
      </c>
      <c r="H1955" t="s">
        <v>56</v>
      </c>
      <c r="I1955" t="s">
        <v>63</v>
      </c>
      <c r="J1955" t="s">
        <v>63</v>
      </c>
      <c r="K1955" t="s">
        <v>64</v>
      </c>
      <c r="L1955" t="s">
        <v>147</v>
      </c>
      <c r="M1955" t="s">
        <v>774</v>
      </c>
      <c r="N1955">
        <v>79.7</v>
      </c>
      <c r="O1955">
        <v>11.5384615384615</v>
      </c>
      <c r="P1955">
        <v>384.987387387387</v>
      </c>
      <c r="Q1955">
        <v>396.525848925849</v>
      </c>
      <c r="R1955">
        <v>0</v>
      </c>
      <c r="S1955">
        <v>396.525848925849</v>
      </c>
      <c r="T1955">
        <v>540</v>
      </c>
      <c r="U1955">
        <f>SUMIF(货件明细!J:J,E1955,货件明细!AP:AP)</f>
        <v>0</v>
      </c>
      <c r="V1955">
        <f>IF(U1955=T1955,0,1)</f>
        <v>1</v>
      </c>
      <c r="W1955">
        <f>T1955</f>
        <v>540</v>
      </c>
      <c r="X1955">
        <f>SUMIF(货件明细!J:J,E1955,货件明细!H:H)</f>
        <v>0</v>
      </c>
      <c r="Y1955">
        <f>N1955-X1955</f>
        <v>79.7</v>
      </c>
      <c r="Z1955">
        <f>SUMIF(货件明细!J:J,E1955,货件明细!I:I)</f>
        <v>0</v>
      </c>
      <c r="AA1955">
        <f>IF(S1955=Z1955,0,1)</f>
        <v>1</v>
      </c>
    </row>
    <row r="1956" hidden="1" spans="1:27">
      <c r="A1956">
        <v>4</v>
      </c>
      <c r="B1956">
        <v>16</v>
      </c>
      <c r="C1956" s="3">
        <v>46129</v>
      </c>
      <c r="D1956" t="s">
        <v>88</v>
      </c>
      <c r="E1956" t="s">
        <v>2082</v>
      </c>
      <c r="F1956" t="s">
        <v>211</v>
      </c>
      <c r="G1956" t="s">
        <v>72</v>
      </c>
      <c r="H1956" t="s">
        <v>54</v>
      </c>
      <c r="I1956" t="s">
        <v>63</v>
      </c>
      <c r="J1956" t="s">
        <v>63</v>
      </c>
      <c r="K1956" t="s">
        <v>64</v>
      </c>
      <c r="L1956" t="s">
        <v>147</v>
      </c>
      <c r="M1956" t="s">
        <v>774</v>
      </c>
      <c r="N1956">
        <v>69.5</v>
      </c>
      <c r="O1956">
        <v>11.5384615384615</v>
      </c>
      <c r="P1956">
        <v>274.990990990991</v>
      </c>
      <c r="Q1956">
        <v>286.529452529453</v>
      </c>
      <c r="R1956">
        <v>0</v>
      </c>
      <c r="S1956">
        <v>286.529452529453</v>
      </c>
      <c r="T1956">
        <v>414</v>
      </c>
      <c r="U1956">
        <f>SUMIF(货件明细!J:J,E1956,货件明细!AP:AP)</f>
        <v>0</v>
      </c>
      <c r="V1956">
        <f>IF(U1956=T1956,0,1)</f>
        <v>1</v>
      </c>
      <c r="W1956">
        <f>T1956</f>
        <v>414</v>
      </c>
      <c r="X1956">
        <f>SUMIF(货件明细!J:J,E1956,货件明细!H:H)</f>
        <v>0</v>
      </c>
      <c r="Y1956">
        <f>N1956-X1956</f>
        <v>69.5</v>
      </c>
      <c r="Z1956">
        <f>SUMIF(货件明细!J:J,E1956,货件明细!I:I)</f>
        <v>0</v>
      </c>
      <c r="AA1956">
        <f>IF(S1956=Z1956,0,1)</f>
        <v>1</v>
      </c>
    </row>
    <row r="1957" hidden="1" spans="1:27">
      <c r="A1957">
        <v>4</v>
      </c>
      <c r="B1957">
        <v>16</v>
      </c>
      <c r="C1957" s="3">
        <v>46129</v>
      </c>
      <c r="D1957" t="s">
        <v>88</v>
      </c>
      <c r="E1957" t="s">
        <v>2083</v>
      </c>
      <c r="F1957" t="s">
        <v>211</v>
      </c>
      <c r="G1957" t="s">
        <v>72</v>
      </c>
      <c r="H1957" t="s">
        <v>78</v>
      </c>
      <c r="I1957" t="s">
        <v>63</v>
      </c>
      <c r="J1957" t="s">
        <v>63</v>
      </c>
      <c r="K1957" t="s">
        <v>64</v>
      </c>
      <c r="L1957" t="s">
        <v>147</v>
      </c>
      <c r="M1957" t="s">
        <v>774</v>
      </c>
      <c r="N1957">
        <v>55.05</v>
      </c>
      <c r="O1957">
        <v>11.5384615384615</v>
      </c>
      <c r="P1957">
        <v>219.992792792793</v>
      </c>
      <c r="Q1957">
        <v>231.531254331254</v>
      </c>
      <c r="R1957">
        <v>0</v>
      </c>
      <c r="S1957">
        <v>231.531254331254</v>
      </c>
      <c r="T1957">
        <v>248</v>
      </c>
      <c r="U1957">
        <f>SUMIF(货件明细!J:J,E1957,货件明细!AP:AP)</f>
        <v>0</v>
      </c>
      <c r="V1957">
        <f>IF(U1957=T1957,0,1)</f>
        <v>1</v>
      </c>
      <c r="W1957">
        <f>T1957</f>
        <v>248</v>
      </c>
      <c r="X1957">
        <f>SUMIF(货件明细!J:J,E1957,货件明细!H:H)</f>
        <v>0</v>
      </c>
      <c r="Y1957">
        <f>N1957-X1957</f>
        <v>55.05</v>
      </c>
      <c r="Z1957">
        <f>SUMIF(货件明细!J:J,E1957,货件明细!I:I)</f>
        <v>0</v>
      </c>
      <c r="AA1957">
        <f>IF(S1957=Z1957,0,1)</f>
        <v>1</v>
      </c>
    </row>
    <row r="1958" hidden="1" spans="1:27">
      <c r="A1958">
        <v>4</v>
      </c>
      <c r="B1958">
        <v>16</v>
      </c>
      <c r="C1958" s="3">
        <v>46129</v>
      </c>
      <c r="D1958" t="s">
        <v>88</v>
      </c>
      <c r="E1958" t="s">
        <v>2084</v>
      </c>
      <c r="F1958" t="s">
        <v>211</v>
      </c>
      <c r="G1958" t="s">
        <v>72</v>
      </c>
      <c r="H1958" t="s">
        <v>39</v>
      </c>
      <c r="I1958" t="s">
        <v>63</v>
      </c>
      <c r="J1958" t="s">
        <v>63</v>
      </c>
      <c r="K1958" t="s">
        <v>64</v>
      </c>
      <c r="L1958" t="s">
        <v>147</v>
      </c>
      <c r="M1958" t="s">
        <v>774</v>
      </c>
      <c r="N1958">
        <v>228.2</v>
      </c>
      <c r="O1958">
        <v>11.5384615384615</v>
      </c>
      <c r="P1958">
        <v>714.976576576577</v>
      </c>
      <c r="Q1958">
        <v>726.515038115038</v>
      </c>
      <c r="R1958">
        <v>0</v>
      </c>
      <c r="S1958">
        <v>726.515038115038</v>
      </c>
      <c r="T1958">
        <v>607</v>
      </c>
      <c r="U1958">
        <f>SUMIF(货件明细!J:J,E1958,货件明细!AP:AP)</f>
        <v>0</v>
      </c>
      <c r="V1958">
        <f>IF(U1958=T1958,0,1)</f>
        <v>1</v>
      </c>
      <c r="W1958">
        <f>T1958</f>
        <v>607</v>
      </c>
      <c r="X1958">
        <f>SUMIF(货件明细!J:J,E1958,货件明细!H:H)</f>
        <v>0</v>
      </c>
      <c r="Y1958">
        <f>N1958-X1958</f>
        <v>228.2</v>
      </c>
      <c r="Z1958">
        <f>SUMIF(货件明细!J:J,E1958,货件明细!I:I)</f>
        <v>0</v>
      </c>
      <c r="AA1958">
        <f>IF(S1958=Z1958,0,1)</f>
        <v>1</v>
      </c>
    </row>
    <row r="1959" hidden="1" spans="1:27">
      <c r="A1959">
        <v>4</v>
      </c>
      <c r="B1959">
        <v>16</v>
      </c>
      <c r="C1959" s="3">
        <v>46129</v>
      </c>
      <c r="D1959" t="s">
        <v>88</v>
      </c>
      <c r="E1959" t="s">
        <v>2085</v>
      </c>
      <c r="F1959" t="s">
        <v>211</v>
      </c>
      <c r="G1959" t="s">
        <v>72</v>
      </c>
      <c r="H1959" t="e">
        <v>#N/A</v>
      </c>
      <c r="I1959" t="s">
        <v>63</v>
      </c>
      <c r="J1959" t="s">
        <v>63</v>
      </c>
      <c r="K1959" t="s">
        <v>64</v>
      </c>
      <c r="L1959" t="s">
        <v>147</v>
      </c>
      <c r="M1959" t="s">
        <v>774</v>
      </c>
      <c r="N1959">
        <v>63.7</v>
      </c>
      <c r="O1959">
        <v>11.5384615384615</v>
      </c>
      <c r="P1959">
        <v>219.992792792793</v>
      </c>
      <c r="Q1959">
        <v>231.531254331254</v>
      </c>
      <c r="R1959">
        <v>0</v>
      </c>
      <c r="S1959">
        <v>231.531254331254</v>
      </c>
      <c r="T1959">
        <v>270</v>
      </c>
      <c r="U1959">
        <f>SUMIF(货件明细!J:J,E1959,货件明细!AP:AP)</f>
        <v>0</v>
      </c>
      <c r="V1959">
        <f>IF(U1959=T1959,0,1)</f>
        <v>1</v>
      </c>
      <c r="W1959">
        <f>T1959</f>
        <v>270</v>
      </c>
      <c r="X1959">
        <f>SUMIF(货件明细!J:J,E1959,货件明细!H:H)</f>
        <v>0</v>
      </c>
      <c r="Y1959">
        <f>N1959-X1959</f>
        <v>63.7</v>
      </c>
      <c r="Z1959">
        <f>SUMIF(货件明细!J:J,E1959,货件明细!I:I)</f>
        <v>0</v>
      </c>
      <c r="AA1959">
        <f>IF(S1959=Z1959,0,1)</f>
        <v>1</v>
      </c>
    </row>
    <row r="1960" hidden="1" spans="1:27">
      <c r="A1960">
        <v>4</v>
      </c>
      <c r="B1960">
        <v>16</v>
      </c>
      <c r="C1960" s="3">
        <v>46129</v>
      </c>
      <c r="D1960" t="s">
        <v>88</v>
      </c>
      <c r="E1960" t="s">
        <v>2086</v>
      </c>
      <c r="F1960" t="s">
        <v>211</v>
      </c>
      <c r="G1960" t="s">
        <v>72</v>
      </c>
      <c r="H1960" t="e">
        <v>#N/A</v>
      </c>
      <c r="I1960" t="s">
        <v>63</v>
      </c>
      <c r="J1960" t="s">
        <v>63</v>
      </c>
      <c r="K1960" t="s">
        <v>64</v>
      </c>
      <c r="L1960" t="s">
        <v>147</v>
      </c>
      <c r="M1960" t="s">
        <v>774</v>
      </c>
      <c r="N1960">
        <v>195.45</v>
      </c>
      <c r="O1960">
        <v>11.5384615384615</v>
      </c>
      <c r="P1960">
        <v>879.971171171171</v>
      </c>
      <c r="Q1960">
        <v>891.509632709633</v>
      </c>
      <c r="R1960">
        <v>0</v>
      </c>
      <c r="S1960">
        <v>891.509632709633</v>
      </c>
      <c r="T1960">
        <v>1452</v>
      </c>
      <c r="U1960">
        <f>SUMIF(货件明细!J:J,E1960,货件明细!AP:AP)</f>
        <v>0</v>
      </c>
      <c r="V1960">
        <f>IF(U1960=T1960,0,1)</f>
        <v>1</v>
      </c>
      <c r="W1960">
        <f>T1960</f>
        <v>1452</v>
      </c>
      <c r="X1960">
        <f>SUMIF(货件明细!J:J,E1960,货件明细!H:H)</f>
        <v>0</v>
      </c>
      <c r="Y1960">
        <f>N1960-X1960</f>
        <v>195.45</v>
      </c>
      <c r="Z1960">
        <f>SUMIF(货件明细!J:J,E1960,货件明细!I:I)</f>
        <v>0</v>
      </c>
      <c r="AA1960">
        <f>IF(S1960=Z1960,0,1)</f>
        <v>1</v>
      </c>
    </row>
    <row r="1961" hidden="1" spans="1:27">
      <c r="A1961">
        <v>4</v>
      </c>
      <c r="B1961">
        <v>16</v>
      </c>
      <c r="C1961" s="3">
        <v>46129</v>
      </c>
      <c r="D1961" t="s">
        <v>88</v>
      </c>
      <c r="E1961" t="s">
        <v>2087</v>
      </c>
      <c r="F1961" t="s">
        <v>211</v>
      </c>
      <c r="G1961" t="s">
        <v>72</v>
      </c>
      <c r="H1961" t="e">
        <v>#N/A</v>
      </c>
      <c r="I1961" t="s">
        <v>63</v>
      </c>
      <c r="J1961" t="s">
        <v>63</v>
      </c>
      <c r="K1961" t="s">
        <v>64</v>
      </c>
      <c r="L1961" t="s">
        <v>147</v>
      </c>
      <c r="M1961" t="s">
        <v>774</v>
      </c>
      <c r="N1961">
        <v>54.5</v>
      </c>
      <c r="O1961">
        <v>11.5384615384615</v>
      </c>
      <c r="P1961">
        <v>274.990990990991</v>
      </c>
      <c r="Q1961">
        <v>286.529452529453</v>
      </c>
      <c r="R1961">
        <v>0</v>
      </c>
      <c r="S1961">
        <v>286.529452529453</v>
      </c>
      <c r="T1961">
        <v>380</v>
      </c>
      <c r="U1961">
        <f>SUMIF(货件明细!J:J,E1961,货件明细!AP:AP)</f>
        <v>0</v>
      </c>
      <c r="V1961">
        <f>IF(U1961=T1961,0,1)</f>
        <v>1</v>
      </c>
      <c r="W1961">
        <f>T1961</f>
        <v>380</v>
      </c>
      <c r="X1961">
        <f>SUMIF(货件明细!J:J,E1961,货件明细!H:H)</f>
        <v>0</v>
      </c>
      <c r="Y1961">
        <f>N1961-X1961</f>
        <v>54.5</v>
      </c>
      <c r="Z1961">
        <f>SUMIF(货件明细!J:J,E1961,货件明细!I:I)</f>
        <v>0</v>
      </c>
      <c r="AA1961">
        <f>IF(S1961=Z1961,0,1)</f>
        <v>1</v>
      </c>
    </row>
    <row r="1962" hidden="1" spans="1:27">
      <c r="A1962">
        <v>4</v>
      </c>
      <c r="B1962">
        <v>16</v>
      </c>
      <c r="C1962" s="3">
        <v>46129</v>
      </c>
      <c r="D1962" t="s">
        <v>88</v>
      </c>
      <c r="E1962" t="s">
        <v>2088</v>
      </c>
      <c r="F1962" t="s">
        <v>211</v>
      </c>
      <c r="G1962" t="s">
        <v>72</v>
      </c>
      <c r="H1962" t="e">
        <v>#N/A</v>
      </c>
      <c r="I1962" t="s">
        <v>63</v>
      </c>
      <c r="J1962" t="s">
        <v>63</v>
      </c>
      <c r="K1962" t="s">
        <v>64</v>
      </c>
      <c r="L1962" t="s">
        <v>147</v>
      </c>
      <c r="M1962" t="s">
        <v>774</v>
      </c>
      <c r="N1962">
        <v>52</v>
      </c>
      <c r="O1962">
        <v>11.5384615384615</v>
      </c>
      <c r="P1962">
        <v>164.994594594595</v>
      </c>
      <c r="Q1962">
        <v>176.533056133056</v>
      </c>
      <c r="R1962">
        <v>0</v>
      </c>
      <c r="S1962">
        <v>176.533056133056</v>
      </c>
      <c r="T1962">
        <v>180</v>
      </c>
      <c r="U1962">
        <f>SUMIF(货件明细!J:J,E1962,货件明细!AP:AP)</f>
        <v>0</v>
      </c>
      <c r="V1962">
        <f>IF(U1962=T1962,0,1)</f>
        <v>1</v>
      </c>
      <c r="W1962">
        <f>T1962</f>
        <v>180</v>
      </c>
      <c r="X1962">
        <f>SUMIF(货件明细!J:J,E1962,货件明细!H:H)</f>
        <v>0</v>
      </c>
      <c r="Y1962">
        <f>N1962-X1962</f>
        <v>52</v>
      </c>
      <c r="Z1962">
        <f>SUMIF(货件明细!J:J,E1962,货件明细!I:I)</f>
        <v>0</v>
      </c>
      <c r="AA1962">
        <f>IF(S1962=Z1962,0,1)</f>
        <v>1</v>
      </c>
    </row>
    <row r="1963" hidden="1" spans="1:27">
      <c r="A1963">
        <v>4</v>
      </c>
      <c r="B1963">
        <v>16</v>
      </c>
      <c r="C1963" s="3">
        <v>46129</v>
      </c>
      <c r="D1963" t="s">
        <v>88</v>
      </c>
      <c r="E1963" t="s">
        <v>2089</v>
      </c>
      <c r="F1963" t="s">
        <v>211</v>
      </c>
      <c r="G1963" t="s">
        <v>72</v>
      </c>
      <c r="H1963" t="e">
        <v>#N/A</v>
      </c>
      <c r="I1963" t="s">
        <v>63</v>
      </c>
      <c r="J1963" t="s">
        <v>63</v>
      </c>
      <c r="K1963" t="s">
        <v>64</v>
      </c>
      <c r="L1963" t="s">
        <v>147</v>
      </c>
      <c r="M1963" t="s">
        <v>774</v>
      </c>
      <c r="N1963">
        <v>42.05</v>
      </c>
      <c r="O1963">
        <v>11.5384615384615</v>
      </c>
      <c r="P1963">
        <v>219.992792792793</v>
      </c>
      <c r="Q1963">
        <v>231.531254331254</v>
      </c>
      <c r="R1963">
        <v>0</v>
      </c>
      <c r="S1963">
        <v>231.531254331254</v>
      </c>
      <c r="T1963">
        <v>252</v>
      </c>
      <c r="U1963">
        <f>SUMIF(货件明细!J:J,E1963,货件明细!AP:AP)</f>
        <v>0</v>
      </c>
      <c r="V1963">
        <f>IF(U1963=T1963,0,1)</f>
        <v>1</v>
      </c>
      <c r="W1963">
        <f>T1963</f>
        <v>252</v>
      </c>
      <c r="X1963">
        <f>SUMIF(货件明细!J:J,E1963,货件明细!H:H)</f>
        <v>0</v>
      </c>
      <c r="Y1963">
        <f>N1963-X1963</f>
        <v>42.05</v>
      </c>
      <c r="Z1963">
        <f>SUMIF(货件明细!J:J,E1963,货件明细!I:I)</f>
        <v>0</v>
      </c>
      <c r="AA1963">
        <f>IF(S1963=Z1963,0,1)</f>
        <v>1</v>
      </c>
    </row>
    <row r="1964" hidden="1" spans="1:27">
      <c r="A1964">
        <v>4</v>
      </c>
      <c r="B1964">
        <v>16</v>
      </c>
      <c r="C1964" s="3">
        <v>46129</v>
      </c>
      <c r="D1964" t="s">
        <v>88</v>
      </c>
      <c r="E1964" t="s">
        <v>2090</v>
      </c>
      <c r="F1964" t="s">
        <v>211</v>
      </c>
      <c r="G1964" t="s">
        <v>72</v>
      </c>
      <c r="H1964" t="e">
        <v>#N/A</v>
      </c>
      <c r="I1964" t="s">
        <v>63</v>
      </c>
      <c r="J1964" t="s">
        <v>63</v>
      </c>
      <c r="K1964" t="s">
        <v>64</v>
      </c>
      <c r="L1964" t="s">
        <v>147</v>
      </c>
      <c r="M1964" t="s">
        <v>774</v>
      </c>
      <c r="N1964">
        <v>96</v>
      </c>
      <c r="O1964">
        <v>11.5384615384615</v>
      </c>
      <c r="P1964">
        <v>274.990990990991</v>
      </c>
      <c r="Q1964">
        <v>286.529452529453</v>
      </c>
      <c r="R1964">
        <v>0</v>
      </c>
      <c r="S1964">
        <v>286.529452529453</v>
      </c>
      <c r="T1964">
        <v>245</v>
      </c>
      <c r="U1964">
        <f>SUMIF(货件明细!J:J,E1964,货件明细!AP:AP)</f>
        <v>0</v>
      </c>
      <c r="V1964">
        <f>IF(U1964=T1964,0,1)</f>
        <v>1</v>
      </c>
      <c r="W1964">
        <f>T1964</f>
        <v>245</v>
      </c>
      <c r="X1964">
        <f>SUMIF(货件明细!J:J,E1964,货件明细!H:H)</f>
        <v>0</v>
      </c>
      <c r="Y1964">
        <f>N1964-X1964</f>
        <v>96</v>
      </c>
      <c r="Z1964">
        <f>SUMIF(货件明细!J:J,E1964,货件明细!I:I)</f>
        <v>0</v>
      </c>
      <c r="AA1964">
        <f>IF(S1964=Z1964,0,1)</f>
        <v>1</v>
      </c>
    </row>
    <row r="1965" hidden="1" spans="1:27">
      <c r="A1965">
        <v>4</v>
      </c>
      <c r="B1965">
        <v>16</v>
      </c>
      <c r="C1965" s="3">
        <v>46129</v>
      </c>
      <c r="D1965" t="s">
        <v>88</v>
      </c>
      <c r="E1965" t="s">
        <v>2091</v>
      </c>
      <c r="F1965" t="s">
        <v>211</v>
      </c>
      <c r="G1965" t="s">
        <v>72</v>
      </c>
      <c r="H1965" t="s">
        <v>78</v>
      </c>
      <c r="I1965" t="s">
        <v>63</v>
      </c>
      <c r="J1965" t="s">
        <v>2092</v>
      </c>
      <c r="K1965" t="s">
        <v>64</v>
      </c>
      <c r="L1965" t="s">
        <v>65</v>
      </c>
      <c r="M1965" t="s">
        <v>2093</v>
      </c>
      <c r="N1965">
        <v>25.7</v>
      </c>
      <c r="O1965">
        <v>150</v>
      </c>
      <c r="P1965">
        <v>127</v>
      </c>
      <c r="Q1965">
        <v>277</v>
      </c>
      <c r="R1965">
        <v>0</v>
      </c>
      <c r="S1965">
        <v>277</v>
      </c>
      <c r="T1965">
        <v>58</v>
      </c>
      <c r="U1965">
        <f>SUMIF(货件明细!J:J,E1965,货件明细!AP:AP)</f>
        <v>0</v>
      </c>
      <c r="V1965">
        <f>IF(U1965=T1965,0,1)</f>
        <v>1</v>
      </c>
      <c r="W1965">
        <f>T1965</f>
        <v>58</v>
      </c>
      <c r="X1965">
        <f>SUMIF(货件明细!J:J,E1965,货件明细!H:H)</f>
        <v>0</v>
      </c>
      <c r="Y1965">
        <f>N1965-X1965</f>
        <v>25.7</v>
      </c>
      <c r="Z1965">
        <f>SUMIF(货件明细!J:J,E1965,货件明细!I:I)</f>
        <v>0</v>
      </c>
      <c r="AA1965">
        <f>IF(S1965=Z1965,0,1)</f>
        <v>1</v>
      </c>
    </row>
    <row r="1966" spans="1:27">
      <c r="A1966">
        <v>4</v>
      </c>
      <c r="B1966">
        <v>16</v>
      </c>
      <c r="C1966" s="3">
        <v>46129</v>
      </c>
      <c r="D1966" t="s">
        <v>27</v>
      </c>
      <c r="E1966" t="s">
        <v>2094</v>
      </c>
      <c r="F1966" t="s">
        <v>41</v>
      </c>
      <c r="G1966" t="s">
        <v>30</v>
      </c>
      <c r="H1966" t="s">
        <v>46</v>
      </c>
      <c r="I1966" t="s">
        <v>42</v>
      </c>
      <c r="J1966" t="s">
        <v>42</v>
      </c>
      <c r="K1966" t="s">
        <v>33</v>
      </c>
      <c r="L1966" t="s">
        <v>323</v>
      </c>
      <c r="M1966" t="s">
        <v>44</v>
      </c>
      <c r="N1966">
        <v>41.45</v>
      </c>
      <c r="O1966">
        <v>100</v>
      </c>
      <c r="P1966">
        <v>2973</v>
      </c>
      <c r="Q1966">
        <v>3073</v>
      </c>
      <c r="R1966">
        <v>372.52</v>
      </c>
      <c r="S1966">
        <v>3445.52</v>
      </c>
      <c r="T1966">
        <v>335</v>
      </c>
      <c r="U1966">
        <f>SUMIF(货件明细!J:J,E1966,货件明细!AP:AP)</f>
        <v>335</v>
      </c>
      <c r="V1966">
        <f>IF(U1966=T1966,0,1)</f>
        <v>0</v>
      </c>
      <c r="W1966">
        <f>T1966</f>
        <v>335</v>
      </c>
      <c r="X1966">
        <f>SUMIF(货件明细!J:J,E1966,货件明细!H:H)</f>
        <v>38.485</v>
      </c>
      <c r="Y1966">
        <f>N1966-X1966</f>
        <v>2.965</v>
      </c>
      <c r="Z1966">
        <f>SUMIF(货件明细!J:J,E1966,货件明细!I:I)</f>
        <v>3445.52</v>
      </c>
      <c r="AA1966">
        <f>IF(S1966=Z1966,0,1)</f>
        <v>0</v>
      </c>
    </row>
    <row r="1967" spans="1:27">
      <c r="A1967">
        <v>4</v>
      </c>
      <c r="B1967">
        <v>16</v>
      </c>
      <c r="C1967" s="3">
        <v>46129</v>
      </c>
      <c r="D1967" t="s">
        <v>27</v>
      </c>
      <c r="E1967" t="s">
        <v>2095</v>
      </c>
      <c r="F1967" t="s">
        <v>41</v>
      </c>
      <c r="G1967" t="s">
        <v>30</v>
      </c>
      <c r="H1967" t="s">
        <v>59</v>
      </c>
      <c r="I1967" t="s">
        <v>42</v>
      </c>
      <c r="J1967" t="s">
        <v>42</v>
      </c>
      <c r="K1967" t="s">
        <v>33</v>
      </c>
      <c r="L1967" t="s">
        <v>323</v>
      </c>
      <c r="M1967" t="s">
        <v>44</v>
      </c>
      <c r="N1967">
        <v>28.2</v>
      </c>
      <c r="O1967">
        <v>100</v>
      </c>
      <c r="P1967">
        <v>2076</v>
      </c>
      <c r="Q1967">
        <v>2176</v>
      </c>
      <c r="R1967">
        <v>368.767</v>
      </c>
      <c r="S1967">
        <v>2544.767</v>
      </c>
      <c r="T1967">
        <v>331</v>
      </c>
      <c r="U1967">
        <f>SUMIF(货件明细!J:J,E1967,货件明细!AP:AP)</f>
        <v>331</v>
      </c>
      <c r="V1967">
        <f>IF(U1967=T1967,0,1)</f>
        <v>0</v>
      </c>
      <c r="W1967">
        <f>T1967</f>
        <v>331</v>
      </c>
      <c r="X1967">
        <f>SUMIF(货件明细!J:J,E1967,货件明细!H:H)</f>
        <v>26.516</v>
      </c>
      <c r="Y1967">
        <f>N1967-X1967</f>
        <v>1.684</v>
      </c>
      <c r="Z1967">
        <f>SUMIF(货件明细!J:J,E1967,货件明细!I:I)</f>
        <v>2544.767</v>
      </c>
      <c r="AA1967">
        <f>IF(S1967=Z1967,0,1)</f>
        <v>0</v>
      </c>
    </row>
    <row r="1968" hidden="1" spans="1:27">
      <c r="A1968">
        <v>4</v>
      </c>
      <c r="B1968">
        <v>17</v>
      </c>
      <c r="C1968" s="3">
        <v>46136</v>
      </c>
      <c r="D1968" t="s">
        <v>88</v>
      </c>
      <c r="E1968" t="s">
        <v>2096</v>
      </c>
      <c r="F1968" t="s">
        <v>427</v>
      </c>
      <c r="G1968" t="s">
        <v>72</v>
      </c>
      <c r="H1968" t="s">
        <v>56</v>
      </c>
      <c r="I1968" t="s">
        <v>63</v>
      </c>
      <c r="J1968" t="s">
        <v>146</v>
      </c>
      <c r="K1968" t="s">
        <v>64</v>
      </c>
      <c r="L1968" t="s">
        <v>212</v>
      </c>
      <c r="M1968" t="s">
        <v>1943</v>
      </c>
      <c r="N1968">
        <v>22.65</v>
      </c>
      <c r="O1968">
        <v>20</v>
      </c>
      <c r="P1968">
        <v>111.69</v>
      </c>
      <c r="Q1968">
        <v>131.69</v>
      </c>
      <c r="R1968">
        <v>0</v>
      </c>
      <c r="S1968">
        <v>131.69</v>
      </c>
      <c r="T1968">
        <v>190</v>
      </c>
      <c r="U1968">
        <f>SUMIF(货件明细!J:J,E1968,货件明细!AP:AP)</f>
        <v>0</v>
      </c>
      <c r="V1968">
        <f>IF(U1968=T1968,0,1)</f>
        <v>1</v>
      </c>
      <c r="W1968">
        <f>T1968</f>
        <v>190</v>
      </c>
      <c r="X1968">
        <f>SUMIF(货件明细!J:J,E1968,货件明细!H:H)</f>
        <v>0</v>
      </c>
      <c r="Y1968">
        <f>N1968-X1968</f>
        <v>22.65</v>
      </c>
      <c r="Z1968">
        <f>SUMIF(货件明细!J:J,E1968,货件明细!I:I)</f>
        <v>0</v>
      </c>
      <c r="AA1968">
        <f>IF(S1968=Z1968,0,1)</f>
        <v>1</v>
      </c>
    </row>
    <row r="1969" hidden="1" spans="1:27">
      <c r="A1969">
        <v>4</v>
      </c>
      <c r="B1969">
        <v>17</v>
      </c>
      <c r="C1969" s="3">
        <v>46136</v>
      </c>
      <c r="D1969" t="s">
        <v>88</v>
      </c>
      <c r="E1969" t="s">
        <v>2097</v>
      </c>
      <c r="F1969" t="s">
        <v>427</v>
      </c>
      <c r="G1969" t="s">
        <v>72</v>
      </c>
      <c r="H1969" t="s">
        <v>31</v>
      </c>
      <c r="I1969" t="s">
        <v>63</v>
      </c>
      <c r="J1969" t="s">
        <v>146</v>
      </c>
      <c r="K1969" t="s">
        <v>64</v>
      </c>
      <c r="L1969" t="s">
        <v>212</v>
      </c>
      <c r="M1969" t="s">
        <v>1943</v>
      </c>
      <c r="N1969">
        <v>213.5</v>
      </c>
      <c r="O1969">
        <v>20</v>
      </c>
      <c r="P1969">
        <v>881.11</v>
      </c>
      <c r="Q1969">
        <v>901.11</v>
      </c>
      <c r="R1969">
        <v>0</v>
      </c>
      <c r="S1969">
        <v>901.11</v>
      </c>
      <c r="T1969">
        <v>1961</v>
      </c>
      <c r="U1969">
        <f>SUMIF(货件明细!J:J,E1969,货件明细!AP:AP)</f>
        <v>0</v>
      </c>
      <c r="V1969">
        <f>IF(U1969=T1969,0,1)</f>
        <v>1</v>
      </c>
      <c r="W1969">
        <f>T1969</f>
        <v>1961</v>
      </c>
      <c r="X1969">
        <f>SUMIF(货件明细!J:J,E1969,货件明细!H:H)</f>
        <v>0</v>
      </c>
      <c r="Y1969">
        <f>N1969-X1969</f>
        <v>213.5</v>
      </c>
      <c r="Z1969">
        <f>SUMIF(货件明细!J:J,E1969,货件明细!I:I)</f>
        <v>0</v>
      </c>
      <c r="AA1969">
        <f>IF(S1969=Z1969,0,1)</f>
        <v>1</v>
      </c>
    </row>
    <row r="1970" hidden="1" spans="1:27">
      <c r="A1970">
        <v>4</v>
      </c>
      <c r="B1970">
        <v>17</v>
      </c>
      <c r="C1970" s="3">
        <v>46136</v>
      </c>
      <c r="D1970" t="s">
        <v>88</v>
      </c>
      <c r="E1970" t="s">
        <v>2098</v>
      </c>
      <c r="F1970" t="s">
        <v>427</v>
      </c>
      <c r="G1970" t="s">
        <v>72</v>
      </c>
      <c r="H1970" t="s">
        <v>31</v>
      </c>
      <c r="I1970" t="s">
        <v>63</v>
      </c>
      <c r="J1970" t="s">
        <v>146</v>
      </c>
      <c r="K1970" t="s">
        <v>64</v>
      </c>
      <c r="L1970" t="s">
        <v>212</v>
      </c>
      <c r="M1970" t="s">
        <v>1943</v>
      </c>
      <c r="N1970">
        <v>12</v>
      </c>
      <c r="O1970">
        <v>20</v>
      </c>
      <c r="P1970">
        <v>49.64</v>
      </c>
      <c r="Q1970">
        <v>69.64</v>
      </c>
      <c r="R1970">
        <v>0</v>
      </c>
      <c r="S1970">
        <v>69.64</v>
      </c>
      <c r="T1970">
        <v>108</v>
      </c>
      <c r="U1970">
        <f>SUMIF(货件明细!J:J,E1970,货件明细!AP:AP)</f>
        <v>0</v>
      </c>
      <c r="V1970">
        <f>IF(U1970=T1970,0,1)</f>
        <v>1</v>
      </c>
      <c r="W1970">
        <f>T1970</f>
        <v>108</v>
      </c>
      <c r="X1970">
        <f>SUMIF(货件明细!J:J,E1970,货件明细!H:H)</f>
        <v>0</v>
      </c>
      <c r="Y1970">
        <f>N1970-X1970</f>
        <v>12</v>
      </c>
      <c r="Z1970">
        <f>SUMIF(货件明细!J:J,E1970,货件明细!I:I)</f>
        <v>0</v>
      </c>
      <c r="AA1970">
        <f>IF(S1970=Z1970,0,1)</f>
        <v>1</v>
      </c>
    </row>
    <row r="1971" hidden="1" spans="1:27">
      <c r="A1971">
        <v>4</v>
      </c>
      <c r="B1971">
        <v>17</v>
      </c>
      <c r="C1971" s="3">
        <v>46136</v>
      </c>
      <c r="D1971" t="s">
        <v>88</v>
      </c>
      <c r="E1971" t="s">
        <v>2099</v>
      </c>
      <c r="F1971" t="s">
        <v>427</v>
      </c>
      <c r="G1971" t="s">
        <v>72</v>
      </c>
      <c r="H1971" t="s">
        <v>37</v>
      </c>
      <c r="I1971" t="s">
        <v>63</v>
      </c>
      <c r="J1971" t="s">
        <v>146</v>
      </c>
      <c r="K1971" t="s">
        <v>64</v>
      </c>
      <c r="L1971" t="s">
        <v>212</v>
      </c>
      <c r="M1971" t="s">
        <v>1943</v>
      </c>
      <c r="N1971">
        <v>21.5</v>
      </c>
      <c r="O1971">
        <v>20</v>
      </c>
      <c r="P1971">
        <v>124.1</v>
      </c>
      <c r="Q1971">
        <v>144.1</v>
      </c>
      <c r="R1971">
        <v>0</v>
      </c>
      <c r="S1971">
        <v>144.1</v>
      </c>
      <c r="T1971">
        <v>102</v>
      </c>
      <c r="U1971">
        <f>SUMIF(货件明细!J:J,E1971,货件明细!AP:AP)</f>
        <v>0</v>
      </c>
      <c r="V1971">
        <f>IF(U1971=T1971,0,1)</f>
        <v>1</v>
      </c>
      <c r="W1971">
        <f>T1971</f>
        <v>102</v>
      </c>
      <c r="X1971">
        <f>SUMIF(货件明细!J:J,E1971,货件明细!H:H)</f>
        <v>0</v>
      </c>
      <c r="Y1971">
        <f>N1971-X1971</f>
        <v>21.5</v>
      </c>
      <c r="Z1971">
        <f>SUMIF(货件明细!J:J,E1971,货件明细!I:I)</f>
        <v>0</v>
      </c>
      <c r="AA1971">
        <f>IF(S1971=Z1971,0,1)</f>
        <v>1</v>
      </c>
    </row>
    <row r="1972" hidden="1" spans="1:27">
      <c r="A1972">
        <v>4</v>
      </c>
      <c r="B1972">
        <v>17</v>
      </c>
      <c r="C1972" s="3">
        <v>46136</v>
      </c>
      <c r="D1972" t="s">
        <v>88</v>
      </c>
      <c r="E1972" t="s">
        <v>2100</v>
      </c>
      <c r="F1972" t="s">
        <v>427</v>
      </c>
      <c r="G1972" t="s">
        <v>72</v>
      </c>
      <c r="H1972" t="s">
        <v>78</v>
      </c>
      <c r="I1972" t="s">
        <v>63</v>
      </c>
      <c r="J1972" t="s">
        <v>146</v>
      </c>
      <c r="K1972" t="s">
        <v>64</v>
      </c>
      <c r="L1972" t="s">
        <v>212</v>
      </c>
      <c r="M1972" t="s">
        <v>1943</v>
      </c>
      <c r="N1972">
        <v>72.35</v>
      </c>
      <c r="O1972">
        <v>20</v>
      </c>
      <c r="P1972">
        <v>297.84</v>
      </c>
      <c r="Q1972">
        <v>317.84</v>
      </c>
      <c r="R1972">
        <v>0</v>
      </c>
      <c r="S1972">
        <v>317.84</v>
      </c>
      <c r="T1972">
        <v>645</v>
      </c>
      <c r="U1972">
        <f>SUMIF(货件明细!J:J,E1972,货件明细!AP:AP)</f>
        <v>0</v>
      </c>
      <c r="V1972">
        <f>IF(U1972=T1972,0,1)</f>
        <v>1</v>
      </c>
      <c r="W1972">
        <f>T1972</f>
        <v>645</v>
      </c>
      <c r="X1972">
        <f>SUMIF(货件明细!J:J,E1972,货件明细!H:H)</f>
        <v>0</v>
      </c>
      <c r="Y1972">
        <f>N1972-X1972</f>
        <v>72.35</v>
      </c>
      <c r="Z1972">
        <f>SUMIF(货件明细!J:J,E1972,货件明细!I:I)</f>
        <v>0</v>
      </c>
      <c r="AA1972">
        <f>IF(S1972=Z1972,0,1)</f>
        <v>1</v>
      </c>
    </row>
    <row r="1973" hidden="1" spans="1:27">
      <c r="A1973">
        <v>4</v>
      </c>
      <c r="B1973">
        <v>17</v>
      </c>
      <c r="C1973" s="3">
        <v>46136</v>
      </c>
      <c r="D1973" t="s">
        <v>88</v>
      </c>
      <c r="E1973" t="s">
        <v>2101</v>
      </c>
      <c r="F1973" t="s">
        <v>427</v>
      </c>
      <c r="G1973" t="s">
        <v>72</v>
      </c>
      <c r="H1973" t="s">
        <v>78</v>
      </c>
      <c r="I1973" t="s">
        <v>63</v>
      </c>
      <c r="J1973" t="s">
        <v>146</v>
      </c>
      <c r="K1973" t="s">
        <v>64</v>
      </c>
      <c r="L1973" t="s">
        <v>212</v>
      </c>
      <c r="M1973" t="s">
        <v>1943</v>
      </c>
      <c r="N1973">
        <v>9.6</v>
      </c>
      <c r="O1973">
        <v>20</v>
      </c>
      <c r="P1973">
        <v>37.23</v>
      </c>
      <c r="Q1973">
        <v>57.23</v>
      </c>
      <c r="R1973">
        <v>0</v>
      </c>
      <c r="S1973">
        <v>57.23</v>
      </c>
      <c r="T1973">
        <v>87</v>
      </c>
      <c r="U1973">
        <f>SUMIF(货件明细!J:J,E1973,货件明细!AP:AP)</f>
        <v>0</v>
      </c>
      <c r="V1973">
        <f>IF(U1973=T1973,0,1)</f>
        <v>1</v>
      </c>
      <c r="W1973">
        <f>T1973</f>
        <v>87</v>
      </c>
      <c r="X1973">
        <f>SUMIF(货件明细!J:J,E1973,货件明细!H:H)</f>
        <v>0</v>
      </c>
      <c r="Y1973">
        <f>N1973-X1973</f>
        <v>9.6</v>
      </c>
      <c r="Z1973">
        <f>SUMIF(货件明细!J:J,E1973,货件明细!I:I)</f>
        <v>0</v>
      </c>
      <c r="AA1973">
        <f>IF(S1973=Z1973,0,1)</f>
        <v>1</v>
      </c>
    </row>
    <row r="1974" hidden="1" spans="1:27">
      <c r="A1974">
        <v>4</v>
      </c>
      <c r="B1974">
        <v>17</v>
      </c>
      <c r="C1974" s="3">
        <v>46136</v>
      </c>
      <c r="D1974" t="s">
        <v>88</v>
      </c>
      <c r="E1974" t="s">
        <v>2102</v>
      </c>
      <c r="F1974" t="s">
        <v>427</v>
      </c>
      <c r="G1974" t="s">
        <v>72</v>
      </c>
      <c r="H1974" t="s">
        <v>59</v>
      </c>
      <c r="I1974" t="s">
        <v>63</v>
      </c>
      <c r="J1974" t="s">
        <v>146</v>
      </c>
      <c r="K1974" t="s">
        <v>64</v>
      </c>
      <c r="L1974" t="s">
        <v>212</v>
      </c>
      <c r="M1974" t="s">
        <v>1943</v>
      </c>
      <c r="N1974">
        <v>9.8</v>
      </c>
      <c r="O1974">
        <v>20</v>
      </c>
      <c r="P1974">
        <v>62.05</v>
      </c>
      <c r="Q1974">
        <v>82.05</v>
      </c>
      <c r="R1974">
        <v>0</v>
      </c>
      <c r="S1974">
        <v>82.05</v>
      </c>
      <c r="T1974">
        <v>45</v>
      </c>
      <c r="U1974">
        <f>SUMIF(货件明细!J:J,E1974,货件明细!AP:AP)</f>
        <v>0</v>
      </c>
      <c r="V1974">
        <f>IF(U1974=T1974,0,1)</f>
        <v>1</v>
      </c>
      <c r="W1974">
        <f>T1974</f>
        <v>45</v>
      </c>
      <c r="X1974">
        <f>SUMIF(货件明细!J:J,E1974,货件明细!H:H)</f>
        <v>0</v>
      </c>
      <c r="Y1974">
        <f>N1974-X1974</f>
        <v>9.8</v>
      </c>
      <c r="Z1974">
        <f>SUMIF(货件明细!J:J,E1974,货件明细!I:I)</f>
        <v>0</v>
      </c>
      <c r="AA1974">
        <f>IF(S1974=Z1974,0,1)</f>
        <v>1</v>
      </c>
    </row>
    <row r="1975" hidden="1" spans="1:27">
      <c r="A1975">
        <v>4</v>
      </c>
      <c r="B1975">
        <v>17</v>
      </c>
      <c r="C1975" s="3">
        <v>46136</v>
      </c>
      <c r="D1975" t="s">
        <v>27</v>
      </c>
      <c r="E1975" t="s">
        <v>2103</v>
      </c>
      <c r="F1975" t="s">
        <v>561</v>
      </c>
      <c r="G1975" t="s">
        <v>72</v>
      </c>
      <c r="H1975" t="s">
        <v>31</v>
      </c>
      <c r="I1975" t="s">
        <v>146</v>
      </c>
      <c r="J1975" t="s">
        <v>146</v>
      </c>
      <c r="K1975" t="s">
        <v>64</v>
      </c>
      <c r="L1975" t="s">
        <v>212</v>
      </c>
      <c r="M1975" t="s">
        <v>1943</v>
      </c>
      <c r="N1975">
        <v>122</v>
      </c>
      <c r="O1975">
        <v>20</v>
      </c>
      <c r="P1975">
        <v>648.25</v>
      </c>
      <c r="Q1975">
        <v>668.25</v>
      </c>
      <c r="R1975">
        <v>1674.255</v>
      </c>
      <c r="S1975">
        <v>2342.505</v>
      </c>
      <c r="T1975">
        <v>740</v>
      </c>
      <c r="U1975">
        <f>SUMIF(货件明细!J:J,E1975,货件明细!AP:AP)</f>
        <v>0</v>
      </c>
      <c r="V1975">
        <f>IF(U1975=T1975,0,1)</f>
        <v>1</v>
      </c>
      <c r="W1975">
        <f>T1975</f>
        <v>740</v>
      </c>
      <c r="X1975">
        <f>SUMIF(货件明细!J:J,E1975,货件明细!H:H)</f>
        <v>0</v>
      </c>
      <c r="Y1975">
        <f>N1975-X1975</f>
        <v>122</v>
      </c>
      <c r="Z1975">
        <f>SUMIF(货件明细!J:J,E1975,货件明细!I:I)</f>
        <v>0</v>
      </c>
      <c r="AA1975">
        <f>IF(S1975=Z1975,0,1)</f>
        <v>1</v>
      </c>
    </row>
    <row r="1976" hidden="1" spans="1:27">
      <c r="A1976">
        <v>4</v>
      </c>
      <c r="B1976">
        <v>17</v>
      </c>
      <c r="C1976" s="3">
        <v>46136</v>
      </c>
      <c r="D1976" t="s">
        <v>27</v>
      </c>
      <c r="E1976" t="s">
        <v>2104</v>
      </c>
      <c r="F1976" t="s">
        <v>561</v>
      </c>
      <c r="G1976" t="s">
        <v>72</v>
      </c>
      <c r="H1976" t="s">
        <v>78</v>
      </c>
      <c r="I1976" t="s">
        <v>146</v>
      </c>
      <c r="J1976" t="s">
        <v>146</v>
      </c>
      <c r="K1976" t="s">
        <v>64</v>
      </c>
      <c r="L1976" t="s">
        <v>212</v>
      </c>
      <c r="M1976" t="s">
        <v>1943</v>
      </c>
      <c r="N1976">
        <v>27.6</v>
      </c>
      <c r="O1976">
        <v>20</v>
      </c>
      <c r="P1976">
        <v>103.72</v>
      </c>
      <c r="Q1976">
        <v>123.72</v>
      </c>
      <c r="R1976">
        <v>504.57</v>
      </c>
      <c r="S1976">
        <v>628.29</v>
      </c>
      <c r="T1976">
        <v>242</v>
      </c>
      <c r="U1976">
        <f>SUMIF(货件明细!J:J,E1976,货件明细!AP:AP)</f>
        <v>0</v>
      </c>
      <c r="V1976">
        <f>IF(U1976=T1976,0,1)</f>
        <v>1</v>
      </c>
      <c r="W1976">
        <f>T1976</f>
        <v>242</v>
      </c>
      <c r="X1976">
        <f>SUMIF(货件明细!J:J,E1976,货件明细!H:H)</f>
        <v>0</v>
      </c>
      <c r="Y1976">
        <f>N1976-X1976</f>
        <v>27.6</v>
      </c>
      <c r="Z1976">
        <f>SUMIF(货件明细!J:J,E1976,货件明细!I:I)</f>
        <v>0</v>
      </c>
      <c r="AA1976">
        <f>IF(S1976=Z1976,0,1)</f>
        <v>1</v>
      </c>
    </row>
    <row r="1977" hidden="1" spans="1:27">
      <c r="A1977">
        <v>4</v>
      </c>
      <c r="B1977">
        <v>17</v>
      </c>
      <c r="C1977" s="3">
        <v>46136</v>
      </c>
      <c r="D1977" t="s">
        <v>27</v>
      </c>
      <c r="E1977" t="s">
        <v>2105</v>
      </c>
      <c r="F1977" t="s">
        <v>561</v>
      </c>
      <c r="G1977" t="s">
        <v>72</v>
      </c>
      <c r="H1977" t="s">
        <v>224</v>
      </c>
      <c r="I1977" t="s">
        <v>146</v>
      </c>
      <c r="J1977" t="s">
        <v>146</v>
      </c>
      <c r="K1977" t="s">
        <v>64</v>
      </c>
      <c r="L1977" t="s">
        <v>212</v>
      </c>
      <c r="M1977" t="s">
        <v>1943</v>
      </c>
      <c r="N1977">
        <v>86</v>
      </c>
      <c r="O1977">
        <v>20</v>
      </c>
      <c r="P1977">
        <v>479.705</v>
      </c>
      <c r="Q1977">
        <v>499.705</v>
      </c>
      <c r="R1977">
        <v>963.27</v>
      </c>
      <c r="S1977">
        <v>1462.975</v>
      </c>
      <c r="T1977">
        <v>385</v>
      </c>
      <c r="U1977">
        <f>SUMIF(货件明细!J:J,E1977,货件明细!AP:AP)</f>
        <v>0</v>
      </c>
      <c r="V1977">
        <f>IF(U1977=T1977,0,1)</f>
        <v>1</v>
      </c>
      <c r="W1977">
        <f>T1977</f>
        <v>385</v>
      </c>
      <c r="X1977">
        <f>SUMIF(货件明细!J:J,E1977,货件明细!H:H)</f>
        <v>0</v>
      </c>
      <c r="Y1977">
        <f>N1977-X1977</f>
        <v>86</v>
      </c>
      <c r="Z1977">
        <f>SUMIF(货件明细!J:J,E1977,货件明细!I:I)</f>
        <v>0</v>
      </c>
      <c r="AA1977">
        <f>IF(S1977=Z1977,0,1)</f>
        <v>1</v>
      </c>
    </row>
    <row r="1978" spans="1:27">
      <c r="A1978">
        <v>4</v>
      </c>
      <c r="B1978">
        <v>17</v>
      </c>
      <c r="C1978" s="3">
        <v>46132</v>
      </c>
      <c r="D1978" t="s">
        <v>27</v>
      </c>
      <c r="E1978" t="s">
        <v>2106</v>
      </c>
      <c r="F1978" t="s">
        <v>41</v>
      </c>
      <c r="G1978" t="s">
        <v>30</v>
      </c>
      <c r="H1978" t="s">
        <v>31</v>
      </c>
      <c r="I1978" t="s">
        <v>32</v>
      </c>
      <c r="J1978" t="s">
        <v>32</v>
      </c>
      <c r="K1978" t="s">
        <v>33</v>
      </c>
      <c r="L1978" t="s">
        <v>43</v>
      </c>
      <c r="M1978" t="s">
        <v>47</v>
      </c>
      <c r="N1978">
        <v>59.5</v>
      </c>
      <c r="O1978">
        <v>75</v>
      </c>
      <c r="P1978">
        <v>4110</v>
      </c>
      <c r="Q1978">
        <v>4185</v>
      </c>
      <c r="R1978">
        <v>469.264</v>
      </c>
      <c r="S1978">
        <v>4654.264</v>
      </c>
      <c r="T1978">
        <v>420</v>
      </c>
      <c r="U1978">
        <f>SUMIF(货件明细!J:J,E1978,货件明细!AP:AP)</f>
        <v>420</v>
      </c>
      <c r="V1978">
        <f>IF(U1978=T1978,0,1)</f>
        <v>0</v>
      </c>
      <c r="W1978">
        <f>T1978</f>
        <v>420</v>
      </c>
      <c r="X1978">
        <f>SUMIF(货件明细!J:J,E1978,货件明细!H:H)</f>
        <v>56.44</v>
      </c>
      <c r="Y1978">
        <f>N1978-X1978</f>
        <v>3.06</v>
      </c>
      <c r="Z1978">
        <f>SUMIF(货件明细!J:J,E1978,货件明细!I:I)</f>
        <v>4654.264</v>
      </c>
      <c r="AA1978">
        <f>IF(S1978=Z1978,0,1)</f>
        <v>0</v>
      </c>
    </row>
    <row r="1979" spans="1:27">
      <c r="A1979">
        <v>4</v>
      </c>
      <c r="B1979">
        <v>17</v>
      </c>
      <c r="C1979" s="3">
        <v>46132</v>
      </c>
      <c r="D1979" t="s">
        <v>27</v>
      </c>
      <c r="E1979" t="s">
        <v>2107</v>
      </c>
      <c r="F1979" t="s">
        <v>41</v>
      </c>
      <c r="G1979" t="s">
        <v>30</v>
      </c>
      <c r="H1979" t="s">
        <v>37</v>
      </c>
      <c r="I1979" t="s">
        <v>32</v>
      </c>
      <c r="J1979" t="s">
        <v>32</v>
      </c>
      <c r="K1979" t="s">
        <v>33</v>
      </c>
      <c r="L1979" t="s">
        <v>43</v>
      </c>
      <c r="M1979" t="s">
        <v>47</v>
      </c>
      <c r="N1979">
        <v>44.7</v>
      </c>
      <c r="O1979">
        <v>75</v>
      </c>
      <c r="P1979">
        <v>3014</v>
      </c>
      <c r="Q1979">
        <v>3089</v>
      </c>
      <c r="R1979">
        <v>500.4</v>
      </c>
      <c r="S1979">
        <v>3589.4</v>
      </c>
      <c r="T1979">
        <v>450</v>
      </c>
      <c r="U1979">
        <f>SUMIF(货件明细!J:J,E1979,货件明细!AP:AP)</f>
        <v>450</v>
      </c>
      <c r="V1979">
        <f>IF(U1979=T1979,0,1)</f>
        <v>0</v>
      </c>
      <c r="W1979">
        <f>T1979</f>
        <v>450</v>
      </c>
      <c r="X1979">
        <f>SUMIF(货件明细!J:J,E1979,货件明细!H:H)</f>
        <v>42.06</v>
      </c>
      <c r="Y1979">
        <f>N1979-X1979</f>
        <v>2.64</v>
      </c>
      <c r="Z1979">
        <f>SUMIF(货件明细!J:J,E1979,货件明细!I:I)</f>
        <v>3589.4</v>
      </c>
      <c r="AA1979">
        <f>IF(S1979=Z1979,0,1)</f>
        <v>0</v>
      </c>
    </row>
    <row r="1980" spans="1:27">
      <c r="A1980">
        <v>4</v>
      </c>
      <c r="B1980">
        <v>17</v>
      </c>
      <c r="C1980" s="3">
        <v>46132</v>
      </c>
      <c r="D1980" t="s">
        <v>27</v>
      </c>
      <c r="E1980" t="s">
        <v>2108</v>
      </c>
      <c r="F1980" t="s">
        <v>41</v>
      </c>
      <c r="G1980" t="s">
        <v>30</v>
      </c>
      <c r="H1980" t="s">
        <v>78</v>
      </c>
      <c r="I1980" t="s">
        <v>32</v>
      </c>
      <c r="J1980" t="s">
        <v>32</v>
      </c>
      <c r="K1980" t="s">
        <v>33</v>
      </c>
      <c r="L1980" t="s">
        <v>43</v>
      </c>
      <c r="M1980" t="s">
        <v>47</v>
      </c>
      <c r="N1980">
        <v>45.15</v>
      </c>
      <c r="O1980">
        <v>75</v>
      </c>
      <c r="P1980">
        <v>3082.5</v>
      </c>
      <c r="Q1980">
        <v>3157.5</v>
      </c>
      <c r="R1980">
        <v>422.56</v>
      </c>
      <c r="S1980">
        <v>3580.06</v>
      </c>
      <c r="T1980">
        <v>380</v>
      </c>
      <c r="U1980">
        <f>SUMIF(货件明细!J:J,E1980,货件明细!AP:AP)</f>
        <v>380</v>
      </c>
      <c r="V1980">
        <f>IF(U1980=T1980,0,1)</f>
        <v>0</v>
      </c>
      <c r="W1980">
        <f>T1980</f>
        <v>380</v>
      </c>
      <c r="X1980">
        <f>SUMIF(货件明细!J:J,E1980,货件明细!H:H)</f>
        <v>42.49</v>
      </c>
      <c r="Y1980">
        <f>N1980-X1980</f>
        <v>2.66</v>
      </c>
      <c r="Z1980">
        <f>SUMIF(货件明细!J:J,E1980,货件明细!I:I)</f>
        <v>3580.06</v>
      </c>
      <c r="AA1980">
        <f>IF(S1980=Z1980,0,1)</f>
        <v>0</v>
      </c>
    </row>
    <row r="1981" spans="1:27">
      <c r="A1981">
        <v>4</v>
      </c>
      <c r="B1981">
        <v>17</v>
      </c>
      <c r="C1981" s="3">
        <v>46132</v>
      </c>
      <c r="D1981" t="s">
        <v>27</v>
      </c>
      <c r="E1981" t="s">
        <v>2109</v>
      </c>
      <c r="F1981" t="s">
        <v>41</v>
      </c>
      <c r="G1981" t="s">
        <v>30</v>
      </c>
      <c r="H1981" t="s">
        <v>56</v>
      </c>
      <c r="I1981" t="s">
        <v>32</v>
      </c>
      <c r="J1981" t="s">
        <v>32</v>
      </c>
      <c r="K1981" t="s">
        <v>33</v>
      </c>
      <c r="L1981" t="s">
        <v>43</v>
      </c>
      <c r="M1981" t="s">
        <v>47</v>
      </c>
      <c r="N1981">
        <v>68.6</v>
      </c>
      <c r="O1981">
        <v>75</v>
      </c>
      <c r="P1981">
        <v>4726.5</v>
      </c>
      <c r="Q1981">
        <v>4801.5</v>
      </c>
      <c r="R1981">
        <v>467.735</v>
      </c>
      <c r="S1981">
        <v>5269.235</v>
      </c>
      <c r="T1981">
        <v>284</v>
      </c>
      <c r="U1981">
        <f>SUMIF(货件明细!J:J,E1981,货件明细!AP:AP)</f>
        <v>284</v>
      </c>
      <c r="V1981">
        <f>IF(U1981=T1981,0,1)</f>
        <v>0</v>
      </c>
      <c r="W1981">
        <f>T1981</f>
        <v>284</v>
      </c>
      <c r="X1981">
        <f>SUMIF(货件明细!J:J,E1981,货件明细!H:H)</f>
        <v>65.5848</v>
      </c>
      <c r="Y1981">
        <f>N1981-X1981</f>
        <v>3.01519999999999</v>
      </c>
      <c r="Z1981">
        <f>SUMIF(货件明细!J:J,E1981,货件明细!I:I)</f>
        <v>5269.235</v>
      </c>
      <c r="AA1981">
        <f>IF(S1981=Z1981,0,1)</f>
        <v>0</v>
      </c>
    </row>
    <row r="1982" spans="1:27">
      <c r="A1982">
        <v>4</v>
      </c>
      <c r="B1982">
        <v>17</v>
      </c>
      <c r="C1982" s="3">
        <v>46133</v>
      </c>
      <c r="D1982" t="s">
        <v>27</v>
      </c>
      <c r="E1982" t="s">
        <v>2110</v>
      </c>
      <c r="F1982" t="s">
        <v>41</v>
      </c>
      <c r="G1982" t="s">
        <v>30</v>
      </c>
      <c r="H1982" t="s">
        <v>37</v>
      </c>
      <c r="I1982" t="s">
        <v>42</v>
      </c>
      <c r="J1982" t="s">
        <v>42</v>
      </c>
      <c r="K1982" t="s">
        <v>33</v>
      </c>
      <c r="L1982" t="s">
        <v>323</v>
      </c>
      <c r="M1982" t="s">
        <v>44</v>
      </c>
      <c r="N1982">
        <v>28.7</v>
      </c>
      <c r="O1982">
        <v>200</v>
      </c>
      <c r="P1982">
        <v>2269</v>
      </c>
      <c r="Q1982">
        <v>2469</v>
      </c>
      <c r="R1982">
        <v>361.4</v>
      </c>
      <c r="S1982">
        <v>2830.4</v>
      </c>
      <c r="T1982">
        <v>280</v>
      </c>
      <c r="U1982">
        <f>SUMIF(货件明细!J:J,E1982,货件明细!AP:AP)</f>
        <v>280</v>
      </c>
      <c r="V1982">
        <f>IF(U1982=T1982,0,1)</f>
        <v>0</v>
      </c>
      <c r="W1982">
        <f>T1982</f>
        <v>280</v>
      </c>
      <c r="X1982">
        <f>SUMIF(货件明细!J:J,E1982,货件明细!H:H)</f>
        <v>26.86</v>
      </c>
      <c r="Y1982">
        <f>N1982-X1982</f>
        <v>1.84</v>
      </c>
      <c r="Z1982">
        <f>SUMIF(货件明细!J:J,E1982,货件明细!I:I)</f>
        <v>2830.4</v>
      </c>
      <c r="AA1982">
        <f>IF(S1982=Z1982,0,1)</f>
        <v>0</v>
      </c>
    </row>
    <row r="1983" spans="1:27">
      <c r="A1983">
        <v>4</v>
      </c>
      <c r="B1983">
        <v>17</v>
      </c>
      <c r="C1983" s="3">
        <v>46134</v>
      </c>
      <c r="D1983" t="s">
        <v>27</v>
      </c>
      <c r="E1983" t="s">
        <v>2111</v>
      </c>
      <c r="F1983" t="s">
        <v>41</v>
      </c>
      <c r="G1983" t="s">
        <v>30</v>
      </c>
      <c r="H1983" t="s">
        <v>31</v>
      </c>
      <c r="I1983" t="s">
        <v>42</v>
      </c>
      <c r="J1983" t="s">
        <v>42</v>
      </c>
      <c r="K1983" t="s">
        <v>33</v>
      </c>
      <c r="L1983" t="s">
        <v>207</v>
      </c>
      <c r="M1983" t="s">
        <v>44</v>
      </c>
      <c r="N1983">
        <v>16.95</v>
      </c>
      <c r="O1983">
        <v>100</v>
      </c>
      <c r="P1983">
        <v>1241.2</v>
      </c>
      <c r="Q1983">
        <v>1341.2</v>
      </c>
      <c r="R1983">
        <v>112.59</v>
      </c>
      <c r="S1983">
        <v>1453.79</v>
      </c>
      <c r="T1983">
        <v>100</v>
      </c>
      <c r="U1983">
        <f>SUMIF(货件明细!J:J,E1983,货件明细!AP:AP)</f>
        <v>100</v>
      </c>
      <c r="V1983">
        <f>IF(U1983=T1983,0,1)</f>
        <v>0</v>
      </c>
      <c r="W1983">
        <f>T1983</f>
        <v>100</v>
      </c>
      <c r="X1983">
        <f>SUMIF(货件明细!J:J,E1983,货件明细!H:H)</f>
        <v>17.39</v>
      </c>
      <c r="Y1983">
        <f>N1983-X1983</f>
        <v>-0.440000000000001</v>
      </c>
      <c r="Z1983">
        <f>SUMIF(货件明细!J:J,E1983,货件明细!I:I)</f>
        <v>1453.79</v>
      </c>
      <c r="AA1983">
        <f>IF(S1983=Z1983,0,1)</f>
        <v>0</v>
      </c>
    </row>
    <row r="1984" spans="1:27">
      <c r="A1984">
        <v>4</v>
      </c>
      <c r="B1984">
        <v>17</v>
      </c>
      <c r="C1984" s="3">
        <v>46134</v>
      </c>
      <c r="D1984" t="s">
        <v>27</v>
      </c>
      <c r="E1984" t="s">
        <v>2112</v>
      </c>
      <c r="F1984" t="s">
        <v>41</v>
      </c>
      <c r="G1984" t="s">
        <v>30</v>
      </c>
      <c r="H1984" t="s">
        <v>46</v>
      </c>
      <c r="I1984" t="s">
        <v>42</v>
      </c>
      <c r="J1984" t="s">
        <v>42</v>
      </c>
      <c r="K1984" t="s">
        <v>33</v>
      </c>
      <c r="L1984" t="s">
        <v>207</v>
      </c>
      <c r="M1984" t="s">
        <v>44</v>
      </c>
      <c r="N1984">
        <v>48.25</v>
      </c>
      <c r="O1984">
        <v>100</v>
      </c>
      <c r="P1984">
        <v>3513.2</v>
      </c>
      <c r="Q1984">
        <v>3613.2</v>
      </c>
      <c r="R1984">
        <v>355.84</v>
      </c>
      <c r="S1984">
        <v>3969.04</v>
      </c>
      <c r="T1984">
        <v>320</v>
      </c>
      <c r="U1984">
        <f>SUMIF(货件明细!J:J,E1984,货件明细!AP:AP)</f>
        <v>320</v>
      </c>
      <c r="V1984">
        <f>IF(U1984=T1984,0,1)</f>
        <v>0</v>
      </c>
      <c r="W1984">
        <f>T1984</f>
        <v>320</v>
      </c>
      <c r="X1984">
        <f>SUMIF(货件明细!J:J,E1984,货件明细!H:H)</f>
        <v>45.6</v>
      </c>
      <c r="Y1984">
        <f>N1984-X1984</f>
        <v>2.65000000000001</v>
      </c>
      <c r="Z1984">
        <f>SUMIF(货件明细!J:J,E1984,货件明细!I:I)</f>
        <v>3969.04</v>
      </c>
      <c r="AA1984">
        <f>IF(S1984=Z1984,0,1)</f>
        <v>0</v>
      </c>
    </row>
    <row r="1985" spans="1:27">
      <c r="A1985">
        <v>4</v>
      </c>
      <c r="B1985">
        <v>17</v>
      </c>
      <c r="C1985" s="3">
        <v>46135</v>
      </c>
      <c r="D1985" t="s">
        <v>27</v>
      </c>
      <c r="E1985" t="s">
        <v>2113</v>
      </c>
      <c r="F1985" t="s">
        <v>41</v>
      </c>
      <c r="G1985" t="s">
        <v>30</v>
      </c>
      <c r="H1985" t="s">
        <v>224</v>
      </c>
      <c r="I1985" t="s">
        <v>42</v>
      </c>
      <c r="J1985" t="s">
        <v>42</v>
      </c>
      <c r="K1985" t="s">
        <v>33</v>
      </c>
      <c r="L1985" t="s">
        <v>323</v>
      </c>
      <c r="M1985" t="s">
        <v>44</v>
      </c>
      <c r="N1985">
        <v>54.2</v>
      </c>
      <c r="O1985">
        <v>200</v>
      </c>
      <c r="P1985">
        <v>4085.3</v>
      </c>
      <c r="Q1985">
        <v>4285.3</v>
      </c>
      <c r="R1985">
        <v>795.08</v>
      </c>
      <c r="S1985">
        <v>5080.38</v>
      </c>
      <c r="T1985">
        <v>715</v>
      </c>
      <c r="U1985">
        <f>SUMIF(货件明细!J:J,E1985,货件明细!AP:AP)</f>
        <v>715</v>
      </c>
      <c r="V1985">
        <f>IF(U1985=T1985,0,1)</f>
        <v>0</v>
      </c>
      <c r="W1985">
        <f>T1985</f>
        <v>715</v>
      </c>
      <c r="X1985">
        <f>SUMIF(货件明细!J:J,E1985,货件明细!H:H)</f>
        <v>51.055</v>
      </c>
      <c r="Y1985">
        <f>N1985-X1985</f>
        <v>3.145</v>
      </c>
      <c r="Z1985">
        <f>SUMIF(货件明细!J:J,E1985,货件明细!I:I)</f>
        <v>5080.38</v>
      </c>
      <c r="AA1985">
        <f>IF(S1985=Z1985,0,1)</f>
        <v>0</v>
      </c>
    </row>
    <row r="1986" hidden="1" spans="1:27">
      <c r="A1986">
        <v>4</v>
      </c>
      <c r="B1986">
        <v>17</v>
      </c>
      <c r="C1986" s="3">
        <v>46136</v>
      </c>
      <c r="D1986" t="s">
        <v>27</v>
      </c>
      <c r="E1986" t="s">
        <v>2114</v>
      </c>
      <c r="F1986" t="s">
        <v>138</v>
      </c>
      <c r="G1986" t="s">
        <v>69</v>
      </c>
      <c r="H1986" t="s">
        <v>37</v>
      </c>
      <c r="I1986" t="s">
        <v>63</v>
      </c>
      <c r="J1986" t="s">
        <v>2115</v>
      </c>
      <c r="K1986" t="s">
        <v>64</v>
      </c>
      <c r="L1986" t="s">
        <v>65</v>
      </c>
      <c r="M1986" t="s">
        <v>1235</v>
      </c>
      <c r="N1986">
        <v>26.6</v>
      </c>
      <c r="O1986">
        <v>5</v>
      </c>
      <c r="P1986">
        <v>156.6</v>
      </c>
      <c r="Q1986">
        <v>161.6</v>
      </c>
      <c r="R1986">
        <v>0</v>
      </c>
      <c r="S1986">
        <v>161.6</v>
      </c>
      <c r="T1986">
        <v>194</v>
      </c>
      <c r="U1986">
        <f>SUMIF(货件明细!J:J,E1986,货件明细!AP:AP)</f>
        <v>0</v>
      </c>
      <c r="V1986">
        <f>IF(U1986=T1986,0,1)</f>
        <v>1</v>
      </c>
      <c r="W1986">
        <f>T1986</f>
        <v>194</v>
      </c>
      <c r="X1986">
        <f>SUMIF(货件明细!J:J,E1986,货件明细!H:H)</f>
        <v>0</v>
      </c>
      <c r="Y1986">
        <f>N1986-X1986</f>
        <v>26.6</v>
      </c>
      <c r="Z1986">
        <f>SUMIF(货件明细!J:J,E1986,货件明细!I:I)</f>
        <v>0</v>
      </c>
      <c r="AA1986">
        <f>IF(S1986=Z1986,0,1)</f>
        <v>1</v>
      </c>
    </row>
    <row r="1987" hidden="1" spans="1:27">
      <c r="A1987">
        <v>4</v>
      </c>
      <c r="B1987">
        <v>17</v>
      </c>
      <c r="C1987" s="3">
        <v>46136</v>
      </c>
      <c r="D1987" t="s">
        <v>27</v>
      </c>
      <c r="E1987" t="s">
        <v>2116</v>
      </c>
      <c r="F1987" t="s">
        <v>187</v>
      </c>
      <c r="G1987" t="s">
        <v>72</v>
      </c>
      <c r="H1987" t="s">
        <v>37</v>
      </c>
      <c r="I1987" t="s">
        <v>63</v>
      </c>
      <c r="J1987" t="s">
        <v>2115</v>
      </c>
      <c r="K1987" t="s">
        <v>64</v>
      </c>
      <c r="L1987" t="s">
        <v>65</v>
      </c>
      <c r="M1987" t="s">
        <v>1235</v>
      </c>
      <c r="N1987">
        <v>26.6</v>
      </c>
      <c r="O1987">
        <v>5</v>
      </c>
      <c r="P1987">
        <v>107.55</v>
      </c>
      <c r="Q1987">
        <v>112.55</v>
      </c>
      <c r="R1987">
        <v>0</v>
      </c>
      <c r="S1987">
        <v>112.55</v>
      </c>
      <c r="T1987">
        <v>194</v>
      </c>
      <c r="U1987">
        <f>SUMIF(货件明细!J:J,E1987,货件明细!AP:AP)</f>
        <v>0</v>
      </c>
      <c r="V1987">
        <f>IF(U1987=T1987,0,1)</f>
        <v>1</v>
      </c>
      <c r="W1987">
        <f>T1987</f>
        <v>194</v>
      </c>
      <c r="X1987">
        <f>SUMIF(货件明细!J:J,E1987,货件明细!H:H)</f>
        <v>0</v>
      </c>
      <c r="Y1987">
        <f>N1987-X1987</f>
        <v>26.6</v>
      </c>
      <c r="Z1987">
        <f>SUMIF(货件明细!J:J,E1987,货件明细!I:I)</f>
        <v>0</v>
      </c>
      <c r="AA1987">
        <f>IF(S1987=Z1987,0,1)</f>
        <v>1</v>
      </c>
    </row>
    <row r="1988" hidden="1" spans="1:27">
      <c r="A1988">
        <v>4</v>
      </c>
      <c r="B1988">
        <v>17</v>
      </c>
      <c r="C1988" s="3">
        <v>46136</v>
      </c>
      <c r="D1988" t="s">
        <v>27</v>
      </c>
      <c r="E1988" t="s">
        <v>2117</v>
      </c>
      <c r="F1988" t="s">
        <v>2118</v>
      </c>
      <c r="G1988" t="s">
        <v>69</v>
      </c>
      <c r="H1988" t="s">
        <v>37</v>
      </c>
      <c r="I1988" t="s">
        <v>63</v>
      </c>
      <c r="J1988" t="s">
        <v>2115</v>
      </c>
      <c r="K1988" t="s">
        <v>64</v>
      </c>
      <c r="L1988" t="s">
        <v>65</v>
      </c>
      <c r="M1988" t="s">
        <v>1235</v>
      </c>
      <c r="N1988">
        <v>26.6</v>
      </c>
      <c r="O1988">
        <v>5</v>
      </c>
      <c r="P1988">
        <v>163.8</v>
      </c>
      <c r="Q1988">
        <v>168.8</v>
      </c>
      <c r="R1988">
        <v>0</v>
      </c>
      <c r="S1988">
        <v>168.8</v>
      </c>
      <c r="T1988">
        <v>194</v>
      </c>
      <c r="U1988">
        <f>SUMIF(货件明细!J:J,E1988,货件明细!AP:AP)</f>
        <v>0</v>
      </c>
      <c r="V1988">
        <f>IF(U1988=T1988,0,1)</f>
        <v>1</v>
      </c>
      <c r="W1988">
        <f>T1988</f>
        <v>194</v>
      </c>
      <c r="X1988">
        <f>SUMIF(货件明细!J:J,E1988,货件明细!H:H)</f>
        <v>0</v>
      </c>
      <c r="Y1988">
        <f>N1988-X1988</f>
        <v>26.6</v>
      </c>
      <c r="Z1988">
        <f>SUMIF(货件明细!J:J,E1988,货件明细!I:I)</f>
        <v>0</v>
      </c>
      <c r="AA1988">
        <f>IF(S1988=Z1988,0,1)</f>
        <v>1</v>
      </c>
    </row>
    <row r="1989" hidden="1" spans="1:27">
      <c r="A1989">
        <v>4</v>
      </c>
      <c r="B1989">
        <v>17</v>
      </c>
      <c r="C1989" s="3">
        <v>46136</v>
      </c>
      <c r="D1989" t="s">
        <v>27</v>
      </c>
      <c r="E1989" t="s">
        <v>2119</v>
      </c>
      <c r="F1989" t="s">
        <v>74</v>
      </c>
      <c r="G1989" t="s">
        <v>30</v>
      </c>
      <c r="H1989" t="s">
        <v>37</v>
      </c>
      <c r="I1989" t="s">
        <v>63</v>
      </c>
      <c r="J1989" t="s">
        <v>2115</v>
      </c>
      <c r="K1989" t="s">
        <v>64</v>
      </c>
      <c r="L1989" t="s">
        <v>65</v>
      </c>
      <c r="M1989" t="s">
        <v>1235</v>
      </c>
      <c r="N1989">
        <v>26.6</v>
      </c>
      <c r="O1989">
        <v>5</v>
      </c>
      <c r="P1989">
        <v>185.5</v>
      </c>
      <c r="Q1989">
        <v>190.5</v>
      </c>
      <c r="R1989">
        <v>0</v>
      </c>
      <c r="S1989">
        <v>190.5</v>
      </c>
      <c r="T1989">
        <v>194</v>
      </c>
      <c r="U1989">
        <f>SUMIF(货件明细!J:J,E1989,货件明细!AP:AP)</f>
        <v>0</v>
      </c>
      <c r="V1989">
        <f>IF(U1989=T1989,0,1)</f>
        <v>1</v>
      </c>
      <c r="W1989">
        <f>T1989</f>
        <v>194</v>
      </c>
      <c r="X1989">
        <f>SUMIF(货件明细!J:J,E1989,货件明细!H:H)</f>
        <v>0</v>
      </c>
      <c r="Y1989">
        <f>N1989-X1989</f>
        <v>26.6</v>
      </c>
      <c r="Z1989">
        <f>SUMIF(货件明细!J:J,E1989,货件明细!I:I)</f>
        <v>0</v>
      </c>
      <c r="AA1989">
        <f>IF(S1989=Z1989,0,1)</f>
        <v>1</v>
      </c>
    </row>
    <row r="1990" hidden="1" spans="1:27">
      <c r="A1990">
        <v>4</v>
      </c>
      <c r="B1990">
        <v>17</v>
      </c>
      <c r="C1990" s="3">
        <v>46136</v>
      </c>
      <c r="D1990" t="s">
        <v>27</v>
      </c>
      <c r="E1990" t="s">
        <v>2120</v>
      </c>
      <c r="F1990" t="s">
        <v>239</v>
      </c>
      <c r="G1990" t="s">
        <v>72</v>
      </c>
      <c r="H1990" t="s">
        <v>37</v>
      </c>
      <c r="I1990" t="s">
        <v>63</v>
      </c>
      <c r="J1990" t="s">
        <v>2115</v>
      </c>
      <c r="K1990" t="s">
        <v>64</v>
      </c>
      <c r="L1990" t="s">
        <v>65</v>
      </c>
      <c r="M1990" t="s">
        <v>1235</v>
      </c>
      <c r="N1990">
        <v>26.6</v>
      </c>
      <c r="O1990">
        <v>5</v>
      </c>
      <c r="P1990">
        <v>132.3</v>
      </c>
      <c r="Q1990">
        <v>137.3</v>
      </c>
      <c r="R1990">
        <v>0</v>
      </c>
      <c r="S1990">
        <v>137.3</v>
      </c>
      <c r="T1990">
        <v>194</v>
      </c>
      <c r="U1990">
        <f>SUMIF(货件明细!J:J,E1990,货件明细!AP:AP)</f>
        <v>0</v>
      </c>
      <c r="V1990">
        <f>IF(U1990=T1990,0,1)</f>
        <v>1</v>
      </c>
      <c r="W1990">
        <f>T1990</f>
        <v>194</v>
      </c>
      <c r="X1990">
        <f>SUMIF(货件明细!J:J,E1990,货件明细!H:H)</f>
        <v>0</v>
      </c>
      <c r="Y1990">
        <f>N1990-X1990</f>
        <v>26.6</v>
      </c>
      <c r="Z1990">
        <f>SUMIF(货件明细!J:J,E1990,货件明细!I:I)</f>
        <v>0</v>
      </c>
      <c r="AA1990">
        <f>IF(S1990=Z1990,0,1)</f>
        <v>1</v>
      </c>
    </row>
    <row r="1991" hidden="1" spans="1:27">
      <c r="A1991">
        <v>4</v>
      </c>
      <c r="B1991">
        <v>17</v>
      </c>
      <c r="C1991" s="3">
        <v>46136</v>
      </c>
      <c r="D1991" t="s">
        <v>27</v>
      </c>
      <c r="E1991" t="s">
        <v>2121</v>
      </c>
      <c r="F1991" t="s">
        <v>138</v>
      </c>
      <c r="G1991" t="s">
        <v>69</v>
      </c>
      <c r="H1991" t="s">
        <v>51</v>
      </c>
      <c r="I1991" t="s">
        <v>63</v>
      </c>
      <c r="J1991" t="s">
        <v>2115</v>
      </c>
      <c r="K1991" t="s">
        <v>64</v>
      </c>
      <c r="L1991" t="s">
        <v>65</v>
      </c>
      <c r="M1991" t="s">
        <v>1235</v>
      </c>
      <c r="N1991">
        <v>11.15</v>
      </c>
      <c r="O1991">
        <v>5</v>
      </c>
      <c r="P1991">
        <v>226.2</v>
      </c>
      <c r="Q1991">
        <v>231.2</v>
      </c>
      <c r="R1991">
        <v>0</v>
      </c>
      <c r="S1991">
        <v>231.2</v>
      </c>
      <c r="T1991">
        <v>62</v>
      </c>
      <c r="U1991">
        <f>SUMIF(货件明细!J:J,E1991,货件明细!AP:AP)</f>
        <v>0</v>
      </c>
      <c r="V1991">
        <f>IF(U1991=T1991,0,1)</f>
        <v>1</v>
      </c>
      <c r="W1991">
        <f>T1991</f>
        <v>62</v>
      </c>
      <c r="X1991">
        <f>SUMIF(货件明细!J:J,E1991,货件明细!H:H)</f>
        <v>0</v>
      </c>
      <c r="Y1991">
        <f>N1991-X1991</f>
        <v>11.15</v>
      </c>
      <c r="Z1991">
        <f>SUMIF(货件明细!J:J,E1991,货件明细!I:I)</f>
        <v>0</v>
      </c>
      <c r="AA1991">
        <f>IF(S1991=Z1991,0,1)</f>
        <v>1</v>
      </c>
    </row>
    <row r="1992" hidden="1" spans="1:27">
      <c r="A1992">
        <v>4</v>
      </c>
      <c r="B1992">
        <v>17</v>
      </c>
      <c r="C1992" s="3">
        <v>46136</v>
      </c>
      <c r="D1992" t="s">
        <v>27</v>
      </c>
      <c r="E1992" t="s">
        <v>2122</v>
      </c>
      <c r="F1992" t="s">
        <v>187</v>
      </c>
      <c r="G1992" t="s">
        <v>72</v>
      </c>
      <c r="H1992" t="s">
        <v>51</v>
      </c>
      <c r="I1992" t="s">
        <v>63</v>
      </c>
      <c r="J1992" t="s">
        <v>2115</v>
      </c>
      <c r="K1992" t="s">
        <v>64</v>
      </c>
      <c r="L1992" t="s">
        <v>65</v>
      </c>
      <c r="M1992" t="s">
        <v>1235</v>
      </c>
      <c r="N1992">
        <v>11.15</v>
      </c>
      <c r="O1992">
        <v>5</v>
      </c>
      <c r="P1992">
        <v>155.35</v>
      </c>
      <c r="Q1992">
        <v>160.35</v>
      </c>
      <c r="R1992">
        <v>0</v>
      </c>
      <c r="S1992">
        <v>160.35</v>
      </c>
      <c r="T1992">
        <v>62</v>
      </c>
      <c r="U1992">
        <f>SUMIF(货件明细!J:J,E1992,货件明细!AP:AP)</f>
        <v>0</v>
      </c>
      <c r="V1992">
        <f>IF(U1992=T1992,0,1)</f>
        <v>1</v>
      </c>
      <c r="W1992">
        <f>T1992</f>
        <v>62</v>
      </c>
      <c r="X1992">
        <f>SUMIF(货件明细!J:J,E1992,货件明细!H:H)</f>
        <v>0</v>
      </c>
      <c r="Y1992">
        <f>N1992-X1992</f>
        <v>11.15</v>
      </c>
      <c r="Z1992">
        <f>SUMIF(货件明细!J:J,E1992,货件明细!I:I)</f>
        <v>0</v>
      </c>
      <c r="AA1992">
        <f>IF(S1992=Z1992,0,1)</f>
        <v>1</v>
      </c>
    </row>
    <row r="1993" hidden="1" spans="1:27">
      <c r="A1993">
        <v>4</v>
      </c>
      <c r="B1993">
        <v>17</v>
      </c>
      <c r="C1993" s="3">
        <v>46136</v>
      </c>
      <c r="D1993" t="s">
        <v>27</v>
      </c>
      <c r="E1993" t="s">
        <v>2123</v>
      </c>
      <c r="F1993" t="s">
        <v>2118</v>
      </c>
      <c r="G1993" t="s">
        <v>69</v>
      </c>
      <c r="H1993" t="s">
        <v>51</v>
      </c>
      <c r="I1993" t="s">
        <v>63</v>
      </c>
      <c r="J1993" t="s">
        <v>2115</v>
      </c>
      <c r="K1993" t="s">
        <v>64</v>
      </c>
      <c r="L1993" t="s">
        <v>65</v>
      </c>
      <c r="M1993" t="s">
        <v>1235</v>
      </c>
      <c r="N1993">
        <v>11.15</v>
      </c>
      <c r="O1993">
        <v>5</v>
      </c>
      <c r="P1993">
        <v>236.6</v>
      </c>
      <c r="Q1993">
        <v>241.6</v>
      </c>
      <c r="R1993">
        <v>0</v>
      </c>
      <c r="S1993">
        <v>241.6</v>
      </c>
      <c r="T1993">
        <v>62</v>
      </c>
      <c r="U1993">
        <f>SUMIF(货件明细!J:J,E1993,货件明细!AP:AP)</f>
        <v>0</v>
      </c>
      <c r="V1993">
        <f>IF(U1993=T1993,0,1)</f>
        <v>1</v>
      </c>
      <c r="W1993">
        <f>T1993</f>
        <v>62</v>
      </c>
      <c r="X1993">
        <f>SUMIF(货件明细!J:J,E1993,货件明细!H:H)</f>
        <v>0</v>
      </c>
      <c r="Y1993">
        <f>N1993-X1993</f>
        <v>11.15</v>
      </c>
      <c r="Z1993">
        <f>SUMIF(货件明细!J:J,E1993,货件明细!I:I)</f>
        <v>0</v>
      </c>
      <c r="AA1993">
        <f>IF(S1993=Z1993,0,1)</f>
        <v>1</v>
      </c>
    </row>
    <row r="1994" hidden="1" spans="1:27">
      <c r="A1994">
        <v>4</v>
      </c>
      <c r="B1994">
        <v>17</v>
      </c>
      <c r="C1994" s="3">
        <v>46136</v>
      </c>
      <c r="D1994" t="s">
        <v>27</v>
      </c>
      <c r="E1994" t="s">
        <v>2124</v>
      </c>
      <c r="F1994" t="s">
        <v>74</v>
      </c>
      <c r="G1994" t="s">
        <v>30</v>
      </c>
      <c r="H1994" t="s">
        <v>51</v>
      </c>
      <c r="I1994" t="s">
        <v>63</v>
      </c>
      <c r="J1994" t="s">
        <v>2115</v>
      </c>
      <c r="K1994" t="s">
        <v>64</v>
      </c>
      <c r="L1994" t="s">
        <v>65</v>
      </c>
      <c r="M1994" t="s">
        <v>1235</v>
      </c>
      <c r="N1994">
        <v>11.15</v>
      </c>
      <c r="O1994">
        <v>5</v>
      </c>
      <c r="P1994">
        <v>241.15</v>
      </c>
      <c r="Q1994">
        <v>246.15</v>
      </c>
      <c r="R1994">
        <v>0</v>
      </c>
      <c r="S1994">
        <v>246.15</v>
      </c>
      <c r="T1994">
        <v>62</v>
      </c>
      <c r="U1994">
        <f>SUMIF(货件明细!J:J,E1994,货件明细!AP:AP)</f>
        <v>0</v>
      </c>
      <c r="V1994">
        <f>IF(U1994=T1994,0,1)</f>
        <v>1</v>
      </c>
      <c r="W1994">
        <f>T1994</f>
        <v>62</v>
      </c>
      <c r="X1994">
        <f>SUMIF(货件明细!J:J,E1994,货件明细!H:H)</f>
        <v>0</v>
      </c>
      <c r="Y1994">
        <f>N1994-X1994</f>
        <v>11.15</v>
      </c>
      <c r="Z1994">
        <f>SUMIF(货件明细!J:J,E1994,货件明细!I:I)</f>
        <v>0</v>
      </c>
      <c r="AA1994">
        <f>IF(S1994=Z1994,0,1)</f>
        <v>1</v>
      </c>
    </row>
    <row r="1995" hidden="1" spans="1:27">
      <c r="A1995">
        <v>4</v>
      </c>
      <c r="B1995">
        <v>17</v>
      </c>
      <c r="C1995" s="3">
        <v>46136</v>
      </c>
      <c r="D1995" t="s">
        <v>27</v>
      </c>
      <c r="E1995" t="s">
        <v>2125</v>
      </c>
      <c r="F1995" t="s">
        <v>239</v>
      </c>
      <c r="G1995" t="s">
        <v>72</v>
      </c>
      <c r="H1995" t="s">
        <v>51</v>
      </c>
      <c r="I1995" t="s">
        <v>63</v>
      </c>
      <c r="J1995" t="s">
        <v>2115</v>
      </c>
      <c r="K1995" t="s">
        <v>64</v>
      </c>
      <c r="L1995" t="s">
        <v>65</v>
      </c>
      <c r="M1995" t="s">
        <v>1235</v>
      </c>
      <c r="N1995">
        <v>11.15</v>
      </c>
      <c r="O1995">
        <v>5</v>
      </c>
      <c r="P1995">
        <v>191.1</v>
      </c>
      <c r="Q1995">
        <v>196.1</v>
      </c>
      <c r="R1995">
        <v>0</v>
      </c>
      <c r="S1995">
        <v>196.1</v>
      </c>
      <c r="T1995">
        <v>62</v>
      </c>
      <c r="U1995">
        <f>SUMIF(货件明细!J:J,E1995,货件明细!AP:AP)</f>
        <v>0</v>
      </c>
      <c r="V1995">
        <f>IF(U1995=T1995,0,1)</f>
        <v>1</v>
      </c>
      <c r="W1995">
        <f>T1995</f>
        <v>62</v>
      </c>
      <c r="X1995">
        <f>SUMIF(货件明细!J:J,E1995,货件明细!H:H)</f>
        <v>0</v>
      </c>
      <c r="Y1995">
        <f>N1995-X1995</f>
        <v>11.15</v>
      </c>
      <c r="Z1995">
        <f>SUMIF(货件明细!J:J,E1995,货件明细!I:I)</f>
        <v>0</v>
      </c>
      <c r="AA1995">
        <f>IF(S1995=Z1995,0,1)</f>
        <v>1</v>
      </c>
    </row>
    <row r="1996" hidden="1" spans="1:27">
      <c r="A1996">
        <v>4</v>
      </c>
      <c r="B1996">
        <v>17</v>
      </c>
      <c r="C1996" s="3">
        <v>46136</v>
      </c>
      <c r="D1996" t="s">
        <v>27</v>
      </c>
      <c r="E1996" t="s">
        <v>2126</v>
      </c>
      <c r="F1996" t="s">
        <v>138</v>
      </c>
      <c r="G1996" t="s">
        <v>69</v>
      </c>
      <c r="H1996" t="s">
        <v>39</v>
      </c>
      <c r="I1996" t="s">
        <v>146</v>
      </c>
      <c r="J1996" t="s">
        <v>146</v>
      </c>
      <c r="K1996" t="s">
        <v>64</v>
      </c>
      <c r="L1996" t="s">
        <v>147</v>
      </c>
      <c r="M1996" t="s">
        <v>1545</v>
      </c>
      <c r="N1996">
        <v>31.35</v>
      </c>
      <c r="O1996">
        <v>15</v>
      </c>
      <c r="P1996">
        <v>179.3</v>
      </c>
      <c r="Q1996">
        <v>194.3</v>
      </c>
      <c r="R1996">
        <v>0</v>
      </c>
      <c r="S1996">
        <v>194.3</v>
      </c>
      <c r="T1996">
        <v>144</v>
      </c>
      <c r="U1996">
        <f>SUMIF(货件明细!J:J,E1996,货件明细!AP:AP)</f>
        <v>0</v>
      </c>
      <c r="V1996">
        <f>IF(U1996=T1996,0,1)</f>
        <v>1</v>
      </c>
      <c r="W1996">
        <f>T1996</f>
        <v>144</v>
      </c>
      <c r="X1996">
        <f>SUMIF(货件明细!J:J,E1996,货件明细!H:H)</f>
        <v>0</v>
      </c>
      <c r="Y1996">
        <f>N1996-X1996</f>
        <v>31.35</v>
      </c>
      <c r="Z1996">
        <f>SUMIF(货件明细!J:J,E1996,货件明细!I:I)</f>
        <v>0</v>
      </c>
      <c r="AA1996">
        <f>IF(S1996=Z1996,0,1)</f>
        <v>1</v>
      </c>
    </row>
    <row r="1997" hidden="1" spans="1:27">
      <c r="A1997">
        <v>4</v>
      </c>
      <c r="B1997">
        <v>17</v>
      </c>
      <c r="C1997" s="3">
        <v>46136</v>
      </c>
      <c r="D1997" t="s">
        <v>27</v>
      </c>
      <c r="E1997" t="s">
        <v>2127</v>
      </c>
      <c r="F1997" t="s">
        <v>187</v>
      </c>
      <c r="G1997" t="s">
        <v>72</v>
      </c>
      <c r="H1997" t="s">
        <v>39</v>
      </c>
      <c r="I1997" t="s">
        <v>146</v>
      </c>
      <c r="J1997" t="s">
        <v>146</v>
      </c>
      <c r="K1997" t="s">
        <v>64</v>
      </c>
      <c r="L1997" t="s">
        <v>147</v>
      </c>
      <c r="M1997" t="s">
        <v>1545</v>
      </c>
      <c r="N1997">
        <v>31.35</v>
      </c>
      <c r="O1997">
        <v>15</v>
      </c>
      <c r="P1997">
        <v>125.4</v>
      </c>
      <c r="Q1997">
        <v>140.4</v>
      </c>
      <c r="R1997">
        <v>0</v>
      </c>
      <c r="S1997">
        <v>140.4</v>
      </c>
      <c r="T1997">
        <v>144</v>
      </c>
      <c r="U1997">
        <f>SUMIF(货件明细!J:J,E1997,货件明细!AP:AP)</f>
        <v>0</v>
      </c>
      <c r="V1997">
        <f>IF(U1997=T1997,0,1)</f>
        <v>1</v>
      </c>
      <c r="W1997">
        <f>T1997</f>
        <v>144</v>
      </c>
      <c r="X1997">
        <f>SUMIF(货件明细!J:J,E1997,货件明细!H:H)</f>
        <v>0</v>
      </c>
      <c r="Y1997">
        <f>N1997-X1997</f>
        <v>31.35</v>
      </c>
      <c r="Z1997">
        <f>SUMIF(货件明细!J:J,E1997,货件明细!I:I)</f>
        <v>0</v>
      </c>
      <c r="AA1997">
        <f>IF(S1997=Z1997,0,1)</f>
        <v>1</v>
      </c>
    </row>
    <row r="1998" hidden="1" spans="1:27">
      <c r="A1998">
        <v>4</v>
      </c>
      <c r="B1998">
        <v>17</v>
      </c>
      <c r="C1998" s="3">
        <v>46136</v>
      </c>
      <c r="D1998" t="s">
        <v>27</v>
      </c>
      <c r="E1998" t="s">
        <v>2128</v>
      </c>
      <c r="F1998" t="s">
        <v>2118</v>
      </c>
      <c r="G1998" t="s">
        <v>69</v>
      </c>
      <c r="H1998" t="s">
        <v>39</v>
      </c>
      <c r="I1998" t="s">
        <v>146</v>
      </c>
      <c r="J1998" t="s">
        <v>146</v>
      </c>
      <c r="K1998" t="s">
        <v>64</v>
      </c>
      <c r="L1998" t="s">
        <v>147</v>
      </c>
      <c r="M1998" t="s">
        <v>1545</v>
      </c>
      <c r="N1998">
        <v>31.35</v>
      </c>
      <c r="O1998">
        <v>15</v>
      </c>
      <c r="P1998">
        <v>163</v>
      </c>
      <c r="Q1998">
        <v>178</v>
      </c>
      <c r="R1998">
        <v>0</v>
      </c>
      <c r="S1998">
        <v>178</v>
      </c>
      <c r="T1998">
        <v>144</v>
      </c>
      <c r="U1998">
        <f>SUMIF(货件明细!J:J,E1998,货件明细!AP:AP)</f>
        <v>0</v>
      </c>
      <c r="V1998">
        <f>IF(U1998=T1998,0,1)</f>
        <v>1</v>
      </c>
      <c r="W1998">
        <f>T1998</f>
        <v>144</v>
      </c>
      <c r="X1998">
        <f>SUMIF(货件明细!J:J,E1998,货件明细!H:H)</f>
        <v>0</v>
      </c>
      <c r="Y1998">
        <f>N1998-X1998</f>
        <v>31.35</v>
      </c>
      <c r="Z1998">
        <f>SUMIF(货件明细!J:J,E1998,货件明细!I:I)</f>
        <v>0</v>
      </c>
      <c r="AA1998">
        <f>IF(S1998=Z1998,0,1)</f>
        <v>1</v>
      </c>
    </row>
    <row r="1999" hidden="1" spans="1:27">
      <c r="A1999">
        <v>4</v>
      </c>
      <c r="B1999">
        <v>17</v>
      </c>
      <c r="C1999" s="3">
        <v>46136</v>
      </c>
      <c r="D1999" t="s">
        <v>27</v>
      </c>
      <c r="E1999" t="s">
        <v>2129</v>
      </c>
      <c r="F1999" t="s">
        <v>74</v>
      </c>
      <c r="G1999" t="s">
        <v>30</v>
      </c>
      <c r="H1999" t="s">
        <v>39</v>
      </c>
      <c r="I1999" t="s">
        <v>146</v>
      </c>
      <c r="J1999" t="s">
        <v>146</v>
      </c>
      <c r="K1999" t="s">
        <v>64</v>
      </c>
      <c r="L1999" t="s">
        <v>147</v>
      </c>
      <c r="M1999" t="s">
        <v>148</v>
      </c>
      <c r="N1999">
        <v>31.35</v>
      </c>
      <c r="O1999">
        <v>30</v>
      </c>
      <c r="P1999">
        <v>203.5</v>
      </c>
      <c r="Q1999">
        <v>233.5</v>
      </c>
      <c r="R1999">
        <v>0</v>
      </c>
      <c r="S1999">
        <v>233.5</v>
      </c>
      <c r="T1999">
        <v>144</v>
      </c>
      <c r="U1999">
        <f>SUMIF(货件明细!J:J,E1999,货件明细!AP:AP)</f>
        <v>0</v>
      </c>
      <c r="V1999">
        <f>IF(U1999=T1999,0,1)</f>
        <v>1</v>
      </c>
      <c r="W1999">
        <f>T1999</f>
        <v>144</v>
      </c>
      <c r="X1999">
        <f>SUMIF(货件明细!J:J,E1999,货件明细!H:H)</f>
        <v>0</v>
      </c>
      <c r="Y1999">
        <f>N1999-X1999</f>
        <v>31.35</v>
      </c>
      <c r="Z1999">
        <f>SUMIF(货件明细!J:J,E1999,货件明细!I:I)</f>
        <v>0</v>
      </c>
      <c r="AA1999">
        <f>IF(S1999=Z1999,0,1)</f>
        <v>1</v>
      </c>
    </row>
    <row r="2000" hidden="1" spans="1:27">
      <c r="A2000">
        <v>4</v>
      </c>
      <c r="B2000">
        <v>17</v>
      </c>
      <c r="C2000" s="3">
        <v>46136</v>
      </c>
      <c r="D2000" t="s">
        <v>27</v>
      </c>
      <c r="E2000" t="s">
        <v>2130</v>
      </c>
      <c r="F2000" t="s">
        <v>239</v>
      </c>
      <c r="G2000" t="s">
        <v>72</v>
      </c>
      <c r="H2000" t="s">
        <v>39</v>
      </c>
      <c r="I2000" t="s">
        <v>146</v>
      </c>
      <c r="J2000" t="s">
        <v>146</v>
      </c>
      <c r="K2000" t="s">
        <v>64</v>
      </c>
      <c r="L2000" t="s">
        <v>147</v>
      </c>
      <c r="M2000" t="s">
        <v>1545</v>
      </c>
      <c r="N2000">
        <v>31.35</v>
      </c>
      <c r="O2000">
        <v>15</v>
      </c>
      <c r="P2000">
        <v>126</v>
      </c>
      <c r="Q2000">
        <v>141</v>
      </c>
      <c r="R2000">
        <v>0</v>
      </c>
      <c r="S2000">
        <v>141</v>
      </c>
      <c r="T2000">
        <v>144</v>
      </c>
      <c r="U2000">
        <f>SUMIF(货件明细!J:J,E2000,货件明细!AP:AP)</f>
        <v>0</v>
      </c>
      <c r="V2000">
        <f>IF(U2000=T2000,0,1)</f>
        <v>1</v>
      </c>
      <c r="W2000">
        <f>T2000</f>
        <v>144</v>
      </c>
      <c r="X2000">
        <f>SUMIF(货件明细!J:J,E2000,货件明细!H:H)</f>
        <v>0</v>
      </c>
      <c r="Y2000">
        <f>N2000-X2000</f>
        <v>31.35</v>
      </c>
      <c r="Z2000">
        <f>SUMIF(货件明细!J:J,E2000,货件明细!I:I)</f>
        <v>0</v>
      </c>
      <c r="AA2000">
        <f>IF(S2000=Z2000,0,1)</f>
        <v>1</v>
      </c>
    </row>
    <row r="2001" hidden="1" spans="1:27">
      <c r="A2001">
        <v>4</v>
      </c>
      <c r="B2001">
        <v>17</v>
      </c>
      <c r="C2001" s="3">
        <v>46136</v>
      </c>
      <c r="D2001" t="s">
        <v>27</v>
      </c>
      <c r="E2001" t="s">
        <v>2131</v>
      </c>
      <c r="F2001" t="s">
        <v>138</v>
      </c>
      <c r="G2001" t="s">
        <v>69</v>
      </c>
      <c r="H2001" t="s">
        <v>31</v>
      </c>
      <c r="I2001" t="s">
        <v>146</v>
      </c>
      <c r="J2001" t="s">
        <v>146</v>
      </c>
      <c r="K2001" t="s">
        <v>64</v>
      </c>
      <c r="L2001" t="s">
        <v>147</v>
      </c>
      <c r="M2001" t="s">
        <v>1545</v>
      </c>
      <c r="N2001">
        <v>115.9</v>
      </c>
      <c r="O2001">
        <v>15</v>
      </c>
      <c r="P2001">
        <v>782.4</v>
      </c>
      <c r="Q2001">
        <v>797.4</v>
      </c>
      <c r="R2001">
        <v>0</v>
      </c>
      <c r="S2001">
        <v>797.4</v>
      </c>
      <c r="T2001">
        <v>765</v>
      </c>
      <c r="U2001">
        <f>SUMIF(货件明细!J:J,E2001,货件明细!AP:AP)</f>
        <v>0</v>
      </c>
      <c r="V2001">
        <f>IF(U2001=T2001,0,1)</f>
        <v>1</v>
      </c>
      <c r="W2001">
        <f>T2001</f>
        <v>765</v>
      </c>
      <c r="X2001">
        <f>SUMIF(货件明细!J:J,E2001,货件明细!H:H)</f>
        <v>0</v>
      </c>
      <c r="Y2001">
        <f>N2001-X2001</f>
        <v>115.9</v>
      </c>
      <c r="Z2001">
        <f>SUMIF(货件明细!J:J,E2001,货件明细!I:I)</f>
        <v>0</v>
      </c>
      <c r="AA2001">
        <f>IF(S2001=Z2001,0,1)</f>
        <v>1</v>
      </c>
    </row>
    <row r="2002" hidden="1" spans="1:27">
      <c r="A2002">
        <v>4</v>
      </c>
      <c r="B2002">
        <v>17</v>
      </c>
      <c r="C2002" s="3">
        <v>46136</v>
      </c>
      <c r="D2002" t="s">
        <v>27</v>
      </c>
      <c r="E2002" t="s">
        <v>2132</v>
      </c>
      <c r="F2002" t="s">
        <v>187</v>
      </c>
      <c r="G2002" t="s">
        <v>72</v>
      </c>
      <c r="H2002" t="s">
        <v>31</v>
      </c>
      <c r="I2002" t="s">
        <v>146</v>
      </c>
      <c r="J2002" t="s">
        <v>146</v>
      </c>
      <c r="K2002" t="s">
        <v>64</v>
      </c>
      <c r="L2002" t="s">
        <v>147</v>
      </c>
      <c r="M2002" t="s">
        <v>1545</v>
      </c>
      <c r="N2002">
        <v>115.9</v>
      </c>
      <c r="O2002">
        <v>15</v>
      </c>
      <c r="P2002">
        <v>547.2</v>
      </c>
      <c r="Q2002">
        <v>562.2</v>
      </c>
      <c r="R2002">
        <v>0</v>
      </c>
      <c r="S2002">
        <v>562.2</v>
      </c>
      <c r="T2002">
        <v>765</v>
      </c>
      <c r="U2002">
        <f>SUMIF(货件明细!J:J,E2002,货件明细!AP:AP)</f>
        <v>0</v>
      </c>
      <c r="V2002">
        <f>IF(U2002=T2002,0,1)</f>
        <v>1</v>
      </c>
      <c r="W2002">
        <f>T2002</f>
        <v>765</v>
      </c>
      <c r="X2002">
        <f>SUMIF(货件明细!J:J,E2002,货件明细!H:H)</f>
        <v>0</v>
      </c>
      <c r="Y2002">
        <f>N2002-X2002</f>
        <v>115.9</v>
      </c>
      <c r="Z2002">
        <f>SUMIF(货件明细!J:J,E2002,货件明细!I:I)</f>
        <v>0</v>
      </c>
      <c r="AA2002">
        <f>IF(S2002=Z2002,0,1)</f>
        <v>1</v>
      </c>
    </row>
    <row r="2003" hidden="1" spans="1:27">
      <c r="A2003">
        <v>4</v>
      </c>
      <c r="B2003">
        <v>17</v>
      </c>
      <c r="C2003" s="3">
        <v>46136</v>
      </c>
      <c r="D2003" t="s">
        <v>27</v>
      </c>
      <c r="E2003" t="s">
        <v>2133</v>
      </c>
      <c r="F2003" t="s">
        <v>2118</v>
      </c>
      <c r="G2003" t="s">
        <v>69</v>
      </c>
      <c r="H2003" t="s">
        <v>31</v>
      </c>
      <c r="I2003" t="s">
        <v>146</v>
      </c>
      <c r="J2003" t="s">
        <v>146</v>
      </c>
      <c r="K2003" t="s">
        <v>64</v>
      </c>
      <c r="L2003" t="s">
        <v>147</v>
      </c>
      <c r="M2003" t="s">
        <v>1545</v>
      </c>
      <c r="N2003">
        <v>115.9</v>
      </c>
      <c r="O2003">
        <v>15</v>
      </c>
      <c r="P2003">
        <v>782.4</v>
      </c>
      <c r="Q2003">
        <v>797.4</v>
      </c>
      <c r="R2003">
        <v>0</v>
      </c>
      <c r="S2003">
        <v>797.4</v>
      </c>
      <c r="T2003">
        <v>765</v>
      </c>
      <c r="U2003">
        <f>SUMIF(货件明细!J:J,E2003,货件明细!AP:AP)</f>
        <v>0</v>
      </c>
      <c r="V2003">
        <f>IF(U2003=T2003,0,1)</f>
        <v>1</v>
      </c>
      <c r="W2003">
        <f>T2003</f>
        <v>765</v>
      </c>
      <c r="X2003">
        <f>SUMIF(货件明细!J:J,E2003,货件明细!H:H)</f>
        <v>0</v>
      </c>
      <c r="Y2003">
        <f>N2003-X2003</f>
        <v>115.9</v>
      </c>
      <c r="Z2003">
        <f>SUMIF(货件明细!J:J,E2003,货件明细!I:I)</f>
        <v>0</v>
      </c>
      <c r="AA2003">
        <f>IF(S2003=Z2003,0,1)</f>
        <v>1</v>
      </c>
    </row>
    <row r="2004" hidden="1" spans="1:27">
      <c r="A2004">
        <v>4</v>
      </c>
      <c r="B2004">
        <v>17</v>
      </c>
      <c r="C2004" s="3">
        <v>46136</v>
      </c>
      <c r="D2004" t="s">
        <v>27</v>
      </c>
      <c r="E2004" t="s">
        <v>2134</v>
      </c>
      <c r="F2004" t="s">
        <v>74</v>
      </c>
      <c r="G2004" t="s">
        <v>30</v>
      </c>
      <c r="H2004" t="s">
        <v>31</v>
      </c>
      <c r="I2004" t="s">
        <v>146</v>
      </c>
      <c r="J2004" t="s">
        <v>146</v>
      </c>
      <c r="K2004" t="s">
        <v>64</v>
      </c>
      <c r="L2004" t="s">
        <v>147</v>
      </c>
      <c r="M2004" t="s">
        <v>148</v>
      </c>
      <c r="N2004">
        <v>115.9</v>
      </c>
      <c r="O2004">
        <v>30</v>
      </c>
      <c r="P2004">
        <v>888</v>
      </c>
      <c r="Q2004">
        <v>918</v>
      </c>
      <c r="R2004">
        <v>0</v>
      </c>
      <c r="S2004">
        <v>918</v>
      </c>
      <c r="T2004">
        <v>765</v>
      </c>
      <c r="U2004">
        <f>SUMIF(货件明细!J:J,E2004,货件明细!AP:AP)</f>
        <v>0</v>
      </c>
      <c r="V2004">
        <f>IF(U2004=T2004,0,1)</f>
        <v>1</v>
      </c>
      <c r="W2004">
        <f>T2004</f>
        <v>765</v>
      </c>
      <c r="X2004">
        <f>SUMIF(货件明细!J:J,E2004,货件明细!H:H)</f>
        <v>0</v>
      </c>
      <c r="Y2004">
        <f>N2004-X2004</f>
        <v>115.9</v>
      </c>
      <c r="Z2004">
        <f>SUMIF(货件明细!J:J,E2004,货件明细!I:I)</f>
        <v>0</v>
      </c>
      <c r="AA2004">
        <f>IF(S2004=Z2004,0,1)</f>
        <v>1</v>
      </c>
    </row>
    <row r="2005" hidden="1" spans="1:27">
      <c r="A2005">
        <v>4</v>
      </c>
      <c r="B2005">
        <v>17</v>
      </c>
      <c r="C2005" s="3">
        <v>46136</v>
      </c>
      <c r="D2005" t="s">
        <v>27</v>
      </c>
      <c r="E2005" t="s">
        <v>2135</v>
      </c>
      <c r="F2005" t="s">
        <v>239</v>
      </c>
      <c r="G2005" t="s">
        <v>72</v>
      </c>
      <c r="H2005" t="s">
        <v>31</v>
      </c>
      <c r="I2005" t="s">
        <v>146</v>
      </c>
      <c r="J2005" t="s">
        <v>146</v>
      </c>
      <c r="K2005" t="s">
        <v>64</v>
      </c>
      <c r="L2005" t="s">
        <v>147</v>
      </c>
      <c r="M2005" t="s">
        <v>1545</v>
      </c>
      <c r="N2005">
        <v>115.9</v>
      </c>
      <c r="O2005">
        <v>15</v>
      </c>
      <c r="P2005">
        <v>604.8</v>
      </c>
      <c r="Q2005">
        <v>619.8</v>
      </c>
      <c r="R2005">
        <v>0</v>
      </c>
      <c r="S2005">
        <v>619.8</v>
      </c>
      <c r="T2005">
        <v>765</v>
      </c>
      <c r="U2005">
        <f>SUMIF(货件明细!J:J,E2005,货件明细!AP:AP)</f>
        <v>0</v>
      </c>
      <c r="V2005">
        <f>IF(U2005=T2005,0,1)</f>
        <v>1</v>
      </c>
      <c r="W2005">
        <f>T2005</f>
        <v>765</v>
      </c>
      <c r="X2005">
        <f>SUMIF(货件明细!J:J,E2005,货件明细!H:H)</f>
        <v>0</v>
      </c>
      <c r="Y2005">
        <f>N2005-X2005</f>
        <v>115.9</v>
      </c>
      <c r="Z2005">
        <f>SUMIF(货件明细!J:J,E2005,货件明细!I:I)</f>
        <v>0</v>
      </c>
      <c r="AA2005">
        <f>IF(S2005=Z2005,0,1)</f>
        <v>1</v>
      </c>
    </row>
    <row r="2006" hidden="1" spans="1:27">
      <c r="A2006">
        <v>4</v>
      </c>
      <c r="B2006">
        <v>17</v>
      </c>
      <c r="C2006" s="3">
        <v>46136</v>
      </c>
      <c r="D2006" t="s">
        <v>27</v>
      </c>
      <c r="E2006" t="s">
        <v>2136</v>
      </c>
      <c r="F2006" t="s">
        <v>138</v>
      </c>
      <c r="G2006" t="s">
        <v>69</v>
      </c>
      <c r="H2006" t="s">
        <v>37</v>
      </c>
      <c r="I2006" t="s">
        <v>146</v>
      </c>
      <c r="J2006" t="s">
        <v>146</v>
      </c>
      <c r="K2006" t="s">
        <v>64</v>
      </c>
      <c r="L2006" t="s">
        <v>147</v>
      </c>
      <c r="M2006" t="s">
        <v>1545</v>
      </c>
      <c r="N2006">
        <v>31.6</v>
      </c>
      <c r="O2006">
        <v>15</v>
      </c>
      <c r="P2006">
        <v>179.3</v>
      </c>
      <c r="Q2006">
        <v>194.3</v>
      </c>
      <c r="R2006">
        <v>0</v>
      </c>
      <c r="S2006">
        <v>194.3</v>
      </c>
      <c r="T2006">
        <v>282</v>
      </c>
      <c r="U2006">
        <f>SUMIF(货件明细!J:J,E2006,货件明细!AP:AP)</f>
        <v>0</v>
      </c>
      <c r="V2006">
        <f>IF(U2006=T2006,0,1)</f>
        <v>1</v>
      </c>
      <c r="W2006">
        <f>T2006</f>
        <v>282</v>
      </c>
      <c r="X2006">
        <f>SUMIF(货件明细!J:J,E2006,货件明细!H:H)</f>
        <v>0</v>
      </c>
      <c r="Y2006">
        <f>N2006-X2006</f>
        <v>31.6</v>
      </c>
      <c r="Z2006">
        <f>SUMIF(货件明细!J:J,E2006,货件明细!I:I)</f>
        <v>0</v>
      </c>
      <c r="AA2006">
        <f>IF(S2006=Z2006,0,1)</f>
        <v>1</v>
      </c>
    </row>
    <row r="2007" hidden="1" spans="1:27">
      <c r="A2007">
        <v>4</v>
      </c>
      <c r="B2007">
        <v>17</v>
      </c>
      <c r="C2007" s="3">
        <v>46136</v>
      </c>
      <c r="D2007" t="s">
        <v>27</v>
      </c>
      <c r="E2007" t="s">
        <v>2137</v>
      </c>
      <c r="F2007" t="s">
        <v>187</v>
      </c>
      <c r="G2007" t="s">
        <v>72</v>
      </c>
      <c r="H2007" t="s">
        <v>37</v>
      </c>
      <c r="I2007" t="s">
        <v>146</v>
      </c>
      <c r="J2007" t="s">
        <v>146</v>
      </c>
      <c r="K2007" t="s">
        <v>64</v>
      </c>
      <c r="L2007" t="s">
        <v>147</v>
      </c>
      <c r="M2007" t="s">
        <v>1545</v>
      </c>
      <c r="N2007">
        <v>31.6</v>
      </c>
      <c r="O2007">
        <v>15</v>
      </c>
      <c r="P2007">
        <v>125.4</v>
      </c>
      <c r="Q2007">
        <v>140.4</v>
      </c>
      <c r="R2007">
        <v>0</v>
      </c>
      <c r="S2007">
        <v>140.4</v>
      </c>
      <c r="T2007">
        <v>282</v>
      </c>
      <c r="U2007">
        <f>SUMIF(货件明细!J:J,E2007,货件明细!AP:AP)</f>
        <v>0</v>
      </c>
      <c r="V2007">
        <f>IF(U2007=T2007,0,1)</f>
        <v>1</v>
      </c>
      <c r="W2007">
        <f>T2007</f>
        <v>282</v>
      </c>
      <c r="X2007">
        <f>SUMIF(货件明细!J:J,E2007,货件明细!H:H)</f>
        <v>0</v>
      </c>
      <c r="Y2007">
        <f>N2007-X2007</f>
        <v>31.6</v>
      </c>
      <c r="Z2007">
        <f>SUMIF(货件明细!J:J,E2007,货件明细!I:I)</f>
        <v>0</v>
      </c>
      <c r="AA2007">
        <f>IF(S2007=Z2007,0,1)</f>
        <v>1</v>
      </c>
    </row>
    <row r="2008" hidden="1" spans="1:27">
      <c r="A2008">
        <v>4</v>
      </c>
      <c r="B2008">
        <v>17</v>
      </c>
      <c r="C2008" s="3">
        <v>46136</v>
      </c>
      <c r="D2008" t="s">
        <v>27</v>
      </c>
      <c r="E2008" t="s">
        <v>2138</v>
      </c>
      <c r="F2008" t="s">
        <v>2118</v>
      </c>
      <c r="G2008" t="s">
        <v>69</v>
      </c>
      <c r="H2008" t="s">
        <v>37</v>
      </c>
      <c r="I2008" t="s">
        <v>146</v>
      </c>
      <c r="J2008" t="s">
        <v>146</v>
      </c>
      <c r="K2008" t="s">
        <v>64</v>
      </c>
      <c r="L2008" t="s">
        <v>147</v>
      </c>
      <c r="M2008" t="s">
        <v>1545</v>
      </c>
      <c r="N2008">
        <v>31.6</v>
      </c>
      <c r="O2008">
        <v>15</v>
      </c>
      <c r="P2008">
        <v>179.3</v>
      </c>
      <c r="Q2008">
        <v>194.3</v>
      </c>
      <c r="R2008">
        <v>0</v>
      </c>
      <c r="S2008">
        <v>194.3</v>
      </c>
      <c r="T2008">
        <v>282</v>
      </c>
      <c r="U2008">
        <f>SUMIF(货件明细!J:J,E2008,货件明细!AP:AP)</f>
        <v>0</v>
      </c>
      <c r="V2008">
        <f>IF(U2008=T2008,0,1)</f>
        <v>1</v>
      </c>
      <c r="W2008">
        <f>T2008</f>
        <v>282</v>
      </c>
      <c r="X2008">
        <f>SUMIF(货件明细!J:J,E2008,货件明细!H:H)</f>
        <v>0</v>
      </c>
      <c r="Y2008">
        <f>N2008-X2008</f>
        <v>31.6</v>
      </c>
      <c r="Z2008">
        <f>SUMIF(货件明细!J:J,E2008,货件明细!I:I)</f>
        <v>0</v>
      </c>
      <c r="AA2008">
        <f>IF(S2008=Z2008,0,1)</f>
        <v>1</v>
      </c>
    </row>
    <row r="2009" hidden="1" spans="1:27">
      <c r="A2009">
        <v>4</v>
      </c>
      <c r="B2009">
        <v>17</v>
      </c>
      <c r="C2009" s="3">
        <v>46136</v>
      </c>
      <c r="D2009" t="s">
        <v>27</v>
      </c>
      <c r="E2009" t="s">
        <v>2139</v>
      </c>
      <c r="F2009" t="s">
        <v>74</v>
      </c>
      <c r="G2009" t="s">
        <v>30</v>
      </c>
      <c r="H2009" t="s">
        <v>37</v>
      </c>
      <c r="I2009" t="s">
        <v>146</v>
      </c>
      <c r="J2009" t="s">
        <v>146</v>
      </c>
      <c r="K2009" t="s">
        <v>64</v>
      </c>
      <c r="L2009" t="s">
        <v>147</v>
      </c>
      <c r="M2009" t="s">
        <v>148</v>
      </c>
      <c r="N2009">
        <v>31.6</v>
      </c>
      <c r="O2009">
        <v>30</v>
      </c>
      <c r="P2009">
        <v>214.5</v>
      </c>
      <c r="Q2009">
        <v>244.5</v>
      </c>
      <c r="R2009">
        <v>0</v>
      </c>
      <c r="S2009">
        <v>244.5</v>
      </c>
      <c r="T2009">
        <v>282</v>
      </c>
      <c r="U2009">
        <f>SUMIF(货件明细!J:J,E2009,货件明细!AP:AP)</f>
        <v>0</v>
      </c>
      <c r="V2009">
        <f>IF(U2009=T2009,0,1)</f>
        <v>1</v>
      </c>
      <c r="W2009">
        <f>T2009</f>
        <v>282</v>
      </c>
      <c r="X2009">
        <f>SUMIF(货件明细!J:J,E2009,货件明细!H:H)</f>
        <v>0</v>
      </c>
      <c r="Y2009">
        <f>N2009-X2009</f>
        <v>31.6</v>
      </c>
      <c r="Z2009">
        <f>SUMIF(货件明细!J:J,E2009,货件明细!I:I)</f>
        <v>0</v>
      </c>
      <c r="AA2009">
        <f>IF(S2009=Z2009,0,1)</f>
        <v>1</v>
      </c>
    </row>
    <row r="2010" hidden="1" spans="1:27">
      <c r="A2010">
        <v>4</v>
      </c>
      <c r="B2010">
        <v>17</v>
      </c>
      <c r="C2010" s="3">
        <v>46136</v>
      </c>
      <c r="D2010" t="s">
        <v>27</v>
      </c>
      <c r="E2010" t="s">
        <v>2140</v>
      </c>
      <c r="F2010" t="s">
        <v>239</v>
      </c>
      <c r="G2010" t="s">
        <v>72</v>
      </c>
      <c r="H2010" t="s">
        <v>37</v>
      </c>
      <c r="I2010" t="s">
        <v>146</v>
      </c>
      <c r="J2010" t="s">
        <v>146</v>
      </c>
      <c r="K2010" t="s">
        <v>64</v>
      </c>
      <c r="L2010" t="s">
        <v>147</v>
      </c>
      <c r="M2010" t="s">
        <v>1545</v>
      </c>
      <c r="N2010">
        <v>31.6</v>
      </c>
      <c r="O2010">
        <v>15</v>
      </c>
      <c r="P2010">
        <v>138.6</v>
      </c>
      <c r="Q2010">
        <v>153.6</v>
      </c>
      <c r="R2010">
        <v>0</v>
      </c>
      <c r="S2010">
        <v>153.6</v>
      </c>
      <c r="T2010">
        <v>282</v>
      </c>
      <c r="U2010">
        <f>SUMIF(货件明细!J:J,E2010,货件明细!AP:AP)</f>
        <v>0</v>
      </c>
      <c r="V2010">
        <f>IF(U2010=T2010,0,1)</f>
        <v>1</v>
      </c>
      <c r="W2010">
        <f>T2010</f>
        <v>282</v>
      </c>
      <c r="X2010">
        <f>SUMIF(货件明细!J:J,E2010,货件明细!H:H)</f>
        <v>0</v>
      </c>
      <c r="Y2010">
        <f>N2010-X2010</f>
        <v>31.6</v>
      </c>
      <c r="Z2010">
        <f>SUMIF(货件明细!J:J,E2010,货件明细!I:I)</f>
        <v>0</v>
      </c>
      <c r="AA2010">
        <f>IF(S2010=Z2010,0,1)</f>
        <v>1</v>
      </c>
    </row>
    <row r="2011" hidden="1" spans="1:27">
      <c r="A2011">
        <v>4</v>
      </c>
      <c r="B2011">
        <v>17</v>
      </c>
      <c r="C2011" s="3">
        <v>46136</v>
      </c>
      <c r="D2011" t="s">
        <v>27</v>
      </c>
      <c r="E2011" t="s">
        <v>2141</v>
      </c>
      <c r="F2011" t="s">
        <v>138</v>
      </c>
      <c r="G2011" t="s">
        <v>69</v>
      </c>
      <c r="H2011" t="s">
        <v>51</v>
      </c>
      <c r="I2011" t="s">
        <v>146</v>
      </c>
      <c r="J2011" t="s">
        <v>146</v>
      </c>
      <c r="K2011" t="s">
        <v>64</v>
      </c>
      <c r="L2011" t="s">
        <v>147</v>
      </c>
      <c r="M2011" t="s">
        <v>1545</v>
      </c>
      <c r="N2011">
        <v>49.55</v>
      </c>
      <c r="O2011">
        <v>15</v>
      </c>
      <c r="P2011">
        <v>374.9</v>
      </c>
      <c r="Q2011">
        <v>389.9</v>
      </c>
      <c r="R2011">
        <v>0</v>
      </c>
      <c r="S2011">
        <v>389.9</v>
      </c>
      <c r="T2011">
        <v>266</v>
      </c>
      <c r="U2011">
        <f>SUMIF(货件明细!J:J,E2011,货件明细!AP:AP)</f>
        <v>0</v>
      </c>
      <c r="V2011">
        <f>IF(U2011=T2011,0,1)</f>
        <v>1</v>
      </c>
      <c r="W2011">
        <f>T2011</f>
        <v>266</v>
      </c>
      <c r="X2011">
        <f>SUMIF(货件明细!J:J,E2011,货件明细!H:H)</f>
        <v>0</v>
      </c>
      <c r="Y2011">
        <f>N2011-X2011</f>
        <v>49.55</v>
      </c>
      <c r="Z2011">
        <f>SUMIF(货件明细!J:J,E2011,货件明细!I:I)</f>
        <v>0</v>
      </c>
      <c r="AA2011">
        <f>IF(S2011=Z2011,0,1)</f>
        <v>1</v>
      </c>
    </row>
    <row r="2012" hidden="1" spans="1:27">
      <c r="A2012">
        <v>4</v>
      </c>
      <c r="B2012">
        <v>17</v>
      </c>
      <c r="C2012" s="3">
        <v>46136</v>
      </c>
      <c r="D2012" t="s">
        <v>27</v>
      </c>
      <c r="E2012" t="s">
        <v>2142</v>
      </c>
      <c r="F2012" t="s">
        <v>187</v>
      </c>
      <c r="G2012" t="s">
        <v>72</v>
      </c>
      <c r="H2012" t="s">
        <v>51</v>
      </c>
      <c r="I2012" t="s">
        <v>146</v>
      </c>
      <c r="J2012" t="s">
        <v>146</v>
      </c>
      <c r="K2012" t="s">
        <v>64</v>
      </c>
      <c r="L2012" t="s">
        <v>147</v>
      </c>
      <c r="M2012" t="s">
        <v>1545</v>
      </c>
      <c r="N2012">
        <v>49.55</v>
      </c>
      <c r="O2012">
        <v>15</v>
      </c>
      <c r="P2012">
        <v>262.2</v>
      </c>
      <c r="Q2012">
        <v>277.2</v>
      </c>
      <c r="R2012">
        <v>0</v>
      </c>
      <c r="S2012">
        <v>277.2</v>
      </c>
      <c r="T2012">
        <v>266</v>
      </c>
      <c r="U2012">
        <f>SUMIF(货件明细!J:J,E2012,货件明细!AP:AP)</f>
        <v>0</v>
      </c>
      <c r="V2012">
        <f>IF(U2012=T2012,0,1)</f>
        <v>1</v>
      </c>
      <c r="W2012">
        <f>T2012</f>
        <v>266</v>
      </c>
      <c r="X2012">
        <f>SUMIF(货件明细!J:J,E2012,货件明细!H:H)</f>
        <v>0</v>
      </c>
      <c r="Y2012">
        <f>N2012-X2012</f>
        <v>49.55</v>
      </c>
      <c r="Z2012">
        <f>SUMIF(货件明细!J:J,E2012,货件明细!I:I)</f>
        <v>0</v>
      </c>
      <c r="AA2012">
        <f>IF(S2012=Z2012,0,1)</f>
        <v>1</v>
      </c>
    </row>
    <row r="2013" hidden="1" spans="1:27">
      <c r="A2013">
        <v>4</v>
      </c>
      <c r="B2013">
        <v>17</v>
      </c>
      <c r="C2013" s="3">
        <v>46136</v>
      </c>
      <c r="D2013" t="s">
        <v>27</v>
      </c>
      <c r="E2013" t="s">
        <v>2143</v>
      </c>
      <c r="F2013" t="s">
        <v>2118</v>
      </c>
      <c r="G2013" t="s">
        <v>69</v>
      </c>
      <c r="H2013" t="s">
        <v>51</v>
      </c>
      <c r="I2013" t="s">
        <v>146</v>
      </c>
      <c r="J2013" t="s">
        <v>146</v>
      </c>
      <c r="K2013" t="s">
        <v>64</v>
      </c>
      <c r="L2013" t="s">
        <v>147</v>
      </c>
      <c r="M2013" t="s">
        <v>1545</v>
      </c>
      <c r="N2013">
        <v>49.55</v>
      </c>
      <c r="O2013">
        <v>15</v>
      </c>
      <c r="P2013">
        <v>374.9</v>
      </c>
      <c r="Q2013">
        <v>389.9</v>
      </c>
      <c r="R2013">
        <v>0</v>
      </c>
      <c r="S2013">
        <v>389.9</v>
      </c>
      <c r="T2013">
        <v>266</v>
      </c>
      <c r="U2013">
        <f>SUMIF(货件明细!J:J,E2013,货件明细!AP:AP)</f>
        <v>0</v>
      </c>
      <c r="V2013">
        <f>IF(U2013=T2013,0,1)</f>
        <v>1</v>
      </c>
      <c r="W2013">
        <f>T2013</f>
        <v>266</v>
      </c>
      <c r="X2013">
        <f>SUMIF(货件明细!J:J,E2013,货件明细!H:H)</f>
        <v>0</v>
      </c>
      <c r="Y2013">
        <f>N2013-X2013</f>
        <v>49.55</v>
      </c>
      <c r="Z2013">
        <f>SUMIF(货件明细!J:J,E2013,货件明细!I:I)</f>
        <v>0</v>
      </c>
      <c r="AA2013">
        <f>IF(S2013=Z2013,0,1)</f>
        <v>1</v>
      </c>
    </row>
    <row r="2014" hidden="1" spans="1:27">
      <c r="A2014">
        <v>4</v>
      </c>
      <c r="B2014">
        <v>17</v>
      </c>
      <c r="C2014" s="3">
        <v>46136</v>
      </c>
      <c r="D2014" t="s">
        <v>27</v>
      </c>
      <c r="E2014" t="s">
        <v>2144</v>
      </c>
      <c r="F2014" t="s">
        <v>74</v>
      </c>
      <c r="G2014" t="s">
        <v>30</v>
      </c>
      <c r="H2014" t="s">
        <v>51</v>
      </c>
      <c r="I2014" t="s">
        <v>146</v>
      </c>
      <c r="J2014" t="s">
        <v>146</v>
      </c>
      <c r="K2014" t="s">
        <v>64</v>
      </c>
      <c r="L2014" t="s">
        <v>147</v>
      </c>
      <c r="M2014" t="s">
        <v>148</v>
      </c>
      <c r="N2014">
        <v>49.55</v>
      </c>
      <c r="O2014">
        <v>30</v>
      </c>
      <c r="P2014">
        <v>425.5</v>
      </c>
      <c r="Q2014">
        <v>455.5</v>
      </c>
      <c r="R2014">
        <v>0</v>
      </c>
      <c r="S2014">
        <v>455.5</v>
      </c>
      <c r="T2014">
        <v>269</v>
      </c>
      <c r="U2014">
        <f>SUMIF(货件明细!J:J,E2014,货件明细!AP:AP)</f>
        <v>0</v>
      </c>
      <c r="V2014">
        <f>IF(U2014=T2014,0,1)</f>
        <v>1</v>
      </c>
      <c r="W2014">
        <f>T2014</f>
        <v>269</v>
      </c>
      <c r="X2014">
        <f>SUMIF(货件明细!J:J,E2014,货件明细!H:H)</f>
        <v>0</v>
      </c>
      <c r="Y2014">
        <f>N2014-X2014</f>
        <v>49.55</v>
      </c>
      <c r="Z2014">
        <f>SUMIF(货件明细!J:J,E2014,货件明细!I:I)</f>
        <v>0</v>
      </c>
      <c r="AA2014">
        <f>IF(S2014=Z2014,0,1)</f>
        <v>1</v>
      </c>
    </row>
    <row r="2015" hidden="1" spans="1:27">
      <c r="A2015">
        <v>4</v>
      </c>
      <c r="B2015">
        <v>17</v>
      </c>
      <c r="C2015" s="3">
        <v>46136</v>
      </c>
      <c r="D2015" t="s">
        <v>27</v>
      </c>
      <c r="E2015" t="s">
        <v>2145</v>
      </c>
      <c r="F2015" t="s">
        <v>239</v>
      </c>
      <c r="G2015" t="s">
        <v>72</v>
      </c>
      <c r="H2015" t="s">
        <v>51</v>
      </c>
      <c r="I2015" t="s">
        <v>146</v>
      </c>
      <c r="J2015" t="s">
        <v>146</v>
      </c>
      <c r="K2015" t="s">
        <v>64</v>
      </c>
      <c r="L2015" t="s">
        <v>147</v>
      </c>
      <c r="M2015" t="s">
        <v>1545</v>
      </c>
      <c r="N2015">
        <v>49.55</v>
      </c>
      <c r="O2015">
        <v>15</v>
      </c>
      <c r="P2015">
        <v>289.8</v>
      </c>
      <c r="Q2015">
        <v>304.8</v>
      </c>
      <c r="R2015">
        <v>0</v>
      </c>
      <c r="S2015">
        <v>304.8</v>
      </c>
      <c r="T2015">
        <v>266</v>
      </c>
      <c r="U2015">
        <f>SUMIF(货件明细!J:J,E2015,货件明细!AP:AP)</f>
        <v>0</v>
      </c>
      <c r="V2015">
        <f>IF(U2015=T2015,0,1)</f>
        <v>1</v>
      </c>
      <c r="W2015">
        <f>T2015</f>
        <v>266</v>
      </c>
      <c r="X2015">
        <f>SUMIF(货件明细!J:J,E2015,货件明细!H:H)</f>
        <v>0</v>
      </c>
      <c r="Y2015">
        <f>N2015-X2015</f>
        <v>49.55</v>
      </c>
      <c r="Z2015">
        <f>SUMIF(货件明细!J:J,E2015,货件明细!I:I)</f>
        <v>0</v>
      </c>
      <c r="AA2015">
        <f>IF(S2015=Z2015,0,1)</f>
        <v>1</v>
      </c>
    </row>
    <row r="2016" hidden="1" spans="1:27">
      <c r="A2016">
        <v>4</v>
      </c>
      <c r="B2016">
        <v>17</v>
      </c>
      <c r="C2016" s="3">
        <v>46136</v>
      </c>
      <c r="D2016" t="s">
        <v>27</v>
      </c>
      <c r="E2016" t="s">
        <v>2146</v>
      </c>
      <c r="F2016" t="s">
        <v>138</v>
      </c>
      <c r="G2016" t="s">
        <v>69</v>
      </c>
      <c r="H2016" t="s">
        <v>59</v>
      </c>
      <c r="I2016" t="s">
        <v>63</v>
      </c>
      <c r="J2016" t="s">
        <v>2115</v>
      </c>
      <c r="K2016" t="s">
        <v>64</v>
      </c>
      <c r="L2016" t="s">
        <v>65</v>
      </c>
      <c r="M2016" t="s">
        <v>1235</v>
      </c>
      <c r="N2016">
        <v>16.65</v>
      </c>
      <c r="O2016">
        <v>5</v>
      </c>
      <c r="P2016">
        <v>104.4</v>
      </c>
      <c r="Q2016">
        <v>109.4</v>
      </c>
      <c r="R2016">
        <v>0</v>
      </c>
      <c r="S2016">
        <v>109.4</v>
      </c>
      <c r="T2016">
        <v>122</v>
      </c>
      <c r="U2016">
        <f>SUMIF(货件明细!J:J,E2016,货件明细!AP:AP)</f>
        <v>0</v>
      </c>
      <c r="V2016">
        <f>IF(U2016=T2016,0,1)</f>
        <v>1</v>
      </c>
      <c r="W2016">
        <f>T2016</f>
        <v>122</v>
      </c>
      <c r="X2016">
        <f>SUMIF(货件明细!J:J,E2016,货件明细!H:H)</f>
        <v>0</v>
      </c>
      <c r="Y2016">
        <f>N2016-X2016</f>
        <v>16.65</v>
      </c>
      <c r="Z2016">
        <f>SUMIF(货件明细!J:J,E2016,货件明细!I:I)</f>
        <v>0</v>
      </c>
      <c r="AA2016">
        <f>IF(S2016=Z2016,0,1)</f>
        <v>1</v>
      </c>
    </row>
    <row r="2017" hidden="1" spans="1:27">
      <c r="A2017">
        <v>4</v>
      </c>
      <c r="B2017">
        <v>17</v>
      </c>
      <c r="C2017" s="3">
        <v>46136</v>
      </c>
      <c r="D2017" t="s">
        <v>27</v>
      </c>
      <c r="E2017" t="s">
        <v>2147</v>
      </c>
      <c r="F2017" t="s">
        <v>187</v>
      </c>
      <c r="G2017" t="s">
        <v>72</v>
      </c>
      <c r="H2017" t="s">
        <v>59</v>
      </c>
      <c r="I2017" t="s">
        <v>63</v>
      </c>
      <c r="J2017" t="s">
        <v>2115</v>
      </c>
      <c r="K2017" t="s">
        <v>64</v>
      </c>
      <c r="L2017" t="s">
        <v>65</v>
      </c>
      <c r="M2017" t="s">
        <v>1235</v>
      </c>
      <c r="N2017">
        <v>16.65</v>
      </c>
      <c r="O2017">
        <v>5</v>
      </c>
      <c r="P2017">
        <v>71.7</v>
      </c>
      <c r="Q2017">
        <v>76.7</v>
      </c>
      <c r="R2017">
        <v>0</v>
      </c>
      <c r="S2017">
        <v>76.7</v>
      </c>
      <c r="T2017">
        <v>122</v>
      </c>
      <c r="U2017">
        <f>SUMIF(货件明细!J:J,E2017,货件明细!AP:AP)</f>
        <v>0</v>
      </c>
      <c r="V2017">
        <f>IF(U2017=T2017,0,1)</f>
        <v>1</v>
      </c>
      <c r="W2017">
        <f>T2017</f>
        <v>122</v>
      </c>
      <c r="X2017">
        <f>SUMIF(货件明细!J:J,E2017,货件明细!H:H)</f>
        <v>0</v>
      </c>
      <c r="Y2017">
        <f>N2017-X2017</f>
        <v>16.65</v>
      </c>
      <c r="Z2017">
        <f>SUMIF(货件明细!J:J,E2017,货件明细!I:I)</f>
        <v>0</v>
      </c>
      <c r="AA2017">
        <f>IF(S2017=Z2017,0,1)</f>
        <v>1</v>
      </c>
    </row>
    <row r="2018" hidden="1" spans="1:27">
      <c r="A2018">
        <v>4</v>
      </c>
      <c r="B2018">
        <v>17</v>
      </c>
      <c r="C2018" s="3">
        <v>46136</v>
      </c>
      <c r="D2018" t="s">
        <v>27</v>
      </c>
      <c r="E2018" t="s">
        <v>2148</v>
      </c>
      <c r="F2018" t="s">
        <v>2118</v>
      </c>
      <c r="G2018" t="s">
        <v>69</v>
      </c>
      <c r="H2018" t="s">
        <v>59</v>
      </c>
      <c r="I2018" t="s">
        <v>63</v>
      </c>
      <c r="J2018" t="s">
        <v>2115</v>
      </c>
      <c r="K2018" t="s">
        <v>64</v>
      </c>
      <c r="L2018" t="s">
        <v>65</v>
      </c>
      <c r="M2018" t="s">
        <v>1235</v>
      </c>
      <c r="N2018">
        <v>16.65</v>
      </c>
      <c r="O2018">
        <v>5</v>
      </c>
      <c r="P2018">
        <v>109.2</v>
      </c>
      <c r="Q2018">
        <v>114.2</v>
      </c>
      <c r="R2018">
        <v>0</v>
      </c>
      <c r="S2018">
        <v>114.2</v>
      </c>
      <c r="T2018">
        <v>122</v>
      </c>
      <c r="U2018">
        <f>SUMIF(货件明细!J:J,E2018,货件明细!AP:AP)</f>
        <v>0</v>
      </c>
      <c r="V2018">
        <f>IF(U2018=T2018,0,1)</f>
        <v>1</v>
      </c>
      <c r="W2018">
        <f>T2018</f>
        <v>122</v>
      </c>
      <c r="X2018">
        <f>SUMIF(货件明细!J:J,E2018,货件明细!H:H)</f>
        <v>0</v>
      </c>
      <c r="Y2018">
        <f>N2018-X2018</f>
        <v>16.65</v>
      </c>
      <c r="Z2018">
        <f>SUMIF(货件明细!J:J,E2018,货件明细!I:I)</f>
        <v>0</v>
      </c>
      <c r="AA2018">
        <f>IF(S2018=Z2018,0,1)</f>
        <v>1</v>
      </c>
    </row>
    <row r="2019" hidden="1" spans="1:27">
      <c r="A2019">
        <v>4</v>
      </c>
      <c r="B2019">
        <v>17</v>
      </c>
      <c r="C2019" s="3">
        <v>46136</v>
      </c>
      <c r="D2019" t="s">
        <v>27</v>
      </c>
      <c r="E2019" t="s">
        <v>2149</v>
      </c>
      <c r="F2019" t="s">
        <v>74</v>
      </c>
      <c r="G2019" t="s">
        <v>30</v>
      </c>
      <c r="H2019" t="s">
        <v>59</v>
      </c>
      <c r="I2019" t="s">
        <v>63</v>
      </c>
      <c r="J2019" t="s">
        <v>2115</v>
      </c>
      <c r="K2019" t="s">
        <v>64</v>
      </c>
      <c r="L2019" t="s">
        <v>65</v>
      </c>
      <c r="M2019" t="s">
        <v>1235</v>
      </c>
      <c r="N2019">
        <v>16.65</v>
      </c>
      <c r="O2019">
        <v>5</v>
      </c>
      <c r="P2019">
        <v>111.3</v>
      </c>
      <c r="Q2019">
        <v>116.3</v>
      </c>
      <c r="R2019">
        <v>0</v>
      </c>
      <c r="S2019">
        <v>116.3</v>
      </c>
      <c r="T2019">
        <v>122</v>
      </c>
      <c r="U2019">
        <f>SUMIF(货件明细!J:J,E2019,货件明细!AP:AP)</f>
        <v>0</v>
      </c>
      <c r="V2019">
        <f>IF(U2019=T2019,0,1)</f>
        <v>1</v>
      </c>
      <c r="W2019">
        <f>T2019</f>
        <v>122</v>
      </c>
      <c r="X2019">
        <f>SUMIF(货件明细!J:J,E2019,货件明细!H:H)</f>
        <v>0</v>
      </c>
      <c r="Y2019">
        <f>N2019-X2019</f>
        <v>16.65</v>
      </c>
      <c r="Z2019">
        <f>SUMIF(货件明细!J:J,E2019,货件明细!I:I)</f>
        <v>0</v>
      </c>
      <c r="AA2019">
        <f>IF(S2019=Z2019,0,1)</f>
        <v>1</v>
      </c>
    </row>
    <row r="2020" hidden="1" spans="1:27">
      <c r="A2020">
        <v>4</v>
      </c>
      <c r="B2020">
        <v>17</v>
      </c>
      <c r="C2020" s="3">
        <v>46136</v>
      </c>
      <c r="D2020" t="s">
        <v>27</v>
      </c>
      <c r="E2020" t="s">
        <v>2150</v>
      </c>
      <c r="F2020" t="s">
        <v>239</v>
      </c>
      <c r="G2020" t="s">
        <v>72</v>
      </c>
      <c r="H2020" t="s">
        <v>59</v>
      </c>
      <c r="I2020" t="s">
        <v>63</v>
      </c>
      <c r="J2020" t="s">
        <v>2115</v>
      </c>
      <c r="K2020" t="s">
        <v>64</v>
      </c>
      <c r="L2020" t="s">
        <v>65</v>
      </c>
      <c r="M2020" t="s">
        <v>1235</v>
      </c>
      <c r="N2020">
        <v>16.65</v>
      </c>
      <c r="O2020">
        <v>5</v>
      </c>
      <c r="P2020">
        <v>88.2</v>
      </c>
      <c r="Q2020">
        <v>93.2</v>
      </c>
      <c r="R2020">
        <v>0</v>
      </c>
      <c r="S2020">
        <v>93.2</v>
      </c>
      <c r="T2020">
        <v>122</v>
      </c>
      <c r="U2020">
        <f>SUMIF(货件明细!J:J,E2020,货件明细!AP:AP)</f>
        <v>0</v>
      </c>
      <c r="V2020">
        <f>IF(U2020=T2020,0,1)</f>
        <v>1</v>
      </c>
      <c r="W2020">
        <f>T2020</f>
        <v>122</v>
      </c>
      <c r="X2020">
        <f>SUMIF(货件明细!J:J,E2020,货件明细!H:H)</f>
        <v>0</v>
      </c>
      <c r="Y2020">
        <f>N2020-X2020</f>
        <v>16.65</v>
      </c>
      <c r="Z2020">
        <f>SUMIF(货件明细!J:J,E2020,货件明细!I:I)</f>
        <v>0</v>
      </c>
      <c r="AA2020">
        <f>IF(S2020=Z2020,0,1)</f>
        <v>1</v>
      </c>
    </row>
    <row r="2021" hidden="1" spans="1:27">
      <c r="A2021">
        <v>4</v>
      </c>
      <c r="B2021">
        <v>17</v>
      </c>
      <c r="C2021" s="3">
        <v>46136</v>
      </c>
      <c r="D2021" t="s">
        <v>27</v>
      </c>
      <c r="E2021" t="s">
        <v>2151</v>
      </c>
      <c r="F2021" t="s">
        <v>187</v>
      </c>
      <c r="G2021" t="s">
        <v>72</v>
      </c>
      <c r="H2021" t="s">
        <v>78</v>
      </c>
      <c r="I2021" t="s">
        <v>146</v>
      </c>
      <c r="J2021" t="s">
        <v>146</v>
      </c>
      <c r="K2021" t="s">
        <v>64</v>
      </c>
      <c r="L2021" t="s">
        <v>147</v>
      </c>
      <c r="M2021" t="s">
        <v>1545</v>
      </c>
      <c r="N2021">
        <v>33.9</v>
      </c>
      <c r="O2021">
        <v>15</v>
      </c>
      <c r="P2021">
        <v>148.2</v>
      </c>
      <c r="Q2021">
        <v>163.2</v>
      </c>
      <c r="R2021">
        <v>0</v>
      </c>
      <c r="S2021">
        <v>163.2</v>
      </c>
      <c r="T2021">
        <v>290</v>
      </c>
      <c r="U2021">
        <f>SUMIF(货件明细!J:J,E2021,货件明细!AP:AP)</f>
        <v>0</v>
      </c>
      <c r="V2021">
        <f>IF(U2021=T2021,0,1)</f>
        <v>1</v>
      </c>
      <c r="W2021">
        <f>T2021</f>
        <v>290</v>
      </c>
      <c r="X2021">
        <f>SUMIF(货件明细!J:J,E2021,货件明细!H:H)</f>
        <v>0</v>
      </c>
      <c r="Y2021">
        <f>N2021-X2021</f>
        <v>33.9</v>
      </c>
      <c r="Z2021">
        <f>SUMIF(货件明细!J:J,E2021,货件明细!I:I)</f>
        <v>0</v>
      </c>
      <c r="AA2021">
        <f>IF(S2021=Z2021,0,1)</f>
        <v>1</v>
      </c>
    </row>
    <row r="2022" hidden="1" spans="1:27">
      <c r="A2022">
        <v>4</v>
      </c>
      <c r="B2022">
        <v>17</v>
      </c>
      <c r="C2022" s="3">
        <v>46136</v>
      </c>
      <c r="D2022" t="s">
        <v>27</v>
      </c>
      <c r="E2022" t="s">
        <v>2152</v>
      </c>
      <c r="F2022" t="s">
        <v>2118</v>
      </c>
      <c r="G2022" t="s">
        <v>69</v>
      </c>
      <c r="H2022" t="s">
        <v>78</v>
      </c>
      <c r="I2022" t="s">
        <v>146</v>
      </c>
      <c r="J2022" t="s">
        <v>146</v>
      </c>
      <c r="K2022" t="s">
        <v>64</v>
      </c>
      <c r="L2022" t="s">
        <v>147</v>
      </c>
      <c r="M2022" t="s">
        <v>1545</v>
      </c>
      <c r="N2022">
        <v>33.9</v>
      </c>
      <c r="O2022">
        <v>15</v>
      </c>
      <c r="P2022">
        <v>211.9</v>
      </c>
      <c r="Q2022">
        <v>226.9</v>
      </c>
      <c r="R2022">
        <v>0</v>
      </c>
      <c r="S2022">
        <v>226.9</v>
      </c>
      <c r="T2022">
        <v>290</v>
      </c>
      <c r="U2022">
        <f>SUMIF(货件明细!J:J,E2022,货件明细!AP:AP)</f>
        <v>0</v>
      </c>
      <c r="V2022">
        <f>IF(U2022=T2022,0,1)</f>
        <v>1</v>
      </c>
      <c r="W2022">
        <f>T2022</f>
        <v>290</v>
      </c>
      <c r="X2022">
        <f>SUMIF(货件明细!J:J,E2022,货件明细!H:H)</f>
        <v>0</v>
      </c>
      <c r="Y2022">
        <f>N2022-X2022</f>
        <v>33.9</v>
      </c>
      <c r="Z2022">
        <f>SUMIF(货件明细!J:J,E2022,货件明细!I:I)</f>
        <v>0</v>
      </c>
      <c r="AA2022">
        <f>IF(S2022=Z2022,0,1)</f>
        <v>1</v>
      </c>
    </row>
    <row r="2023" hidden="1" spans="1:27">
      <c r="A2023">
        <v>4</v>
      </c>
      <c r="B2023">
        <v>17</v>
      </c>
      <c r="C2023" s="3">
        <v>46136</v>
      </c>
      <c r="D2023" t="s">
        <v>27</v>
      </c>
      <c r="E2023" t="s">
        <v>2153</v>
      </c>
      <c r="F2023" t="s">
        <v>74</v>
      </c>
      <c r="G2023" t="s">
        <v>30</v>
      </c>
      <c r="H2023" t="s">
        <v>78</v>
      </c>
      <c r="I2023" t="s">
        <v>146</v>
      </c>
      <c r="J2023" t="s">
        <v>146</v>
      </c>
      <c r="K2023" t="s">
        <v>64</v>
      </c>
      <c r="L2023" t="s">
        <v>147</v>
      </c>
      <c r="M2023" t="s">
        <v>148</v>
      </c>
      <c r="N2023">
        <v>33.9</v>
      </c>
      <c r="O2023">
        <v>30</v>
      </c>
      <c r="P2023">
        <v>240.5</v>
      </c>
      <c r="Q2023">
        <v>270.5</v>
      </c>
      <c r="R2023">
        <v>0</v>
      </c>
      <c r="S2023">
        <v>270.5</v>
      </c>
      <c r="T2023">
        <v>290</v>
      </c>
      <c r="U2023">
        <f>SUMIF(货件明细!J:J,E2023,货件明细!AP:AP)</f>
        <v>0</v>
      </c>
      <c r="V2023">
        <f>IF(U2023=T2023,0,1)</f>
        <v>1</v>
      </c>
      <c r="W2023">
        <f>T2023</f>
        <v>290</v>
      </c>
      <c r="X2023">
        <f>SUMIF(货件明细!J:J,E2023,货件明细!H:H)</f>
        <v>0</v>
      </c>
      <c r="Y2023">
        <f>N2023-X2023</f>
        <v>33.9</v>
      </c>
      <c r="Z2023">
        <f>SUMIF(货件明细!J:J,E2023,货件明细!I:I)</f>
        <v>0</v>
      </c>
      <c r="AA2023">
        <f>IF(S2023=Z2023,0,1)</f>
        <v>1</v>
      </c>
    </row>
    <row r="2024" hidden="1" spans="1:27">
      <c r="A2024">
        <v>4</v>
      </c>
      <c r="B2024">
        <v>17</v>
      </c>
      <c r="C2024" s="3">
        <v>46136</v>
      </c>
      <c r="D2024" t="s">
        <v>27</v>
      </c>
      <c r="E2024" t="s">
        <v>2154</v>
      </c>
      <c r="F2024" t="s">
        <v>239</v>
      </c>
      <c r="G2024" t="s">
        <v>72</v>
      </c>
      <c r="H2024" t="s">
        <v>78</v>
      </c>
      <c r="I2024" t="s">
        <v>146</v>
      </c>
      <c r="J2024" t="s">
        <v>146</v>
      </c>
      <c r="K2024" t="s">
        <v>64</v>
      </c>
      <c r="L2024" t="s">
        <v>147</v>
      </c>
      <c r="M2024" t="s">
        <v>1545</v>
      </c>
      <c r="N2024">
        <v>33.9</v>
      </c>
      <c r="O2024">
        <v>15</v>
      </c>
      <c r="P2024">
        <v>163.8</v>
      </c>
      <c r="Q2024">
        <v>178.8</v>
      </c>
      <c r="R2024">
        <v>0</v>
      </c>
      <c r="S2024">
        <v>178.8</v>
      </c>
      <c r="T2024">
        <v>290</v>
      </c>
      <c r="U2024">
        <f>SUMIF(货件明细!J:J,E2024,货件明细!AP:AP)</f>
        <v>0</v>
      </c>
      <c r="V2024">
        <f>IF(U2024=T2024,0,1)</f>
        <v>1</v>
      </c>
      <c r="W2024">
        <f>T2024</f>
        <v>290</v>
      </c>
      <c r="X2024">
        <f>SUMIF(货件明细!J:J,E2024,货件明细!H:H)</f>
        <v>0</v>
      </c>
      <c r="Y2024">
        <f>N2024-X2024</f>
        <v>33.9</v>
      </c>
      <c r="Z2024">
        <f>SUMIF(货件明细!J:J,E2024,货件明细!I:I)</f>
        <v>0</v>
      </c>
      <c r="AA2024">
        <f>IF(S2024=Z2024,0,1)</f>
        <v>1</v>
      </c>
    </row>
    <row r="2025" hidden="1" spans="1:27">
      <c r="A2025">
        <v>4</v>
      </c>
      <c r="B2025">
        <v>17</v>
      </c>
      <c r="C2025" s="3">
        <v>46136</v>
      </c>
      <c r="D2025" t="s">
        <v>27</v>
      </c>
      <c r="E2025" t="s">
        <v>2155</v>
      </c>
      <c r="F2025" t="s">
        <v>138</v>
      </c>
      <c r="G2025" t="s">
        <v>69</v>
      </c>
      <c r="H2025" t="s">
        <v>78</v>
      </c>
      <c r="I2025" t="s">
        <v>146</v>
      </c>
      <c r="J2025" t="s">
        <v>146</v>
      </c>
      <c r="K2025" t="s">
        <v>64</v>
      </c>
      <c r="L2025" t="s">
        <v>147</v>
      </c>
      <c r="M2025" t="s">
        <v>1545</v>
      </c>
      <c r="N2025">
        <v>34.3</v>
      </c>
      <c r="O2025">
        <v>15</v>
      </c>
      <c r="P2025">
        <v>211.9</v>
      </c>
      <c r="Q2025">
        <v>226.9</v>
      </c>
      <c r="R2025">
        <v>0</v>
      </c>
      <c r="S2025">
        <v>226.9</v>
      </c>
      <c r="T2025">
        <v>293</v>
      </c>
      <c r="U2025">
        <f>SUMIF(货件明细!J:J,E2025,货件明细!AP:AP)</f>
        <v>0</v>
      </c>
      <c r="V2025">
        <f>IF(U2025=T2025,0,1)</f>
        <v>1</v>
      </c>
      <c r="W2025">
        <f>T2025</f>
        <v>293</v>
      </c>
      <c r="X2025">
        <f>SUMIF(货件明细!J:J,E2025,货件明细!H:H)</f>
        <v>0</v>
      </c>
      <c r="Y2025">
        <f>N2025-X2025</f>
        <v>34.3</v>
      </c>
      <c r="Z2025">
        <f>SUMIF(货件明细!J:J,E2025,货件明细!I:I)</f>
        <v>0</v>
      </c>
      <c r="AA2025">
        <f>IF(S2025=Z2025,0,1)</f>
        <v>1</v>
      </c>
    </row>
    <row r="2026" hidden="1" spans="1:27">
      <c r="A2026">
        <v>4</v>
      </c>
      <c r="B2026">
        <v>17</v>
      </c>
      <c r="C2026" s="3">
        <v>46136</v>
      </c>
      <c r="D2026" t="s">
        <v>27</v>
      </c>
      <c r="E2026" t="s">
        <v>2156</v>
      </c>
      <c r="F2026" t="s">
        <v>138</v>
      </c>
      <c r="G2026" t="s">
        <v>69</v>
      </c>
      <c r="H2026" t="s">
        <v>31</v>
      </c>
      <c r="I2026" t="s">
        <v>63</v>
      </c>
      <c r="J2026" t="s">
        <v>2115</v>
      </c>
      <c r="K2026" t="s">
        <v>64</v>
      </c>
      <c r="L2026" t="s">
        <v>65</v>
      </c>
      <c r="M2026" t="s">
        <v>1235</v>
      </c>
      <c r="N2026">
        <v>19.75</v>
      </c>
      <c r="O2026">
        <v>5</v>
      </c>
      <c r="P2026">
        <v>156.6</v>
      </c>
      <c r="Q2026">
        <v>161.6</v>
      </c>
      <c r="R2026">
        <v>0</v>
      </c>
      <c r="S2026">
        <v>161.6</v>
      </c>
      <c r="T2026">
        <v>104</v>
      </c>
      <c r="U2026">
        <f>SUMIF(货件明细!J:J,E2026,货件明细!AP:AP)</f>
        <v>0</v>
      </c>
      <c r="V2026">
        <f>IF(U2026=T2026,0,1)</f>
        <v>1</v>
      </c>
      <c r="W2026">
        <f>T2026</f>
        <v>104</v>
      </c>
      <c r="X2026">
        <f>SUMIF(货件明细!J:J,E2026,货件明细!H:H)</f>
        <v>0</v>
      </c>
      <c r="Y2026">
        <f>N2026-X2026</f>
        <v>19.75</v>
      </c>
      <c r="Z2026">
        <f>SUMIF(货件明细!J:J,E2026,货件明细!I:I)</f>
        <v>0</v>
      </c>
      <c r="AA2026">
        <f>IF(S2026=Z2026,0,1)</f>
        <v>1</v>
      </c>
    </row>
    <row r="2027" hidden="1" spans="1:27">
      <c r="A2027">
        <v>4</v>
      </c>
      <c r="B2027">
        <v>17</v>
      </c>
      <c r="C2027" s="3">
        <v>46136</v>
      </c>
      <c r="D2027" t="s">
        <v>27</v>
      </c>
      <c r="E2027" t="s">
        <v>2157</v>
      </c>
      <c r="F2027" t="s">
        <v>187</v>
      </c>
      <c r="G2027" t="s">
        <v>72</v>
      </c>
      <c r="H2027" t="s">
        <v>31</v>
      </c>
      <c r="I2027" t="s">
        <v>63</v>
      </c>
      <c r="J2027" t="s">
        <v>2115</v>
      </c>
      <c r="K2027" t="s">
        <v>64</v>
      </c>
      <c r="L2027" t="s">
        <v>65</v>
      </c>
      <c r="M2027" t="s">
        <v>1235</v>
      </c>
      <c r="N2027">
        <v>19.75</v>
      </c>
      <c r="O2027">
        <v>5</v>
      </c>
      <c r="P2027">
        <v>107.55</v>
      </c>
      <c r="Q2027">
        <v>112.55</v>
      </c>
      <c r="R2027">
        <v>0</v>
      </c>
      <c r="S2027">
        <v>112.55</v>
      </c>
      <c r="T2027">
        <v>104</v>
      </c>
      <c r="U2027">
        <f>SUMIF(货件明细!J:J,E2027,货件明细!AP:AP)</f>
        <v>0</v>
      </c>
      <c r="V2027">
        <f>IF(U2027=T2027,0,1)</f>
        <v>1</v>
      </c>
      <c r="W2027">
        <f>T2027</f>
        <v>104</v>
      </c>
      <c r="X2027">
        <f>SUMIF(货件明细!J:J,E2027,货件明细!H:H)</f>
        <v>0</v>
      </c>
      <c r="Y2027">
        <f>N2027-X2027</f>
        <v>19.75</v>
      </c>
      <c r="Z2027">
        <f>SUMIF(货件明细!J:J,E2027,货件明细!I:I)</f>
        <v>0</v>
      </c>
      <c r="AA2027">
        <f>IF(S2027=Z2027,0,1)</f>
        <v>1</v>
      </c>
    </row>
    <row r="2028" hidden="1" spans="1:27">
      <c r="A2028">
        <v>4</v>
      </c>
      <c r="B2028">
        <v>17</v>
      </c>
      <c r="C2028" s="3">
        <v>46136</v>
      </c>
      <c r="D2028" t="s">
        <v>27</v>
      </c>
      <c r="E2028" t="s">
        <v>2158</v>
      </c>
      <c r="F2028" t="s">
        <v>2118</v>
      </c>
      <c r="G2028" t="s">
        <v>69</v>
      </c>
      <c r="H2028" t="s">
        <v>31</v>
      </c>
      <c r="I2028" t="s">
        <v>63</v>
      </c>
      <c r="J2028" t="s">
        <v>2115</v>
      </c>
      <c r="K2028" t="s">
        <v>64</v>
      </c>
      <c r="L2028" t="s">
        <v>65</v>
      </c>
      <c r="M2028" t="s">
        <v>1235</v>
      </c>
      <c r="N2028">
        <v>19.75</v>
      </c>
      <c r="O2028">
        <v>5</v>
      </c>
      <c r="P2028">
        <v>163.8</v>
      </c>
      <c r="Q2028">
        <v>168.8</v>
      </c>
      <c r="R2028">
        <v>0</v>
      </c>
      <c r="S2028">
        <v>168.8</v>
      </c>
      <c r="T2028">
        <v>104</v>
      </c>
      <c r="U2028">
        <f>SUMIF(货件明细!J:J,E2028,货件明细!AP:AP)</f>
        <v>0</v>
      </c>
      <c r="V2028">
        <f>IF(U2028=T2028,0,1)</f>
        <v>1</v>
      </c>
      <c r="W2028">
        <f>T2028</f>
        <v>104</v>
      </c>
      <c r="X2028">
        <f>SUMIF(货件明细!J:J,E2028,货件明细!H:H)</f>
        <v>0</v>
      </c>
      <c r="Y2028">
        <f>N2028-X2028</f>
        <v>19.75</v>
      </c>
      <c r="Z2028">
        <f>SUMIF(货件明细!J:J,E2028,货件明细!I:I)</f>
        <v>0</v>
      </c>
      <c r="AA2028">
        <f>IF(S2028=Z2028,0,1)</f>
        <v>1</v>
      </c>
    </row>
    <row r="2029" hidden="1" spans="1:27">
      <c r="A2029">
        <v>4</v>
      </c>
      <c r="B2029">
        <v>17</v>
      </c>
      <c r="C2029" s="3">
        <v>46136</v>
      </c>
      <c r="D2029" t="s">
        <v>27</v>
      </c>
      <c r="E2029" t="s">
        <v>2159</v>
      </c>
      <c r="F2029" t="s">
        <v>74</v>
      </c>
      <c r="G2029" t="s">
        <v>30</v>
      </c>
      <c r="H2029" t="s">
        <v>31</v>
      </c>
      <c r="I2029" t="s">
        <v>63</v>
      </c>
      <c r="J2029" t="s">
        <v>2115</v>
      </c>
      <c r="K2029" t="s">
        <v>64</v>
      </c>
      <c r="L2029" t="s">
        <v>65</v>
      </c>
      <c r="M2029" t="s">
        <v>1235</v>
      </c>
      <c r="N2029">
        <v>19.75</v>
      </c>
      <c r="O2029">
        <v>5</v>
      </c>
      <c r="P2029">
        <v>166.95</v>
      </c>
      <c r="Q2029">
        <v>171.95</v>
      </c>
      <c r="R2029">
        <v>0</v>
      </c>
      <c r="S2029">
        <v>171.95</v>
      </c>
      <c r="T2029">
        <v>104</v>
      </c>
      <c r="U2029">
        <f>SUMIF(货件明细!J:J,E2029,货件明细!AP:AP)</f>
        <v>0</v>
      </c>
      <c r="V2029">
        <f>IF(U2029=T2029,0,1)</f>
        <v>1</v>
      </c>
      <c r="W2029">
        <f>T2029</f>
        <v>104</v>
      </c>
      <c r="X2029">
        <f>SUMIF(货件明细!J:J,E2029,货件明细!H:H)</f>
        <v>0</v>
      </c>
      <c r="Y2029">
        <f>N2029-X2029</f>
        <v>19.75</v>
      </c>
      <c r="Z2029">
        <f>SUMIF(货件明细!J:J,E2029,货件明细!I:I)</f>
        <v>0</v>
      </c>
      <c r="AA2029">
        <f>IF(S2029=Z2029,0,1)</f>
        <v>1</v>
      </c>
    </row>
    <row r="2030" hidden="1" spans="1:27">
      <c r="A2030">
        <v>4</v>
      </c>
      <c r="B2030">
        <v>17</v>
      </c>
      <c r="C2030" s="3">
        <v>46136</v>
      </c>
      <c r="D2030" t="s">
        <v>27</v>
      </c>
      <c r="E2030" t="s">
        <v>2160</v>
      </c>
      <c r="F2030" t="s">
        <v>239</v>
      </c>
      <c r="G2030" t="s">
        <v>72</v>
      </c>
      <c r="H2030" t="s">
        <v>31</v>
      </c>
      <c r="I2030" t="s">
        <v>63</v>
      </c>
      <c r="J2030" t="s">
        <v>2115</v>
      </c>
      <c r="K2030" t="s">
        <v>64</v>
      </c>
      <c r="L2030" t="s">
        <v>65</v>
      </c>
      <c r="M2030" t="s">
        <v>1235</v>
      </c>
      <c r="N2030">
        <v>19.75</v>
      </c>
      <c r="O2030">
        <v>5</v>
      </c>
      <c r="P2030">
        <v>132.3</v>
      </c>
      <c r="Q2030">
        <v>137.3</v>
      </c>
      <c r="R2030">
        <v>0</v>
      </c>
      <c r="S2030">
        <v>137.3</v>
      </c>
      <c r="T2030">
        <v>104</v>
      </c>
      <c r="U2030">
        <f>SUMIF(货件明细!J:J,E2030,货件明细!AP:AP)</f>
        <v>0</v>
      </c>
      <c r="V2030">
        <f>IF(U2030=T2030,0,1)</f>
        <v>1</v>
      </c>
      <c r="W2030">
        <f>T2030</f>
        <v>104</v>
      </c>
      <c r="X2030">
        <f>SUMIF(货件明细!J:J,E2030,货件明细!H:H)</f>
        <v>0</v>
      </c>
      <c r="Y2030">
        <f>N2030-X2030</f>
        <v>19.75</v>
      </c>
      <c r="Z2030">
        <f>SUMIF(货件明细!J:J,E2030,货件明细!I:I)</f>
        <v>0</v>
      </c>
      <c r="AA2030">
        <f>IF(S2030=Z2030,0,1)</f>
        <v>1</v>
      </c>
    </row>
    <row r="2031" hidden="1" spans="1:27">
      <c r="A2031">
        <v>4</v>
      </c>
      <c r="B2031">
        <v>17</v>
      </c>
      <c r="C2031" s="3">
        <v>46136</v>
      </c>
      <c r="D2031" t="s">
        <v>27</v>
      </c>
      <c r="E2031" t="s">
        <v>2161</v>
      </c>
      <c r="F2031" t="s">
        <v>187</v>
      </c>
      <c r="G2031" t="s">
        <v>72</v>
      </c>
      <c r="H2031" t="s">
        <v>56</v>
      </c>
      <c r="I2031" t="s">
        <v>146</v>
      </c>
      <c r="J2031" t="s">
        <v>146</v>
      </c>
      <c r="K2031" t="s">
        <v>64</v>
      </c>
      <c r="L2031" t="s">
        <v>147</v>
      </c>
      <c r="M2031" t="s">
        <v>1545</v>
      </c>
      <c r="N2031">
        <v>33.65</v>
      </c>
      <c r="O2031">
        <v>15</v>
      </c>
      <c r="P2031">
        <v>159.6</v>
      </c>
      <c r="Q2031">
        <v>174.6</v>
      </c>
      <c r="R2031">
        <v>0</v>
      </c>
      <c r="S2031">
        <v>174.6</v>
      </c>
      <c r="T2031">
        <v>154</v>
      </c>
      <c r="U2031">
        <f>SUMIF(货件明细!J:J,E2031,货件明细!AP:AP)</f>
        <v>0</v>
      </c>
      <c r="V2031">
        <f>IF(U2031=T2031,0,1)</f>
        <v>1</v>
      </c>
      <c r="W2031">
        <f>T2031</f>
        <v>154</v>
      </c>
      <c r="X2031">
        <f>SUMIF(货件明细!J:J,E2031,货件明细!H:H)</f>
        <v>0</v>
      </c>
      <c r="Y2031">
        <f>N2031-X2031</f>
        <v>33.65</v>
      </c>
      <c r="Z2031">
        <f>SUMIF(货件明细!J:J,E2031,货件明细!I:I)</f>
        <v>0</v>
      </c>
      <c r="AA2031">
        <f>IF(S2031=Z2031,0,1)</f>
        <v>1</v>
      </c>
    </row>
    <row r="2032" hidden="1" spans="1:27">
      <c r="A2032">
        <v>4</v>
      </c>
      <c r="B2032">
        <v>17</v>
      </c>
      <c r="C2032" s="3">
        <v>46136</v>
      </c>
      <c r="D2032" t="s">
        <v>27</v>
      </c>
      <c r="E2032" t="s">
        <v>2162</v>
      </c>
      <c r="F2032" t="s">
        <v>2118</v>
      </c>
      <c r="G2032" t="s">
        <v>69</v>
      </c>
      <c r="H2032" t="s">
        <v>56</v>
      </c>
      <c r="I2032" t="s">
        <v>146</v>
      </c>
      <c r="J2032" t="s">
        <v>146</v>
      </c>
      <c r="K2032" t="s">
        <v>64</v>
      </c>
      <c r="L2032" t="s">
        <v>147</v>
      </c>
      <c r="M2032" t="s">
        <v>1545</v>
      </c>
      <c r="N2032">
        <v>33.65</v>
      </c>
      <c r="O2032">
        <v>15</v>
      </c>
      <c r="P2032">
        <v>228.2</v>
      </c>
      <c r="Q2032">
        <v>243.2</v>
      </c>
      <c r="R2032">
        <v>0</v>
      </c>
      <c r="S2032">
        <v>243.2</v>
      </c>
      <c r="T2032">
        <v>154</v>
      </c>
      <c r="U2032">
        <f>SUMIF(货件明细!J:J,E2032,货件明细!AP:AP)</f>
        <v>0</v>
      </c>
      <c r="V2032">
        <f>IF(U2032=T2032,0,1)</f>
        <v>1</v>
      </c>
      <c r="W2032">
        <f>T2032</f>
        <v>154</v>
      </c>
      <c r="X2032">
        <f>SUMIF(货件明细!J:J,E2032,货件明细!H:H)</f>
        <v>0</v>
      </c>
      <c r="Y2032">
        <f>N2032-X2032</f>
        <v>33.65</v>
      </c>
      <c r="Z2032">
        <f>SUMIF(货件明细!J:J,E2032,货件明细!I:I)</f>
        <v>0</v>
      </c>
      <c r="AA2032">
        <f>IF(S2032=Z2032,0,1)</f>
        <v>1</v>
      </c>
    </row>
    <row r="2033" hidden="1" spans="1:27">
      <c r="A2033">
        <v>4</v>
      </c>
      <c r="B2033">
        <v>17</v>
      </c>
      <c r="C2033" s="3">
        <v>46136</v>
      </c>
      <c r="D2033" t="s">
        <v>27</v>
      </c>
      <c r="E2033" t="s">
        <v>2163</v>
      </c>
      <c r="F2033" t="s">
        <v>74</v>
      </c>
      <c r="G2033" t="s">
        <v>30</v>
      </c>
      <c r="H2033" t="s">
        <v>56</v>
      </c>
      <c r="I2033" t="s">
        <v>146</v>
      </c>
      <c r="J2033" t="s">
        <v>146</v>
      </c>
      <c r="K2033" t="s">
        <v>64</v>
      </c>
      <c r="L2033" t="s">
        <v>147</v>
      </c>
      <c r="M2033" t="s">
        <v>148</v>
      </c>
      <c r="N2033">
        <v>33.65</v>
      </c>
      <c r="O2033">
        <v>30</v>
      </c>
      <c r="P2033">
        <v>259</v>
      </c>
      <c r="Q2033">
        <v>289</v>
      </c>
      <c r="R2033">
        <v>0</v>
      </c>
      <c r="S2033">
        <v>289</v>
      </c>
      <c r="T2033">
        <v>154</v>
      </c>
      <c r="U2033">
        <f>SUMIF(货件明细!J:J,E2033,货件明细!AP:AP)</f>
        <v>0</v>
      </c>
      <c r="V2033">
        <f>IF(U2033=T2033,0,1)</f>
        <v>1</v>
      </c>
      <c r="W2033">
        <f>T2033</f>
        <v>154</v>
      </c>
      <c r="X2033">
        <f>SUMIF(货件明细!J:J,E2033,货件明细!H:H)</f>
        <v>0</v>
      </c>
      <c r="Y2033">
        <f>N2033-X2033</f>
        <v>33.65</v>
      </c>
      <c r="Z2033">
        <f>SUMIF(货件明细!J:J,E2033,货件明细!I:I)</f>
        <v>0</v>
      </c>
      <c r="AA2033">
        <f>IF(S2033=Z2033,0,1)</f>
        <v>1</v>
      </c>
    </row>
    <row r="2034" hidden="1" spans="1:27">
      <c r="A2034">
        <v>4</v>
      </c>
      <c r="B2034">
        <v>17</v>
      </c>
      <c r="C2034" s="3">
        <v>46136</v>
      </c>
      <c r="D2034" t="s">
        <v>27</v>
      </c>
      <c r="E2034" t="s">
        <v>2164</v>
      </c>
      <c r="F2034" t="s">
        <v>239</v>
      </c>
      <c r="G2034" t="s">
        <v>72</v>
      </c>
      <c r="H2034" t="s">
        <v>56</v>
      </c>
      <c r="I2034" t="s">
        <v>146</v>
      </c>
      <c r="J2034" t="s">
        <v>146</v>
      </c>
      <c r="K2034" t="s">
        <v>64</v>
      </c>
      <c r="L2034" t="s">
        <v>147</v>
      </c>
      <c r="M2034" t="s">
        <v>1545</v>
      </c>
      <c r="N2034">
        <v>33.65</v>
      </c>
      <c r="O2034">
        <v>15</v>
      </c>
      <c r="P2034">
        <v>176.4</v>
      </c>
      <c r="Q2034">
        <v>191.4</v>
      </c>
      <c r="R2034">
        <v>0</v>
      </c>
      <c r="S2034">
        <v>191.4</v>
      </c>
      <c r="T2034">
        <v>154</v>
      </c>
      <c r="U2034">
        <f>SUMIF(货件明细!J:J,E2034,货件明细!AP:AP)</f>
        <v>0</v>
      </c>
      <c r="V2034">
        <f>IF(U2034=T2034,0,1)</f>
        <v>1</v>
      </c>
      <c r="W2034">
        <f>T2034</f>
        <v>154</v>
      </c>
      <c r="X2034">
        <f>SUMIF(货件明细!J:J,E2034,货件明细!H:H)</f>
        <v>0</v>
      </c>
      <c r="Y2034">
        <f>N2034-X2034</f>
        <v>33.65</v>
      </c>
      <c r="Z2034">
        <f>SUMIF(货件明细!J:J,E2034,货件明细!I:I)</f>
        <v>0</v>
      </c>
      <c r="AA2034">
        <f>IF(S2034=Z2034,0,1)</f>
        <v>1</v>
      </c>
    </row>
    <row r="2035" hidden="1" spans="1:27">
      <c r="A2035">
        <v>4</v>
      </c>
      <c r="B2035">
        <v>17</v>
      </c>
      <c r="C2035" s="3">
        <v>46136</v>
      </c>
      <c r="D2035" t="s">
        <v>27</v>
      </c>
      <c r="E2035" t="s">
        <v>2165</v>
      </c>
      <c r="F2035" t="s">
        <v>138</v>
      </c>
      <c r="G2035" t="s">
        <v>69</v>
      </c>
      <c r="H2035" t="s">
        <v>56</v>
      </c>
      <c r="I2035" t="s">
        <v>146</v>
      </c>
      <c r="J2035" t="s">
        <v>146</v>
      </c>
      <c r="K2035" t="s">
        <v>64</v>
      </c>
      <c r="L2035" t="s">
        <v>147</v>
      </c>
      <c r="M2035" t="s">
        <v>1545</v>
      </c>
      <c r="N2035">
        <v>34.1</v>
      </c>
      <c r="O2035">
        <v>15</v>
      </c>
      <c r="P2035">
        <v>228.2</v>
      </c>
      <c r="Q2035">
        <v>243.2</v>
      </c>
      <c r="R2035">
        <v>0</v>
      </c>
      <c r="S2035">
        <v>243.2</v>
      </c>
      <c r="T2035">
        <v>156</v>
      </c>
      <c r="U2035">
        <f>SUMIF(货件明细!J:J,E2035,货件明细!AP:AP)</f>
        <v>0</v>
      </c>
      <c r="V2035">
        <f>IF(U2035=T2035,0,1)</f>
        <v>1</v>
      </c>
      <c r="W2035">
        <f>T2035</f>
        <v>156</v>
      </c>
      <c r="X2035">
        <f>SUMIF(货件明细!J:J,E2035,货件明细!H:H)</f>
        <v>0</v>
      </c>
      <c r="Y2035">
        <f>N2035-X2035</f>
        <v>34.1</v>
      </c>
      <c r="Z2035">
        <f>SUMIF(货件明细!J:J,E2035,货件明细!I:I)</f>
        <v>0</v>
      </c>
      <c r="AA2035">
        <f>IF(S2035=Z2035,0,1)</f>
        <v>1</v>
      </c>
    </row>
    <row r="2036" hidden="1" spans="1:27">
      <c r="A2036">
        <v>4</v>
      </c>
      <c r="B2036">
        <v>17</v>
      </c>
      <c r="C2036" s="3">
        <v>46136</v>
      </c>
      <c r="D2036" t="s">
        <v>27</v>
      </c>
      <c r="E2036" t="s">
        <v>2166</v>
      </c>
      <c r="F2036" t="s">
        <v>138</v>
      </c>
      <c r="G2036" t="s">
        <v>69</v>
      </c>
      <c r="H2036" t="s">
        <v>54</v>
      </c>
      <c r="I2036" t="s">
        <v>146</v>
      </c>
      <c r="J2036" t="s">
        <v>146</v>
      </c>
      <c r="K2036" t="s">
        <v>64</v>
      </c>
      <c r="L2036" t="s">
        <v>147</v>
      </c>
      <c r="M2036" t="s">
        <v>1545</v>
      </c>
      <c r="N2036">
        <v>33.8</v>
      </c>
      <c r="O2036">
        <v>15</v>
      </c>
      <c r="P2036">
        <v>195.6</v>
      </c>
      <c r="Q2036">
        <v>210.6</v>
      </c>
      <c r="R2036">
        <v>0</v>
      </c>
      <c r="S2036">
        <v>210.6</v>
      </c>
      <c r="T2036">
        <v>194</v>
      </c>
      <c r="U2036">
        <f>SUMIF(货件明细!J:J,E2036,货件明细!AP:AP)</f>
        <v>0</v>
      </c>
      <c r="V2036">
        <f>IF(U2036=T2036,0,1)</f>
        <v>1</v>
      </c>
      <c r="W2036">
        <f>T2036</f>
        <v>194</v>
      </c>
      <c r="X2036">
        <f>SUMIF(货件明细!J:J,E2036,货件明细!H:H)</f>
        <v>0</v>
      </c>
      <c r="Y2036">
        <f>N2036-X2036</f>
        <v>33.8</v>
      </c>
      <c r="Z2036">
        <f>SUMIF(货件明细!J:J,E2036,货件明细!I:I)</f>
        <v>0</v>
      </c>
      <c r="AA2036">
        <f>IF(S2036=Z2036,0,1)</f>
        <v>1</v>
      </c>
    </row>
    <row r="2037" hidden="1" spans="1:27">
      <c r="A2037">
        <v>4</v>
      </c>
      <c r="B2037">
        <v>17</v>
      </c>
      <c r="C2037" s="3">
        <v>46136</v>
      </c>
      <c r="D2037" t="s">
        <v>27</v>
      </c>
      <c r="E2037" t="s">
        <v>2167</v>
      </c>
      <c r="F2037" t="s">
        <v>187</v>
      </c>
      <c r="G2037" t="s">
        <v>72</v>
      </c>
      <c r="H2037" t="s">
        <v>54</v>
      </c>
      <c r="I2037" t="s">
        <v>146</v>
      </c>
      <c r="J2037" t="s">
        <v>146</v>
      </c>
      <c r="K2037" t="s">
        <v>64</v>
      </c>
      <c r="L2037" t="s">
        <v>147</v>
      </c>
      <c r="M2037" t="s">
        <v>1545</v>
      </c>
      <c r="N2037">
        <v>33.8</v>
      </c>
      <c r="O2037">
        <v>15</v>
      </c>
      <c r="P2037">
        <v>114</v>
      </c>
      <c r="Q2037">
        <v>129</v>
      </c>
      <c r="R2037">
        <v>0</v>
      </c>
      <c r="S2037">
        <v>129</v>
      </c>
      <c r="T2037">
        <v>194</v>
      </c>
      <c r="U2037">
        <f>SUMIF(货件明细!J:J,E2037,货件明细!AP:AP)</f>
        <v>0</v>
      </c>
      <c r="V2037">
        <f>IF(U2037=T2037,0,1)</f>
        <v>1</v>
      </c>
      <c r="W2037">
        <f>T2037</f>
        <v>194</v>
      </c>
      <c r="X2037">
        <f>SUMIF(货件明细!J:J,E2037,货件明细!H:H)</f>
        <v>0</v>
      </c>
      <c r="Y2037">
        <f>N2037-X2037</f>
        <v>33.8</v>
      </c>
      <c r="Z2037">
        <f>SUMIF(货件明细!J:J,E2037,货件明细!I:I)</f>
        <v>0</v>
      </c>
      <c r="AA2037">
        <f>IF(S2037=Z2037,0,1)</f>
        <v>1</v>
      </c>
    </row>
    <row r="2038" hidden="1" spans="1:27">
      <c r="A2038">
        <v>4</v>
      </c>
      <c r="B2038">
        <v>17</v>
      </c>
      <c r="C2038" s="3">
        <v>46136</v>
      </c>
      <c r="D2038" t="s">
        <v>27</v>
      </c>
      <c r="E2038" t="s">
        <v>2168</v>
      </c>
      <c r="F2038" t="s">
        <v>2118</v>
      </c>
      <c r="G2038" t="s">
        <v>69</v>
      </c>
      <c r="H2038" t="s">
        <v>54</v>
      </c>
      <c r="I2038" t="s">
        <v>146</v>
      </c>
      <c r="J2038" t="s">
        <v>146</v>
      </c>
      <c r="K2038" t="s">
        <v>64</v>
      </c>
      <c r="L2038" t="s">
        <v>147</v>
      </c>
      <c r="M2038" t="s">
        <v>1545</v>
      </c>
      <c r="N2038">
        <v>33.8</v>
      </c>
      <c r="O2038">
        <v>15</v>
      </c>
      <c r="P2038">
        <v>195.6</v>
      </c>
      <c r="Q2038">
        <v>210.6</v>
      </c>
      <c r="R2038">
        <v>0</v>
      </c>
      <c r="S2038">
        <v>210.6</v>
      </c>
      <c r="T2038">
        <v>194</v>
      </c>
      <c r="U2038">
        <f>SUMIF(货件明细!J:J,E2038,货件明细!AP:AP)</f>
        <v>0</v>
      </c>
      <c r="V2038">
        <f>IF(U2038=T2038,0,1)</f>
        <v>1</v>
      </c>
      <c r="W2038">
        <f>T2038</f>
        <v>194</v>
      </c>
      <c r="X2038">
        <f>SUMIF(货件明细!J:J,E2038,货件明细!H:H)</f>
        <v>0</v>
      </c>
      <c r="Y2038">
        <f>N2038-X2038</f>
        <v>33.8</v>
      </c>
      <c r="Z2038">
        <f>SUMIF(货件明细!J:J,E2038,货件明细!I:I)</f>
        <v>0</v>
      </c>
      <c r="AA2038">
        <f>IF(S2038=Z2038,0,1)</f>
        <v>1</v>
      </c>
    </row>
    <row r="2039" hidden="1" spans="1:27">
      <c r="A2039">
        <v>4</v>
      </c>
      <c r="B2039">
        <v>17</v>
      </c>
      <c r="C2039" s="3">
        <v>46136</v>
      </c>
      <c r="D2039" t="s">
        <v>27</v>
      </c>
      <c r="E2039" t="s">
        <v>2169</v>
      </c>
      <c r="F2039" t="s">
        <v>74</v>
      </c>
      <c r="G2039" t="s">
        <v>30</v>
      </c>
      <c r="H2039" t="s">
        <v>54</v>
      </c>
      <c r="I2039" t="s">
        <v>146</v>
      </c>
      <c r="J2039" t="s">
        <v>146</v>
      </c>
      <c r="K2039" t="s">
        <v>64</v>
      </c>
      <c r="L2039" t="s">
        <v>147</v>
      </c>
      <c r="M2039" t="s">
        <v>148</v>
      </c>
      <c r="N2039">
        <v>33.8</v>
      </c>
      <c r="O2039">
        <v>30</v>
      </c>
      <c r="P2039">
        <v>234</v>
      </c>
      <c r="Q2039">
        <v>264</v>
      </c>
      <c r="R2039">
        <v>0</v>
      </c>
      <c r="S2039">
        <v>264</v>
      </c>
      <c r="T2039">
        <v>194</v>
      </c>
      <c r="U2039">
        <f>SUMIF(货件明细!J:J,E2039,货件明细!AP:AP)</f>
        <v>0</v>
      </c>
      <c r="V2039">
        <f>IF(U2039=T2039,0,1)</f>
        <v>1</v>
      </c>
      <c r="W2039">
        <f>T2039</f>
        <v>194</v>
      </c>
      <c r="X2039">
        <f>SUMIF(货件明细!J:J,E2039,货件明细!H:H)</f>
        <v>0</v>
      </c>
      <c r="Y2039">
        <f>N2039-X2039</f>
        <v>33.8</v>
      </c>
      <c r="Z2039">
        <f>SUMIF(货件明细!J:J,E2039,货件明细!I:I)</f>
        <v>0</v>
      </c>
      <c r="AA2039">
        <f>IF(S2039=Z2039,0,1)</f>
        <v>1</v>
      </c>
    </row>
    <row r="2040" hidden="1" spans="1:27">
      <c r="A2040">
        <v>4</v>
      </c>
      <c r="B2040">
        <v>17</v>
      </c>
      <c r="C2040" s="3">
        <v>46136</v>
      </c>
      <c r="D2040" t="s">
        <v>27</v>
      </c>
      <c r="E2040" t="s">
        <v>2170</v>
      </c>
      <c r="F2040" t="s">
        <v>239</v>
      </c>
      <c r="G2040" t="s">
        <v>72</v>
      </c>
      <c r="H2040" t="s">
        <v>54</v>
      </c>
      <c r="I2040" t="s">
        <v>146</v>
      </c>
      <c r="J2040" t="s">
        <v>146</v>
      </c>
      <c r="K2040" t="s">
        <v>64</v>
      </c>
      <c r="L2040" t="s">
        <v>147</v>
      </c>
      <c r="M2040" t="s">
        <v>1545</v>
      </c>
      <c r="N2040">
        <v>33.8</v>
      </c>
      <c r="O2040">
        <v>15</v>
      </c>
      <c r="P2040">
        <v>126</v>
      </c>
      <c r="Q2040">
        <v>141</v>
      </c>
      <c r="R2040">
        <v>0</v>
      </c>
      <c r="S2040">
        <v>141</v>
      </c>
      <c r="T2040">
        <v>194</v>
      </c>
      <c r="U2040">
        <f>SUMIF(货件明细!J:J,E2040,货件明细!AP:AP)</f>
        <v>0</v>
      </c>
      <c r="V2040">
        <f>IF(U2040=T2040,0,1)</f>
        <v>1</v>
      </c>
      <c r="W2040">
        <f>T2040</f>
        <v>194</v>
      </c>
      <c r="X2040">
        <f>SUMIF(货件明细!J:J,E2040,货件明细!H:H)</f>
        <v>0</v>
      </c>
      <c r="Y2040">
        <f>N2040-X2040</f>
        <v>33.8</v>
      </c>
      <c r="Z2040">
        <f>SUMIF(货件明细!J:J,E2040,货件明细!I:I)</f>
        <v>0</v>
      </c>
      <c r="AA2040">
        <f>IF(S2040=Z2040,0,1)</f>
        <v>1</v>
      </c>
    </row>
    <row r="2041" hidden="1" spans="1:27">
      <c r="A2041">
        <v>4</v>
      </c>
      <c r="B2041">
        <v>17</v>
      </c>
      <c r="C2041" s="3">
        <v>46136</v>
      </c>
      <c r="D2041" t="s">
        <v>27</v>
      </c>
      <c r="E2041" t="s">
        <v>2171</v>
      </c>
      <c r="F2041" t="s">
        <v>74</v>
      </c>
      <c r="G2041" t="s">
        <v>30</v>
      </c>
      <c r="H2041" t="s">
        <v>39</v>
      </c>
      <c r="I2041" t="s">
        <v>63</v>
      </c>
      <c r="J2041" t="s">
        <v>2115</v>
      </c>
      <c r="K2041" t="s">
        <v>64</v>
      </c>
      <c r="L2041" t="s">
        <v>65</v>
      </c>
      <c r="M2041" t="s">
        <v>1235</v>
      </c>
      <c r="N2041">
        <v>12</v>
      </c>
      <c r="O2041">
        <v>5</v>
      </c>
      <c r="P2041">
        <v>74.2</v>
      </c>
      <c r="Q2041">
        <v>79.2</v>
      </c>
      <c r="R2041">
        <v>0</v>
      </c>
      <c r="S2041">
        <v>79.2</v>
      </c>
      <c r="T2041">
        <v>61</v>
      </c>
      <c r="U2041">
        <f>SUMIF(货件明细!J:J,E2041,货件明细!AP:AP)</f>
        <v>0</v>
      </c>
      <c r="V2041">
        <f>IF(U2041=T2041,0,1)</f>
        <v>1</v>
      </c>
      <c r="W2041">
        <f>T2041</f>
        <v>61</v>
      </c>
      <c r="X2041">
        <f>SUMIF(货件明细!J:J,E2041,货件明细!H:H)</f>
        <v>0</v>
      </c>
      <c r="Y2041">
        <f>N2041-X2041</f>
        <v>12</v>
      </c>
      <c r="Z2041">
        <f>SUMIF(货件明细!J:J,E2041,货件明细!I:I)</f>
        <v>0</v>
      </c>
      <c r="AA2041">
        <f>IF(S2041=Z2041,0,1)</f>
        <v>1</v>
      </c>
    </row>
    <row r="2042" hidden="1" spans="1:27">
      <c r="A2042">
        <v>4</v>
      </c>
      <c r="B2042">
        <v>17</v>
      </c>
      <c r="C2042" s="3">
        <v>46136</v>
      </c>
      <c r="D2042" t="s">
        <v>27</v>
      </c>
      <c r="E2042" t="s">
        <v>2172</v>
      </c>
      <c r="F2042" t="s">
        <v>138</v>
      </c>
      <c r="G2042" t="s">
        <v>69</v>
      </c>
      <c r="H2042" t="s">
        <v>39</v>
      </c>
      <c r="I2042" t="s">
        <v>63</v>
      </c>
      <c r="J2042" t="s">
        <v>2115</v>
      </c>
      <c r="K2042" t="s">
        <v>64</v>
      </c>
      <c r="L2042" t="s">
        <v>65</v>
      </c>
      <c r="M2042" t="s">
        <v>1235</v>
      </c>
      <c r="N2042">
        <v>13.45</v>
      </c>
      <c r="O2042">
        <v>5</v>
      </c>
      <c r="P2042">
        <v>87</v>
      </c>
      <c r="Q2042">
        <v>92</v>
      </c>
      <c r="R2042">
        <v>0</v>
      </c>
      <c r="S2042">
        <v>92</v>
      </c>
      <c r="T2042">
        <v>64</v>
      </c>
      <c r="U2042">
        <f>SUMIF(货件明细!J:J,E2042,货件明细!AP:AP)</f>
        <v>0</v>
      </c>
      <c r="V2042">
        <f>IF(U2042=T2042,0,1)</f>
        <v>1</v>
      </c>
      <c r="W2042">
        <f>T2042</f>
        <v>64</v>
      </c>
      <c r="X2042">
        <f>SUMIF(货件明细!J:J,E2042,货件明细!H:H)</f>
        <v>0</v>
      </c>
      <c r="Y2042">
        <f>N2042-X2042</f>
        <v>13.45</v>
      </c>
      <c r="Z2042">
        <f>SUMIF(货件明细!J:J,E2042,货件明细!I:I)</f>
        <v>0</v>
      </c>
      <c r="AA2042">
        <f>IF(S2042=Z2042,0,1)</f>
        <v>1</v>
      </c>
    </row>
    <row r="2043" hidden="1" spans="1:27">
      <c r="A2043">
        <v>4</v>
      </c>
      <c r="B2043">
        <v>17</v>
      </c>
      <c r="C2043" s="3">
        <v>46136</v>
      </c>
      <c r="D2043" t="s">
        <v>27</v>
      </c>
      <c r="E2043" t="s">
        <v>2173</v>
      </c>
      <c r="F2043" t="s">
        <v>187</v>
      </c>
      <c r="G2043" t="s">
        <v>72</v>
      </c>
      <c r="H2043" t="s">
        <v>39</v>
      </c>
      <c r="I2043" t="s">
        <v>63</v>
      </c>
      <c r="J2043" t="s">
        <v>2115</v>
      </c>
      <c r="K2043" t="s">
        <v>64</v>
      </c>
      <c r="L2043" t="s">
        <v>65</v>
      </c>
      <c r="M2043" t="s">
        <v>1235</v>
      </c>
      <c r="N2043">
        <v>13.45</v>
      </c>
      <c r="O2043">
        <v>5</v>
      </c>
      <c r="P2043">
        <v>59.75</v>
      </c>
      <c r="Q2043">
        <v>64.75</v>
      </c>
      <c r="R2043">
        <v>0</v>
      </c>
      <c r="S2043">
        <v>64.75</v>
      </c>
      <c r="T2043">
        <v>64</v>
      </c>
      <c r="U2043">
        <f>SUMIF(货件明细!J:J,E2043,货件明细!AP:AP)</f>
        <v>0</v>
      </c>
      <c r="V2043">
        <f>IF(U2043=T2043,0,1)</f>
        <v>1</v>
      </c>
      <c r="W2043">
        <f>T2043</f>
        <v>64</v>
      </c>
      <c r="X2043">
        <f>SUMIF(货件明细!J:J,E2043,货件明细!H:H)</f>
        <v>0</v>
      </c>
      <c r="Y2043">
        <f>N2043-X2043</f>
        <v>13.45</v>
      </c>
      <c r="Z2043">
        <f>SUMIF(货件明细!J:J,E2043,货件明细!I:I)</f>
        <v>0</v>
      </c>
      <c r="AA2043">
        <f>IF(S2043=Z2043,0,1)</f>
        <v>1</v>
      </c>
    </row>
    <row r="2044" hidden="1" spans="1:27">
      <c r="A2044">
        <v>4</v>
      </c>
      <c r="B2044">
        <v>17</v>
      </c>
      <c r="C2044" s="3">
        <v>46136</v>
      </c>
      <c r="D2044" t="s">
        <v>27</v>
      </c>
      <c r="E2044" t="s">
        <v>2174</v>
      </c>
      <c r="F2044" t="s">
        <v>2118</v>
      </c>
      <c r="G2044" t="s">
        <v>69</v>
      </c>
      <c r="H2044" t="s">
        <v>39</v>
      </c>
      <c r="I2044" t="s">
        <v>63</v>
      </c>
      <c r="J2044" t="s">
        <v>2115</v>
      </c>
      <c r="K2044" t="s">
        <v>64</v>
      </c>
      <c r="L2044" t="s">
        <v>65</v>
      </c>
      <c r="M2044" t="s">
        <v>1235</v>
      </c>
      <c r="N2044">
        <v>13.45</v>
      </c>
      <c r="O2044">
        <v>5</v>
      </c>
      <c r="P2044">
        <v>91</v>
      </c>
      <c r="Q2044">
        <v>96</v>
      </c>
      <c r="R2044">
        <v>0</v>
      </c>
      <c r="S2044">
        <v>96</v>
      </c>
      <c r="T2044">
        <v>64</v>
      </c>
      <c r="U2044">
        <f>SUMIF(货件明细!J:J,E2044,货件明细!AP:AP)</f>
        <v>0</v>
      </c>
      <c r="V2044">
        <f>IF(U2044=T2044,0,1)</f>
        <v>1</v>
      </c>
      <c r="W2044">
        <f>T2044</f>
        <v>64</v>
      </c>
      <c r="X2044">
        <f>SUMIF(货件明细!J:J,E2044,货件明细!H:H)</f>
        <v>0</v>
      </c>
      <c r="Y2044">
        <f>N2044-X2044</f>
        <v>13.45</v>
      </c>
      <c r="Z2044">
        <f>SUMIF(货件明细!J:J,E2044,货件明细!I:I)</f>
        <v>0</v>
      </c>
      <c r="AA2044">
        <f>IF(S2044=Z2044,0,1)</f>
        <v>1</v>
      </c>
    </row>
    <row r="2045" hidden="1" spans="1:27">
      <c r="A2045">
        <v>4</v>
      </c>
      <c r="B2045">
        <v>17</v>
      </c>
      <c r="C2045" s="3">
        <v>46136</v>
      </c>
      <c r="D2045" t="s">
        <v>27</v>
      </c>
      <c r="E2045" t="s">
        <v>2175</v>
      </c>
      <c r="F2045" t="s">
        <v>239</v>
      </c>
      <c r="G2045" t="s">
        <v>72</v>
      </c>
      <c r="H2045" t="s">
        <v>39</v>
      </c>
      <c r="I2045" t="s">
        <v>63</v>
      </c>
      <c r="J2045" t="s">
        <v>2115</v>
      </c>
      <c r="K2045" t="s">
        <v>64</v>
      </c>
      <c r="L2045" t="s">
        <v>65</v>
      </c>
      <c r="M2045" t="s">
        <v>1235</v>
      </c>
      <c r="N2045">
        <v>13.45</v>
      </c>
      <c r="O2045">
        <v>5</v>
      </c>
      <c r="P2045">
        <v>73.5</v>
      </c>
      <c r="Q2045">
        <v>78.5</v>
      </c>
      <c r="R2045">
        <v>0</v>
      </c>
      <c r="S2045">
        <v>78.5</v>
      </c>
      <c r="T2045">
        <v>64</v>
      </c>
      <c r="U2045">
        <f>SUMIF(货件明细!J:J,E2045,货件明细!AP:AP)</f>
        <v>0</v>
      </c>
      <c r="V2045">
        <f>IF(U2045=T2045,0,1)</f>
        <v>1</v>
      </c>
      <c r="W2045">
        <f>T2045</f>
        <v>64</v>
      </c>
      <c r="X2045">
        <f>SUMIF(货件明细!J:J,E2045,货件明细!H:H)</f>
        <v>0</v>
      </c>
      <c r="Y2045">
        <f>N2045-X2045</f>
        <v>13.45</v>
      </c>
      <c r="Z2045">
        <f>SUMIF(货件明细!J:J,E2045,货件明细!I:I)</f>
        <v>0</v>
      </c>
      <c r="AA2045">
        <f>IF(S2045=Z2045,0,1)</f>
        <v>1</v>
      </c>
    </row>
    <row r="2046" hidden="1" spans="1:27">
      <c r="A2046">
        <v>4</v>
      </c>
      <c r="B2046">
        <v>17</v>
      </c>
      <c r="C2046" s="3">
        <v>46136</v>
      </c>
      <c r="D2046" t="s">
        <v>27</v>
      </c>
      <c r="E2046" t="s">
        <v>2176</v>
      </c>
      <c r="F2046" t="s">
        <v>138</v>
      </c>
      <c r="G2046" t="s">
        <v>69</v>
      </c>
      <c r="H2046" t="s">
        <v>59</v>
      </c>
      <c r="I2046" t="s">
        <v>146</v>
      </c>
      <c r="J2046" t="s">
        <v>146</v>
      </c>
      <c r="K2046" t="s">
        <v>64</v>
      </c>
      <c r="L2046" t="s">
        <v>147</v>
      </c>
      <c r="M2046" t="s">
        <v>1545</v>
      </c>
      <c r="N2046">
        <v>18.7</v>
      </c>
      <c r="O2046">
        <v>15</v>
      </c>
      <c r="P2046">
        <v>114.1</v>
      </c>
      <c r="Q2046">
        <v>129.1</v>
      </c>
      <c r="R2046">
        <v>0</v>
      </c>
      <c r="S2046">
        <v>129.1</v>
      </c>
      <c r="T2046">
        <v>150</v>
      </c>
      <c r="U2046">
        <f>SUMIF(货件明细!J:J,E2046,货件明细!AP:AP)</f>
        <v>0</v>
      </c>
      <c r="V2046">
        <f>IF(U2046=T2046,0,1)</f>
        <v>1</v>
      </c>
      <c r="W2046">
        <f>T2046</f>
        <v>150</v>
      </c>
      <c r="X2046">
        <f>SUMIF(货件明细!J:J,E2046,货件明细!H:H)</f>
        <v>0</v>
      </c>
      <c r="Y2046">
        <f>N2046-X2046</f>
        <v>18.7</v>
      </c>
      <c r="Z2046">
        <f>SUMIF(货件明细!J:J,E2046,货件明细!I:I)</f>
        <v>0</v>
      </c>
      <c r="AA2046">
        <f>IF(S2046=Z2046,0,1)</f>
        <v>1</v>
      </c>
    </row>
    <row r="2047" hidden="1" spans="1:27">
      <c r="A2047">
        <v>4</v>
      </c>
      <c r="B2047">
        <v>17</v>
      </c>
      <c r="C2047" s="3">
        <v>46136</v>
      </c>
      <c r="D2047" t="s">
        <v>27</v>
      </c>
      <c r="E2047" t="s">
        <v>2177</v>
      </c>
      <c r="F2047" t="s">
        <v>187</v>
      </c>
      <c r="G2047" t="s">
        <v>72</v>
      </c>
      <c r="H2047" t="s">
        <v>59</v>
      </c>
      <c r="I2047" t="s">
        <v>146</v>
      </c>
      <c r="J2047" t="s">
        <v>146</v>
      </c>
      <c r="K2047" t="s">
        <v>64</v>
      </c>
      <c r="L2047" t="s">
        <v>147</v>
      </c>
      <c r="M2047" t="s">
        <v>1545</v>
      </c>
      <c r="N2047">
        <v>18.7</v>
      </c>
      <c r="O2047">
        <v>15</v>
      </c>
      <c r="P2047">
        <v>79.8</v>
      </c>
      <c r="Q2047">
        <v>94.8</v>
      </c>
      <c r="R2047">
        <v>0</v>
      </c>
      <c r="S2047">
        <v>94.8</v>
      </c>
      <c r="T2047">
        <v>150</v>
      </c>
      <c r="U2047">
        <f>SUMIF(货件明细!J:J,E2047,货件明细!AP:AP)</f>
        <v>0</v>
      </c>
      <c r="V2047">
        <f>IF(U2047=T2047,0,1)</f>
        <v>1</v>
      </c>
      <c r="W2047">
        <f>T2047</f>
        <v>150</v>
      </c>
      <c r="X2047">
        <f>SUMIF(货件明细!J:J,E2047,货件明细!H:H)</f>
        <v>0</v>
      </c>
      <c r="Y2047">
        <f>N2047-X2047</f>
        <v>18.7</v>
      </c>
      <c r="Z2047">
        <f>SUMIF(货件明细!J:J,E2047,货件明细!I:I)</f>
        <v>0</v>
      </c>
      <c r="AA2047">
        <f>IF(S2047=Z2047,0,1)</f>
        <v>1</v>
      </c>
    </row>
    <row r="2048" hidden="1" spans="1:27">
      <c r="A2048">
        <v>4</v>
      </c>
      <c r="B2048">
        <v>17</v>
      </c>
      <c r="C2048" s="3">
        <v>46136</v>
      </c>
      <c r="D2048" t="s">
        <v>27</v>
      </c>
      <c r="E2048" t="s">
        <v>2178</v>
      </c>
      <c r="F2048" t="s">
        <v>2118</v>
      </c>
      <c r="G2048" t="s">
        <v>69</v>
      </c>
      <c r="H2048" t="s">
        <v>59</v>
      </c>
      <c r="I2048" t="s">
        <v>146</v>
      </c>
      <c r="J2048" t="s">
        <v>146</v>
      </c>
      <c r="K2048" t="s">
        <v>64</v>
      </c>
      <c r="L2048" t="s">
        <v>147</v>
      </c>
      <c r="M2048" t="s">
        <v>1545</v>
      </c>
      <c r="N2048">
        <v>18.7</v>
      </c>
      <c r="O2048">
        <v>15</v>
      </c>
      <c r="P2048">
        <v>130.4</v>
      </c>
      <c r="Q2048">
        <v>145.4</v>
      </c>
      <c r="R2048">
        <v>0</v>
      </c>
      <c r="S2048">
        <v>145.4</v>
      </c>
      <c r="T2048">
        <v>150</v>
      </c>
      <c r="U2048">
        <f>SUMIF(货件明细!J:J,E2048,货件明细!AP:AP)</f>
        <v>0</v>
      </c>
      <c r="V2048">
        <f>IF(U2048=T2048,0,1)</f>
        <v>1</v>
      </c>
      <c r="W2048">
        <f>T2048</f>
        <v>150</v>
      </c>
      <c r="X2048">
        <f>SUMIF(货件明细!J:J,E2048,货件明细!H:H)</f>
        <v>0</v>
      </c>
      <c r="Y2048">
        <f>N2048-X2048</f>
        <v>18.7</v>
      </c>
      <c r="Z2048">
        <f>SUMIF(货件明细!J:J,E2048,货件明细!I:I)</f>
        <v>0</v>
      </c>
      <c r="AA2048">
        <f>IF(S2048=Z2048,0,1)</f>
        <v>1</v>
      </c>
    </row>
    <row r="2049" hidden="1" spans="1:27">
      <c r="A2049">
        <v>4</v>
      </c>
      <c r="B2049">
        <v>17</v>
      </c>
      <c r="C2049" s="3">
        <v>46136</v>
      </c>
      <c r="D2049" t="s">
        <v>27</v>
      </c>
      <c r="E2049" t="s">
        <v>2179</v>
      </c>
      <c r="F2049" t="s">
        <v>74</v>
      </c>
      <c r="G2049" t="s">
        <v>30</v>
      </c>
      <c r="H2049" t="s">
        <v>59</v>
      </c>
      <c r="I2049" t="s">
        <v>146</v>
      </c>
      <c r="J2049" t="s">
        <v>146</v>
      </c>
      <c r="K2049" t="s">
        <v>64</v>
      </c>
      <c r="L2049" t="s">
        <v>147</v>
      </c>
      <c r="M2049" t="s">
        <v>148</v>
      </c>
      <c r="N2049">
        <v>18.7</v>
      </c>
      <c r="O2049">
        <v>30</v>
      </c>
      <c r="P2049">
        <v>156</v>
      </c>
      <c r="Q2049">
        <v>186</v>
      </c>
      <c r="R2049">
        <v>0</v>
      </c>
      <c r="S2049">
        <v>186</v>
      </c>
      <c r="T2049">
        <v>150</v>
      </c>
      <c r="U2049">
        <f>SUMIF(货件明细!J:J,E2049,货件明细!AP:AP)</f>
        <v>0</v>
      </c>
      <c r="V2049">
        <f>IF(U2049=T2049,0,1)</f>
        <v>1</v>
      </c>
      <c r="W2049">
        <f>T2049</f>
        <v>150</v>
      </c>
      <c r="X2049">
        <f>SUMIF(货件明细!J:J,E2049,货件明细!H:H)</f>
        <v>0</v>
      </c>
      <c r="Y2049">
        <f>N2049-X2049</f>
        <v>18.7</v>
      </c>
      <c r="Z2049">
        <f>SUMIF(货件明细!J:J,E2049,货件明细!I:I)</f>
        <v>0</v>
      </c>
      <c r="AA2049">
        <f>IF(S2049=Z2049,0,1)</f>
        <v>1</v>
      </c>
    </row>
    <row r="2050" hidden="1" spans="1:27">
      <c r="A2050">
        <v>4</v>
      </c>
      <c r="B2050">
        <v>17</v>
      </c>
      <c r="C2050" s="3">
        <v>46136</v>
      </c>
      <c r="D2050" t="s">
        <v>27</v>
      </c>
      <c r="E2050" t="s">
        <v>2180</v>
      </c>
      <c r="F2050" t="s">
        <v>239</v>
      </c>
      <c r="G2050" t="s">
        <v>72</v>
      </c>
      <c r="H2050" t="s">
        <v>59</v>
      </c>
      <c r="I2050" t="s">
        <v>146</v>
      </c>
      <c r="J2050" t="s">
        <v>146</v>
      </c>
      <c r="K2050" t="s">
        <v>64</v>
      </c>
      <c r="L2050" t="s">
        <v>147</v>
      </c>
      <c r="M2050" t="s">
        <v>1545</v>
      </c>
      <c r="N2050">
        <v>18.7</v>
      </c>
      <c r="O2050">
        <v>15</v>
      </c>
      <c r="P2050">
        <v>88.2</v>
      </c>
      <c r="Q2050">
        <v>103.2</v>
      </c>
      <c r="R2050">
        <v>0</v>
      </c>
      <c r="S2050">
        <v>103.2</v>
      </c>
      <c r="T2050">
        <v>150</v>
      </c>
      <c r="U2050">
        <f>SUMIF(货件明细!J:J,E2050,货件明细!AP:AP)</f>
        <v>0</v>
      </c>
      <c r="V2050">
        <f>IF(U2050=T2050,0,1)</f>
        <v>1</v>
      </c>
      <c r="W2050">
        <f>T2050</f>
        <v>150</v>
      </c>
      <c r="X2050">
        <f>SUMIF(货件明细!J:J,E2050,货件明细!H:H)</f>
        <v>0</v>
      </c>
      <c r="Y2050">
        <f>N2050-X2050</f>
        <v>18.7</v>
      </c>
      <c r="Z2050">
        <f>SUMIF(货件明细!J:J,E2050,货件明细!I:I)</f>
        <v>0</v>
      </c>
      <c r="AA2050">
        <f>IF(S2050=Z2050,0,1)</f>
        <v>1</v>
      </c>
    </row>
    <row r="2051" hidden="1" spans="1:27">
      <c r="A2051">
        <v>4</v>
      </c>
      <c r="B2051">
        <v>17</v>
      </c>
      <c r="C2051" s="3">
        <v>46136</v>
      </c>
      <c r="D2051" t="s">
        <v>27</v>
      </c>
      <c r="E2051" t="s">
        <v>2181</v>
      </c>
      <c r="F2051" t="s">
        <v>138</v>
      </c>
      <c r="G2051" t="s">
        <v>69</v>
      </c>
      <c r="H2051" t="s">
        <v>56</v>
      </c>
      <c r="I2051" t="s">
        <v>63</v>
      </c>
      <c r="J2051" t="s">
        <v>2115</v>
      </c>
      <c r="K2051" t="s">
        <v>64</v>
      </c>
      <c r="L2051" t="s">
        <v>65</v>
      </c>
      <c r="M2051" t="s">
        <v>1235</v>
      </c>
      <c r="N2051">
        <v>35</v>
      </c>
      <c r="O2051">
        <v>5</v>
      </c>
      <c r="P2051">
        <v>226.2</v>
      </c>
      <c r="Q2051">
        <v>231.2</v>
      </c>
      <c r="R2051">
        <v>0</v>
      </c>
      <c r="S2051">
        <v>231.2</v>
      </c>
      <c r="T2051">
        <v>176</v>
      </c>
      <c r="U2051">
        <f>SUMIF(货件明细!J:J,E2051,货件明细!AP:AP)</f>
        <v>0</v>
      </c>
      <c r="V2051">
        <f>IF(U2051=T2051,0,1)</f>
        <v>1</v>
      </c>
      <c r="W2051">
        <f>T2051</f>
        <v>176</v>
      </c>
      <c r="X2051">
        <f>SUMIF(货件明细!J:J,E2051,货件明细!H:H)</f>
        <v>0</v>
      </c>
      <c r="Y2051">
        <f>N2051-X2051</f>
        <v>35</v>
      </c>
      <c r="Z2051">
        <f>SUMIF(货件明细!J:J,E2051,货件明细!I:I)</f>
        <v>0</v>
      </c>
      <c r="AA2051">
        <f>IF(S2051=Z2051,0,1)</f>
        <v>1</v>
      </c>
    </row>
    <row r="2052" hidden="1" spans="1:27">
      <c r="A2052">
        <v>4</v>
      </c>
      <c r="B2052">
        <v>17</v>
      </c>
      <c r="C2052" s="3">
        <v>46136</v>
      </c>
      <c r="D2052" t="s">
        <v>27</v>
      </c>
      <c r="E2052" t="s">
        <v>2182</v>
      </c>
      <c r="F2052" t="s">
        <v>187</v>
      </c>
      <c r="G2052" t="s">
        <v>72</v>
      </c>
      <c r="H2052" t="s">
        <v>56</v>
      </c>
      <c r="I2052" t="s">
        <v>63</v>
      </c>
      <c r="J2052" t="s">
        <v>2115</v>
      </c>
      <c r="K2052" t="s">
        <v>64</v>
      </c>
      <c r="L2052" t="s">
        <v>65</v>
      </c>
      <c r="M2052" t="s">
        <v>1235</v>
      </c>
      <c r="N2052">
        <v>35</v>
      </c>
      <c r="O2052">
        <v>5</v>
      </c>
      <c r="P2052">
        <v>155.35</v>
      </c>
      <c r="Q2052">
        <v>160.35</v>
      </c>
      <c r="R2052">
        <v>0</v>
      </c>
      <c r="S2052">
        <v>160.35</v>
      </c>
      <c r="T2052">
        <v>176</v>
      </c>
      <c r="U2052">
        <f>SUMIF(货件明细!J:J,E2052,货件明细!AP:AP)</f>
        <v>0</v>
      </c>
      <c r="V2052">
        <f>IF(U2052=T2052,0,1)</f>
        <v>1</v>
      </c>
      <c r="W2052">
        <f>T2052</f>
        <v>176</v>
      </c>
      <c r="X2052">
        <f>SUMIF(货件明细!J:J,E2052,货件明细!H:H)</f>
        <v>0</v>
      </c>
      <c r="Y2052">
        <f>N2052-X2052</f>
        <v>35</v>
      </c>
      <c r="Z2052">
        <f>SUMIF(货件明细!J:J,E2052,货件明细!I:I)</f>
        <v>0</v>
      </c>
      <c r="AA2052">
        <f>IF(S2052=Z2052,0,1)</f>
        <v>1</v>
      </c>
    </row>
    <row r="2053" hidden="1" spans="1:27">
      <c r="A2053">
        <v>4</v>
      </c>
      <c r="B2053">
        <v>17</v>
      </c>
      <c r="C2053" s="3">
        <v>46136</v>
      </c>
      <c r="D2053" t="s">
        <v>27</v>
      </c>
      <c r="E2053" t="s">
        <v>2183</v>
      </c>
      <c r="F2053" t="s">
        <v>2118</v>
      </c>
      <c r="G2053" t="s">
        <v>69</v>
      </c>
      <c r="H2053" t="s">
        <v>56</v>
      </c>
      <c r="I2053" t="s">
        <v>63</v>
      </c>
      <c r="J2053" t="s">
        <v>2115</v>
      </c>
      <c r="K2053" t="s">
        <v>64</v>
      </c>
      <c r="L2053" t="s">
        <v>65</v>
      </c>
      <c r="M2053" t="s">
        <v>1235</v>
      </c>
      <c r="N2053">
        <v>35</v>
      </c>
      <c r="O2053">
        <v>5</v>
      </c>
      <c r="P2053">
        <v>236.6</v>
      </c>
      <c r="Q2053">
        <v>241.6</v>
      </c>
      <c r="R2053">
        <v>0</v>
      </c>
      <c r="S2053">
        <v>241.6</v>
      </c>
      <c r="T2053">
        <v>176</v>
      </c>
      <c r="U2053">
        <f>SUMIF(货件明细!J:J,E2053,货件明细!AP:AP)</f>
        <v>0</v>
      </c>
      <c r="V2053">
        <f>IF(U2053=T2053,0,1)</f>
        <v>1</v>
      </c>
      <c r="W2053">
        <f>T2053</f>
        <v>176</v>
      </c>
      <c r="X2053">
        <f>SUMIF(货件明细!J:J,E2053,货件明细!H:H)</f>
        <v>0</v>
      </c>
      <c r="Y2053">
        <f>N2053-X2053</f>
        <v>35</v>
      </c>
      <c r="Z2053">
        <f>SUMIF(货件明细!J:J,E2053,货件明细!I:I)</f>
        <v>0</v>
      </c>
      <c r="AA2053">
        <f>IF(S2053=Z2053,0,1)</f>
        <v>1</v>
      </c>
    </row>
    <row r="2054" hidden="1" spans="1:27">
      <c r="A2054">
        <v>4</v>
      </c>
      <c r="B2054">
        <v>17</v>
      </c>
      <c r="C2054" s="3">
        <v>46136</v>
      </c>
      <c r="D2054" t="s">
        <v>27</v>
      </c>
      <c r="E2054" t="s">
        <v>2184</v>
      </c>
      <c r="F2054" t="s">
        <v>74</v>
      </c>
      <c r="G2054" t="s">
        <v>30</v>
      </c>
      <c r="H2054" t="s">
        <v>56</v>
      </c>
      <c r="I2054" t="s">
        <v>63</v>
      </c>
      <c r="J2054" t="s">
        <v>2115</v>
      </c>
      <c r="K2054" t="s">
        <v>64</v>
      </c>
      <c r="L2054" t="s">
        <v>65</v>
      </c>
      <c r="M2054" t="s">
        <v>1235</v>
      </c>
      <c r="N2054">
        <v>35</v>
      </c>
      <c r="O2054">
        <v>5</v>
      </c>
      <c r="P2054">
        <v>241.15</v>
      </c>
      <c r="Q2054">
        <v>246.15</v>
      </c>
      <c r="R2054">
        <v>0</v>
      </c>
      <c r="S2054">
        <v>246.15</v>
      </c>
      <c r="T2054">
        <v>176</v>
      </c>
      <c r="U2054">
        <f>SUMIF(货件明细!J:J,E2054,货件明细!AP:AP)</f>
        <v>0</v>
      </c>
      <c r="V2054">
        <f>IF(U2054=T2054,0,1)</f>
        <v>1</v>
      </c>
      <c r="W2054">
        <f>T2054</f>
        <v>176</v>
      </c>
      <c r="X2054">
        <f>SUMIF(货件明细!J:J,E2054,货件明细!H:H)</f>
        <v>0</v>
      </c>
      <c r="Y2054">
        <f>N2054-X2054</f>
        <v>35</v>
      </c>
      <c r="Z2054">
        <f>SUMIF(货件明细!J:J,E2054,货件明细!I:I)</f>
        <v>0</v>
      </c>
      <c r="AA2054">
        <f>IF(S2054=Z2054,0,1)</f>
        <v>1</v>
      </c>
    </row>
    <row r="2055" hidden="1" spans="1:27">
      <c r="A2055">
        <v>4</v>
      </c>
      <c r="B2055">
        <v>17</v>
      </c>
      <c r="C2055" s="3">
        <v>46136</v>
      </c>
      <c r="D2055" t="s">
        <v>27</v>
      </c>
      <c r="E2055" t="s">
        <v>2185</v>
      </c>
      <c r="F2055" t="s">
        <v>239</v>
      </c>
      <c r="G2055" t="s">
        <v>72</v>
      </c>
      <c r="H2055" t="s">
        <v>56</v>
      </c>
      <c r="I2055" t="s">
        <v>63</v>
      </c>
      <c r="J2055" t="s">
        <v>2115</v>
      </c>
      <c r="K2055" t="s">
        <v>64</v>
      </c>
      <c r="L2055" t="s">
        <v>65</v>
      </c>
      <c r="M2055" t="s">
        <v>1235</v>
      </c>
      <c r="N2055">
        <v>35</v>
      </c>
      <c r="O2055">
        <v>5</v>
      </c>
      <c r="P2055">
        <v>191.1</v>
      </c>
      <c r="Q2055">
        <v>196.1</v>
      </c>
      <c r="R2055">
        <v>0</v>
      </c>
      <c r="S2055">
        <v>196.1</v>
      </c>
      <c r="T2055">
        <v>176</v>
      </c>
      <c r="U2055">
        <f>SUMIF(货件明细!J:J,E2055,货件明细!AP:AP)</f>
        <v>0</v>
      </c>
      <c r="V2055">
        <f>IF(U2055=T2055,0,1)</f>
        <v>1</v>
      </c>
      <c r="W2055">
        <f>T2055</f>
        <v>176</v>
      </c>
      <c r="X2055">
        <f>SUMIF(货件明细!J:J,E2055,货件明细!H:H)</f>
        <v>0</v>
      </c>
      <c r="Y2055">
        <f>N2055-X2055</f>
        <v>35</v>
      </c>
      <c r="Z2055">
        <f>SUMIF(货件明细!J:J,E2055,货件明细!I:I)</f>
        <v>0</v>
      </c>
      <c r="AA2055">
        <f>IF(S2055=Z2055,0,1)</f>
        <v>1</v>
      </c>
    </row>
    <row r="2056" hidden="1" spans="1:27">
      <c r="A2056">
        <v>4</v>
      </c>
      <c r="B2056">
        <v>17</v>
      </c>
      <c r="C2056" s="3">
        <v>46136</v>
      </c>
      <c r="D2056" t="s">
        <v>27</v>
      </c>
      <c r="E2056" t="s">
        <v>2186</v>
      </c>
      <c r="F2056" t="s">
        <v>138</v>
      </c>
      <c r="G2056" t="s">
        <v>69</v>
      </c>
      <c r="H2056" t="s">
        <v>224</v>
      </c>
      <c r="I2056" t="s">
        <v>146</v>
      </c>
      <c r="J2056" t="s">
        <v>146</v>
      </c>
      <c r="K2056" t="s">
        <v>64</v>
      </c>
      <c r="L2056" t="s">
        <v>147</v>
      </c>
      <c r="M2056" t="s">
        <v>1545</v>
      </c>
      <c r="N2056">
        <v>29.2</v>
      </c>
      <c r="O2056">
        <v>15</v>
      </c>
      <c r="P2056">
        <v>211.9</v>
      </c>
      <c r="Q2056">
        <v>226.9</v>
      </c>
      <c r="R2056">
        <v>0</v>
      </c>
      <c r="S2056">
        <v>226.9</v>
      </c>
      <c r="T2056">
        <v>263</v>
      </c>
      <c r="U2056">
        <f>SUMIF(货件明细!J:J,E2056,货件明细!AP:AP)</f>
        <v>0</v>
      </c>
      <c r="V2056">
        <f>IF(U2056=T2056,0,1)</f>
        <v>1</v>
      </c>
      <c r="W2056">
        <f>T2056</f>
        <v>263</v>
      </c>
      <c r="X2056">
        <f>SUMIF(货件明细!J:J,E2056,货件明细!H:H)</f>
        <v>0</v>
      </c>
      <c r="Y2056">
        <f>N2056-X2056</f>
        <v>29.2</v>
      </c>
      <c r="Z2056">
        <f>SUMIF(货件明细!J:J,E2056,货件明细!I:I)</f>
        <v>0</v>
      </c>
      <c r="AA2056">
        <f>IF(S2056=Z2056,0,1)</f>
        <v>1</v>
      </c>
    </row>
    <row r="2057" hidden="1" spans="1:27">
      <c r="A2057">
        <v>4</v>
      </c>
      <c r="B2057">
        <v>17</v>
      </c>
      <c r="C2057" s="3">
        <v>46136</v>
      </c>
      <c r="D2057" t="s">
        <v>27</v>
      </c>
      <c r="E2057" t="s">
        <v>2187</v>
      </c>
      <c r="F2057" t="s">
        <v>198</v>
      </c>
      <c r="G2057" t="s">
        <v>69</v>
      </c>
      <c r="H2057" t="s">
        <v>224</v>
      </c>
      <c r="I2057" t="s">
        <v>146</v>
      </c>
      <c r="J2057" t="s">
        <v>146</v>
      </c>
      <c r="K2057" t="s">
        <v>64</v>
      </c>
      <c r="L2057" t="s">
        <v>147</v>
      </c>
      <c r="M2057" t="s">
        <v>1545</v>
      </c>
      <c r="N2057">
        <v>29.2</v>
      </c>
      <c r="O2057">
        <v>15</v>
      </c>
      <c r="P2057">
        <v>211.9</v>
      </c>
      <c r="Q2057">
        <v>226.9</v>
      </c>
      <c r="R2057">
        <v>0</v>
      </c>
      <c r="S2057">
        <v>226.9</v>
      </c>
      <c r="T2057">
        <v>263</v>
      </c>
      <c r="U2057">
        <f>SUMIF(货件明细!J:J,E2057,货件明细!AP:AP)</f>
        <v>0</v>
      </c>
      <c r="V2057">
        <f>IF(U2057=T2057,0,1)</f>
        <v>1</v>
      </c>
      <c r="W2057">
        <f>T2057</f>
        <v>263</v>
      </c>
      <c r="X2057">
        <f>SUMIF(货件明细!J:J,E2057,货件明细!H:H)</f>
        <v>0</v>
      </c>
      <c r="Y2057">
        <f>N2057-X2057</f>
        <v>29.2</v>
      </c>
      <c r="Z2057">
        <f>SUMIF(货件明细!J:J,E2057,货件明细!I:I)</f>
        <v>0</v>
      </c>
      <c r="AA2057">
        <f>IF(S2057=Z2057,0,1)</f>
        <v>1</v>
      </c>
    </row>
    <row r="2058" hidden="1" spans="1:27">
      <c r="A2058">
        <v>4</v>
      </c>
      <c r="B2058">
        <v>17</v>
      </c>
      <c r="C2058" s="3">
        <v>46136</v>
      </c>
      <c r="D2058" t="s">
        <v>27</v>
      </c>
      <c r="E2058" t="s">
        <v>2188</v>
      </c>
      <c r="F2058" t="s">
        <v>187</v>
      </c>
      <c r="G2058" t="s">
        <v>72</v>
      </c>
      <c r="H2058" t="s">
        <v>224</v>
      </c>
      <c r="I2058" t="s">
        <v>146</v>
      </c>
      <c r="J2058" t="s">
        <v>146</v>
      </c>
      <c r="K2058" t="s">
        <v>64</v>
      </c>
      <c r="L2058" t="s">
        <v>147</v>
      </c>
      <c r="M2058" t="s">
        <v>1545</v>
      </c>
      <c r="N2058">
        <v>29.2</v>
      </c>
      <c r="O2058">
        <v>15</v>
      </c>
      <c r="P2058">
        <v>182.4</v>
      </c>
      <c r="Q2058">
        <v>197.4</v>
      </c>
      <c r="R2058">
        <v>0</v>
      </c>
      <c r="S2058">
        <v>197.4</v>
      </c>
      <c r="T2058">
        <v>263</v>
      </c>
      <c r="U2058">
        <f>SUMIF(货件明细!J:J,E2058,货件明细!AP:AP)</f>
        <v>0</v>
      </c>
      <c r="V2058">
        <f>IF(U2058=T2058,0,1)</f>
        <v>1</v>
      </c>
      <c r="W2058">
        <f>T2058</f>
        <v>263</v>
      </c>
      <c r="X2058">
        <f>SUMIF(货件明细!J:J,E2058,货件明细!H:H)</f>
        <v>0</v>
      </c>
      <c r="Y2058">
        <f>N2058-X2058</f>
        <v>29.2</v>
      </c>
      <c r="Z2058">
        <f>SUMIF(货件明细!J:J,E2058,货件明细!I:I)</f>
        <v>0</v>
      </c>
      <c r="AA2058">
        <f>IF(S2058=Z2058,0,1)</f>
        <v>1</v>
      </c>
    </row>
    <row r="2059" hidden="1" spans="1:27">
      <c r="A2059">
        <v>4</v>
      </c>
      <c r="B2059">
        <v>17</v>
      </c>
      <c r="C2059" s="3">
        <v>46136</v>
      </c>
      <c r="D2059" t="s">
        <v>27</v>
      </c>
      <c r="E2059" t="s">
        <v>2189</v>
      </c>
      <c r="F2059" t="s">
        <v>390</v>
      </c>
      <c r="G2059" t="s">
        <v>30</v>
      </c>
      <c r="H2059" t="s">
        <v>224</v>
      </c>
      <c r="I2059" t="s">
        <v>146</v>
      </c>
      <c r="J2059" t="s">
        <v>146</v>
      </c>
      <c r="K2059" t="s">
        <v>64</v>
      </c>
      <c r="L2059" t="s">
        <v>147</v>
      </c>
      <c r="M2059" t="s">
        <v>148</v>
      </c>
      <c r="N2059">
        <v>29.2</v>
      </c>
      <c r="O2059">
        <v>30</v>
      </c>
      <c r="P2059">
        <v>253.5</v>
      </c>
      <c r="Q2059">
        <v>283.5</v>
      </c>
      <c r="R2059">
        <v>0</v>
      </c>
      <c r="S2059">
        <v>283.5</v>
      </c>
      <c r="T2059">
        <v>263</v>
      </c>
      <c r="U2059">
        <f>SUMIF(货件明细!J:J,E2059,货件明细!AP:AP)</f>
        <v>0</v>
      </c>
      <c r="V2059">
        <f>IF(U2059=T2059,0,1)</f>
        <v>1</v>
      </c>
      <c r="W2059">
        <f>T2059</f>
        <v>263</v>
      </c>
      <c r="X2059">
        <f>SUMIF(货件明细!J:J,E2059,货件明细!H:H)</f>
        <v>0</v>
      </c>
      <c r="Y2059">
        <f>N2059-X2059</f>
        <v>29.2</v>
      </c>
      <c r="Z2059">
        <f>SUMIF(货件明细!J:J,E2059,货件明细!I:I)</f>
        <v>0</v>
      </c>
      <c r="AA2059">
        <f>IF(S2059=Z2059,0,1)</f>
        <v>1</v>
      </c>
    </row>
    <row r="2060" hidden="1" spans="1:27">
      <c r="A2060">
        <v>4</v>
      </c>
      <c r="B2060">
        <v>17</v>
      </c>
      <c r="C2060" s="3">
        <v>46136</v>
      </c>
      <c r="D2060" t="s">
        <v>27</v>
      </c>
      <c r="E2060" t="s">
        <v>2190</v>
      </c>
      <c r="F2060" t="s">
        <v>239</v>
      </c>
      <c r="G2060" t="s">
        <v>72</v>
      </c>
      <c r="H2060" t="s">
        <v>224</v>
      </c>
      <c r="I2060" t="s">
        <v>146</v>
      </c>
      <c r="J2060" t="s">
        <v>146</v>
      </c>
      <c r="K2060" t="s">
        <v>64</v>
      </c>
      <c r="L2060" t="s">
        <v>147</v>
      </c>
      <c r="M2060" t="s">
        <v>1545</v>
      </c>
      <c r="N2060">
        <v>29.2</v>
      </c>
      <c r="O2060">
        <v>15</v>
      </c>
      <c r="P2060">
        <v>201.6</v>
      </c>
      <c r="Q2060">
        <v>216.6</v>
      </c>
      <c r="R2060">
        <v>0</v>
      </c>
      <c r="S2060">
        <v>216.6</v>
      </c>
      <c r="T2060">
        <v>263</v>
      </c>
      <c r="U2060">
        <f>SUMIF(货件明细!J:J,E2060,货件明细!AP:AP)</f>
        <v>0</v>
      </c>
      <c r="V2060">
        <f>IF(U2060=T2060,0,1)</f>
        <v>1</v>
      </c>
      <c r="W2060">
        <f>T2060</f>
        <v>263</v>
      </c>
      <c r="X2060">
        <f>SUMIF(货件明细!J:J,E2060,货件明细!H:H)</f>
        <v>0</v>
      </c>
      <c r="Y2060">
        <f>N2060-X2060</f>
        <v>29.2</v>
      </c>
      <c r="Z2060">
        <f>SUMIF(货件明细!J:J,E2060,货件明细!I:I)</f>
        <v>0</v>
      </c>
      <c r="AA2060">
        <f>IF(S2060=Z2060,0,1)</f>
        <v>1</v>
      </c>
    </row>
    <row r="2061" hidden="1" spans="1:27">
      <c r="A2061">
        <v>4</v>
      </c>
      <c r="B2061">
        <v>17</v>
      </c>
      <c r="C2061" s="3">
        <v>46136</v>
      </c>
      <c r="D2061" t="s">
        <v>27</v>
      </c>
      <c r="E2061" t="s">
        <v>2191</v>
      </c>
      <c r="F2061" t="s">
        <v>138</v>
      </c>
      <c r="G2061" t="s">
        <v>69</v>
      </c>
      <c r="H2061" t="s">
        <v>46</v>
      </c>
      <c r="I2061" t="s">
        <v>146</v>
      </c>
      <c r="J2061" t="s">
        <v>146</v>
      </c>
      <c r="K2061" t="s">
        <v>64</v>
      </c>
      <c r="L2061" t="s">
        <v>147</v>
      </c>
      <c r="M2061" t="s">
        <v>1545</v>
      </c>
      <c r="N2061">
        <v>25.25</v>
      </c>
      <c r="O2061">
        <v>15</v>
      </c>
      <c r="P2061">
        <v>179.3</v>
      </c>
      <c r="Q2061">
        <v>194.3</v>
      </c>
      <c r="R2061">
        <v>0</v>
      </c>
      <c r="S2061">
        <v>194.3</v>
      </c>
      <c r="T2061">
        <v>196</v>
      </c>
      <c r="U2061">
        <f>SUMIF(货件明细!J:J,E2061,货件明细!AP:AP)</f>
        <v>0</v>
      </c>
      <c r="V2061">
        <f>IF(U2061=T2061,0,1)</f>
        <v>1</v>
      </c>
      <c r="W2061">
        <f>T2061</f>
        <v>196</v>
      </c>
      <c r="X2061">
        <f>SUMIF(货件明细!J:J,E2061,货件明细!H:H)</f>
        <v>0</v>
      </c>
      <c r="Y2061">
        <f>N2061-X2061</f>
        <v>25.25</v>
      </c>
      <c r="Z2061">
        <f>SUMIF(货件明细!J:J,E2061,货件明细!I:I)</f>
        <v>0</v>
      </c>
      <c r="AA2061">
        <f>IF(S2061=Z2061,0,1)</f>
        <v>1</v>
      </c>
    </row>
    <row r="2062" hidden="1" spans="1:27">
      <c r="A2062">
        <v>4</v>
      </c>
      <c r="B2062">
        <v>17</v>
      </c>
      <c r="C2062" s="3">
        <v>46136</v>
      </c>
      <c r="D2062" t="s">
        <v>27</v>
      </c>
      <c r="E2062" t="s">
        <v>2192</v>
      </c>
      <c r="F2062" t="s">
        <v>187</v>
      </c>
      <c r="G2062" t="s">
        <v>72</v>
      </c>
      <c r="H2062" t="s">
        <v>46</v>
      </c>
      <c r="I2062" t="s">
        <v>146</v>
      </c>
      <c r="J2062" t="s">
        <v>146</v>
      </c>
      <c r="K2062" t="s">
        <v>64</v>
      </c>
      <c r="L2062" t="s">
        <v>147</v>
      </c>
      <c r="M2062" t="s">
        <v>1545</v>
      </c>
      <c r="N2062">
        <v>25.25</v>
      </c>
      <c r="O2062">
        <v>15</v>
      </c>
      <c r="P2062">
        <v>125.4</v>
      </c>
      <c r="Q2062">
        <v>140.4</v>
      </c>
      <c r="R2062">
        <v>0</v>
      </c>
      <c r="S2062">
        <v>140.4</v>
      </c>
      <c r="T2062">
        <v>196</v>
      </c>
      <c r="U2062">
        <f>SUMIF(货件明细!J:J,E2062,货件明细!AP:AP)</f>
        <v>0</v>
      </c>
      <c r="V2062">
        <f>IF(U2062=T2062,0,1)</f>
        <v>1</v>
      </c>
      <c r="W2062">
        <f>T2062</f>
        <v>196</v>
      </c>
      <c r="X2062">
        <f>SUMIF(货件明细!J:J,E2062,货件明细!H:H)</f>
        <v>0</v>
      </c>
      <c r="Y2062">
        <f>N2062-X2062</f>
        <v>25.25</v>
      </c>
      <c r="Z2062">
        <f>SUMIF(货件明细!J:J,E2062,货件明细!I:I)</f>
        <v>0</v>
      </c>
      <c r="AA2062">
        <f>IF(S2062=Z2062,0,1)</f>
        <v>1</v>
      </c>
    </row>
    <row r="2063" hidden="1" spans="1:27">
      <c r="A2063">
        <v>4</v>
      </c>
      <c r="B2063">
        <v>17</v>
      </c>
      <c r="C2063" s="3">
        <v>46136</v>
      </c>
      <c r="D2063" t="s">
        <v>27</v>
      </c>
      <c r="E2063" t="s">
        <v>2193</v>
      </c>
      <c r="F2063" t="s">
        <v>2118</v>
      </c>
      <c r="G2063" t="s">
        <v>69</v>
      </c>
      <c r="H2063" t="s">
        <v>46</v>
      </c>
      <c r="I2063" t="s">
        <v>146</v>
      </c>
      <c r="J2063" t="s">
        <v>146</v>
      </c>
      <c r="K2063" t="s">
        <v>64</v>
      </c>
      <c r="L2063" t="s">
        <v>147</v>
      </c>
      <c r="M2063" t="s">
        <v>1545</v>
      </c>
      <c r="N2063">
        <v>25.25</v>
      </c>
      <c r="O2063">
        <v>15</v>
      </c>
      <c r="P2063">
        <v>179.3</v>
      </c>
      <c r="Q2063">
        <v>194.3</v>
      </c>
      <c r="R2063">
        <v>0</v>
      </c>
      <c r="S2063">
        <v>194.3</v>
      </c>
      <c r="T2063">
        <v>196</v>
      </c>
      <c r="U2063">
        <f>SUMIF(货件明细!J:J,E2063,货件明细!AP:AP)</f>
        <v>0</v>
      </c>
      <c r="V2063">
        <f>IF(U2063=T2063,0,1)</f>
        <v>1</v>
      </c>
      <c r="W2063">
        <f>T2063</f>
        <v>196</v>
      </c>
      <c r="X2063">
        <f>SUMIF(货件明细!J:J,E2063,货件明细!H:H)</f>
        <v>0</v>
      </c>
      <c r="Y2063">
        <f>N2063-X2063</f>
        <v>25.25</v>
      </c>
      <c r="Z2063">
        <f>SUMIF(货件明细!J:J,E2063,货件明细!I:I)</f>
        <v>0</v>
      </c>
      <c r="AA2063">
        <f>IF(S2063=Z2063,0,1)</f>
        <v>1</v>
      </c>
    </row>
    <row r="2064" hidden="1" spans="1:27">
      <c r="A2064">
        <v>4</v>
      </c>
      <c r="B2064">
        <v>17</v>
      </c>
      <c r="C2064" s="3">
        <v>46136</v>
      </c>
      <c r="D2064" t="s">
        <v>27</v>
      </c>
      <c r="E2064" t="s">
        <v>2194</v>
      </c>
      <c r="F2064" t="s">
        <v>74</v>
      </c>
      <c r="G2064" t="s">
        <v>30</v>
      </c>
      <c r="H2064" t="s">
        <v>46</v>
      </c>
      <c r="I2064" t="s">
        <v>146</v>
      </c>
      <c r="J2064" t="s">
        <v>146</v>
      </c>
      <c r="K2064" t="s">
        <v>64</v>
      </c>
      <c r="L2064" t="s">
        <v>147</v>
      </c>
      <c r="M2064" t="s">
        <v>148</v>
      </c>
      <c r="N2064">
        <v>25.25</v>
      </c>
      <c r="O2064">
        <v>30</v>
      </c>
      <c r="P2064">
        <v>214.5</v>
      </c>
      <c r="Q2064">
        <v>244.5</v>
      </c>
      <c r="R2064">
        <v>0</v>
      </c>
      <c r="S2064">
        <v>244.5</v>
      </c>
      <c r="T2064">
        <v>196</v>
      </c>
      <c r="U2064">
        <f>SUMIF(货件明细!J:J,E2064,货件明细!AP:AP)</f>
        <v>0</v>
      </c>
      <c r="V2064">
        <f>IF(U2064=T2064,0,1)</f>
        <v>1</v>
      </c>
      <c r="W2064">
        <f>T2064</f>
        <v>196</v>
      </c>
      <c r="X2064">
        <f>SUMIF(货件明细!J:J,E2064,货件明细!H:H)</f>
        <v>0</v>
      </c>
      <c r="Y2064">
        <f>N2064-X2064</f>
        <v>25.25</v>
      </c>
      <c r="Z2064">
        <f>SUMIF(货件明细!J:J,E2064,货件明细!I:I)</f>
        <v>0</v>
      </c>
      <c r="AA2064">
        <f>IF(S2064=Z2064,0,1)</f>
        <v>1</v>
      </c>
    </row>
    <row r="2065" hidden="1" spans="1:27">
      <c r="A2065">
        <v>4</v>
      </c>
      <c r="B2065">
        <v>17</v>
      </c>
      <c r="C2065" s="3">
        <v>46136</v>
      </c>
      <c r="D2065" t="s">
        <v>27</v>
      </c>
      <c r="E2065" t="s">
        <v>2195</v>
      </c>
      <c r="F2065" t="s">
        <v>239</v>
      </c>
      <c r="G2065" t="s">
        <v>72</v>
      </c>
      <c r="H2065" t="s">
        <v>46</v>
      </c>
      <c r="I2065" t="s">
        <v>146</v>
      </c>
      <c r="J2065" t="s">
        <v>146</v>
      </c>
      <c r="K2065" t="s">
        <v>64</v>
      </c>
      <c r="L2065" t="s">
        <v>147</v>
      </c>
      <c r="M2065" t="s">
        <v>1545</v>
      </c>
      <c r="N2065">
        <v>25.25</v>
      </c>
      <c r="O2065">
        <v>15</v>
      </c>
      <c r="P2065">
        <v>138.6</v>
      </c>
      <c r="Q2065">
        <v>153.6</v>
      </c>
      <c r="R2065">
        <v>0</v>
      </c>
      <c r="S2065">
        <v>153.6</v>
      </c>
      <c r="T2065">
        <v>196</v>
      </c>
      <c r="U2065">
        <f>SUMIF(货件明细!J:J,E2065,货件明细!AP:AP)</f>
        <v>0</v>
      </c>
      <c r="V2065">
        <f>IF(U2065=T2065,0,1)</f>
        <v>1</v>
      </c>
      <c r="W2065">
        <f>T2065</f>
        <v>196</v>
      </c>
      <c r="X2065">
        <f>SUMIF(货件明细!J:J,E2065,货件明细!H:H)</f>
        <v>0</v>
      </c>
      <c r="Y2065">
        <f>N2065-X2065</f>
        <v>25.25</v>
      </c>
      <c r="Z2065">
        <f>SUMIF(货件明细!J:J,E2065,货件明细!I:I)</f>
        <v>0</v>
      </c>
      <c r="AA2065">
        <f>IF(S2065=Z2065,0,1)</f>
        <v>1</v>
      </c>
    </row>
    <row r="2066" hidden="1" spans="1:27">
      <c r="A2066">
        <v>4</v>
      </c>
      <c r="B2066">
        <v>17</v>
      </c>
      <c r="C2066" s="3">
        <v>46136</v>
      </c>
      <c r="D2066" t="s">
        <v>88</v>
      </c>
      <c r="E2066" t="s">
        <v>2196</v>
      </c>
      <c r="F2066" t="s">
        <v>211</v>
      </c>
      <c r="G2066" t="s">
        <v>72</v>
      </c>
      <c r="H2066" t="s">
        <v>59</v>
      </c>
      <c r="I2066" t="s">
        <v>63</v>
      </c>
      <c r="J2066" t="s">
        <v>63</v>
      </c>
      <c r="K2066" t="s">
        <v>64</v>
      </c>
      <c r="L2066" t="s">
        <v>147</v>
      </c>
      <c r="M2066" t="s">
        <v>774</v>
      </c>
      <c r="N2066">
        <v>71.5</v>
      </c>
      <c r="O2066">
        <v>13.6363636363636</v>
      </c>
      <c r="P2066">
        <v>397.511111111111</v>
      </c>
      <c r="Q2066">
        <v>411.147474747475</v>
      </c>
      <c r="R2066">
        <v>0</v>
      </c>
      <c r="S2066">
        <v>411.147474747475</v>
      </c>
      <c r="T2066">
        <v>396</v>
      </c>
      <c r="U2066">
        <f>SUMIF(货件明细!J:J,E2066,货件明细!AP:AP)</f>
        <v>0</v>
      </c>
      <c r="V2066">
        <f>IF(U2066=T2066,0,1)</f>
        <v>1</v>
      </c>
      <c r="W2066">
        <f>T2066</f>
        <v>396</v>
      </c>
      <c r="X2066">
        <f>SUMIF(货件明细!J:J,E2066,货件明细!H:H)</f>
        <v>0</v>
      </c>
      <c r="Y2066">
        <f>N2066-X2066</f>
        <v>71.5</v>
      </c>
      <c r="Z2066">
        <f>SUMIF(货件明细!J:J,E2066,货件明细!I:I)</f>
        <v>0</v>
      </c>
      <c r="AA2066">
        <f>IF(S2066=Z2066,0,1)</f>
        <v>1</v>
      </c>
    </row>
    <row r="2067" hidden="1" spans="1:27">
      <c r="A2067">
        <v>4</v>
      </c>
      <c r="B2067">
        <v>17</v>
      </c>
      <c r="C2067" s="3">
        <v>46136</v>
      </c>
      <c r="D2067" t="s">
        <v>88</v>
      </c>
      <c r="E2067" t="s">
        <v>2197</v>
      </c>
      <c r="F2067" t="s">
        <v>211</v>
      </c>
      <c r="G2067" t="s">
        <v>72</v>
      </c>
      <c r="H2067" t="s">
        <v>39</v>
      </c>
      <c r="I2067" t="s">
        <v>63</v>
      </c>
      <c r="J2067" t="s">
        <v>63</v>
      </c>
      <c r="K2067" t="s">
        <v>64</v>
      </c>
      <c r="L2067" t="s">
        <v>147</v>
      </c>
      <c r="M2067" t="s">
        <v>774</v>
      </c>
      <c r="N2067">
        <v>197.4</v>
      </c>
      <c r="O2067">
        <v>13.6363636363636</v>
      </c>
      <c r="P2067">
        <v>596.266666666667</v>
      </c>
      <c r="Q2067">
        <v>609.90303030303</v>
      </c>
      <c r="R2067">
        <v>0</v>
      </c>
      <c r="S2067">
        <v>609.90303030303</v>
      </c>
      <c r="T2067">
        <v>405</v>
      </c>
      <c r="U2067">
        <f>SUMIF(货件明细!J:J,E2067,货件明细!AP:AP)</f>
        <v>0</v>
      </c>
      <c r="V2067">
        <f>IF(U2067=T2067,0,1)</f>
        <v>1</v>
      </c>
      <c r="W2067">
        <f>T2067</f>
        <v>405</v>
      </c>
      <c r="X2067">
        <f>SUMIF(货件明细!J:J,E2067,货件明细!H:H)</f>
        <v>0</v>
      </c>
      <c r="Y2067">
        <f>N2067-X2067</f>
        <v>197.4</v>
      </c>
      <c r="Z2067">
        <f>SUMIF(货件明细!J:J,E2067,货件明细!I:I)</f>
        <v>0</v>
      </c>
      <c r="AA2067">
        <f>IF(S2067=Z2067,0,1)</f>
        <v>1</v>
      </c>
    </row>
    <row r="2068" hidden="1" spans="1:27">
      <c r="A2068">
        <v>4</v>
      </c>
      <c r="B2068">
        <v>17</v>
      </c>
      <c r="C2068" s="3">
        <v>46136</v>
      </c>
      <c r="D2068" t="s">
        <v>88</v>
      </c>
      <c r="E2068" t="s">
        <v>2198</v>
      </c>
      <c r="F2068" t="s">
        <v>211</v>
      </c>
      <c r="G2068" t="s">
        <v>72</v>
      </c>
      <c r="H2068" t="s">
        <v>56</v>
      </c>
      <c r="I2068" t="s">
        <v>63</v>
      </c>
      <c r="J2068" t="s">
        <v>63</v>
      </c>
      <c r="K2068" t="s">
        <v>64</v>
      </c>
      <c r="L2068" t="s">
        <v>147</v>
      </c>
      <c r="M2068" t="s">
        <v>774</v>
      </c>
      <c r="N2068">
        <v>177.15</v>
      </c>
      <c r="O2068">
        <v>13.6363636363636</v>
      </c>
      <c r="P2068">
        <v>662.518518518519</v>
      </c>
      <c r="Q2068">
        <v>676.154882154882</v>
      </c>
      <c r="R2068">
        <v>0</v>
      </c>
      <c r="S2068">
        <v>676.154882154882</v>
      </c>
      <c r="T2068">
        <v>878</v>
      </c>
      <c r="U2068">
        <f>SUMIF(货件明细!J:J,E2068,货件明细!AP:AP)</f>
        <v>0</v>
      </c>
      <c r="V2068">
        <f>IF(U2068=T2068,0,1)</f>
        <v>1</v>
      </c>
      <c r="W2068">
        <f>T2068</f>
        <v>878</v>
      </c>
      <c r="X2068">
        <f>SUMIF(货件明细!J:J,E2068,货件明细!H:H)</f>
        <v>0</v>
      </c>
      <c r="Y2068">
        <f>N2068-X2068</f>
        <v>177.15</v>
      </c>
      <c r="Z2068">
        <f>SUMIF(货件明细!J:J,E2068,货件明细!I:I)</f>
        <v>0</v>
      </c>
      <c r="AA2068">
        <f>IF(S2068=Z2068,0,1)</f>
        <v>1</v>
      </c>
    </row>
    <row r="2069" hidden="1" spans="1:27">
      <c r="A2069">
        <v>4</v>
      </c>
      <c r="B2069">
        <v>17</v>
      </c>
      <c r="C2069" s="3">
        <v>46136</v>
      </c>
      <c r="D2069" t="s">
        <v>88</v>
      </c>
      <c r="E2069" t="s">
        <v>2199</v>
      </c>
      <c r="F2069" t="s">
        <v>211</v>
      </c>
      <c r="G2069" t="s">
        <v>72</v>
      </c>
      <c r="H2069" t="s">
        <v>51</v>
      </c>
      <c r="I2069" t="s">
        <v>63</v>
      </c>
      <c r="J2069" t="s">
        <v>63</v>
      </c>
      <c r="K2069" t="s">
        <v>64</v>
      </c>
      <c r="L2069" t="s">
        <v>147</v>
      </c>
      <c r="M2069" t="s">
        <v>774</v>
      </c>
      <c r="N2069">
        <v>359.37</v>
      </c>
      <c r="O2069">
        <v>13.6363636363636</v>
      </c>
      <c r="P2069">
        <v>1722.54814814815</v>
      </c>
      <c r="Q2069">
        <v>1736.18451178451</v>
      </c>
      <c r="R2069">
        <v>0</v>
      </c>
      <c r="S2069">
        <v>1736.18451178451</v>
      </c>
      <c r="T2069">
        <v>1074</v>
      </c>
      <c r="U2069">
        <f>SUMIF(货件明细!J:J,E2069,货件明细!AP:AP)</f>
        <v>0</v>
      </c>
      <c r="V2069">
        <f>IF(U2069=T2069,0,1)</f>
        <v>1</v>
      </c>
      <c r="W2069">
        <f>T2069</f>
        <v>1074</v>
      </c>
      <c r="X2069">
        <f>SUMIF(货件明细!J:J,E2069,货件明细!H:H)</f>
        <v>0</v>
      </c>
      <c r="Y2069">
        <f>N2069-X2069</f>
        <v>359.37</v>
      </c>
      <c r="Z2069">
        <f>SUMIF(货件明细!J:J,E2069,货件明细!I:I)</f>
        <v>0</v>
      </c>
      <c r="AA2069">
        <f>IF(S2069=Z2069,0,1)</f>
        <v>1</v>
      </c>
    </row>
    <row r="2070" hidden="1" spans="1:27">
      <c r="A2070">
        <v>4</v>
      </c>
      <c r="B2070">
        <v>17</v>
      </c>
      <c r="C2070" s="3">
        <v>46136</v>
      </c>
      <c r="D2070" t="s">
        <v>88</v>
      </c>
      <c r="E2070" t="s">
        <v>2200</v>
      </c>
      <c r="F2070" t="s">
        <v>211</v>
      </c>
      <c r="G2070" t="s">
        <v>72</v>
      </c>
      <c r="H2070" t="s">
        <v>56</v>
      </c>
      <c r="I2070" t="s">
        <v>63</v>
      </c>
      <c r="J2070" t="s">
        <v>63</v>
      </c>
      <c r="K2070" t="s">
        <v>64</v>
      </c>
      <c r="L2070" t="s">
        <v>147</v>
      </c>
      <c r="M2070" t="s">
        <v>774</v>
      </c>
      <c r="N2070">
        <v>118.55</v>
      </c>
      <c r="O2070">
        <v>13.6363636363636</v>
      </c>
      <c r="P2070">
        <v>463.762962962963</v>
      </c>
      <c r="Q2070">
        <v>477.399326599327</v>
      </c>
      <c r="R2070">
        <v>0</v>
      </c>
      <c r="S2070">
        <v>477.399326599327</v>
      </c>
      <c r="T2070">
        <v>590</v>
      </c>
      <c r="U2070">
        <f>SUMIF(货件明细!J:J,E2070,货件明细!AP:AP)</f>
        <v>0</v>
      </c>
      <c r="V2070">
        <f>IF(U2070=T2070,0,1)</f>
        <v>1</v>
      </c>
      <c r="W2070">
        <f>T2070</f>
        <v>590</v>
      </c>
      <c r="X2070">
        <f>SUMIF(货件明细!J:J,E2070,货件明细!H:H)</f>
        <v>0</v>
      </c>
      <c r="Y2070">
        <f>N2070-X2070</f>
        <v>118.55</v>
      </c>
      <c r="Z2070">
        <f>SUMIF(货件明细!J:J,E2070,货件明细!I:I)</f>
        <v>0</v>
      </c>
      <c r="AA2070">
        <f>IF(S2070=Z2070,0,1)</f>
        <v>1</v>
      </c>
    </row>
    <row r="2071" hidden="1" spans="1:27">
      <c r="A2071">
        <v>4</v>
      </c>
      <c r="B2071">
        <v>17</v>
      </c>
      <c r="C2071" s="3">
        <v>46136</v>
      </c>
      <c r="D2071" t="s">
        <v>88</v>
      </c>
      <c r="E2071" t="s">
        <v>2201</v>
      </c>
      <c r="F2071" t="s">
        <v>211</v>
      </c>
      <c r="G2071" t="s">
        <v>72</v>
      </c>
      <c r="H2071" t="s">
        <v>31</v>
      </c>
      <c r="I2071" t="s">
        <v>63</v>
      </c>
      <c r="J2071" t="s">
        <v>63</v>
      </c>
      <c r="K2071" t="s">
        <v>64</v>
      </c>
      <c r="L2071" t="s">
        <v>147</v>
      </c>
      <c r="M2071" t="s">
        <v>774</v>
      </c>
      <c r="N2071">
        <v>87.15</v>
      </c>
      <c r="O2071">
        <v>13.6363636363636</v>
      </c>
      <c r="P2071">
        <v>397.511111111111</v>
      </c>
      <c r="Q2071">
        <v>411.147474747475</v>
      </c>
      <c r="R2071">
        <v>0</v>
      </c>
      <c r="S2071">
        <v>411.147474747475</v>
      </c>
      <c r="T2071">
        <v>337</v>
      </c>
      <c r="U2071">
        <f>SUMIF(货件明细!J:J,E2071,货件明细!AP:AP)</f>
        <v>0</v>
      </c>
      <c r="V2071">
        <f>IF(U2071=T2071,0,1)</f>
        <v>1</v>
      </c>
      <c r="W2071">
        <f>T2071</f>
        <v>337</v>
      </c>
      <c r="X2071">
        <f>SUMIF(货件明细!J:J,E2071,货件明细!H:H)</f>
        <v>0</v>
      </c>
      <c r="Y2071">
        <f>N2071-X2071</f>
        <v>87.15</v>
      </c>
      <c r="Z2071">
        <f>SUMIF(货件明细!J:J,E2071,货件明细!I:I)</f>
        <v>0</v>
      </c>
      <c r="AA2071">
        <f>IF(S2071=Z2071,0,1)</f>
        <v>1</v>
      </c>
    </row>
    <row r="2072" hidden="1" spans="1:27">
      <c r="A2072">
        <v>4</v>
      </c>
      <c r="B2072">
        <v>17</v>
      </c>
      <c r="C2072" s="3">
        <v>46136</v>
      </c>
      <c r="D2072" t="s">
        <v>88</v>
      </c>
      <c r="E2072" t="s">
        <v>2202</v>
      </c>
      <c r="F2072" t="s">
        <v>211</v>
      </c>
      <c r="G2072" t="s">
        <v>72</v>
      </c>
      <c r="H2072" t="s">
        <v>39</v>
      </c>
      <c r="I2072" t="s">
        <v>63</v>
      </c>
      <c r="J2072" t="s">
        <v>63</v>
      </c>
      <c r="K2072" t="s">
        <v>64</v>
      </c>
      <c r="L2072" t="s">
        <v>147</v>
      </c>
      <c r="M2072" t="s">
        <v>774</v>
      </c>
      <c r="N2072">
        <v>139.6</v>
      </c>
      <c r="O2072">
        <v>13.6363636363636</v>
      </c>
      <c r="P2072">
        <v>463.762962962963</v>
      </c>
      <c r="Q2072">
        <v>477.399326599327</v>
      </c>
      <c r="R2072">
        <v>0</v>
      </c>
      <c r="S2072">
        <v>477.399326599327</v>
      </c>
      <c r="T2072">
        <v>291</v>
      </c>
      <c r="U2072">
        <f>SUMIF(货件明细!J:J,E2072,货件明细!AP:AP)</f>
        <v>0</v>
      </c>
      <c r="V2072">
        <f>IF(U2072=T2072,0,1)</f>
        <v>1</v>
      </c>
      <c r="W2072">
        <f>T2072</f>
        <v>291</v>
      </c>
      <c r="X2072">
        <f>SUMIF(货件明细!J:J,E2072,货件明细!H:H)</f>
        <v>0</v>
      </c>
      <c r="Y2072">
        <f>N2072-X2072</f>
        <v>139.6</v>
      </c>
      <c r="Z2072">
        <f>SUMIF(货件明细!J:J,E2072,货件明细!I:I)</f>
        <v>0</v>
      </c>
      <c r="AA2072">
        <f>IF(S2072=Z2072,0,1)</f>
        <v>1</v>
      </c>
    </row>
    <row r="2073" hidden="1" spans="1:27">
      <c r="A2073">
        <v>4</v>
      </c>
      <c r="B2073">
        <v>17</v>
      </c>
      <c r="C2073" s="3">
        <v>46136</v>
      </c>
      <c r="D2073" t="s">
        <v>88</v>
      </c>
      <c r="E2073" t="s">
        <v>2203</v>
      </c>
      <c r="F2073" t="s">
        <v>211</v>
      </c>
      <c r="G2073" t="s">
        <v>72</v>
      </c>
      <c r="H2073" t="s">
        <v>78</v>
      </c>
      <c r="I2073" t="s">
        <v>63</v>
      </c>
      <c r="J2073" t="s">
        <v>63</v>
      </c>
      <c r="K2073" t="s">
        <v>64</v>
      </c>
      <c r="L2073" t="s">
        <v>147</v>
      </c>
      <c r="M2073" t="s">
        <v>774</v>
      </c>
      <c r="N2073">
        <v>73.8</v>
      </c>
      <c r="O2073">
        <v>13.6363636363636</v>
      </c>
      <c r="P2073">
        <v>331.259259259259</v>
      </c>
      <c r="Q2073">
        <v>344.895622895623</v>
      </c>
      <c r="R2073">
        <v>0</v>
      </c>
      <c r="S2073">
        <v>344.895622895623</v>
      </c>
      <c r="T2073">
        <v>260</v>
      </c>
      <c r="U2073">
        <f>SUMIF(货件明细!J:J,E2073,货件明细!AP:AP)</f>
        <v>0</v>
      </c>
      <c r="V2073">
        <f>IF(U2073=T2073,0,1)</f>
        <v>1</v>
      </c>
      <c r="W2073">
        <f>T2073</f>
        <v>260</v>
      </c>
      <c r="X2073">
        <f>SUMIF(货件明细!J:J,E2073,货件明细!H:H)</f>
        <v>0</v>
      </c>
      <c r="Y2073">
        <f>N2073-X2073</f>
        <v>73.8</v>
      </c>
      <c r="Z2073">
        <f>SUMIF(货件明细!J:J,E2073,货件明细!I:I)</f>
        <v>0</v>
      </c>
      <c r="AA2073">
        <f>IF(S2073=Z2073,0,1)</f>
        <v>1</v>
      </c>
    </row>
    <row r="2074" hidden="1" spans="1:27">
      <c r="A2074">
        <v>4</v>
      </c>
      <c r="B2074">
        <v>17</v>
      </c>
      <c r="C2074" s="3">
        <v>46136</v>
      </c>
      <c r="D2074" t="s">
        <v>88</v>
      </c>
      <c r="E2074" t="s">
        <v>2204</v>
      </c>
      <c r="F2074" t="s">
        <v>211</v>
      </c>
      <c r="G2074" t="s">
        <v>72</v>
      </c>
      <c r="H2074" t="s">
        <v>37</v>
      </c>
      <c r="I2074" t="s">
        <v>63</v>
      </c>
      <c r="J2074" t="s">
        <v>63</v>
      </c>
      <c r="K2074" t="s">
        <v>64</v>
      </c>
      <c r="L2074" t="s">
        <v>147</v>
      </c>
      <c r="M2074" t="s">
        <v>774</v>
      </c>
      <c r="N2074">
        <v>115.85</v>
      </c>
      <c r="O2074">
        <v>13.6363636363636</v>
      </c>
      <c r="P2074">
        <v>596.266666666667</v>
      </c>
      <c r="Q2074">
        <v>609.90303030303</v>
      </c>
      <c r="R2074">
        <v>0</v>
      </c>
      <c r="S2074">
        <v>609.90303030303</v>
      </c>
      <c r="T2074">
        <v>999</v>
      </c>
      <c r="U2074">
        <f>SUMIF(货件明细!J:J,E2074,货件明细!AP:AP)</f>
        <v>0</v>
      </c>
      <c r="V2074">
        <f>IF(U2074=T2074,0,1)</f>
        <v>1</v>
      </c>
      <c r="W2074">
        <f>T2074</f>
        <v>999</v>
      </c>
      <c r="X2074">
        <f>SUMIF(货件明细!J:J,E2074,货件明细!H:H)</f>
        <v>0</v>
      </c>
      <c r="Y2074">
        <f>N2074-X2074</f>
        <v>115.85</v>
      </c>
      <c r="Z2074">
        <f>SUMIF(货件明细!J:J,E2074,货件明细!I:I)</f>
        <v>0</v>
      </c>
      <c r="AA2074">
        <f>IF(S2074=Z2074,0,1)</f>
        <v>1</v>
      </c>
    </row>
    <row r="2075" hidden="1" spans="1:27">
      <c r="A2075">
        <v>4</v>
      </c>
      <c r="B2075">
        <v>17</v>
      </c>
      <c r="C2075" s="3">
        <v>46136</v>
      </c>
      <c r="D2075" t="s">
        <v>88</v>
      </c>
      <c r="E2075" t="s">
        <v>2205</v>
      </c>
      <c r="F2075" t="s">
        <v>211</v>
      </c>
      <c r="G2075" t="s">
        <v>72</v>
      </c>
      <c r="H2075" t="s">
        <v>54</v>
      </c>
      <c r="I2075" t="s">
        <v>63</v>
      </c>
      <c r="J2075" t="s">
        <v>63</v>
      </c>
      <c r="K2075" t="s">
        <v>64</v>
      </c>
      <c r="L2075" t="s">
        <v>147</v>
      </c>
      <c r="M2075" t="s">
        <v>774</v>
      </c>
      <c r="N2075">
        <v>96.85</v>
      </c>
      <c r="O2075">
        <v>13.6363636363636</v>
      </c>
      <c r="P2075">
        <v>530.014814814815</v>
      </c>
      <c r="Q2075">
        <v>543.651178451178</v>
      </c>
      <c r="R2075">
        <v>0</v>
      </c>
      <c r="S2075">
        <v>543.651178451178</v>
      </c>
      <c r="T2075">
        <v>630</v>
      </c>
      <c r="U2075">
        <f>SUMIF(货件明细!J:J,E2075,货件明细!AP:AP)</f>
        <v>0</v>
      </c>
      <c r="V2075">
        <f>IF(U2075=T2075,0,1)</f>
        <v>1</v>
      </c>
      <c r="W2075">
        <f>T2075</f>
        <v>630</v>
      </c>
      <c r="X2075">
        <f>SUMIF(货件明细!J:J,E2075,货件明细!H:H)</f>
        <v>0</v>
      </c>
      <c r="Y2075">
        <f>N2075-X2075</f>
        <v>96.85</v>
      </c>
      <c r="Z2075">
        <f>SUMIF(货件明细!J:J,E2075,货件明细!I:I)</f>
        <v>0</v>
      </c>
      <c r="AA2075">
        <f>IF(S2075=Z2075,0,1)</f>
        <v>1</v>
      </c>
    </row>
    <row r="2076" hidden="1" spans="1:27">
      <c r="A2076">
        <v>4</v>
      </c>
      <c r="B2076">
        <v>17</v>
      </c>
      <c r="C2076" s="3">
        <v>46136</v>
      </c>
      <c r="D2076" t="s">
        <v>88</v>
      </c>
      <c r="E2076" t="s">
        <v>2206</v>
      </c>
      <c r="F2076" t="s">
        <v>211</v>
      </c>
      <c r="G2076" t="s">
        <v>72</v>
      </c>
      <c r="H2076" t="s">
        <v>37</v>
      </c>
      <c r="I2076" t="s">
        <v>63</v>
      </c>
      <c r="J2076" t="s">
        <v>63</v>
      </c>
      <c r="K2076" t="s">
        <v>64</v>
      </c>
      <c r="L2076" t="s">
        <v>147</v>
      </c>
      <c r="M2076" t="s">
        <v>774</v>
      </c>
      <c r="N2076">
        <v>233.25</v>
      </c>
      <c r="O2076">
        <v>13.6363636363636</v>
      </c>
      <c r="P2076">
        <v>993.777777777778</v>
      </c>
      <c r="Q2076">
        <v>1007.41414141414</v>
      </c>
      <c r="R2076">
        <v>0</v>
      </c>
      <c r="S2076">
        <v>1007.41414141414</v>
      </c>
      <c r="T2076">
        <v>1618</v>
      </c>
      <c r="U2076">
        <f>SUMIF(货件明细!J:J,E2076,货件明细!AP:AP)</f>
        <v>0</v>
      </c>
      <c r="V2076">
        <f>IF(U2076=T2076,0,1)</f>
        <v>1</v>
      </c>
      <c r="W2076">
        <f>T2076</f>
        <v>1618</v>
      </c>
      <c r="X2076">
        <f>SUMIF(货件明细!J:J,E2076,货件明细!H:H)</f>
        <v>0</v>
      </c>
      <c r="Y2076">
        <f>N2076-X2076</f>
        <v>233.25</v>
      </c>
      <c r="Z2076">
        <f>SUMIF(货件明细!J:J,E2076,货件明细!I:I)</f>
        <v>0</v>
      </c>
      <c r="AA2076">
        <f>IF(S2076=Z2076,0,1)</f>
        <v>1</v>
      </c>
    </row>
    <row r="2077" spans="1:27">
      <c r="A2077">
        <v>4</v>
      </c>
      <c r="B2077">
        <v>17</v>
      </c>
      <c r="C2077" s="3">
        <v>46136</v>
      </c>
      <c r="D2077" t="s">
        <v>27</v>
      </c>
      <c r="E2077" t="s">
        <v>2207</v>
      </c>
      <c r="F2077" t="s">
        <v>29</v>
      </c>
      <c r="G2077" t="s">
        <v>30</v>
      </c>
      <c r="H2077" t="s">
        <v>224</v>
      </c>
      <c r="I2077" t="s">
        <v>42</v>
      </c>
      <c r="J2077" t="s">
        <v>42</v>
      </c>
      <c r="K2077" t="s">
        <v>33</v>
      </c>
      <c r="L2077" t="s">
        <v>207</v>
      </c>
      <c r="M2077" t="s">
        <v>130</v>
      </c>
      <c r="N2077">
        <v>55.65</v>
      </c>
      <c r="O2077">
        <v>200</v>
      </c>
      <c r="P2077">
        <v>4436.6</v>
      </c>
      <c r="Q2077">
        <v>4636.6</v>
      </c>
      <c r="R2077">
        <v>351.392</v>
      </c>
      <c r="S2077">
        <v>4987.992</v>
      </c>
      <c r="T2077">
        <v>268</v>
      </c>
      <c r="U2077">
        <f>SUMIF(货件明细!J:J,E2077,货件明细!AP:AP)</f>
        <v>268</v>
      </c>
      <c r="V2077">
        <f>IF(U2077=T2077,0,1)</f>
        <v>0</v>
      </c>
      <c r="W2077">
        <f>T2077</f>
        <v>268</v>
      </c>
      <c r="X2077">
        <f>SUMIF(货件明细!J:J,E2077,货件明细!H:H)</f>
        <v>52.492</v>
      </c>
      <c r="Y2077">
        <f>N2077-X2077</f>
        <v>3.15799999999999</v>
      </c>
      <c r="Z2077">
        <f>SUMIF(货件明细!J:J,E2077,货件明细!I:I)</f>
        <v>4987.992</v>
      </c>
      <c r="AA2077">
        <f>IF(S2077=Z2077,0,1)</f>
        <v>0</v>
      </c>
    </row>
    <row r="2078" spans="1:27">
      <c r="A2078">
        <v>4</v>
      </c>
      <c r="B2078">
        <v>17</v>
      </c>
      <c r="C2078" s="3">
        <v>46136</v>
      </c>
      <c r="D2078" t="s">
        <v>27</v>
      </c>
      <c r="E2078" t="s">
        <v>2208</v>
      </c>
      <c r="F2078" t="s">
        <v>1796</v>
      </c>
      <c r="G2078" t="s">
        <v>30</v>
      </c>
      <c r="H2078" t="s">
        <v>39</v>
      </c>
      <c r="I2078" t="s">
        <v>32</v>
      </c>
      <c r="J2078" t="s">
        <v>32</v>
      </c>
      <c r="K2078" t="s">
        <v>33</v>
      </c>
      <c r="L2078" t="s">
        <v>323</v>
      </c>
      <c r="M2078" t="s">
        <v>47</v>
      </c>
      <c r="N2078">
        <v>59.3</v>
      </c>
      <c r="O2078">
        <v>75</v>
      </c>
      <c r="P2078">
        <v>4071</v>
      </c>
      <c r="Q2078">
        <v>4146</v>
      </c>
      <c r="R2078">
        <v>463.565</v>
      </c>
      <c r="S2078">
        <v>4609.565</v>
      </c>
      <c r="T2078">
        <v>295</v>
      </c>
      <c r="U2078">
        <f>SUMIF(货件明细!J:J,E2078,货件明细!AP:AP)</f>
        <v>295</v>
      </c>
      <c r="V2078">
        <f>IF(U2078=T2078,0,1)</f>
        <v>0</v>
      </c>
      <c r="W2078">
        <f>T2078</f>
        <v>295</v>
      </c>
      <c r="X2078">
        <f>SUMIF(货件明细!J:J,E2078,货件明细!H:H)</f>
        <v>56.622</v>
      </c>
      <c r="Y2078">
        <f>N2078-X2078</f>
        <v>2.678</v>
      </c>
      <c r="Z2078">
        <f>SUMIF(货件明细!J:J,E2078,货件明细!I:I)</f>
        <v>4609.565</v>
      </c>
      <c r="AA2078">
        <f>IF(S2078=Z2078,0,1)</f>
        <v>0</v>
      </c>
    </row>
    <row r="2079" spans="1:27">
      <c r="A2079">
        <v>4</v>
      </c>
      <c r="B2079">
        <v>17</v>
      </c>
      <c r="C2079" s="3">
        <v>46136</v>
      </c>
      <c r="D2079" t="s">
        <v>27</v>
      </c>
      <c r="E2079" t="s">
        <v>2209</v>
      </c>
      <c r="F2079" t="s">
        <v>1796</v>
      </c>
      <c r="G2079" t="s">
        <v>30</v>
      </c>
      <c r="H2079" t="s">
        <v>59</v>
      </c>
      <c r="I2079" t="s">
        <v>32</v>
      </c>
      <c r="J2079" t="s">
        <v>32</v>
      </c>
      <c r="K2079" t="s">
        <v>33</v>
      </c>
      <c r="L2079" t="s">
        <v>323</v>
      </c>
      <c r="M2079" t="s">
        <v>47</v>
      </c>
      <c r="N2079">
        <v>66.75</v>
      </c>
      <c r="O2079">
        <v>75</v>
      </c>
      <c r="P2079">
        <v>4623</v>
      </c>
      <c r="Q2079">
        <v>4698</v>
      </c>
      <c r="R2079">
        <v>701.255</v>
      </c>
      <c r="S2079">
        <v>5399.255</v>
      </c>
      <c r="T2079">
        <v>295</v>
      </c>
      <c r="U2079">
        <f>SUMIF(货件明细!J:J,E2079,货件明细!AP:AP)</f>
        <v>295</v>
      </c>
      <c r="V2079">
        <f>IF(U2079=T2079,0,1)</f>
        <v>0</v>
      </c>
      <c r="W2079">
        <f>T2079</f>
        <v>295</v>
      </c>
      <c r="X2079">
        <f>SUMIF(货件明细!J:J,E2079,货件明细!H:H)</f>
        <v>63.58</v>
      </c>
      <c r="Y2079">
        <f>N2079-X2079</f>
        <v>3.17</v>
      </c>
      <c r="Z2079">
        <f>SUMIF(货件明细!J:J,E2079,货件明细!I:I)</f>
        <v>5399.255</v>
      </c>
      <c r="AA2079">
        <f>IF(S2079=Z2079,0,1)</f>
        <v>0</v>
      </c>
    </row>
    <row r="2080" spans="1:27">
      <c r="A2080">
        <v>4</v>
      </c>
      <c r="B2080">
        <v>17</v>
      </c>
      <c r="C2080" s="3">
        <v>46136</v>
      </c>
      <c r="D2080" t="s">
        <v>27</v>
      </c>
      <c r="E2080" t="s">
        <v>2210</v>
      </c>
      <c r="F2080" t="s">
        <v>1796</v>
      </c>
      <c r="G2080" t="s">
        <v>30</v>
      </c>
      <c r="H2080" t="s">
        <v>31</v>
      </c>
      <c r="I2080" t="s">
        <v>32</v>
      </c>
      <c r="J2080" t="s">
        <v>32</v>
      </c>
      <c r="K2080" t="s">
        <v>33</v>
      </c>
      <c r="L2080" t="s">
        <v>323</v>
      </c>
      <c r="M2080" t="s">
        <v>47</v>
      </c>
      <c r="N2080">
        <v>12.7</v>
      </c>
      <c r="O2080">
        <v>75</v>
      </c>
      <c r="P2080">
        <v>897</v>
      </c>
      <c r="Q2080">
        <v>972</v>
      </c>
      <c r="R2080">
        <v>154.429</v>
      </c>
      <c r="S2080">
        <v>1126.429</v>
      </c>
      <c r="T2080">
        <v>100</v>
      </c>
      <c r="U2080">
        <f>SUMIF(货件明细!J:J,E2080,货件明细!AP:AP)</f>
        <v>100</v>
      </c>
      <c r="V2080">
        <f>IF(U2080=T2080,0,1)</f>
        <v>0</v>
      </c>
      <c r="W2080">
        <f>T2080</f>
        <v>100</v>
      </c>
      <c r="X2080">
        <f>SUMIF(货件明细!J:J,E2080,货件明细!H:H)</f>
        <v>12</v>
      </c>
      <c r="Y2080">
        <f>N2080-X2080</f>
        <v>0.699999999999999</v>
      </c>
      <c r="Z2080">
        <f>SUMIF(货件明细!J:J,E2080,货件明细!I:I)</f>
        <v>1126.429</v>
      </c>
      <c r="AA2080">
        <f>IF(S2080=Z2080,0,1)</f>
        <v>0</v>
      </c>
    </row>
    <row r="2081" spans="1:27">
      <c r="A2081">
        <v>4</v>
      </c>
      <c r="B2081">
        <v>17</v>
      </c>
      <c r="C2081" s="3">
        <v>46136</v>
      </c>
      <c r="D2081" t="s">
        <v>27</v>
      </c>
      <c r="E2081" t="s">
        <v>2211</v>
      </c>
      <c r="F2081" t="s">
        <v>1796</v>
      </c>
      <c r="G2081" t="s">
        <v>30</v>
      </c>
      <c r="H2081" t="s">
        <v>46</v>
      </c>
      <c r="I2081" t="s">
        <v>32</v>
      </c>
      <c r="J2081" t="s">
        <v>32</v>
      </c>
      <c r="K2081" t="s">
        <v>33</v>
      </c>
      <c r="L2081" t="s">
        <v>323</v>
      </c>
      <c r="M2081" t="s">
        <v>47</v>
      </c>
      <c r="N2081">
        <v>25.4</v>
      </c>
      <c r="O2081">
        <v>75</v>
      </c>
      <c r="P2081">
        <v>1725</v>
      </c>
      <c r="Q2081">
        <v>1800</v>
      </c>
      <c r="R2081">
        <v>269.104</v>
      </c>
      <c r="S2081">
        <v>2069.104</v>
      </c>
      <c r="T2081">
        <v>174</v>
      </c>
      <c r="U2081">
        <f>SUMIF(货件明细!J:J,E2081,货件明细!AP:AP)</f>
        <v>174</v>
      </c>
      <c r="V2081">
        <f>IF(U2081=T2081,0,1)</f>
        <v>0</v>
      </c>
      <c r="W2081">
        <f>T2081</f>
        <v>174</v>
      </c>
      <c r="X2081">
        <f>SUMIF(货件明细!J:J,E2081,货件明细!H:H)</f>
        <v>23.664</v>
      </c>
      <c r="Y2081">
        <f>N2081-X2081</f>
        <v>1.736</v>
      </c>
      <c r="Z2081">
        <f>SUMIF(货件明细!J:J,E2081,货件明细!I:I)</f>
        <v>2069.104</v>
      </c>
      <c r="AA2081">
        <f>IF(S2081=Z2081,0,1)</f>
        <v>0</v>
      </c>
    </row>
    <row r="2082" spans="1:27">
      <c r="A2082">
        <v>4</v>
      </c>
      <c r="B2082">
        <v>18</v>
      </c>
      <c r="C2082" s="3">
        <v>46139</v>
      </c>
      <c r="D2082" t="s">
        <v>27</v>
      </c>
      <c r="E2082" t="s">
        <v>2212</v>
      </c>
      <c r="F2082" t="s">
        <v>29</v>
      </c>
      <c r="G2082" t="s">
        <v>30</v>
      </c>
      <c r="H2082" t="s">
        <v>224</v>
      </c>
      <c r="I2082" t="s">
        <v>42</v>
      </c>
      <c r="J2082" t="s">
        <v>42</v>
      </c>
      <c r="K2082" t="s">
        <v>33</v>
      </c>
      <c r="L2082" t="s">
        <v>207</v>
      </c>
      <c r="M2082" t="s">
        <v>2213</v>
      </c>
      <c r="N2082">
        <v>29.2</v>
      </c>
      <c r="O2082">
        <v>100</v>
      </c>
      <c r="P2082">
        <v>2275</v>
      </c>
      <c r="Q2082">
        <v>2375</v>
      </c>
      <c r="R2082">
        <v>422.56</v>
      </c>
      <c r="S2082">
        <v>2797.56</v>
      </c>
      <c r="T2082">
        <v>380</v>
      </c>
      <c r="U2082">
        <f>SUMIF(货件明细!J:J,E2082,货件明细!AP:AP)</f>
        <v>380</v>
      </c>
      <c r="V2082">
        <f>IF(U2082=T2082,0,1)</f>
        <v>0</v>
      </c>
      <c r="W2082">
        <f>T2082</f>
        <v>380</v>
      </c>
      <c r="X2082">
        <f>SUMIF(货件明细!J:J,E2082,货件明细!H:H)</f>
        <v>27.12</v>
      </c>
      <c r="Y2082">
        <f>N2082-X2082</f>
        <v>2.08</v>
      </c>
      <c r="Z2082">
        <f>SUMIF(货件明细!J:J,E2082,货件明细!I:I)</f>
        <v>2797.56</v>
      </c>
      <c r="AA2082">
        <f>IF(S2082=Z2082,0,1)</f>
        <v>0</v>
      </c>
    </row>
    <row r="2083" spans="1:27">
      <c r="A2083">
        <v>4</v>
      </c>
      <c r="B2083">
        <v>18</v>
      </c>
      <c r="C2083" s="3">
        <v>46139</v>
      </c>
      <c r="D2083" t="s">
        <v>27</v>
      </c>
      <c r="E2083" t="s">
        <v>2214</v>
      </c>
      <c r="F2083" t="s">
        <v>29</v>
      </c>
      <c r="G2083" t="s">
        <v>30</v>
      </c>
      <c r="H2083" t="s">
        <v>224</v>
      </c>
      <c r="I2083" t="s">
        <v>42</v>
      </c>
      <c r="J2083" t="s">
        <v>42</v>
      </c>
      <c r="K2083" t="s">
        <v>33</v>
      </c>
      <c r="L2083" t="s">
        <v>207</v>
      </c>
      <c r="M2083" t="s">
        <v>2213</v>
      </c>
      <c r="N2083">
        <v>24.5</v>
      </c>
      <c r="O2083">
        <v>100</v>
      </c>
      <c r="P2083">
        <v>1900</v>
      </c>
      <c r="Q2083">
        <v>2000</v>
      </c>
      <c r="R2083">
        <v>366.96</v>
      </c>
      <c r="S2083">
        <v>2366.96</v>
      </c>
      <c r="T2083">
        <v>330</v>
      </c>
      <c r="U2083">
        <f>SUMIF(货件明细!J:J,E2083,货件明细!AP:AP)</f>
        <v>330</v>
      </c>
      <c r="V2083">
        <f>IF(U2083=T2083,0,1)</f>
        <v>0</v>
      </c>
      <c r="W2083">
        <f>T2083</f>
        <v>330</v>
      </c>
      <c r="X2083">
        <f>SUMIF(货件明细!J:J,E2083,货件明细!H:H)</f>
        <v>22.53</v>
      </c>
      <c r="Y2083">
        <f>N2083-X2083</f>
        <v>1.97</v>
      </c>
      <c r="Z2083">
        <f>SUMIF(货件明细!J:J,E2083,货件明细!I:I)</f>
        <v>2366.96</v>
      </c>
      <c r="AA2083">
        <f>IF(S2083=Z2083,0,1)</f>
        <v>0</v>
      </c>
    </row>
    <row r="2084" spans="1:27">
      <c r="A2084">
        <v>4</v>
      </c>
      <c r="B2084">
        <v>18</v>
      </c>
      <c r="C2084" s="3">
        <v>46139</v>
      </c>
      <c r="D2084" t="s">
        <v>27</v>
      </c>
      <c r="E2084" t="s">
        <v>2215</v>
      </c>
      <c r="F2084" t="s">
        <v>41</v>
      </c>
      <c r="G2084" t="s">
        <v>30</v>
      </c>
      <c r="H2084" t="s">
        <v>54</v>
      </c>
      <c r="I2084" t="s">
        <v>32</v>
      </c>
      <c r="J2084" t="s">
        <v>32</v>
      </c>
      <c r="K2084" t="s">
        <v>33</v>
      </c>
      <c r="L2084" t="s">
        <v>323</v>
      </c>
      <c r="M2084" t="s">
        <v>47</v>
      </c>
      <c r="N2084">
        <v>13.4</v>
      </c>
      <c r="O2084">
        <v>60</v>
      </c>
      <c r="P2084">
        <v>952</v>
      </c>
      <c r="Q2084">
        <v>1012</v>
      </c>
      <c r="R2084">
        <v>111.2</v>
      </c>
      <c r="S2084">
        <v>1123.2</v>
      </c>
      <c r="T2084">
        <v>100</v>
      </c>
      <c r="U2084">
        <f>SUMIF(货件明细!J:J,E2084,货件明细!AP:AP)</f>
        <v>100</v>
      </c>
      <c r="V2084">
        <f>IF(U2084=T2084,0,1)</f>
        <v>0</v>
      </c>
      <c r="W2084">
        <f>T2084</f>
        <v>100</v>
      </c>
      <c r="X2084">
        <f>SUMIF(货件明细!J:J,E2084,货件明细!H:H)</f>
        <v>12.23</v>
      </c>
      <c r="Y2084">
        <f>N2084-X2084</f>
        <v>1.17</v>
      </c>
      <c r="Z2084">
        <f>SUMIF(货件明细!J:J,E2084,货件明细!I:I)</f>
        <v>1123.2</v>
      </c>
      <c r="AA2084">
        <f>IF(S2084=Z2084,0,1)</f>
        <v>0</v>
      </c>
    </row>
    <row r="2085" spans="1:27">
      <c r="A2085">
        <v>4</v>
      </c>
      <c r="B2085">
        <v>18</v>
      </c>
      <c r="C2085" s="3">
        <v>46139</v>
      </c>
      <c r="D2085" t="s">
        <v>27</v>
      </c>
      <c r="E2085" t="s">
        <v>2216</v>
      </c>
      <c r="F2085" t="s">
        <v>41</v>
      </c>
      <c r="G2085" t="s">
        <v>30</v>
      </c>
      <c r="H2085" t="s">
        <v>31</v>
      </c>
      <c r="I2085" t="s">
        <v>32</v>
      </c>
      <c r="J2085" t="s">
        <v>32</v>
      </c>
      <c r="K2085" t="s">
        <v>33</v>
      </c>
      <c r="L2085" t="s">
        <v>323</v>
      </c>
      <c r="M2085" t="s">
        <v>47</v>
      </c>
      <c r="N2085">
        <v>33.2</v>
      </c>
      <c r="O2085">
        <v>60</v>
      </c>
      <c r="P2085">
        <v>2244</v>
      </c>
      <c r="Q2085">
        <v>2304</v>
      </c>
      <c r="R2085">
        <v>272.44</v>
      </c>
      <c r="S2085">
        <v>2576.44</v>
      </c>
      <c r="T2085">
        <v>220</v>
      </c>
      <c r="U2085">
        <f>SUMIF(货件明细!J:J,E2085,货件明细!AP:AP)</f>
        <v>220</v>
      </c>
      <c r="V2085">
        <f>IF(U2085=T2085,0,1)</f>
        <v>0</v>
      </c>
      <c r="W2085">
        <f>T2085</f>
        <v>220</v>
      </c>
      <c r="X2085">
        <f>SUMIF(货件明细!J:J,E2085,货件明细!H:H)</f>
        <v>31.845</v>
      </c>
      <c r="Y2085">
        <f>N2085-X2085</f>
        <v>1.355</v>
      </c>
      <c r="Z2085">
        <f>SUMIF(货件明细!J:J,E2085,货件明细!I:I)</f>
        <v>2576.44</v>
      </c>
      <c r="AA2085">
        <f>IF(S2085=Z2085,0,1)</f>
        <v>0</v>
      </c>
    </row>
    <row r="2086" spans="1:27">
      <c r="A2086">
        <v>4</v>
      </c>
      <c r="B2086">
        <v>18</v>
      </c>
      <c r="C2086" s="3">
        <v>46139</v>
      </c>
      <c r="D2086" t="s">
        <v>27</v>
      </c>
      <c r="E2086" t="s">
        <v>2217</v>
      </c>
      <c r="F2086" t="s">
        <v>41</v>
      </c>
      <c r="G2086" t="s">
        <v>30</v>
      </c>
      <c r="H2086" t="s">
        <v>39</v>
      </c>
      <c r="I2086" t="s">
        <v>32</v>
      </c>
      <c r="J2086" t="s">
        <v>32</v>
      </c>
      <c r="K2086" t="s">
        <v>33</v>
      </c>
      <c r="L2086" t="s">
        <v>323</v>
      </c>
      <c r="M2086" t="s">
        <v>47</v>
      </c>
      <c r="N2086">
        <v>12.75</v>
      </c>
      <c r="O2086">
        <v>60</v>
      </c>
      <c r="P2086">
        <v>884</v>
      </c>
      <c r="Q2086">
        <v>944</v>
      </c>
      <c r="R2086">
        <v>58.38</v>
      </c>
      <c r="S2086">
        <v>1002.38</v>
      </c>
      <c r="T2086">
        <v>50</v>
      </c>
      <c r="U2086">
        <f>SUMIF(货件明细!J:J,E2086,货件明细!AP:AP)</f>
        <v>50</v>
      </c>
      <c r="V2086">
        <f>IF(U2086=T2086,0,1)</f>
        <v>0</v>
      </c>
      <c r="W2086">
        <f>T2086</f>
        <v>50</v>
      </c>
      <c r="X2086">
        <f>SUMIF(货件明细!J:J,E2086,货件明细!H:H)</f>
        <v>12.146</v>
      </c>
      <c r="Y2086">
        <f>N2086-X2086</f>
        <v>0.604000000000001</v>
      </c>
      <c r="Z2086">
        <f>SUMIF(货件明细!J:J,E2086,货件明细!I:I)</f>
        <v>1002.38</v>
      </c>
      <c r="AA2086">
        <f>IF(S2086=Z2086,0,1)</f>
        <v>0</v>
      </c>
    </row>
    <row r="2087" spans="1:27">
      <c r="A2087">
        <v>4</v>
      </c>
      <c r="B2087">
        <v>18</v>
      </c>
      <c r="C2087" s="3">
        <v>46139</v>
      </c>
      <c r="D2087" t="s">
        <v>27</v>
      </c>
      <c r="E2087" t="s">
        <v>2218</v>
      </c>
      <c r="F2087" t="s">
        <v>41</v>
      </c>
      <c r="G2087" t="s">
        <v>30</v>
      </c>
      <c r="H2087" t="s">
        <v>51</v>
      </c>
      <c r="I2087" t="s">
        <v>32</v>
      </c>
      <c r="J2087" t="s">
        <v>32</v>
      </c>
      <c r="K2087" t="s">
        <v>33</v>
      </c>
      <c r="L2087" t="s">
        <v>323</v>
      </c>
      <c r="M2087" t="s">
        <v>47</v>
      </c>
      <c r="N2087">
        <v>13.8</v>
      </c>
      <c r="O2087">
        <v>60</v>
      </c>
      <c r="P2087">
        <v>952</v>
      </c>
      <c r="Q2087">
        <v>1012</v>
      </c>
      <c r="R2087">
        <v>101.192</v>
      </c>
      <c r="S2087">
        <v>1113.192</v>
      </c>
      <c r="T2087">
        <v>91</v>
      </c>
      <c r="U2087">
        <f>SUMIF(货件明细!J:J,E2087,货件明细!AP:AP)</f>
        <v>91</v>
      </c>
      <c r="V2087">
        <f>IF(U2087=T2087,0,1)</f>
        <v>0</v>
      </c>
      <c r="W2087">
        <f>T2087</f>
        <v>91</v>
      </c>
      <c r="X2087">
        <f>SUMIF(货件明细!J:J,E2087,货件明细!H:H)</f>
        <v>12.888</v>
      </c>
      <c r="Y2087">
        <f>N2087-X2087</f>
        <v>0.912000000000001</v>
      </c>
      <c r="Z2087">
        <f>SUMIF(货件明细!J:J,E2087,货件明细!I:I)</f>
        <v>1113.192</v>
      </c>
      <c r="AA2087">
        <f>IF(S2087=Z2087,0,1)</f>
        <v>0</v>
      </c>
    </row>
    <row r="2088" spans="1:27">
      <c r="A2088">
        <v>4</v>
      </c>
      <c r="B2088">
        <v>18</v>
      </c>
      <c r="C2088" s="3">
        <v>46139</v>
      </c>
      <c r="D2088" t="s">
        <v>27</v>
      </c>
      <c r="E2088" t="s">
        <v>2219</v>
      </c>
      <c r="F2088" t="s">
        <v>41</v>
      </c>
      <c r="G2088" t="s">
        <v>30</v>
      </c>
      <c r="H2088" t="s">
        <v>56</v>
      </c>
      <c r="I2088" t="s">
        <v>32</v>
      </c>
      <c r="J2088" t="s">
        <v>32</v>
      </c>
      <c r="K2088" t="s">
        <v>33</v>
      </c>
      <c r="L2088" t="s">
        <v>323</v>
      </c>
      <c r="M2088" t="s">
        <v>47</v>
      </c>
      <c r="N2088">
        <v>32.85</v>
      </c>
      <c r="O2088">
        <v>60</v>
      </c>
      <c r="P2088">
        <v>2244</v>
      </c>
      <c r="Q2088">
        <v>2304</v>
      </c>
      <c r="R2088">
        <v>186.677</v>
      </c>
      <c r="S2088">
        <v>2490.677</v>
      </c>
      <c r="T2088">
        <v>132</v>
      </c>
      <c r="U2088">
        <f>SUMIF(货件明细!J:J,E2088,货件明细!AP:AP)</f>
        <v>132</v>
      </c>
      <c r="V2088">
        <f>IF(U2088=T2088,0,1)</f>
        <v>0</v>
      </c>
      <c r="W2088">
        <f>T2088</f>
        <v>132</v>
      </c>
      <c r="X2088">
        <f>SUMIF(货件明细!J:J,E2088,货件明细!H:H)</f>
        <v>32.9176</v>
      </c>
      <c r="Y2088">
        <f>N2088-X2088</f>
        <v>-0.0675999999999988</v>
      </c>
      <c r="Z2088">
        <f>SUMIF(货件明细!J:J,E2088,货件明细!I:I)</f>
        <v>2490.677</v>
      </c>
      <c r="AA2088">
        <f>IF(S2088=Z2088,0,1)</f>
        <v>0</v>
      </c>
    </row>
    <row r="2089" hidden="1" spans="1:27">
      <c r="A2089">
        <v>4</v>
      </c>
      <c r="B2089">
        <v>18</v>
      </c>
      <c r="C2089" s="3">
        <v>46141</v>
      </c>
      <c r="D2089" t="s">
        <v>88</v>
      </c>
      <c r="E2089" t="s">
        <v>2220</v>
      </c>
      <c r="F2089" t="s">
        <v>211</v>
      </c>
      <c r="G2089" t="s">
        <v>72</v>
      </c>
      <c r="H2089" t="s">
        <v>51</v>
      </c>
      <c r="I2089" t="s">
        <v>63</v>
      </c>
      <c r="J2089" t="s">
        <v>63</v>
      </c>
      <c r="K2089" t="s">
        <v>64</v>
      </c>
      <c r="L2089" t="s">
        <v>147</v>
      </c>
      <c r="M2089" t="s">
        <v>774</v>
      </c>
      <c r="N2089">
        <v>334.45</v>
      </c>
      <c r="O2089">
        <v>21.4285714285714</v>
      </c>
      <c r="P2089">
        <v>1520.896</v>
      </c>
      <c r="Q2089">
        <v>1542.32457142857</v>
      </c>
      <c r="R2089">
        <v>0</v>
      </c>
      <c r="S2089">
        <v>1542.32457142857</v>
      </c>
      <c r="T2089">
        <v>1262</v>
      </c>
      <c r="U2089">
        <f>SUMIF(货件明细!J:J,E2089,货件明细!AP:AP)</f>
        <v>0</v>
      </c>
      <c r="V2089">
        <f>IF(U2089=T2089,0,1)</f>
        <v>1</v>
      </c>
      <c r="W2089">
        <f>T2089</f>
        <v>1262</v>
      </c>
      <c r="X2089">
        <f>SUMIF(货件明细!J:J,E2089,货件明细!H:H)</f>
        <v>0</v>
      </c>
      <c r="Y2089">
        <f>N2089-X2089</f>
        <v>334.45</v>
      </c>
      <c r="Z2089">
        <f>SUMIF(货件明细!J:J,E2089,货件明细!I:I)</f>
        <v>0</v>
      </c>
      <c r="AA2089">
        <f>IF(S2089=Z2089,0,1)</f>
        <v>1</v>
      </c>
    </row>
    <row r="2090" hidden="1" spans="1:27">
      <c r="A2090">
        <v>4</v>
      </c>
      <c r="B2090">
        <v>18</v>
      </c>
      <c r="C2090" s="3">
        <v>46141</v>
      </c>
      <c r="D2090" t="s">
        <v>88</v>
      </c>
      <c r="E2090" t="s">
        <v>2221</v>
      </c>
      <c r="F2090" t="s">
        <v>211</v>
      </c>
      <c r="G2090" t="s">
        <v>72</v>
      </c>
      <c r="H2090" t="s">
        <v>51</v>
      </c>
      <c r="I2090" t="s">
        <v>63</v>
      </c>
      <c r="J2090" t="s">
        <v>63</v>
      </c>
      <c r="K2090" t="s">
        <v>64</v>
      </c>
      <c r="L2090" t="s">
        <v>147</v>
      </c>
      <c r="M2090" t="s">
        <v>774</v>
      </c>
      <c r="N2090">
        <v>108.85</v>
      </c>
      <c r="O2090">
        <v>21.4285714285714</v>
      </c>
      <c r="P2090">
        <v>443.594666666667</v>
      </c>
      <c r="Q2090">
        <v>465.023238095238</v>
      </c>
      <c r="R2090">
        <v>0</v>
      </c>
      <c r="S2090">
        <v>465.023238095238</v>
      </c>
      <c r="T2090">
        <v>270</v>
      </c>
      <c r="U2090">
        <f>SUMIF(货件明细!J:J,E2090,货件明细!AP:AP)</f>
        <v>0</v>
      </c>
      <c r="V2090">
        <f>IF(U2090=T2090,0,1)</f>
        <v>1</v>
      </c>
      <c r="W2090">
        <f>T2090</f>
        <v>270</v>
      </c>
      <c r="X2090">
        <f>SUMIF(货件明细!J:J,E2090,货件明细!H:H)</f>
        <v>0</v>
      </c>
      <c r="Y2090">
        <f>N2090-X2090</f>
        <v>108.85</v>
      </c>
      <c r="Z2090">
        <f>SUMIF(货件明细!J:J,E2090,货件明细!I:I)</f>
        <v>0</v>
      </c>
      <c r="AA2090">
        <f>IF(S2090=Z2090,0,1)</f>
        <v>1</v>
      </c>
    </row>
    <row r="2091" hidden="1" spans="1:27">
      <c r="A2091">
        <v>4</v>
      </c>
      <c r="B2091">
        <v>18</v>
      </c>
      <c r="C2091" s="3">
        <v>46141</v>
      </c>
      <c r="D2091" t="s">
        <v>88</v>
      </c>
      <c r="E2091" t="s">
        <v>2222</v>
      </c>
      <c r="F2091" t="s">
        <v>211</v>
      </c>
      <c r="G2091" t="s">
        <v>72</v>
      </c>
      <c r="H2091" t="s">
        <v>37</v>
      </c>
      <c r="I2091" t="s">
        <v>63</v>
      </c>
      <c r="J2091" t="s">
        <v>63</v>
      </c>
      <c r="K2091" t="s">
        <v>64</v>
      </c>
      <c r="L2091" t="s">
        <v>147</v>
      </c>
      <c r="M2091" t="s">
        <v>774</v>
      </c>
      <c r="N2091">
        <v>185.8</v>
      </c>
      <c r="O2091">
        <v>21.4285714285714</v>
      </c>
      <c r="P2091">
        <v>697.077333333334</v>
      </c>
      <c r="Q2091">
        <v>718.505904761905</v>
      </c>
      <c r="R2091">
        <v>0</v>
      </c>
      <c r="S2091">
        <v>718.505904761905</v>
      </c>
      <c r="T2091">
        <v>861</v>
      </c>
      <c r="U2091">
        <f>SUMIF(货件明细!J:J,E2091,货件明细!AP:AP)</f>
        <v>0</v>
      </c>
      <c r="V2091">
        <f>IF(U2091=T2091,0,1)</f>
        <v>1</v>
      </c>
      <c r="W2091">
        <f>T2091</f>
        <v>861</v>
      </c>
      <c r="X2091">
        <f>SUMIF(货件明细!J:J,E2091,货件明细!H:H)</f>
        <v>0</v>
      </c>
      <c r="Y2091">
        <f>N2091-X2091</f>
        <v>185.8</v>
      </c>
      <c r="Z2091">
        <f>SUMIF(货件明细!J:J,E2091,货件明细!I:I)</f>
        <v>0</v>
      </c>
      <c r="AA2091">
        <f>IF(S2091=Z2091,0,1)</f>
        <v>1</v>
      </c>
    </row>
    <row r="2092" hidden="1" spans="1:27">
      <c r="A2092">
        <v>4</v>
      </c>
      <c r="B2092">
        <v>18</v>
      </c>
      <c r="C2092" s="3">
        <v>46141</v>
      </c>
      <c r="D2092" t="s">
        <v>88</v>
      </c>
      <c r="E2092" t="s">
        <v>2223</v>
      </c>
      <c r="F2092" t="s">
        <v>211</v>
      </c>
      <c r="G2092" t="s">
        <v>72</v>
      </c>
      <c r="H2092" t="s">
        <v>31</v>
      </c>
      <c r="I2092" t="s">
        <v>63</v>
      </c>
      <c r="J2092" t="s">
        <v>63</v>
      </c>
      <c r="K2092" t="s">
        <v>64</v>
      </c>
      <c r="L2092" t="s">
        <v>147</v>
      </c>
      <c r="M2092" t="s">
        <v>774</v>
      </c>
      <c r="N2092">
        <v>155.8</v>
      </c>
      <c r="O2092">
        <v>21.4285714285714</v>
      </c>
      <c r="P2092">
        <v>697.077333333334</v>
      </c>
      <c r="Q2092">
        <v>718.505904761905</v>
      </c>
      <c r="R2092">
        <v>0</v>
      </c>
      <c r="S2092">
        <v>718.505904761905</v>
      </c>
      <c r="T2092">
        <v>506</v>
      </c>
      <c r="U2092">
        <f>SUMIF(货件明细!J:J,E2092,货件明细!AP:AP)</f>
        <v>0</v>
      </c>
      <c r="V2092">
        <f>IF(U2092=T2092,0,1)</f>
        <v>1</v>
      </c>
      <c r="W2092">
        <f>T2092</f>
        <v>506</v>
      </c>
      <c r="X2092">
        <f>SUMIF(货件明细!J:J,E2092,货件明细!H:H)</f>
        <v>0</v>
      </c>
      <c r="Y2092">
        <f>N2092-X2092</f>
        <v>155.8</v>
      </c>
      <c r="Z2092">
        <f>SUMIF(货件明细!J:J,E2092,货件明细!I:I)</f>
        <v>0</v>
      </c>
      <c r="AA2092">
        <f>IF(S2092=Z2092,0,1)</f>
        <v>1</v>
      </c>
    </row>
    <row r="2093" hidden="1" spans="1:27">
      <c r="A2093">
        <v>4</v>
      </c>
      <c r="B2093">
        <v>18</v>
      </c>
      <c r="C2093" s="3">
        <v>46141</v>
      </c>
      <c r="D2093" t="s">
        <v>88</v>
      </c>
      <c r="E2093" t="s">
        <v>2224</v>
      </c>
      <c r="F2093" t="s">
        <v>211</v>
      </c>
      <c r="G2093" t="s">
        <v>72</v>
      </c>
      <c r="H2093" t="s">
        <v>54</v>
      </c>
      <c r="I2093" t="s">
        <v>63</v>
      </c>
      <c r="J2093" t="s">
        <v>63</v>
      </c>
      <c r="K2093" t="s">
        <v>64</v>
      </c>
      <c r="L2093" t="s">
        <v>147</v>
      </c>
      <c r="M2093" t="s">
        <v>774</v>
      </c>
      <c r="N2093">
        <v>67.05</v>
      </c>
      <c r="O2093">
        <v>21.4285714285714</v>
      </c>
      <c r="P2093">
        <v>380.224</v>
      </c>
      <c r="Q2093">
        <v>401.652571428571</v>
      </c>
      <c r="R2093">
        <v>0</v>
      </c>
      <c r="S2093">
        <v>401.652571428571</v>
      </c>
      <c r="T2093">
        <v>326</v>
      </c>
      <c r="U2093">
        <f>SUMIF(货件明细!J:J,E2093,货件明细!AP:AP)</f>
        <v>0</v>
      </c>
      <c r="V2093">
        <f>IF(U2093=T2093,0,1)</f>
        <v>1</v>
      </c>
      <c r="W2093">
        <f>T2093</f>
        <v>326</v>
      </c>
      <c r="X2093">
        <f>SUMIF(货件明细!J:J,E2093,货件明细!H:H)</f>
        <v>0</v>
      </c>
      <c r="Y2093">
        <f>N2093-X2093</f>
        <v>67.05</v>
      </c>
      <c r="Z2093">
        <f>SUMIF(货件明细!J:J,E2093,货件明细!I:I)</f>
        <v>0</v>
      </c>
      <c r="AA2093">
        <f>IF(S2093=Z2093,0,1)</f>
        <v>1</v>
      </c>
    </row>
    <row r="2094" hidden="1" spans="1:27">
      <c r="A2094">
        <v>4</v>
      </c>
      <c r="B2094">
        <v>18</v>
      </c>
      <c r="C2094" s="3">
        <v>46141</v>
      </c>
      <c r="D2094" t="s">
        <v>88</v>
      </c>
      <c r="E2094" t="s">
        <v>2225</v>
      </c>
      <c r="F2094" t="s">
        <v>211</v>
      </c>
      <c r="G2094" t="s">
        <v>72</v>
      </c>
      <c r="H2094" t="s">
        <v>39</v>
      </c>
      <c r="I2094" t="s">
        <v>63</v>
      </c>
      <c r="J2094" t="s">
        <v>63</v>
      </c>
      <c r="K2094" t="s">
        <v>64</v>
      </c>
      <c r="L2094" t="s">
        <v>147</v>
      </c>
      <c r="M2094" t="s">
        <v>774</v>
      </c>
      <c r="N2094">
        <v>151.5</v>
      </c>
      <c r="O2094">
        <v>21.4285714285714</v>
      </c>
      <c r="P2094">
        <v>443.594666666667</v>
      </c>
      <c r="Q2094">
        <v>465.023238095238</v>
      </c>
      <c r="R2094">
        <v>0</v>
      </c>
      <c r="S2094">
        <v>465.023238095238</v>
      </c>
      <c r="T2094">
        <v>311</v>
      </c>
      <c r="U2094">
        <f>SUMIF(货件明细!J:J,E2094,货件明细!AP:AP)</f>
        <v>0</v>
      </c>
      <c r="V2094">
        <f>IF(U2094=T2094,0,1)</f>
        <v>1</v>
      </c>
      <c r="W2094">
        <f>T2094</f>
        <v>311</v>
      </c>
      <c r="X2094">
        <f>SUMIF(货件明细!J:J,E2094,货件明细!H:H)</f>
        <v>0</v>
      </c>
      <c r="Y2094">
        <f>N2094-X2094</f>
        <v>151.5</v>
      </c>
      <c r="Z2094">
        <f>SUMIF(货件明细!J:J,E2094,货件明细!I:I)</f>
        <v>0</v>
      </c>
      <c r="AA2094">
        <f>IF(S2094=Z2094,0,1)</f>
        <v>1</v>
      </c>
    </row>
    <row r="2095" hidden="1" spans="1:27">
      <c r="A2095">
        <v>4</v>
      </c>
      <c r="B2095">
        <v>18</v>
      </c>
      <c r="C2095" s="3">
        <v>46141</v>
      </c>
      <c r="D2095" t="s">
        <v>88</v>
      </c>
      <c r="E2095" t="s">
        <v>2226</v>
      </c>
      <c r="F2095" t="s">
        <v>211</v>
      </c>
      <c r="G2095" t="s">
        <v>72</v>
      </c>
      <c r="H2095" t="s">
        <v>56</v>
      </c>
      <c r="I2095" t="s">
        <v>63</v>
      </c>
      <c r="J2095" t="s">
        <v>63</v>
      </c>
      <c r="K2095" t="s">
        <v>64</v>
      </c>
      <c r="L2095" t="s">
        <v>147</v>
      </c>
      <c r="M2095" t="s">
        <v>774</v>
      </c>
      <c r="N2095">
        <v>119.9</v>
      </c>
      <c r="O2095">
        <v>21.4285714285714</v>
      </c>
      <c r="P2095">
        <v>570.336</v>
      </c>
      <c r="Q2095">
        <v>591.764571428571</v>
      </c>
      <c r="R2095">
        <v>0</v>
      </c>
      <c r="S2095">
        <v>591.764571428571</v>
      </c>
      <c r="T2095">
        <v>624</v>
      </c>
      <c r="U2095">
        <f>SUMIF(货件明细!J:J,E2095,货件明细!AP:AP)</f>
        <v>0</v>
      </c>
      <c r="V2095">
        <f>IF(U2095=T2095,0,1)</f>
        <v>1</v>
      </c>
      <c r="W2095">
        <f>T2095</f>
        <v>624</v>
      </c>
      <c r="X2095">
        <f>SUMIF(货件明细!J:J,E2095,货件明细!H:H)</f>
        <v>0</v>
      </c>
      <c r="Y2095">
        <f>N2095-X2095</f>
        <v>119.9</v>
      </c>
      <c r="Z2095">
        <f>SUMIF(货件明细!J:J,E2095,货件明细!I:I)</f>
        <v>0</v>
      </c>
      <c r="AA2095">
        <f>IF(S2095=Z2095,0,1)</f>
        <v>1</v>
      </c>
    </row>
    <row r="2096" spans="1:27">
      <c r="A2096">
        <v>4</v>
      </c>
      <c r="B2096">
        <v>18</v>
      </c>
      <c r="C2096" s="3">
        <v>46141</v>
      </c>
      <c r="D2096" t="s">
        <v>27</v>
      </c>
      <c r="E2096" t="s">
        <v>2227</v>
      </c>
      <c r="F2096" t="s">
        <v>41</v>
      </c>
      <c r="G2096" t="s">
        <v>30</v>
      </c>
      <c r="H2096" t="s">
        <v>78</v>
      </c>
      <c r="I2096" t="s">
        <v>32</v>
      </c>
      <c r="J2096" t="s">
        <v>32</v>
      </c>
      <c r="K2096" t="s">
        <v>33</v>
      </c>
      <c r="L2096" t="s">
        <v>323</v>
      </c>
      <c r="M2096" t="s">
        <v>47</v>
      </c>
      <c r="N2096">
        <v>12.75</v>
      </c>
      <c r="O2096">
        <v>150</v>
      </c>
      <c r="P2096">
        <v>910</v>
      </c>
      <c r="Q2096">
        <v>1060</v>
      </c>
      <c r="R2096">
        <v>139</v>
      </c>
      <c r="S2096">
        <v>1199</v>
      </c>
      <c r="T2096">
        <v>125</v>
      </c>
      <c r="U2096">
        <f>SUMIF(货件明细!J:J,E2096,货件明细!AP:AP)</f>
        <v>125</v>
      </c>
      <c r="V2096">
        <f>IF(U2096=T2096,0,1)</f>
        <v>0</v>
      </c>
      <c r="W2096">
        <f>T2096</f>
        <v>125</v>
      </c>
      <c r="X2096">
        <f>SUMIF(货件明细!J:J,E2096,货件明细!H:H)</f>
        <v>12.63</v>
      </c>
      <c r="Y2096">
        <f>N2096-X2096</f>
        <v>0.120000000000001</v>
      </c>
      <c r="Z2096">
        <f>SUMIF(货件明细!J:J,E2096,货件明细!I:I)</f>
        <v>1199</v>
      </c>
      <c r="AA2096">
        <f>IF(S2096=Z2096,0,1)</f>
        <v>0</v>
      </c>
    </row>
    <row r="2097" spans="1:27">
      <c r="A2097">
        <v>4</v>
      </c>
      <c r="B2097">
        <v>18</v>
      </c>
      <c r="C2097" s="3">
        <v>46141</v>
      </c>
      <c r="D2097" t="s">
        <v>27</v>
      </c>
      <c r="E2097" t="s">
        <v>2228</v>
      </c>
      <c r="F2097" t="s">
        <v>41</v>
      </c>
      <c r="G2097" t="s">
        <v>30</v>
      </c>
      <c r="H2097" t="s">
        <v>46</v>
      </c>
      <c r="I2097" t="s">
        <v>32</v>
      </c>
      <c r="J2097" t="s">
        <v>32</v>
      </c>
      <c r="K2097" t="s">
        <v>33</v>
      </c>
      <c r="L2097" t="s">
        <v>323</v>
      </c>
      <c r="M2097" t="s">
        <v>47</v>
      </c>
      <c r="N2097">
        <v>39.1</v>
      </c>
      <c r="O2097">
        <v>150</v>
      </c>
      <c r="P2097">
        <v>2730</v>
      </c>
      <c r="Q2097">
        <v>2880</v>
      </c>
      <c r="R2097">
        <v>355.84</v>
      </c>
      <c r="S2097">
        <v>3235.84</v>
      </c>
      <c r="T2097">
        <v>320</v>
      </c>
      <c r="U2097">
        <f>SUMIF(货件明细!J:J,E2097,货件明细!AP:AP)</f>
        <v>320</v>
      </c>
      <c r="V2097">
        <f>IF(U2097=T2097,0,1)</f>
        <v>0</v>
      </c>
      <c r="W2097">
        <f>T2097</f>
        <v>320</v>
      </c>
      <c r="X2097">
        <f>SUMIF(货件明细!J:J,E2097,货件明细!H:H)</f>
        <v>36.96</v>
      </c>
      <c r="Y2097">
        <f>N2097-X2097</f>
        <v>2.14</v>
      </c>
      <c r="Z2097">
        <f>SUMIF(货件明细!J:J,E2097,货件明细!I:I)</f>
        <v>3235.84</v>
      </c>
      <c r="AA2097">
        <f>IF(S2097=Z2097,0,1)</f>
        <v>0</v>
      </c>
    </row>
    <row r="2098" spans="1:27">
      <c r="A2098">
        <v>4</v>
      </c>
      <c r="B2098">
        <v>18</v>
      </c>
      <c r="C2098" s="3">
        <v>46141</v>
      </c>
      <c r="D2098" t="s">
        <v>27</v>
      </c>
      <c r="E2098" t="s">
        <v>2229</v>
      </c>
      <c r="F2098" t="s">
        <v>29</v>
      </c>
      <c r="G2098" t="s">
        <v>30</v>
      </c>
      <c r="H2098" t="s">
        <v>56</v>
      </c>
      <c r="I2098" t="s">
        <v>42</v>
      </c>
      <c r="J2098" t="s">
        <v>42</v>
      </c>
      <c r="K2098" t="s">
        <v>33</v>
      </c>
      <c r="L2098" t="s">
        <v>207</v>
      </c>
      <c r="M2098" t="s">
        <v>208</v>
      </c>
      <c r="N2098">
        <v>12.7</v>
      </c>
      <c r="O2098">
        <v>100</v>
      </c>
      <c r="P2098">
        <v>967.6</v>
      </c>
      <c r="Q2098">
        <v>1067.6</v>
      </c>
      <c r="R2098">
        <v>90.35</v>
      </c>
      <c r="S2098">
        <v>1157.95</v>
      </c>
      <c r="T2098">
        <v>50</v>
      </c>
      <c r="U2098">
        <f>SUMIF(货件明细!J:J,E2098,货件明细!AP:AP)</f>
        <v>50</v>
      </c>
      <c r="V2098">
        <f>IF(U2098=T2098,0,1)</f>
        <v>0</v>
      </c>
      <c r="W2098">
        <f>T2098</f>
        <v>50</v>
      </c>
      <c r="X2098">
        <f>SUMIF(货件明细!J:J,E2098,货件明细!H:H)</f>
        <v>11.75</v>
      </c>
      <c r="Y2098">
        <f>N2098-X2098</f>
        <v>0.949999999999999</v>
      </c>
      <c r="Z2098">
        <f>SUMIF(货件明细!J:J,E2098,货件明细!I:I)</f>
        <v>1157.95</v>
      </c>
      <c r="AA2098">
        <f>IF(S2098=Z2098,0,1)</f>
        <v>0</v>
      </c>
    </row>
    <row r="2099" spans="1:27">
      <c r="A2099">
        <v>4</v>
      </c>
      <c r="B2099">
        <v>18</v>
      </c>
      <c r="C2099" s="3">
        <v>46141</v>
      </c>
      <c r="D2099" t="s">
        <v>27</v>
      </c>
      <c r="E2099" t="s">
        <v>2230</v>
      </c>
      <c r="F2099" t="s">
        <v>29</v>
      </c>
      <c r="G2099" t="s">
        <v>30</v>
      </c>
      <c r="H2099" t="s">
        <v>37</v>
      </c>
      <c r="I2099" t="s">
        <v>42</v>
      </c>
      <c r="J2099" t="s">
        <v>42</v>
      </c>
      <c r="K2099" t="s">
        <v>33</v>
      </c>
      <c r="L2099" t="s">
        <v>207</v>
      </c>
      <c r="M2099" t="s">
        <v>208</v>
      </c>
      <c r="N2099">
        <v>21.7</v>
      </c>
      <c r="O2099">
        <v>100</v>
      </c>
      <c r="P2099">
        <v>1613.8</v>
      </c>
      <c r="Q2099">
        <v>1713.8</v>
      </c>
      <c r="R2099">
        <v>261.876</v>
      </c>
      <c r="S2099">
        <v>1975.676</v>
      </c>
      <c r="T2099">
        <v>168</v>
      </c>
      <c r="U2099">
        <f>SUMIF(货件明细!J:J,E2099,货件明细!AP:AP)</f>
        <v>168</v>
      </c>
      <c r="V2099">
        <f>IF(U2099=T2099,0,1)</f>
        <v>0</v>
      </c>
      <c r="W2099">
        <f>T2099</f>
        <v>168</v>
      </c>
      <c r="X2099">
        <f>SUMIF(货件明细!J:J,E2099,货件明细!H:H)</f>
        <v>20.64</v>
      </c>
      <c r="Y2099">
        <f>N2099-X2099</f>
        <v>1.06</v>
      </c>
      <c r="Z2099">
        <f>SUMIF(货件明细!J:J,E2099,货件明细!I:I)</f>
        <v>1975.676</v>
      </c>
      <c r="AA2099">
        <f>IF(S2099=Z2099,0,1)</f>
        <v>0</v>
      </c>
    </row>
    <row r="2100" hidden="1" spans="1:27">
      <c r="A2100">
        <v>4</v>
      </c>
      <c r="B2100">
        <v>18</v>
      </c>
      <c r="C2100" s="3">
        <v>46141</v>
      </c>
      <c r="D2100" t="s">
        <v>27</v>
      </c>
      <c r="E2100" t="s">
        <v>2231</v>
      </c>
      <c r="F2100" t="s">
        <v>68</v>
      </c>
      <c r="G2100" t="s">
        <v>69</v>
      </c>
      <c r="H2100" t="s">
        <v>224</v>
      </c>
      <c r="I2100" t="s">
        <v>63</v>
      </c>
      <c r="J2100" t="s">
        <v>2115</v>
      </c>
      <c r="K2100" t="s">
        <v>64</v>
      </c>
      <c r="L2100" t="s">
        <v>65</v>
      </c>
      <c r="M2100" t="s">
        <v>1235</v>
      </c>
      <c r="N2100">
        <v>13.3</v>
      </c>
      <c r="O2100">
        <v>8.33333333333333</v>
      </c>
      <c r="P2100">
        <v>86</v>
      </c>
      <c r="Q2100">
        <v>94.3333333333333</v>
      </c>
      <c r="R2100">
        <v>0</v>
      </c>
      <c r="S2100">
        <v>94.3333333333333</v>
      </c>
      <c r="T2100">
        <v>89</v>
      </c>
      <c r="U2100">
        <f>SUMIF(货件明细!J:J,E2100,货件明细!AP:AP)</f>
        <v>0</v>
      </c>
      <c r="V2100">
        <f>IF(U2100=T2100,0,1)</f>
        <v>1</v>
      </c>
      <c r="W2100">
        <f>T2100</f>
        <v>89</v>
      </c>
      <c r="X2100">
        <f>SUMIF(货件明细!J:J,E2100,货件明细!H:H)</f>
        <v>0</v>
      </c>
      <c r="Y2100">
        <f>N2100-X2100</f>
        <v>13.3</v>
      </c>
      <c r="Z2100">
        <f>SUMIF(货件明细!J:J,E2100,货件明细!I:I)</f>
        <v>0</v>
      </c>
      <c r="AA2100">
        <f>IF(S2100=Z2100,0,1)</f>
        <v>1</v>
      </c>
    </row>
    <row r="2101" hidden="1" spans="1:27">
      <c r="A2101">
        <v>4</v>
      </c>
      <c r="B2101">
        <v>18</v>
      </c>
      <c r="C2101" s="3">
        <v>46141</v>
      </c>
      <c r="D2101" t="s">
        <v>27</v>
      </c>
      <c r="E2101" t="s">
        <v>2232</v>
      </c>
      <c r="F2101" t="s">
        <v>141</v>
      </c>
      <c r="G2101" t="s">
        <v>69</v>
      </c>
      <c r="H2101" t="s">
        <v>224</v>
      </c>
      <c r="I2101" t="s">
        <v>63</v>
      </c>
      <c r="J2101" t="s">
        <v>2115</v>
      </c>
      <c r="K2101" t="s">
        <v>64</v>
      </c>
      <c r="L2101" t="s">
        <v>65</v>
      </c>
      <c r="M2101" t="s">
        <v>1235</v>
      </c>
      <c r="N2101">
        <v>13.3</v>
      </c>
      <c r="O2101">
        <v>8.33333333333333</v>
      </c>
      <c r="P2101">
        <v>88</v>
      </c>
      <c r="Q2101">
        <v>96.3333333333333</v>
      </c>
      <c r="R2101">
        <v>0</v>
      </c>
      <c r="S2101">
        <v>96.3333333333333</v>
      </c>
      <c r="T2101">
        <v>89</v>
      </c>
      <c r="U2101">
        <f>SUMIF(货件明细!J:J,E2101,货件明细!AP:AP)</f>
        <v>0</v>
      </c>
      <c r="V2101">
        <f>IF(U2101=T2101,0,1)</f>
        <v>1</v>
      </c>
      <c r="W2101">
        <f>T2101</f>
        <v>89</v>
      </c>
      <c r="X2101">
        <f>SUMIF(货件明细!J:J,E2101,货件明细!H:H)</f>
        <v>0</v>
      </c>
      <c r="Y2101">
        <f>N2101-X2101</f>
        <v>13.3</v>
      </c>
      <c r="Z2101">
        <f>SUMIF(货件明细!J:J,E2101,货件明细!I:I)</f>
        <v>0</v>
      </c>
      <c r="AA2101">
        <f>IF(S2101=Z2101,0,1)</f>
        <v>1</v>
      </c>
    </row>
    <row r="2102" hidden="1" spans="1:27">
      <c r="A2102">
        <v>4</v>
      </c>
      <c r="B2102">
        <v>18</v>
      </c>
      <c r="C2102" s="3">
        <v>46141</v>
      </c>
      <c r="D2102" t="s">
        <v>27</v>
      </c>
      <c r="E2102" t="s">
        <v>2233</v>
      </c>
      <c r="F2102" t="s">
        <v>198</v>
      </c>
      <c r="G2102" t="s">
        <v>69</v>
      </c>
      <c r="H2102" t="s">
        <v>224</v>
      </c>
      <c r="I2102" t="s">
        <v>63</v>
      </c>
      <c r="J2102" t="s">
        <v>2115</v>
      </c>
      <c r="K2102" t="s">
        <v>64</v>
      </c>
      <c r="L2102" t="s">
        <v>65</v>
      </c>
      <c r="M2102" t="s">
        <v>1235</v>
      </c>
      <c r="N2102">
        <v>13.3</v>
      </c>
      <c r="O2102">
        <v>8.33333333333333</v>
      </c>
      <c r="P2102">
        <v>68.8</v>
      </c>
      <c r="Q2102">
        <v>77.1333333333333</v>
      </c>
      <c r="R2102">
        <v>0</v>
      </c>
      <c r="S2102">
        <v>77.1333333333333</v>
      </c>
      <c r="T2102">
        <v>89</v>
      </c>
      <c r="U2102">
        <f>SUMIF(货件明细!J:J,E2102,货件明细!AP:AP)</f>
        <v>0</v>
      </c>
      <c r="V2102">
        <f>IF(U2102=T2102,0,1)</f>
        <v>1</v>
      </c>
      <c r="W2102">
        <f>T2102</f>
        <v>89</v>
      </c>
      <c r="X2102">
        <f>SUMIF(货件明细!J:J,E2102,货件明细!H:H)</f>
        <v>0</v>
      </c>
      <c r="Y2102">
        <f>N2102-X2102</f>
        <v>13.3</v>
      </c>
      <c r="Z2102">
        <f>SUMIF(货件明细!J:J,E2102,货件明细!I:I)</f>
        <v>0</v>
      </c>
      <c r="AA2102">
        <f>IF(S2102=Z2102,0,1)</f>
        <v>1</v>
      </c>
    </row>
    <row r="2103" hidden="1" spans="1:27">
      <c r="A2103">
        <v>4</v>
      </c>
      <c r="B2103">
        <v>18</v>
      </c>
      <c r="C2103" s="3">
        <v>46141</v>
      </c>
      <c r="D2103" t="s">
        <v>27</v>
      </c>
      <c r="E2103" t="s">
        <v>2234</v>
      </c>
      <c r="F2103" t="s">
        <v>1820</v>
      </c>
      <c r="G2103" t="s">
        <v>72</v>
      </c>
      <c r="H2103" t="s">
        <v>224</v>
      </c>
      <c r="I2103" t="s">
        <v>63</v>
      </c>
      <c r="J2103" t="s">
        <v>146</v>
      </c>
      <c r="K2103" t="s">
        <v>64</v>
      </c>
      <c r="L2103" t="s">
        <v>147</v>
      </c>
      <c r="M2103" t="s">
        <v>1545</v>
      </c>
      <c r="N2103">
        <v>13.3</v>
      </c>
      <c r="O2103">
        <v>8.82352941176471</v>
      </c>
      <c r="P2103">
        <v>65</v>
      </c>
      <c r="Q2103">
        <v>73.8235294117647</v>
      </c>
      <c r="R2103">
        <v>0</v>
      </c>
      <c r="S2103">
        <v>73.8235294117647</v>
      </c>
      <c r="T2103">
        <v>89</v>
      </c>
      <c r="U2103">
        <f>SUMIF(货件明细!J:J,E2103,货件明细!AP:AP)</f>
        <v>0</v>
      </c>
      <c r="V2103">
        <f>IF(U2103=T2103,0,1)</f>
        <v>1</v>
      </c>
      <c r="W2103">
        <f>T2103</f>
        <v>89</v>
      </c>
      <c r="X2103">
        <f>SUMIF(货件明细!J:J,E2103,货件明细!H:H)</f>
        <v>0</v>
      </c>
      <c r="Y2103">
        <f>N2103-X2103</f>
        <v>13.3</v>
      </c>
      <c r="Z2103">
        <f>SUMIF(货件明细!J:J,E2103,货件明细!I:I)</f>
        <v>0</v>
      </c>
      <c r="AA2103">
        <f>IF(S2103=Z2103,0,1)</f>
        <v>1</v>
      </c>
    </row>
    <row r="2104" hidden="1" spans="1:27">
      <c r="A2104">
        <v>4</v>
      </c>
      <c r="B2104">
        <v>18</v>
      </c>
      <c r="C2104" s="3">
        <v>46141</v>
      </c>
      <c r="D2104" t="s">
        <v>27</v>
      </c>
      <c r="E2104" t="s">
        <v>2235</v>
      </c>
      <c r="F2104" t="s">
        <v>942</v>
      </c>
      <c r="G2104" t="s">
        <v>30</v>
      </c>
      <c r="H2104" t="s">
        <v>224</v>
      </c>
      <c r="I2104" t="s">
        <v>63</v>
      </c>
      <c r="J2104" t="s">
        <v>2115</v>
      </c>
      <c r="K2104" t="s">
        <v>64</v>
      </c>
      <c r="L2104" t="s">
        <v>65</v>
      </c>
      <c r="M2104" t="s">
        <v>1235</v>
      </c>
      <c r="N2104">
        <v>13.3</v>
      </c>
      <c r="O2104">
        <v>8.33333333333333</v>
      </c>
      <c r="P2104">
        <v>91.75</v>
      </c>
      <c r="Q2104">
        <v>100.083333333333</v>
      </c>
      <c r="R2104">
        <v>0</v>
      </c>
      <c r="S2104">
        <v>100.083333333333</v>
      </c>
      <c r="T2104">
        <v>89</v>
      </c>
      <c r="U2104">
        <f>SUMIF(货件明细!J:J,E2104,货件明细!AP:AP)</f>
        <v>0</v>
      </c>
      <c r="V2104">
        <f>IF(U2104=T2104,0,1)</f>
        <v>1</v>
      </c>
      <c r="W2104">
        <f>T2104</f>
        <v>89</v>
      </c>
      <c r="X2104">
        <f>SUMIF(货件明细!J:J,E2104,货件明细!H:H)</f>
        <v>0</v>
      </c>
      <c r="Y2104">
        <f>N2104-X2104</f>
        <v>13.3</v>
      </c>
      <c r="Z2104">
        <f>SUMIF(货件明细!J:J,E2104,货件明细!I:I)</f>
        <v>0</v>
      </c>
      <c r="AA2104">
        <f>IF(S2104=Z2104,0,1)</f>
        <v>1</v>
      </c>
    </row>
    <row r="2105" hidden="1" spans="1:27">
      <c r="A2105">
        <v>4</v>
      </c>
      <c r="B2105">
        <v>18</v>
      </c>
      <c r="C2105" s="3">
        <v>46141</v>
      </c>
      <c r="D2105" t="s">
        <v>27</v>
      </c>
      <c r="E2105" t="s">
        <v>2236</v>
      </c>
      <c r="F2105" t="s">
        <v>239</v>
      </c>
      <c r="G2105" t="s">
        <v>72</v>
      </c>
      <c r="H2105" t="s">
        <v>51</v>
      </c>
      <c r="I2105" t="s">
        <v>63</v>
      </c>
      <c r="J2105" t="s">
        <v>63</v>
      </c>
      <c r="K2105" t="s">
        <v>64</v>
      </c>
      <c r="L2105" t="s">
        <v>212</v>
      </c>
      <c r="M2105" t="s">
        <v>213</v>
      </c>
      <c r="N2105">
        <v>10.6</v>
      </c>
      <c r="O2105">
        <v>14.2857142857143</v>
      </c>
      <c r="P2105">
        <v>105.55</v>
      </c>
      <c r="Q2105">
        <v>119.835714285714</v>
      </c>
      <c r="R2105">
        <v>0</v>
      </c>
      <c r="S2105">
        <v>119.835714285714</v>
      </c>
      <c r="T2105">
        <v>51</v>
      </c>
      <c r="U2105">
        <f>SUMIF(货件明细!J:J,E2105,货件明细!AP:AP)</f>
        <v>0</v>
      </c>
      <c r="V2105">
        <f>IF(U2105=T2105,0,1)</f>
        <v>1</v>
      </c>
      <c r="W2105">
        <f>T2105</f>
        <v>51</v>
      </c>
      <c r="X2105">
        <f>SUMIF(货件明细!J:J,E2105,货件明细!H:H)</f>
        <v>0</v>
      </c>
      <c r="Y2105">
        <f>N2105-X2105</f>
        <v>10.6</v>
      </c>
      <c r="Z2105">
        <f>SUMIF(货件明细!J:J,E2105,货件明细!I:I)</f>
        <v>0</v>
      </c>
      <c r="AA2105">
        <f>IF(S2105=Z2105,0,1)</f>
        <v>1</v>
      </c>
    </row>
    <row r="2106" hidden="1" spans="1:27">
      <c r="A2106">
        <v>4</v>
      </c>
      <c r="B2106">
        <v>18</v>
      </c>
      <c r="C2106" s="3">
        <v>46141</v>
      </c>
      <c r="D2106" t="s">
        <v>27</v>
      </c>
      <c r="E2106" t="s">
        <v>2237</v>
      </c>
      <c r="F2106" t="s">
        <v>198</v>
      </c>
      <c r="G2106" t="s">
        <v>69</v>
      </c>
      <c r="H2106" t="s">
        <v>51</v>
      </c>
      <c r="I2106" t="s">
        <v>63</v>
      </c>
      <c r="J2106" t="s">
        <v>63</v>
      </c>
      <c r="K2106" t="s">
        <v>64</v>
      </c>
      <c r="L2106" t="s">
        <v>212</v>
      </c>
      <c r="M2106" t="s">
        <v>213</v>
      </c>
      <c r="N2106">
        <v>10.6</v>
      </c>
      <c r="O2106">
        <v>14.2857142857143</v>
      </c>
      <c r="P2106">
        <v>140.85</v>
      </c>
      <c r="Q2106">
        <v>155.135714285714</v>
      </c>
      <c r="R2106">
        <v>0</v>
      </c>
      <c r="S2106">
        <v>155.135714285714</v>
      </c>
      <c r="T2106">
        <v>51</v>
      </c>
      <c r="U2106">
        <f>SUMIF(货件明细!J:J,E2106,货件明细!AP:AP)</f>
        <v>0</v>
      </c>
      <c r="V2106">
        <f>IF(U2106=T2106,0,1)</f>
        <v>1</v>
      </c>
      <c r="W2106">
        <f>T2106</f>
        <v>51</v>
      </c>
      <c r="X2106">
        <f>SUMIF(货件明细!J:J,E2106,货件明细!H:H)</f>
        <v>0</v>
      </c>
      <c r="Y2106">
        <f>N2106-X2106</f>
        <v>10.6</v>
      </c>
      <c r="Z2106">
        <f>SUMIF(货件明细!J:J,E2106,货件明细!I:I)</f>
        <v>0</v>
      </c>
      <c r="AA2106">
        <f>IF(S2106=Z2106,0,1)</f>
        <v>1</v>
      </c>
    </row>
    <row r="2107" hidden="1" spans="1:27">
      <c r="A2107">
        <v>4</v>
      </c>
      <c r="B2107">
        <v>18</v>
      </c>
      <c r="C2107" s="3">
        <v>46141</v>
      </c>
      <c r="D2107" t="s">
        <v>27</v>
      </c>
      <c r="E2107" t="s">
        <v>2238</v>
      </c>
      <c r="F2107" t="s">
        <v>74</v>
      </c>
      <c r="G2107" t="s">
        <v>30</v>
      </c>
      <c r="H2107" t="s">
        <v>51</v>
      </c>
      <c r="I2107" t="s">
        <v>63</v>
      </c>
      <c r="J2107" t="s">
        <v>63</v>
      </c>
      <c r="K2107" t="s">
        <v>64</v>
      </c>
      <c r="L2107" t="s">
        <v>212</v>
      </c>
      <c r="M2107" t="s">
        <v>213</v>
      </c>
      <c r="N2107">
        <v>10.6</v>
      </c>
      <c r="O2107">
        <v>14.2857142857143</v>
      </c>
      <c r="P2107">
        <v>164.9</v>
      </c>
      <c r="Q2107">
        <v>179.185714285714</v>
      </c>
      <c r="R2107">
        <v>0</v>
      </c>
      <c r="S2107">
        <v>179.185714285714</v>
      </c>
      <c r="T2107">
        <v>51</v>
      </c>
      <c r="U2107">
        <f>SUMIF(货件明细!J:J,E2107,货件明细!AP:AP)</f>
        <v>0</v>
      </c>
      <c r="V2107">
        <f>IF(U2107=T2107,0,1)</f>
        <v>1</v>
      </c>
      <c r="W2107">
        <f>T2107</f>
        <v>51</v>
      </c>
      <c r="X2107">
        <f>SUMIF(货件明细!J:J,E2107,货件明细!H:H)</f>
        <v>0</v>
      </c>
      <c r="Y2107">
        <f>N2107-X2107</f>
        <v>10.6</v>
      </c>
      <c r="Z2107">
        <f>SUMIF(货件明细!J:J,E2107,货件明细!I:I)</f>
        <v>0</v>
      </c>
      <c r="AA2107">
        <f>IF(S2107=Z2107,0,1)</f>
        <v>1</v>
      </c>
    </row>
    <row r="2108" hidden="1" spans="1:27">
      <c r="A2108">
        <v>4</v>
      </c>
      <c r="B2108">
        <v>18</v>
      </c>
      <c r="C2108" s="3">
        <v>46141</v>
      </c>
      <c r="D2108" t="s">
        <v>27</v>
      </c>
      <c r="E2108" t="s">
        <v>2239</v>
      </c>
      <c r="F2108" t="s">
        <v>187</v>
      </c>
      <c r="G2108" t="s">
        <v>72</v>
      </c>
      <c r="H2108" t="s">
        <v>51</v>
      </c>
      <c r="I2108" t="s">
        <v>63</v>
      </c>
      <c r="J2108" t="s">
        <v>63</v>
      </c>
      <c r="K2108" t="s">
        <v>64</v>
      </c>
      <c r="L2108" t="s">
        <v>212</v>
      </c>
      <c r="M2108" t="s">
        <v>213</v>
      </c>
      <c r="N2108">
        <v>10.6</v>
      </c>
      <c r="O2108">
        <v>14.2857142857143</v>
      </c>
      <c r="P2108">
        <v>96.3</v>
      </c>
      <c r="Q2108">
        <v>110.585714285714</v>
      </c>
      <c r="R2108">
        <v>0</v>
      </c>
      <c r="S2108">
        <v>110.585714285714</v>
      </c>
      <c r="T2108">
        <v>51</v>
      </c>
      <c r="U2108">
        <f>SUMIF(货件明细!J:J,E2108,货件明细!AP:AP)</f>
        <v>0</v>
      </c>
      <c r="V2108">
        <f>IF(U2108=T2108,0,1)</f>
        <v>1</v>
      </c>
      <c r="W2108">
        <f>T2108</f>
        <v>51</v>
      </c>
      <c r="X2108">
        <f>SUMIF(货件明细!J:J,E2108,货件明细!H:H)</f>
        <v>0</v>
      </c>
      <c r="Y2108">
        <f>N2108-X2108</f>
        <v>10.6</v>
      </c>
      <c r="Z2108">
        <f>SUMIF(货件明细!J:J,E2108,货件明细!I:I)</f>
        <v>0</v>
      </c>
      <c r="AA2108">
        <f>IF(S2108=Z2108,0,1)</f>
        <v>1</v>
      </c>
    </row>
    <row r="2109" hidden="1" spans="1:27">
      <c r="A2109">
        <v>4</v>
      </c>
      <c r="B2109">
        <v>18</v>
      </c>
      <c r="C2109" s="3">
        <v>46141</v>
      </c>
      <c r="D2109" t="s">
        <v>27</v>
      </c>
      <c r="E2109" t="s">
        <v>2240</v>
      </c>
      <c r="F2109" t="s">
        <v>71</v>
      </c>
      <c r="G2109" t="s">
        <v>72</v>
      </c>
      <c r="H2109" t="s">
        <v>51</v>
      </c>
      <c r="I2109" t="s">
        <v>63</v>
      </c>
      <c r="J2109" t="s">
        <v>63</v>
      </c>
      <c r="K2109" t="s">
        <v>64</v>
      </c>
      <c r="L2109" t="s">
        <v>212</v>
      </c>
      <c r="M2109" t="s">
        <v>213</v>
      </c>
      <c r="N2109">
        <v>10.6</v>
      </c>
      <c r="O2109">
        <v>14.2857142857143</v>
      </c>
      <c r="P2109">
        <v>105.55</v>
      </c>
      <c r="Q2109">
        <v>119.835714285714</v>
      </c>
      <c r="R2109">
        <v>0</v>
      </c>
      <c r="S2109">
        <v>119.835714285714</v>
      </c>
      <c r="T2109">
        <v>51</v>
      </c>
      <c r="U2109">
        <f>SUMIF(货件明细!J:J,E2109,货件明细!AP:AP)</f>
        <v>0</v>
      </c>
      <c r="V2109">
        <f>IF(U2109=T2109,0,1)</f>
        <v>1</v>
      </c>
      <c r="W2109">
        <f>T2109</f>
        <v>51</v>
      </c>
      <c r="X2109">
        <f>SUMIF(货件明细!J:J,E2109,货件明细!H:H)</f>
        <v>0</v>
      </c>
      <c r="Y2109">
        <f>N2109-X2109</f>
        <v>10.6</v>
      </c>
      <c r="Z2109">
        <f>SUMIF(货件明细!J:J,E2109,货件明细!I:I)</f>
        <v>0</v>
      </c>
      <c r="AA2109">
        <f>IF(S2109=Z2109,0,1)</f>
        <v>1</v>
      </c>
    </row>
    <row r="2110" hidden="1" spans="1:27">
      <c r="A2110">
        <v>4</v>
      </c>
      <c r="B2110">
        <v>18</v>
      </c>
      <c r="C2110" s="3">
        <v>46141</v>
      </c>
      <c r="D2110" t="s">
        <v>27</v>
      </c>
      <c r="E2110" t="s">
        <v>2241</v>
      </c>
      <c r="F2110" t="s">
        <v>71</v>
      </c>
      <c r="G2110" t="s">
        <v>72</v>
      </c>
      <c r="H2110" t="s">
        <v>56</v>
      </c>
      <c r="I2110" t="s">
        <v>63</v>
      </c>
      <c r="J2110" t="s">
        <v>63</v>
      </c>
      <c r="K2110" t="s">
        <v>64</v>
      </c>
      <c r="L2110" t="s">
        <v>212</v>
      </c>
      <c r="M2110" t="s">
        <v>213</v>
      </c>
      <c r="N2110">
        <v>20.95</v>
      </c>
      <c r="O2110">
        <v>14.2857142857143</v>
      </c>
      <c r="P2110">
        <v>84.44</v>
      </c>
      <c r="Q2110">
        <v>98.7257142857143</v>
      </c>
      <c r="R2110">
        <v>0</v>
      </c>
      <c r="S2110">
        <v>98.7257142857143</v>
      </c>
      <c r="T2110">
        <v>125</v>
      </c>
      <c r="U2110">
        <f>SUMIF(货件明细!J:J,E2110,货件明细!AP:AP)</f>
        <v>0</v>
      </c>
      <c r="V2110">
        <f>IF(U2110=T2110,0,1)</f>
        <v>1</v>
      </c>
      <c r="W2110">
        <f>T2110</f>
        <v>125</v>
      </c>
      <c r="X2110">
        <f>SUMIF(货件明细!J:J,E2110,货件明细!H:H)</f>
        <v>0</v>
      </c>
      <c r="Y2110">
        <f>N2110-X2110</f>
        <v>20.95</v>
      </c>
      <c r="Z2110">
        <f>SUMIF(货件明细!J:J,E2110,货件明细!I:I)</f>
        <v>0</v>
      </c>
      <c r="AA2110">
        <f>IF(S2110=Z2110,0,1)</f>
        <v>1</v>
      </c>
    </row>
    <row r="2111" hidden="1" spans="1:27">
      <c r="A2111">
        <v>4</v>
      </c>
      <c r="B2111">
        <v>18</v>
      </c>
      <c r="C2111" s="3">
        <v>46141</v>
      </c>
      <c r="D2111" t="s">
        <v>27</v>
      </c>
      <c r="E2111" t="s">
        <v>2242</v>
      </c>
      <c r="F2111" t="s">
        <v>74</v>
      </c>
      <c r="G2111" t="s">
        <v>30</v>
      </c>
      <c r="H2111" t="s">
        <v>56</v>
      </c>
      <c r="I2111" t="s">
        <v>63</v>
      </c>
      <c r="J2111" t="s">
        <v>63</v>
      </c>
      <c r="K2111" t="s">
        <v>64</v>
      </c>
      <c r="L2111" t="s">
        <v>212</v>
      </c>
      <c r="M2111" t="s">
        <v>213</v>
      </c>
      <c r="N2111">
        <v>20.95</v>
      </c>
      <c r="O2111">
        <v>14.2857142857143</v>
      </c>
      <c r="P2111">
        <v>148.41</v>
      </c>
      <c r="Q2111">
        <v>162.695714285714</v>
      </c>
      <c r="R2111">
        <v>0</v>
      </c>
      <c r="S2111">
        <v>162.695714285714</v>
      </c>
      <c r="T2111">
        <v>125</v>
      </c>
      <c r="U2111">
        <f>SUMIF(货件明细!J:J,E2111,货件明细!AP:AP)</f>
        <v>0</v>
      </c>
      <c r="V2111">
        <f>IF(U2111=T2111,0,1)</f>
        <v>1</v>
      </c>
      <c r="W2111">
        <f>T2111</f>
        <v>125</v>
      </c>
      <c r="X2111">
        <f>SUMIF(货件明细!J:J,E2111,货件明细!H:H)</f>
        <v>0</v>
      </c>
      <c r="Y2111">
        <f>N2111-X2111</f>
        <v>20.95</v>
      </c>
      <c r="Z2111">
        <f>SUMIF(货件明细!J:J,E2111,货件明细!I:I)</f>
        <v>0</v>
      </c>
      <c r="AA2111">
        <f>IF(S2111=Z2111,0,1)</f>
        <v>1</v>
      </c>
    </row>
    <row r="2112" hidden="1" spans="1:27">
      <c r="A2112">
        <v>4</v>
      </c>
      <c r="B2112">
        <v>18</v>
      </c>
      <c r="C2112" s="3">
        <v>46141</v>
      </c>
      <c r="D2112" t="s">
        <v>27</v>
      </c>
      <c r="E2112" t="s">
        <v>2243</v>
      </c>
      <c r="F2112" t="s">
        <v>187</v>
      </c>
      <c r="G2112" t="s">
        <v>72</v>
      </c>
      <c r="H2112" t="s">
        <v>56</v>
      </c>
      <c r="I2112" t="s">
        <v>63</v>
      </c>
      <c r="J2112" t="s">
        <v>63</v>
      </c>
      <c r="K2112" t="s">
        <v>64</v>
      </c>
      <c r="L2112" t="s">
        <v>212</v>
      </c>
      <c r="M2112" t="s">
        <v>213</v>
      </c>
      <c r="N2112">
        <v>20.95</v>
      </c>
      <c r="O2112">
        <v>14.2857142857143</v>
      </c>
      <c r="P2112">
        <v>86.67</v>
      </c>
      <c r="Q2112">
        <v>100.955714285714</v>
      </c>
      <c r="R2112">
        <v>0</v>
      </c>
      <c r="S2112">
        <v>100.955714285714</v>
      </c>
      <c r="T2112">
        <v>128</v>
      </c>
      <c r="U2112">
        <f>SUMIF(货件明细!J:J,E2112,货件明细!AP:AP)</f>
        <v>0</v>
      </c>
      <c r="V2112">
        <f>IF(U2112=T2112,0,1)</f>
        <v>1</v>
      </c>
      <c r="W2112">
        <f>T2112</f>
        <v>128</v>
      </c>
      <c r="X2112">
        <f>SUMIF(货件明细!J:J,E2112,货件明细!H:H)</f>
        <v>0</v>
      </c>
      <c r="Y2112">
        <f>N2112-X2112</f>
        <v>20.95</v>
      </c>
      <c r="Z2112">
        <f>SUMIF(货件明细!J:J,E2112,货件明细!I:I)</f>
        <v>0</v>
      </c>
      <c r="AA2112">
        <f>IF(S2112=Z2112,0,1)</f>
        <v>1</v>
      </c>
    </row>
    <row r="2113" hidden="1" spans="1:27">
      <c r="A2113">
        <v>4</v>
      </c>
      <c r="B2113">
        <v>18</v>
      </c>
      <c r="C2113" s="3">
        <v>46141</v>
      </c>
      <c r="D2113" t="s">
        <v>27</v>
      </c>
      <c r="E2113" t="s">
        <v>2244</v>
      </c>
      <c r="F2113" t="s">
        <v>198</v>
      </c>
      <c r="G2113" t="s">
        <v>69</v>
      </c>
      <c r="H2113" t="s">
        <v>56</v>
      </c>
      <c r="I2113" t="s">
        <v>63</v>
      </c>
      <c r="J2113" t="s">
        <v>63</v>
      </c>
      <c r="K2113" t="s">
        <v>64</v>
      </c>
      <c r="L2113" t="s">
        <v>212</v>
      </c>
      <c r="M2113" t="s">
        <v>213</v>
      </c>
      <c r="N2113">
        <v>20.95</v>
      </c>
      <c r="O2113">
        <v>14.2857142857143</v>
      </c>
      <c r="P2113">
        <v>126.765</v>
      </c>
      <c r="Q2113">
        <v>141.050714285714</v>
      </c>
      <c r="R2113">
        <v>0</v>
      </c>
      <c r="S2113">
        <v>141.050714285714</v>
      </c>
      <c r="T2113">
        <v>125</v>
      </c>
      <c r="U2113">
        <f>SUMIF(货件明细!J:J,E2113,货件明细!AP:AP)</f>
        <v>0</v>
      </c>
      <c r="V2113">
        <f>IF(U2113=T2113,0,1)</f>
        <v>1</v>
      </c>
      <c r="W2113">
        <f>T2113</f>
        <v>125</v>
      </c>
      <c r="X2113">
        <f>SUMIF(货件明细!J:J,E2113,货件明细!H:H)</f>
        <v>0</v>
      </c>
      <c r="Y2113">
        <f>N2113-X2113</f>
        <v>20.95</v>
      </c>
      <c r="Z2113">
        <f>SUMIF(货件明细!J:J,E2113,货件明细!I:I)</f>
        <v>0</v>
      </c>
      <c r="AA2113">
        <f>IF(S2113=Z2113,0,1)</f>
        <v>1</v>
      </c>
    </row>
    <row r="2114" hidden="1" spans="1:27">
      <c r="A2114">
        <v>4</v>
      </c>
      <c r="B2114">
        <v>18</v>
      </c>
      <c r="C2114" s="3">
        <v>46141</v>
      </c>
      <c r="D2114" t="s">
        <v>27</v>
      </c>
      <c r="E2114" t="s">
        <v>2245</v>
      </c>
      <c r="F2114" t="s">
        <v>239</v>
      </c>
      <c r="G2114" t="s">
        <v>72</v>
      </c>
      <c r="H2114" t="s">
        <v>56</v>
      </c>
      <c r="I2114" t="s">
        <v>63</v>
      </c>
      <c r="J2114" t="s">
        <v>63</v>
      </c>
      <c r="K2114" t="s">
        <v>64</v>
      </c>
      <c r="L2114" t="s">
        <v>212</v>
      </c>
      <c r="M2114" t="s">
        <v>213</v>
      </c>
      <c r="N2114">
        <v>20.95</v>
      </c>
      <c r="O2114">
        <v>14.2857142857143</v>
      </c>
      <c r="P2114">
        <v>94.995</v>
      </c>
      <c r="Q2114">
        <v>109.280714285714</v>
      </c>
      <c r="R2114">
        <v>0</v>
      </c>
      <c r="S2114">
        <v>109.280714285714</v>
      </c>
      <c r="T2114">
        <v>125</v>
      </c>
      <c r="U2114">
        <f>SUMIF(货件明细!J:J,E2114,货件明细!AP:AP)</f>
        <v>0</v>
      </c>
      <c r="V2114">
        <f>IF(U2114=T2114,0,1)</f>
        <v>1</v>
      </c>
      <c r="W2114">
        <f>T2114</f>
        <v>125</v>
      </c>
      <c r="X2114">
        <f>SUMIF(货件明细!J:J,E2114,货件明细!H:H)</f>
        <v>0</v>
      </c>
      <c r="Y2114">
        <f>N2114-X2114</f>
        <v>20.95</v>
      </c>
      <c r="Z2114">
        <f>SUMIF(货件明细!J:J,E2114,货件明细!I:I)</f>
        <v>0</v>
      </c>
      <c r="AA2114">
        <f>IF(S2114=Z2114,0,1)</f>
        <v>1</v>
      </c>
    </row>
    <row r="2115" hidden="1" spans="1:27">
      <c r="A2115">
        <v>4</v>
      </c>
      <c r="B2115">
        <v>18</v>
      </c>
      <c r="C2115" s="3">
        <v>46141</v>
      </c>
      <c r="D2115" t="s">
        <v>27</v>
      </c>
      <c r="E2115" t="s">
        <v>2246</v>
      </c>
      <c r="F2115" t="s">
        <v>74</v>
      </c>
      <c r="G2115" t="s">
        <v>30</v>
      </c>
      <c r="H2115" t="s">
        <v>31</v>
      </c>
      <c r="I2115" t="s">
        <v>63</v>
      </c>
      <c r="J2115" t="s">
        <v>63</v>
      </c>
      <c r="K2115" t="s">
        <v>64</v>
      </c>
      <c r="L2115" t="s">
        <v>212</v>
      </c>
      <c r="M2115" t="s">
        <v>213</v>
      </c>
      <c r="N2115">
        <v>33.05</v>
      </c>
      <c r="O2115">
        <v>14.2857142857143</v>
      </c>
      <c r="P2115">
        <v>230.86</v>
      </c>
      <c r="Q2115">
        <v>245.145714285714</v>
      </c>
      <c r="R2115">
        <v>0</v>
      </c>
      <c r="S2115">
        <v>245.145714285714</v>
      </c>
      <c r="T2115">
        <v>147</v>
      </c>
      <c r="U2115">
        <f>SUMIF(货件明细!J:J,E2115,货件明细!AP:AP)</f>
        <v>0</v>
      </c>
      <c r="V2115">
        <f>IF(U2115=T2115,0,1)</f>
        <v>1</v>
      </c>
      <c r="W2115">
        <f>T2115</f>
        <v>147</v>
      </c>
      <c r="X2115">
        <f>SUMIF(货件明细!J:J,E2115,货件明细!H:H)</f>
        <v>0</v>
      </c>
      <c r="Y2115">
        <f>N2115-X2115</f>
        <v>33.05</v>
      </c>
      <c r="Z2115">
        <f>SUMIF(货件明细!J:J,E2115,货件明细!I:I)</f>
        <v>0</v>
      </c>
      <c r="AA2115">
        <f>IF(S2115=Z2115,0,1)</f>
        <v>1</v>
      </c>
    </row>
    <row r="2116" hidden="1" spans="1:27">
      <c r="A2116">
        <v>4</v>
      </c>
      <c r="B2116">
        <v>18</v>
      </c>
      <c r="C2116" s="3">
        <v>46141</v>
      </c>
      <c r="D2116" t="s">
        <v>27</v>
      </c>
      <c r="E2116" t="s">
        <v>2247</v>
      </c>
      <c r="F2116" t="s">
        <v>198</v>
      </c>
      <c r="G2116" t="s">
        <v>69</v>
      </c>
      <c r="H2116" t="s">
        <v>31</v>
      </c>
      <c r="I2116" t="s">
        <v>63</v>
      </c>
      <c r="J2116" t="s">
        <v>63</v>
      </c>
      <c r="K2116" t="s">
        <v>64</v>
      </c>
      <c r="L2116" t="s">
        <v>212</v>
      </c>
      <c r="M2116" t="s">
        <v>213</v>
      </c>
      <c r="N2116">
        <v>33.05</v>
      </c>
      <c r="O2116">
        <v>14.2857142857143</v>
      </c>
      <c r="P2116">
        <v>197.19</v>
      </c>
      <c r="Q2116">
        <v>211.475714285714</v>
      </c>
      <c r="R2116">
        <v>0</v>
      </c>
      <c r="S2116">
        <v>211.475714285714</v>
      </c>
      <c r="T2116">
        <v>147</v>
      </c>
      <c r="U2116">
        <f>SUMIF(货件明细!J:J,E2116,货件明细!AP:AP)</f>
        <v>0</v>
      </c>
      <c r="V2116">
        <f>IF(U2116=T2116,0,1)</f>
        <v>1</v>
      </c>
      <c r="W2116">
        <f>T2116</f>
        <v>147</v>
      </c>
      <c r="X2116">
        <f>SUMIF(货件明细!J:J,E2116,货件明细!H:H)</f>
        <v>0</v>
      </c>
      <c r="Y2116">
        <f>N2116-X2116</f>
        <v>33.05</v>
      </c>
      <c r="Z2116">
        <f>SUMIF(货件明细!J:J,E2116,货件明细!I:I)</f>
        <v>0</v>
      </c>
      <c r="AA2116">
        <f>IF(S2116=Z2116,0,1)</f>
        <v>1</v>
      </c>
    </row>
    <row r="2117" hidden="1" spans="1:27">
      <c r="A2117">
        <v>4</v>
      </c>
      <c r="B2117">
        <v>18</v>
      </c>
      <c r="C2117" s="3">
        <v>46141</v>
      </c>
      <c r="D2117" t="s">
        <v>27</v>
      </c>
      <c r="E2117" t="s">
        <v>2248</v>
      </c>
      <c r="F2117" t="s">
        <v>187</v>
      </c>
      <c r="G2117" t="s">
        <v>72</v>
      </c>
      <c r="H2117" t="s">
        <v>31</v>
      </c>
      <c r="I2117" t="s">
        <v>63</v>
      </c>
      <c r="J2117" t="s">
        <v>63</v>
      </c>
      <c r="K2117" t="s">
        <v>64</v>
      </c>
      <c r="L2117" t="s">
        <v>212</v>
      </c>
      <c r="M2117" t="s">
        <v>213</v>
      </c>
      <c r="N2117">
        <v>33.05</v>
      </c>
      <c r="O2117">
        <v>14.2857142857143</v>
      </c>
      <c r="P2117">
        <v>134.82</v>
      </c>
      <c r="Q2117">
        <v>149.105714285714</v>
      </c>
      <c r="R2117">
        <v>0</v>
      </c>
      <c r="S2117">
        <v>149.105714285714</v>
      </c>
      <c r="T2117">
        <v>147</v>
      </c>
      <c r="U2117">
        <f>SUMIF(货件明细!J:J,E2117,货件明细!AP:AP)</f>
        <v>0</v>
      </c>
      <c r="V2117">
        <f>IF(U2117=T2117,0,1)</f>
        <v>1</v>
      </c>
      <c r="W2117">
        <f>T2117</f>
        <v>147</v>
      </c>
      <c r="X2117">
        <f>SUMIF(货件明细!J:J,E2117,货件明细!H:H)</f>
        <v>0</v>
      </c>
      <c r="Y2117">
        <f>N2117-X2117</f>
        <v>33.05</v>
      </c>
      <c r="Z2117">
        <f>SUMIF(货件明细!J:J,E2117,货件明细!I:I)</f>
        <v>0</v>
      </c>
      <c r="AA2117">
        <f>IF(S2117=Z2117,0,1)</f>
        <v>1</v>
      </c>
    </row>
    <row r="2118" hidden="1" spans="1:27">
      <c r="A2118">
        <v>4</v>
      </c>
      <c r="B2118">
        <v>18</v>
      </c>
      <c r="C2118" s="3">
        <v>46141</v>
      </c>
      <c r="D2118" t="s">
        <v>27</v>
      </c>
      <c r="E2118" t="s">
        <v>2249</v>
      </c>
      <c r="F2118" t="s">
        <v>71</v>
      </c>
      <c r="G2118" t="s">
        <v>72</v>
      </c>
      <c r="H2118" t="s">
        <v>31</v>
      </c>
      <c r="I2118" t="s">
        <v>63</v>
      </c>
      <c r="J2118" t="s">
        <v>63</v>
      </c>
      <c r="K2118" t="s">
        <v>64</v>
      </c>
      <c r="L2118" t="s">
        <v>212</v>
      </c>
      <c r="M2118" t="s">
        <v>213</v>
      </c>
      <c r="N2118">
        <v>33.05</v>
      </c>
      <c r="O2118">
        <v>14.2857142857143</v>
      </c>
      <c r="P2118">
        <v>147.77</v>
      </c>
      <c r="Q2118">
        <v>162.055714285714</v>
      </c>
      <c r="R2118">
        <v>0</v>
      </c>
      <c r="S2118">
        <v>162.055714285714</v>
      </c>
      <c r="T2118">
        <v>147</v>
      </c>
      <c r="U2118">
        <f>SUMIF(货件明细!J:J,E2118,货件明细!AP:AP)</f>
        <v>0</v>
      </c>
      <c r="V2118">
        <f>IF(U2118=T2118,0,1)</f>
        <v>1</v>
      </c>
      <c r="W2118">
        <f>T2118</f>
        <v>147</v>
      </c>
      <c r="X2118">
        <f>SUMIF(货件明细!J:J,E2118,货件明细!H:H)</f>
        <v>0</v>
      </c>
      <c r="Y2118">
        <f>N2118-X2118</f>
        <v>33.05</v>
      </c>
      <c r="Z2118">
        <f>SUMIF(货件明细!J:J,E2118,货件明细!I:I)</f>
        <v>0</v>
      </c>
      <c r="AA2118">
        <f>IF(S2118=Z2118,0,1)</f>
        <v>1</v>
      </c>
    </row>
    <row r="2119" hidden="1" spans="1:27">
      <c r="A2119">
        <v>4</v>
      </c>
      <c r="B2119">
        <v>18</v>
      </c>
      <c r="C2119" s="3">
        <v>46141</v>
      </c>
      <c r="D2119" t="s">
        <v>27</v>
      </c>
      <c r="E2119" t="s">
        <v>2250</v>
      </c>
      <c r="F2119" t="s">
        <v>239</v>
      </c>
      <c r="G2119" t="s">
        <v>72</v>
      </c>
      <c r="H2119" t="s">
        <v>31</v>
      </c>
      <c r="I2119" t="s">
        <v>63</v>
      </c>
      <c r="J2119" t="s">
        <v>63</v>
      </c>
      <c r="K2119" t="s">
        <v>64</v>
      </c>
      <c r="L2119" t="s">
        <v>212</v>
      </c>
      <c r="M2119" t="s">
        <v>213</v>
      </c>
      <c r="N2119">
        <v>33.05</v>
      </c>
      <c r="O2119">
        <v>14.2857142857143</v>
      </c>
      <c r="P2119">
        <v>147.77</v>
      </c>
      <c r="Q2119">
        <v>162.055714285714</v>
      </c>
      <c r="R2119">
        <v>0</v>
      </c>
      <c r="S2119">
        <v>162.055714285714</v>
      </c>
      <c r="T2119">
        <v>150</v>
      </c>
      <c r="U2119">
        <f>SUMIF(货件明细!J:J,E2119,货件明细!AP:AP)</f>
        <v>0</v>
      </c>
      <c r="V2119">
        <f>IF(U2119=T2119,0,1)</f>
        <v>1</v>
      </c>
      <c r="W2119">
        <f>T2119</f>
        <v>150</v>
      </c>
      <c r="X2119">
        <f>SUMIF(货件明细!J:J,E2119,货件明细!H:H)</f>
        <v>0</v>
      </c>
      <c r="Y2119">
        <f>N2119-X2119</f>
        <v>33.05</v>
      </c>
      <c r="Z2119">
        <f>SUMIF(货件明细!J:J,E2119,货件明细!I:I)</f>
        <v>0</v>
      </c>
      <c r="AA2119">
        <f>IF(S2119=Z2119,0,1)</f>
        <v>1</v>
      </c>
    </row>
    <row r="2120" hidden="1" spans="1:27">
      <c r="A2120">
        <v>4</v>
      </c>
      <c r="B2120">
        <v>18</v>
      </c>
      <c r="C2120" s="3">
        <v>46141</v>
      </c>
      <c r="D2120" t="s">
        <v>27</v>
      </c>
      <c r="E2120" t="s">
        <v>2251</v>
      </c>
      <c r="F2120" t="s">
        <v>198</v>
      </c>
      <c r="G2120" t="s">
        <v>69</v>
      </c>
      <c r="H2120" t="s">
        <v>59</v>
      </c>
      <c r="I2120" t="s">
        <v>63</v>
      </c>
      <c r="J2120" t="s">
        <v>63</v>
      </c>
      <c r="K2120" t="s">
        <v>64</v>
      </c>
      <c r="L2120" t="s">
        <v>212</v>
      </c>
      <c r="M2120" t="s">
        <v>213</v>
      </c>
      <c r="N2120">
        <v>13.5</v>
      </c>
      <c r="O2120">
        <v>14.2857142857143</v>
      </c>
      <c r="P2120">
        <v>70.425</v>
      </c>
      <c r="Q2120">
        <v>84.7107142857143</v>
      </c>
      <c r="R2120">
        <v>0</v>
      </c>
      <c r="S2120">
        <v>84.7107142857143</v>
      </c>
      <c r="T2120">
        <v>82</v>
      </c>
      <c r="U2120">
        <f>SUMIF(货件明细!J:J,E2120,货件明细!AP:AP)</f>
        <v>0</v>
      </c>
      <c r="V2120">
        <f>IF(U2120=T2120,0,1)</f>
        <v>1</v>
      </c>
      <c r="W2120">
        <f>T2120</f>
        <v>82</v>
      </c>
      <c r="X2120">
        <f>SUMIF(货件明细!J:J,E2120,货件明细!H:H)</f>
        <v>0</v>
      </c>
      <c r="Y2120">
        <f>N2120-X2120</f>
        <v>13.5</v>
      </c>
      <c r="Z2120">
        <f>SUMIF(货件明细!J:J,E2120,货件明细!I:I)</f>
        <v>0</v>
      </c>
      <c r="AA2120">
        <f>IF(S2120=Z2120,0,1)</f>
        <v>1</v>
      </c>
    </row>
    <row r="2121" hidden="1" spans="1:27">
      <c r="A2121">
        <v>4</v>
      </c>
      <c r="B2121">
        <v>18</v>
      </c>
      <c r="C2121" s="3">
        <v>46141</v>
      </c>
      <c r="D2121" t="s">
        <v>27</v>
      </c>
      <c r="E2121" t="s">
        <v>2252</v>
      </c>
      <c r="F2121" t="s">
        <v>187</v>
      </c>
      <c r="G2121" t="s">
        <v>72</v>
      </c>
      <c r="H2121" t="s">
        <v>59</v>
      </c>
      <c r="I2121" t="s">
        <v>63</v>
      </c>
      <c r="J2121" t="s">
        <v>63</v>
      </c>
      <c r="K2121" t="s">
        <v>64</v>
      </c>
      <c r="L2121" t="s">
        <v>212</v>
      </c>
      <c r="M2121" t="s">
        <v>213</v>
      </c>
      <c r="N2121">
        <v>13.5</v>
      </c>
      <c r="O2121">
        <v>14.2857142857143</v>
      </c>
      <c r="P2121">
        <v>48.15</v>
      </c>
      <c r="Q2121">
        <v>62.4357142857143</v>
      </c>
      <c r="R2121">
        <v>0</v>
      </c>
      <c r="S2121">
        <v>62.4357142857143</v>
      </c>
      <c r="T2121">
        <v>82</v>
      </c>
      <c r="U2121">
        <f>SUMIF(货件明细!J:J,E2121,货件明细!AP:AP)</f>
        <v>0</v>
      </c>
      <c r="V2121">
        <f>IF(U2121=T2121,0,1)</f>
        <v>1</v>
      </c>
      <c r="W2121">
        <f>T2121</f>
        <v>82</v>
      </c>
      <c r="X2121">
        <f>SUMIF(货件明细!J:J,E2121,货件明细!H:H)</f>
        <v>0</v>
      </c>
      <c r="Y2121">
        <f>N2121-X2121</f>
        <v>13.5</v>
      </c>
      <c r="Z2121">
        <f>SUMIF(货件明细!J:J,E2121,货件明细!I:I)</f>
        <v>0</v>
      </c>
      <c r="AA2121">
        <f>IF(S2121=Z2121,0,1)</f>
        <v>1</v>
      </c>
    </row>
    <row r="2122" hidden="1" spans="1:27">
      <c r="A2122">
        <v>4</v>
      </c>
      <c r="B2122">
        <v>18</v>
      </c>
      <c r="C2122" s="3">
        <v>46141</v>
      </c>
      <c r="D2122" t="s">
        <v>27</v>
      </c>
      <c r="E2122" t="s">
        <v>2253</v>
      </c>
      <c r="F2122" t="s">
        <v>74</v>
      </c>
      <c r="G2122" t="s">
        <v>30</v>
      </c>
      <c r="H2122" t="s">
        <v>59</v>
      </c>
      <c r="I2122" t="s">
        <v>63</v>
      </c>
      <c r="J2122" t="s">
        <v>63</v>
      </c>
      <c r="K2122" t="s">
        <v>64</v>
      </c>
      <c r="L2122" t="s">
        <v>212</v>
      </c>
      <c r="M2122" t="s">
        <v>213</v>
      </c>
      <c r="N2122">
        <v>13.5</v>
      </c>
      <c r="O2122">
        <v>14.2857142857143</v>
      </c>
      <c r="P2122">
        <v>82.45</v>
      </c>
      <c r="Q2122">
        <v>96.7357142857143</v>
      </c>
      <c r="R2122">
        <v>0</v>
      </c>
      <c r="S2122">
        <v>96.7357142857143</v>
      </c>
      <c r="T2122">
        <v>82</v>
      </c>
      <c r="U2122">
        <f>SUMIF(货件明细!J:J,E2122,货件明细!AP:AP)</f>
        <v>0</v>
      </c>
      <c r="V2122">
        <f>IF(U2122=T2122,0,1)</f>
        <v>1</v>
      </c>
      <c r="W2122">
        <f>T2122</f>
        <v>82</v>
      </c>
      <c r="X2122">
        <f>SUMIF(货件明细!J:J,E2122,货件明细!H:H)</f>
        <v>0</v>
      </c>
      <c r="Y2122">
        <f>N2122-X2122</f>
        <v>13.5</v>
      </c>
      <c r="Z2122">
        <f>SUMIF(货件明细!J:J,E2122,货件明细!I:I)</f>
        <v>0</v>
      </c>
      <c r="AA2122">
        <f>IF(S2122=Z2122,0,1)</f>
        <v>1</v>
      </c>
    </row>
    <row r="2123" hidden="1" spans="1:27">
      <c r="A2123">
        <v>4</v>
      </c>
      <c r="B2123">
        <v>18</v>
      </c>
      <c r="C2123" s="3">
        <v>46141</v>
      </c>
      <c r="D2123" t="s">
        <v>27</v>
      </c>
      <c r="E2123" t="s">
        <v>2254</v>
      </c>
      <c r="F2123" t="s">
        <v>71</v>
      </c>
      <c r="G2123" t="s">
        <v>72</v>
      </c>
      <c r="H2123" t="s">
        <v>59</v>
      </c>
      <c r="I2123" t="s">
        <v>63</v>
      </c>
      <c r="J2123" t="s">
        <v>63</v>
      </c>
      <c r="K2123" t="s">
        <v>64</v>
      </c>
      <c r="L2123" t="s">
        <v>212</v>
      </c>
      <c r="M2123" t="s">
        <v>213</v>
      </c>
      <c r="N2123">
        <v>13.5</v>
      </c>
      <c r="O2123">
        <v>14.2857142857143</v>
      </c>
      <c r="P2123">
        <v>52.775</v>
      </c>
      <c r="Q2123">
        <v>67.0607142857143</v>
      </c>
      <c r="R2123">
        <v>0</v>
      </c>
      <c r="S2123">
        <v>67.0607142857143</v>
      </c>
      <c r="T2123">
        <v>82</v>
      </c>
      <c r="U2123">
        <f>SUMIF(货件明细!J:J,E2123,货件明细!AP:AP)</f>
        <v>0</v>
      </c>
      <c r="V2123">
        <f>IF(U2123=T2123,0,1)</f>
        <v>1</v>
      </c>
      <c r="W2123">
        <f>T2123</f>
        <v>82</v>
      </c>
      <c r="X2123">
        <f>SUMIF(货件明细!J:J,E2123,货件明细!H:H)</f>
        <v>0</v>
      </c>
      <c r="Y2123">
        <f>N2123-X2123</f>
        <v>13.5</v>
      </c>
      <c r="Z2123">
        <f>SUMIF(货件明细!J:J,E2123,货件明细!I:I)</f>
        <v>0</v>
      </c>
      <c r="AA2123">
        <f>IF(S2123=Z2123,0,1)</f>
        <v>1</v>
      </c>
    </row>
    <row r="2124" hidden="1" spans="1:27">
      <c r="A2124">
        <v>4</v>
      </c>
      <c r="B2124">
        <v>18</v>
      </c>
      <c r="C2124" s="3">
        <v>46141</v>
      </c>
      <c r="D2124" t="s">
        <v>27</v>
      </c>
      <c r="E2124" t="s">
        <v>2255</v>
      </c>
      <c r="F2124" t="s">
        <v>239</v>
      </c>
      <c r="G2124" t="s">
        <v>72</v>
      </c>
      <c r="H2124" t="s">
        <v>59</v>
      </c>
      <c r="I2124" t="s">
        <v>63</v>
      </c>
      <c r="J2124" t="s">
        <v>63</v>
      </c>
      <c r="K2124" t="s">
        <v>64</v>
      </c>
      <c r="L2124" t="s">
        <v>212</v>
      </c>
      <c r="M2124" t="s">
        <v>213</v>
      </c>
      <c r="N2124">
        <v>13.5</v>
      </c>
      <c r="O2124">
        <v>14.2857142857143</v>
      </c>
      <c r="P2124">
        <v>52.775</v>
      </c>
      <c r="Q2124">
        <v>67.0607142857143</v>
      </c>
      <c r="R2124">
        <v>0</v>
      </c>
      <c r="S2124">
        <v>67.0607142857143</v>
      </c>
      <c r="T2124">
        <v>82</v>
      </c>
      <c r="U2124">
        <f>SUMIF(货件明细!J:J,E2124,货件明细!AP:AP)</f>
        <v>0</v>
      </c>
      <c r="V2124">
        <f>IF(U2124=T2124,0,1)</f>
        <v>1</v>
      </c>
      <c r="W2124">
        <f>T2124</f>
        <v>82</v>
      </c>
      <c r="X2124">
        <f>SUMIF(货件明细!J:J,E2124,货件明细!H:H)</f>
        <v>0</v>
      </c>
      <c r="Y2124">
        <f>N2124-X2124</f>
        <v>13.5</v>
      </c>
      <c r="Z2124">
        <f>SUMIF(货件明细!J:J,E2124,货件明细!I:I)</f>
        <v>0</v>
      </c>
      <c r="AA2124">
        <f>IF(S2124=Z2124,0,1)</f>
        <v>1</v>
      </c>
    </row>
    <row r="2125" hidden="1" spans="1:27">
      <c r="A2125">
        <v>4</v>
      </c>
      <c r="B2125">
        <v>18</v>
      </c>
      <c r="C2125" s="3">
        <v>46141</v>
      </c>
      <c r="D2125" t="s">
        <v>27</v>
      </c>
      <c r="E2125" t="s">
        <v>2256</v>
      </c>
      <c r="F2125" t="s">
        <v>74</v>
      </c>
      <c r="G2125" t="s">
        <v>30</v>
      </c>
      <c r="H2125" t="s">
        <v>78</v>
      </c>
      <c r="I2125" t="s">
        <v>63</v>
      </c>
      <c r="J2125" t="s">
        <v>63</v>
      </c>
      <c r="K2125" t="s">
        <v>64</v>
      </c>
      <c r="L2125" t="s">
        <v>212</v>
      </c>
      <c r="M2125" t="s">
        <v>213</v>
      </c>
      <c r="N2125">
        <v>37.8</v>
      </c>
      <c r="O2125">
        <v>14.2857142857143</v>
      </c>
      <c r="P2125">
        <v>214.37</v>
      </c>
      <c r="Q2125">
        <v>228.655714285714</v>
      </c>
      <c r="R2125">
        <v>0</v>
      </c>
      <c r="S2125">
        <v>228.655714285714</v>
      </c>
      <c r="T2125">
        <v>186</v>
      </c>
      <c r="U2125">
        <f>SUMIF(货件明细!J:J,E2125,货件明细!AP:AP)</f>
        <v>0</v>
      </c>
      <c r="V2125">
        <f>IF(U2125=T2125,0,1)</f>
        <v>1</v>
      </c>
      <c r="W2125">
        <f>T2125</f>
        <v>186</v>
      </c>
      <c r="X2125">
        <f>SUMIF(货件明细!J:J,E2125,货件明细!H:H)</f>
        <v>0</v>
      </c>
      <c r="Y2125">
        <f>N2125-X2125</f>
        <v>37.8</v>
      </c>
      <c r="Z2125">
        <f>SUMIF(货件明细!J:J,E2125,货件明细!I:I)</f>
        <v>0</v>
      </c>
      <c r="AA2125">
        <f>IF(S2125=Z2125,0,1)</f>
        <v>1</v>
      </c>
    </row>
    <row r="2126" hidden="1" spans="1:27">
      <c r="A2126">
        <v>4</v>
      </c>
      <c r="B2126">
        <v>18</v>
      </c>
      <c r="C2126" s="3">
        <v>46141</v>
      </c>
      <c r="D2126" t="s">
        <v>27</v>
      </c>
      <c r="E2126" t="s">
        <v>2257</v>
      </c>
      <c r="F2126" t="s">
        <v>71</v>
      </c>
      <c r="G2126" t="s">
        <v>72</v>
      </c>
      <c r="H2126" t="s">
        <v>78</v>
      </c>
      <c r="I2126" t="s">
        <v>63</v>
      </c>
      <c r="J2126" t="s">
        <v>63</v>
      </c>
      <c r="K2126" t="s">
        <v>64</v>
      </c>
      <c r="L2126" t="s">
        <v>212</v>
      </c>
      <c r="M2126" t="s">
        <v>213</v>
      </c>
      <c r="N2126">
        <v>37.8</v>
      </c>
      <c r="O2126">
        <v>14.2857142857143</v>
      </c>
      <c r="P2126">
        <v>137.215</v>
      </c>
      <c r="Q2126">
        <v>151.500714285714</v>
      </c>
      <c r="R2126">
        <v>0</v>
      </c>
      <c r="S2126">
        <v>151.500714285714</v>
      </c>
      <c r="T2126">
        <v>186</v>
      </c>
      <c r="U2126">
        <f>SUMIF(货件明细!J:J,E2126,货件明细!AP:AP)</f>
        <v>0</v>
      </c>
      <c r="V2126">
        <f>IF(U2126=T2126,0,1)</f>
        <v>1</v>
      </c>
      <c r="W2126">
        <f>T2126</f>
        <v>186</v>
      </c>
      <c r="X2126">
        <f>SUMIF(货件明细!J:J,E2126,货件明细!H:H)</f>
        <v>0</v>
      </c>
      <c r="Y2126">
        <f>N2126-X2126</f>
        <v>37.8</v>
      </c>
      <c r="Z2126">
        <f>SUMIF(货件明细!J:J,E2126,货件明细!I:I)</f>
        <v>0</v>
      </c>
      <c r="AA2126">
        <f>IF(S2126=Z2126,0,1)</f>
        <v>1</v>
      </c>
    </row>
    <row r="2127" hidden="1" spans="1:27">
      <c r="A2127">
        <v>4</v>
      </c>
      <c r="B2127">
        <v>18</v>
      </c>
      <c r="C2127" s="3">
        <v>46141</v>
      </c>
      <c r="D2127" t="s">
        <v>27</v>
      </c>
      <c r="E2127" t="s">
        <v>2258</v>
      </c>
      <c r="F2127" t="s">
        <v>239</v>
      </c>
      <c r="G2127" t="s">
        <v>72</v>
      </c>
      <c r="H2127" t="s">
        <v>78</v>
      </c>
      <c r="I2127" t="s">
        <v>63</v>
      </c>
      <c r="J2127" t="s">
        <v>63</v>
      </c>
      <c r="K2127" t="s">
        <v>64</v>
      </c>
      <c r="L2127" t="s">
        <v>212</v>
      </c>
      <c r="M2127" t="s">
        <v>213</v>
      </c>
      <c r="N2127">
        <v>37.8</v>
      </c>
      <c r="O2127">
        <v>14.2857142857143</v>
      </c>
      <c r="P2127">
        <v>137.215</v>
      </c>
      <c r="Q2127">
        <v>151.500714285714</v>
      </c>
      <c r="R2127">
        <v>0</v>
      </c>
      <c r="S2127">
        <v>151.500714285714</v>
      </c>
      <c r="T2127">
        <v>186</v>
      </c>
      <c r="U2127">
        <f>SUMIF(货件明细!J:J,E2127,货件明细!AP:AP)</f>
        <v>0</v>
      </c>
      <c r="V2127">
        <f>IF(U2127=T2127,0,1)</f>
        <v>1</v>
      </c>
      <c r="W2127">
        <f>T2127</f>
        <v>186</v>
      </c>
      <c r="X2127">
        <f>SUMIF(货件明细!J:J,E2127,货件明细!H:H)</f>
        <v>0</v>
      </c>
      <c r="Y2127">
        <f>N2127-X2127</f>
        <v>37.8</v>
      </c>
      <c r="Z2127">
        <f>SUMIF(货件明细!J:J,E2127,货件明细!I:I)</f>
        <v>0</v>
      </c>
      <c r="AA2127">
        <f>IF(S2127=Z2127,0,1)</f>
        <v>1</v>
      </c>
    </row>
    <row r="2128" hidden="1" spans="1:27">
      <c r="A2128">
        <v>4</v>
      </c>
      <c r="B2128">
        <v>18</v>
      </c>
      <c r="C2128" s="3">
        <v>46141</v>
      </c>
      <c r="D2128" t="s">
        <v>27</v>
      </c>
      <c r="E2128" t="s">
        <v>2259</v>
      </c>
      <c r="F2128" t="s">
        <v>187</v>
      </c>
      <c r="G2128" t="s">
        <v>72</v>
      </c>
      <c r="H2128" t="s">
        <v>78</v>
      </c>
      <c r="I2128" t="s">
        <v>63</v>
      </c>
      <c r="J2128" t="s">
        <v>63</v>
      </c>
      <c r="K2128" t="s">
        <v>64</v>
      </c>
      <c r="L2128" t="s">
        <v>212</v>
      </c>
      <c r="M2128" t="s">
        <v>213</v>
      </c>
      <c r="N2128">
        <v>37.8</v>
      </c>
      <c r="O2128">
        <v>14.2857142857143</v>
      </c>
      <c r="P2128">
        <v>125.19</v>
      </c>
      <c r="Q2128">
        <v>139.475714285714</v>
      </c>
      <c r="R2128">
        <v>0</v>
      </c>
      <c r="S2128">
        <v>139.475714285714</v>
      </c>
      <c r="T2128">
        <v>186</v>
      </c>
      <c r="U2128">
        <f>SUMIF(货件明细!J:J,E2128,货件明细!AP:AP)</f>
        <v>0</v>
      </c>
      <c r="V2128">
        <f>IF(U2128=T2128,0,1)</f>
        <v>1</v>
      </c>
      <c r="W2128">
        <f>T2128</f>
        <v>186</v>
      </c>
      <c r="X2128">
        <f>SUMIF(货件明细!J:J,E2128,货件明细!H:H)</f>
        <v>0</v>
      </c>
      <c r="Y2128">
        <f>N2128-X2128</f>
        <v>37.8</v>
      </c>
      <c r="Z2128">
        <f>SUMIF(货件明细!J:J,E2128,货件明细!I:I)</f>
        <v>0</v>
      </c>
      <c r="AA2128">
        <f>IF(S2128=Z2128,0,1)</f>
        <v>1</v>
      </c>
    </row>
    <row r="2129" hidden="1" spans="1:27">
      <c r="A2129">
        <v>4</v>
      </c>
      <c r="B2129">
        <v>18</v>
      </c>
      <c r="C2129" s="3">
        <v>46141</v>
      </c>
      <c r="D2129" t="s">
        <v>27</v>
      </c>
      <c r="E2129" t="s">
        <v>2260</v>
      </c>
      <c r="F2129" t="s">
        <v>198</v>
      </c>
      <c r="G2129" t="s">
        <v>69</v>
      </c>
      <c r="H2129" t="s">
        <v>78</v>
      </c>
      <c r="I2129" t="s">
        <v>63</v>
      </c>
      <c r="J2129" t="s">
        <v>63</v>
      </c>
      <c r="K2129" t="s">
        <v>64</v>
      </c>
      <c r="L2129" t="s">
        <v>212</v>
      </c>
      <c r="M2129" t="s">
        <v>213</v>
      </c>
      <c r="N2129">
        <v>37.8</v>
      </c>
      <c r="O2129">
        <v>14.2857142857143</v>
      </c>
      <c r="P2129">
        <v>183.105</v>
      </c>
      <c r="Q2129">
        <v>197.390714285714</v>
      </c>
      <c r="R2129">
        <v>0</v>
      </c>
      <c r="S2129">
        <v>197.390714285714</v>
      </c>
      <c r="T2129">
        <v>186</v>
      </c>
      <c r="U2129">
        <f>SUMIF(货件明细!J:J,E2129,货件明细!AP:AP)</f>
        <v>0</v>
      </c>
      <c r="V2129">
        <f>IF(U2129=T2129,0,1)</f>
        <v>1</v>
      </c>
      <c r="W2129">
        <f>T2129</f>
        <v>186</v>
      </c>
      <c r="X2129">
        <f>SUMIF(货件明细!J:J,E2129,货件明细!H:H)</f>
        <v>0</v>
      </c>
      <c r="Y2129">
        <f>N2129-X2129</f>
        <v>37.8</v>
      </c>
      <c r="Z2129">
        <f>SUMIF(货件明细!J:J,E2129,货件明细!I:I)</f>
        <v>0</v>
      </c>
      <c r="AA2129">
        <f>IF(S2129=Z2129,0,1)</f>
        <v>1</v>
      </c>
    </row>
    <row r="2130" hidden="1" spans="1:27">
      <c r="A2130">
        <v>4</v>
      </c>
      <c r="B2130">
        <v>18</v>
      </c>
      <c r="C2130" s="3">
        <v>46141</v>
      </c>
      <c r="D2130" t="s">
        <v>27</v>
      </c>
      <c r="E2130" t="s">
        <v>2261</v>
      </c>
      <c r="F2130" t="s">
        <v>187</v>
      </c>
      <c r="G2130" t="s">
        <v>72</v>
      </c>
      <c r="H2130" t="s">
        <v>39</v>
      </c>
      <c r="I2130" t="s">
        <v>63</v>
      </c>
      <c r="J2130" t="s">
        <v>63</v>
      </c>
      <c r="K2130" t="s">
        <v>64</v>
      </c>
      <c r="L2130" t="s">
        <v>212</v>
      </c>
      <c r="M2130" t="s">
        <v>213</v>
      </c>
      <c r="N2130">
        <v>32.9</v>
      </c>
      <c r="O2130">
        <v>14.2857142857143</v>
      </c>
      <c r="P2130">
        <v>115.56</v>
      </c>
      <c r="Q2130">
        <v>129.845714285714</v>
      </c>
      <c r="R2130">
        <v>0</v>
      </c>
      <c r="S2130">
        <v>129.845714285714</v>
      </c>
      <c r="T2130">
        <v>82</v>
      </c>
      <c r="U2130">
        <f>SUMIF(货件明细!J:J,E2130,货件明细!AP:AP)</f>
        <v>0</v>
      </c>
      <c r="V2130">
        <f>IF(U2130=T2130,0,1)</f>
        <v>1</v>
      </c>
      <c r="W2130">
        <f>T2130</f>
        <v>82</v>
      </c>
      <c r="X2130">
        <f>SUMIF(货件明细!J:J,E2130,货件明细!H:H)</f>
        <v>0</v>
      </c>
      <c r="Y2130">
        <f>N2130-X2130</f>
        <v>32.9</v>
      </c>
      <c r="Z2130">
        <f>SUMIF(货件明细!J:J,E2130,货件明细!I:I)</f>
        <v>0</v>
      </c>
      <c r="AA2130">
        <f>IF(S2130=Z2130,0,1)</f>
        <v>1</v>
      </c>
    </row>
    <row r="2131" hidden="1" spans="1:27">
      <c r="A2131">
        <v>4</v>
      </c>
      <c r="B2131">
        <v>18</v>
      </c>
      <c r="C2131" s="3">
        <v>46141</v>
      </c>
      <c r="D2131" t="s">
        <v>27</v>
      </c>
      <c r="E2131" t="s">
        <v>2262</v>
      </c>
      <c r="F2131" t="s">
        <v>74</v>
      </c>
      <c r="G2131" t="s">
        <v>30</v>
      </c>
      <c r="H2131" t="s">
        <v>39</v>
      </c>
      <c r="I2131" t="s">
        <v>63</v>
      </c>
      <c r="J2131" t="s">
        <v>63</v>
      </c>
      <c r="K2131" t="s">
        <v>64</v>
      </c>
      <c r="L2131" t="s">
        <v>212</v>
      </c>
      <c r="M2131" t="s">
        <v>213</v>
      </c>
      <c r="N2131">
        <v>32.9</v>
      </c>
      <c r="O2131">
        <v>14.2857142857143</v>
      </c>
      <c r="P2131">
        <v>197.88</v>
      </c>
      <c r="Q2131">
        <v>212.165714285714</v>
      </c>
      <c r="R2131">
        <v>0</v>
      </c>
      <c r="S2131">
        <v>212.165714285714</v>
      </c>
      <c r="T2131">
        <v>82</v>
      </c>
      <c r="U2131">
        <f>SUMIF(货件明细!J:J,E2131,货件明细!AP:AP)</f>
        <v>0</v>
      </c>
      <c r="V2131">
        <f>IF(U2131=T2131,0,1)</f>
        <v>1</v>
      </c>
      <c r="W2131">
        <f>T2131</f>
        <v>82</v>
      </c>
      <c r="X2131">
        <f>SUMIF(货件明细!J:J,E2131,货件明细!H:H)</f>
        <v>0</v>
      </c>
      <c r="Y2131">
        <f>N2131-X2131</f>
        <v>32.9</v>
      </c>
      <c r="Z2131">
        <f>SUMIF(货件明细!J:J,E2131,货件明细!I:I)</f>
        <v>0</v>
      </c>
      <c r="AA2131">
        <f>IF(S2131=Z2131,0,1)</f>
        <v>1</v>
      </c>
    </row>
    <row r="2132" hidden="1" spans="1:27">
      <c r="A2132">
        <v>4</v>
      </c>
      <c r="B2132">
        <v>18</v>
      </c>
      <c r="C2132" s="3">
        <v>46141</v>
      </c>
      <c r="D2132" t="s">
        <v>27</v>
      </c>
      <c r="E2132" t="s">
        <v>2263</v>
      </c>
      <c r="F2132" t="s">
        <v>239</v>
      </c>
      <c r="G2132" t="s">
        <v>72</v>
      </c>
      <c r="H2132" t="s">
        <v>39</v>
      </c>
      <c r="I2132" t="s">
        <v>63</v>
      </c>
      <c r="J2132" t="s">
        <v>63</v>
      </c>
      <c r="K2132" t="s">
        <v>64</v>
      </c>
      <c r="L2132" t="s">
        <v>212</v>
      </c>
      <c r="M2132" t="s">
        <v>213</v>
      </c>
      <c r="N2132">
        <v>32.9</v>
      </c>
      <c r="O2132">
        <v>14.2857142857143</v>
      </c>
      <c r="P2132">
        <v>126.66</v>
      </c>
      <c r="Q2132">
        <v>140.945714285714</v>
      </c>
      <c r="R2132">
        <v>0</v>
      </c>
      <c r="S2132">
        <v>140.945714285714</v>
      </c>
      <c r="T2132">
        <v>82</v>
      </c>
      <c r="U2132">
        <f>SUMIF(货件明细!J:J,E2132,货件明细!AP:AP)</f>
        <v>0</v>
      </c>
      <c r="V2132">
        <f>IF(U2132=T2132,0,1)</f>
        <v>1</v>
      </c>
      <c r="W2132">
        <f>T2132</f>
        <v>82</v>
      </c>
      <c r="X2132">
        <f>SUMIF(货件明细!J:J,E2132,货件明细!H:H)</f>
        <v>0</v>
      </c>
      <c r="Y2132">
        <f>N2132-X2132</f>
        <v>32.9</v>
      </c>
      <c r="Z2132">
        <f>SUMIF(货件明细!J:J,E2132,货件明细!I:I)</f>
        <v>0</v>
      </c>
      <c r="AA2132">
        <f>IF(S2132=Z2132,0,1)</f>
        <v>1</v>
      </c>
    </row>
    <row r="2133" hidden="1" spans="1:27">
      <c r="A2133">
        <v>4</v>
      </c>
      <c r="B2133">
        <v>18</v>
      </c>
      <c r="C2133" s="3">
        <v>46141</v>
      </c>
      <c r="D2133" t="s">
        <v>27</v>
      </c>
      <c r="E2133" t="s">
        <v>2264</v>
      </c>
      <c r="F2133" t="s">
        <v>198</v>
      </c>
      <c r="G2133" t="s">
        <v>69</v>
      </c>
      <c r="H2133" t="s">
        <v>39</v>
      </c>
      <c r="I2133" t="s">
        <v>63</v>
      </c>
      <c r="J2133" t="s">
        <v>63</v>
      </c>
      <c r="K2133" t="s">
        <v>64</v>
      </c>
      <c r="L2133" t="s">
        <v>212</v>
      </c>
      <c r="M2133" t="s">
        <v>213</v>
      </c>
      <c r="N2133">
        <v>32.9</v>
      </c>
      <c r="O2133">
        <v>14.2857142857143</v>
      </c>
      <c r="P2133">
        <v>169.02</v>
      </c>
      <c r="Q2133">
        <v>183.305714285714</v>
      </c>
      <c r="R2133">
        <v>0</v>
      </c>
      <c r="S2133">
        <v>183.305714285714</v>
      </c>
      <c r="T2133">
        <v>82</v>
      </c>
      <c r="U2133">
        <f>SUMIF(货件明细!J:J,E2133,货件明细!AP:AP)</f>
        <v>0</v>
      </c>
      <c r="V2133">
        <f>IF(U2133=T2133,0,1)</f>
        <v>1</v>
      </c>
      <c r="W2133">
        <f>T2133</f>
        <v>82</v>
      </c>
      <c r="X2133">
        <f>SUMIF(货件明细!J:J,E2133,货件明细!H:H)</f>
        <v>0</v>
      </c>
      <c r="Y2133">
        <f>N2133-X2133</f>
        <v>32.9</v>
      </c>
      <c r="Z2133">
        <f>SUMIF(货件明细!J:J,E2133,货件明细!I:I)</f>
        <v>0</v>
      </c>
      <c r="AA2133">
        <f>IF(S2133=Z2133,0,1)</f>
        <v>1</v>
      </c>
    </row>
    <row r="2134" hidden="1" spans="1:27">
      <c r="A2134">
        <v>4</v>
      </c>
      <c r="B2134">
        <v>18</v>
      </c>
      <c r="C2134" s="3">
        <v>46141</v>
      </c>
      <c r="D2134" t="s">
        <v>27</v>
      </c>
      <c r="E2134" t="s">
        <v>2265</v>
      </c>
      <c r="F2134" t="s">
        <v>71</v>
      </c>
      <c r="G2134" t="s">
        <v>72</v>
      </c>
      <c r="H2134" t="s">
        <v>39</v>
      </c>
      <c r="I2134" t="s">
        <v>63</v>
      </c>
      <c r="J2134" t="s">
        <v>63</v>
      </c>
      <c r="K2134" t="s">
        <v>64</v>
      </c>
      <c r="L2134" t="s">
        <v>212</v>
      </c>
      <c r="M2134" t="s">
        <v>213</v>
      </c>
      <c r="N2134">
        <v>32.9</v>
      </c>
      <c r="O2134">
        <v>14.2857142857143</v>
      </c>
      <c r="P2134">
        <v>126.66</v>
      </c>
      <c r="Q2134">
        <v>140.945714285714</v>
      </c>
      <c r="R2134">
        <v>0</v>
      </c>
      <c r="S2134">
        <v>140.945714285714</v>
      </c>
      <c r="T2134">
        <v>82</v>
      </c>
      <c r="U2134">
        <f>SUMIF(货件明细!J:J,E2134,货件明细!AP:AP)</f>
        <v>0</v>
      </c>
      <c r="V2134">
        <f>IF(U2134=T2134,0,1)</f>
        <v>1</v>
      </c>
      <c r="W2134">
        <f>T2134</f>
        <v>82</v>
      </c>
      <c r="X2134">
        <f>SUMIF(货件明细!J:J,E2134,货件明细!H:H)</f>
        <v>0</v>
      </c>
      <c r="Y2134">
        <f>N2134-X2134</f>
        <v>32.9</v>
      </c>
      <c r="Z2134">
        <f>SUMIF(货件明细!J:J,E2134,货件明细!I:I)</f>
        <v>0</v>
      </c>
      <c r="AA2134">
        <f>IF(S2134=Z2134,0,1)</f>
        <v>1</v>
      </c>
    </row>
    <row r="2135" hidden="1" spans="1:27">
      <c r="A2135">
        <v>4</v>
      </c>
      <c r="B2135">
        <v>18</v>
      </c>
      <c r="C2135" s="3">
        <v>46141</v>
      </c>
      <c r="D2135" t="s">
        <v>27</v>
      </c>
      <c r="E2135" t="s">
        <v>2266</v>
      </c>
      <c r="F2135" t="s">
        <v>195</v>
      </c>
      <c r="G2135" t="s">
        <v>30</v>
      </c>
      <c r="H2135" t="s">
        <v>37</v>
      </c>
      <c r="I2135" t="s">
        <v>63</v>
      </c>
      <c r="J2135" t="s">
        <v>2115</v>
      </c>
      <c r="K2135" t="s">
        <v>64</v>
      </c>
      <c r="L2135" t="s">
        <v>65</v>
      </c>
      <c r="M2135" t="s">
        <v>1235</v>
      </c>
      <c r="N2135">
        <v>65.65</v>
      </c>
      <c r="O2135">
        <v>8.33333333333333</v>
      </c>
      <c r="P2135">
        <v>403.7</v>
      </c>
      <c r="Q2135">
        <v>412.033333333333</v>
      </c>
      <c r="R2135">
        <v>0</v>
      </c>
      <c r="S2135">
        <v>412.033333333333</v>
      </c>
      <c r="T2135">
        <v>543</v>
      </c>
      <c r="U2135">
        <f>SUMIF(货件明细!J:J,E2135,货件明细!AP:AP)</f>
        <v>0</v>
      </c>
      <c r="V2135">
        <f>IF(U2135=T2135,0,1)</f>
        <v>1</v>
      </c>
      <c r="W2135">
        <f>T2135</f>
        <v>543</v>
      </c>
      <c r="X2135">
        <f>SUMIF(货件明细!J:J,E2135,货件明细!H:H)</f>
        <v>0</v>
      </c>
      <c r="Y2135">
        <f>N2135-X2135</f>
        <v>65.65</v>
      </c>
      <c r="Z2135">
        <f>SUMIF(货件明细!J:J,E2135,货件明细!I:I)</f>
        <v>0</v>
      </c>
      <c r="AA2135">
        <f>IF(S2135=Z2135,0,1)</f>
        <v>1</v>
      </c>
    </row>
    <row r="2136" hidden="1" spans="1:27">
      <c r="A2136">
        <v>4</v>
      </c>
      <c r="B2136">
        <v>18</v>
      </c>
      <c r="C2136" s="3">
        <v>46141</v>
      </c>
      <c r="D2136" t="s">
        <v>27</v>
      </c>
      <c r="E2136" t="s">
        <v>2267</v>
      </c>
      <c r="F2136" t="s">
        <v>243</v>
      </c>
      <c r="G2136" t="s">
        <v>72</v>
      </c>
      <c r="H2136" t="s">
        <v>37</v>
      </c>
      <c r="I2136" t="s">
        <v>63</v>
      </c>
      <c r="J2136" t="s">
        <v>146</v>
      </c>
      <c r="K2136" t="s">
        <v>64</v>
      </c>
      <c r="L2136" t="s">
        <v>147</v>
      </c>
      <c r="M2136" t="s">
        <v>1545</v>
      </c>
      <c r="N2136">
        <v>65.65</v>
      </c>
      <c r="O2136">
        <v>8.82352941176471</v>
      </c>
      <c r="P2136">
        <v>286</v>
      </c>
      <c r="Q2136">
        <v>294.823529411765</v>
      </c>
      <c r="R2136">
        <v>0</v>
      </c>
      <c r="S2136">
        <v>294.823529411765</v>
      </c>
      <c r="T2136">
        <v>543</v>
      </c>
      <c r="U2136">
        <f>SUMIF(货件明细!J:J,E2136,货件明细!AP:AP)</f>
        <v>0</v>
      </c>
      <c r="V2136">
        <f>IF(U2136=T2136,0,1)</f>
        <v>1</v>
      </c>
      <c r="W2136">
        <f>T2136</f>
        <v>543</v>
      </c>
      <c r="X2136">
        <f>SUMIF(货件明细!J:J,E2136,货件明细!H:H)</f>
        <v>0</v>
      </c>
      <c r="Y2136">
        <f>N2136-X2136</f>
        <v>65.65</v>
      </c>
      <c r="Z2136">
        <f>SUMIF(货件明细!J:J,E2136,货件明细!I:I)</f>
        <v>0</v>
      </c>
      <c r="AA2136">
        <f>IF(S2136=Z2136,0,1)</f>
        <v>1</v>
      </c>
    </row>
    <row r="2137" hidden="1" spans="1:27">
      <c r="A2137">
        <v>4</v>
      </c>
      <c r="B2137">
        <v>18</v>
      </c>
      <c r="C2137" s="3">
        <v>46141</v>
      </c>
      <c r="D2137" t="s">
        <v>27</v>
      </c>
      <c r="E2137" t="s">
        <v>2268</v>
      </c>
      <c r="F2137" t="s">
        <v>250</v>
      </c>
      <c r="G2137" t="s">
        <v>72</v>
      </c>
      <c r="H2137" t="s">
        <v>37</v>
      </c>
      <c r="I2137" t="s">
        <v>63</v>
      </c>
      <c r="J2137" t="s">
        <v>146</v>
      </c>
      <c r="K2137" t="s">
        <v>64</v>
      </c>
      <c r="L2137" t="s">
        <v>147</v>
      </c>
      <c r="M2137" t="s">
        <v>1545</v>
      </c>
      <c r="N2137">
        <v>65.65</v>
      </c>
      <c r="O2137">
        <v>8.82352941176471</v>
      </c>
      <c r="P2137">
        <v>299</v>
      </c>
      <c r="Q2137">
        <v>307.823529411765</v>
      </c>
      <c r="R2137">
        <v>0</v>
      </c>
      <c r="S2137">
        <v>307.823529411765</v>
      </c>
      <c r="T2137">
        <v>543</v>
      </c>
      <c r="U2137">
        <f>SUMIF(货件明细!J:J,E2137,货件明细!AP:AP)</f>
        <v>0</v>
      </c>
      <c r="V2137">
        <f>IF(U2137=T2137,0,1)</f>
        <v>1</v>
      </c>
      <c r="W2137">
        <f>T2137</f>
        <v>543</v>
      </c>
      <c r="X2137">
        <f>SUMIF(货件明细!J:J,E2137,货件明细!H:H)</f>
        <v>0</v>
      </c>
      <c r="Y2137">
        <f>N2137-X2137</f>
        <v>65.65</v>
      </c>
      <c r="Z2137">
        <f>SUMIF(货件明细!J:J,E2137,货件明细!I:I)</f>
        <v>0</v>
      </c>
      <c r="AA2137">
        <f>IF(S2137=Z2137,0,1)</f>
        <v>1</v>
      </c>
    </row>
    <row r="2138" hidden="1" spans="1:27">
      <c r="A2138">
        <v>4</v>
      </c>
      <c r="B2138">
        <v>18</v>
      </c>
      <c r="C2138" s="3">
        <v>46141</v>
      </c>
      <c r="D2138" t="s">
        <v>27</v>
      </c>
      <c r="E2138" t="s">
        <v>2269</v>
      </c>
      <c r="F2138" t="s">
        <v>200</v>
      </c>
      <c r="G2138" t="s">
        <v>30</v>
      </c>
      <c r="H2138" t="s">
        <v>37</v>
      </c>
      <c r="I2138" t="s">
        <v>63</v>
      </c>
      <c r="J2138" t="s">
        <v>2115</v>
      </c>
      <c r="K2138" t="s">
        <v>64</v>
      </c>
      <c r="L2138" t="s">
        <v>65</v>
      </c>
      <c r="M2138" t="s">
        <v>1235</v>
      </c>
      <c r="N2138">
        <v>65.65</v>
      </c>
      <c r="O2138">
        <v>8.33333333333333</v>
      </c>
      <c r="P2138">
        <v>360</v>
      </c>
      <c r="Q2138">
        <v>368.333333333333</v>
      </c>
      <c r="R2138">
        <v>0</v>
      </c>
      <c r="S2138">
        <v>368.333333333333</v>
      </c>
      <c r="T2138">
        <v>543</v>
      </c>
      <c r="U2138">
        <f>SUMIF(货件明细!J:J,E2138,货件明细!AP:AP)</f>
        <v>0</v>
      </c>
      <c r="V2138">
        <f>IF(U2138=T2138,0,1)</f>
        <v>1</v>
      </c>
      <c r="W2138">
        <f>T2138</f>
        <v>543</v>
      </c>
      <c r="X2138">
        <f>SUMIF(货件明细!J:J,E2138,货件明细!H:H)</f>
        <v>0</v>
      </c>
      <c r="Y2138">
        <f>N2138-X2138</f>
        <v>65.65</v>
      </c>
      <c r="Z2138">
        <f>SUMIF(货件明细!J:J,E2138,货件明细!I:I)</f>
        <v>0</v>
      </c>
      <c r="AA2138">
        <f>IF(S2138=Z2138,0,1)</f>
        <v>1</v>
      </c>
    </row>
    <row r="2139" hidden="1" spans="1:27">
      <c r="A2139">
        <v>4</v>
      </c>
      <c r="B2139">
        <v>18</v>
      </c>
      <c r="C2139" s="3">
        <v>46141</v>
      </c>
      <c r="D2139" t="s">
        <v>27</v>
      </c>
      <c r="E2139" t="s">
        <v>2270</v>
      </c>
      <c r="F2139" t="s">
        <v>76</v>
      </c>
      <c r="G2139" t="s">
        <v>72</v>
      </c>
      <c r="H2139" t="s">
        <v>37</v>
      </c>
      <c r="I2139" t="s">
        <v>63</v>
      </c>
      <c r="J2139" t="s">
        <v>146</v>
      </c>
      <c r="K2139" t="s">
        <v>64</v>
      </c>
      <c r="L2139" t="s">
        <v>147</v>
      </c>
      <c r="M2139" t="s">
        <v>1545</v>
      </c>
      <c r="N2139">
        <v>65.65</v>
      </c>
      <c r="O2139">
        <v>8.82352941176471</v>
      </c>
      <c r="P2139">
        <v>259.6</v>
      </c>
      <c r="Q2139">
        <v>268.423529411765</v>
      </c>
      <c r="R2139">
        <v>0</v>
      </c>
      <c r="S2139">
        <v>268.423529411765</v>
      </c>
      <c r="T2139">
        <v>544</v>
      </c>
      <c r="U2139">
        <f>SUMIF(货件明细!J:J,E2139,货件明细!AP:AP)</f>
        <v>0</v>
      </c>
      <c r="V2139">
        <f>IF(U2139=T2139,0,1)</f>
        <v>1</v>
      </c>
      <c r="W2139">
        <f>T2139</f>
        <v>544</v>
      </c>
      <c r="X2139">
        <f>SUMIF(货件明细!J:J,E2139,货件明细!H:H)</f>
        <v>0</v>
      </c>
      <c r="Y2139">
        <f>N2139-X2139</f>
        <v>65.65</v>
      </c>
      <c r="Z2139">
        <f>SUMIF(货件明细!J:J,E2139,货件明细!I:I)</f>
        <v>0</v>
      </c>
      <c r="AA2139">
        <f>IF(S2139=Z2139,0,1)</f>
        <v>1</v>
      </c>
    </row>
    <row r="2140" hidden="1" spans="1:27">
      <c r="A2140">
        <v>4</v>
      </c>
      <c r="B2140">
        <v>18</v>
      </c>
      <c r="C2140" s="3">
        <v>46141</v>
      </c>
      <c r="D2140" t="s">
        <v>27</v>
      </c>
      <c r="E2140" t="s">
        <v>2271</v>
      </c>
      <c r="F2140" t="s">
        <v>239</v>
      </c>
      <c r="G2140" t="s">
        <v>72</v>
      </c>
      <c r="H2140" t="s">
        <v>56</v>
      </c>
      <c r="I2140" t="s">
        <v>63</v>
      </c>
      <c r="J2140" t="s">
        <v>63</v>
      </c>
      <c r="K2140" t="s">
        <v>64</v>
      </c>
      <c r="L2140" t="s">
        <v>212</v>
      </c>
      <c r="M2140" t="s">
        <v>213</v>
      </c>
      <c r="N2140">
        <v>12.15</v>
      </c>
      <c r="O2140">
        <v>14.2857142857143</v>
      </c>
      <c r="P2140">
        <v>52.775</v>
      </c>
      <c r="Q2140">
        <v>67.0607142857143</v>
      </c>
      <c r="R2140">
        <v>0</v>
      </c>
      <c r="S2140">
        <v>67.0607142857143</v>
      </c>
      <c r="T2140">
        <v>76</v>
      </c>
      <c r="U2140">
        <f>SUMIF(货件明细!J:J,E2140,货件明细!AP:AP)</f>
        <v>0</v>
      </c>
      <c r="V2140">
        <f>IF(U2140=T2140,0,1)</f>
        <v>1</v>
      </c>
      <c r="W2140">
        <f>T2140</f>
        <v>76</v>
      </c>
      <c r="X2140">
        <f>SUMIF(货件明细!J:J,E2140,货件明细!H:H)</f>
        <v>0</v>
      </c>
      <c r="Y2140">
        <f>N2140-X2140</f>
        <v>12.15</v>
      </c>
      <c r="Z2140">
        <f>SUMIF(货件明细!J:J,E2140,货件明细!I:I)</f>
        <v>0</v>
      </c>
      <c r="AA2140">
        <f>IF(S2140=Z2140,0,1)</f>
        <v>1</v>
      </c>
    </row>
    <row r="2141" hidden="1" spans="1:27">
      <c r="A2141">
        <v>4</v>
      </c>
      <c r="B2141">
        <v>18</v>
      </c>
      <c r="C2141" s="3">
        <v>46141</v>
      </c>
      <c r="D2141" t="s">
        <v>27</v>
      </c>
      <c r="E2141" t="s">
        <v>2272</v>
      </c>
      <c r="F2141" t="s">
        <v>198</v>
      </c>
      <c r="G2141" t="s">
        <v>69</v>
      </c>
      <c r="H2141" t="s">
        <v>56</v>
      </c>
      <c r="I2141" t="s">
        <v>63</v>
      </c>
      <c r="J2141" t="s">
        <v>63</v>
      </c>
      <c r="K2141" t="s">
        <v>64</v>
      </c>
      <c r="L2141" t="s">
        <v>212</v>
      </c>
      <c r="M2141" t="s">
        <v>213</v>
      </c>
      <c r="N2141">
        <v>12.15</v>
      </c>
      <c r="O2141">
        <v>14.2857142857143</v>
      </c>
      <c r="P2141">
        <v>70.425</v>
      </c>
      <c r="Q2141">
        <v>84.7107142857143</v>
      </c>
      <c r="R2141">
        <v>0</v>
      </c>
      <c r="S2141">
        <v>84.7107142857143</v>
      </c>
      <c r="T2141">
        <v>76</v>
      </c>
      <c r="U2141">
        <f>SUMIF(货件明细!J:J,E2141,货件明细!AP:AP)</f>
        <v>0</v>
      </c>
      <c r="V2141">
        <f>IF(U2141=T2141,0,1)</f>
        <v>1</v>
      </c>
      <c r="W2141">
        <f>T2141</f>
        <v>76</v>
      </c>
      <c r="X2141">
        <f>SUMIF(货件明细!J:J,E2141,货件明细!H:H)</f>
        <v>0</v>
      </c>
      <c r="Y2141">
        <f>N2141-X2141</f>
        <v>12.15</v>
      </c>
      <c r="Z2141">
        <f>SUMIF(货件明细!J:J,E2141,货件明细!I:I)</f>
        <v>0</v>
      </c>
      <c r="AA2141">
        <f>IF(S2141=Z2141,0,1)</f>
        <v>1</v>
      </c>
    </row>
    <row r="2142" hidden="1" spans="1:27">
      <c r="A2142">
        <v>4</v>
      </c>
      <c r="B2142">
        <v>18</v>
      </c>
      <c r="C2142" s="3">
        <v>46141</v>
      </c>
      <c r="D2142" t="s">
        <v>27</v>
      </c>
      <c r="E2142" t="s">
        <v>2273</v>
      </c>
      <c r="F2142" t="s">
        <v>71</v>
      </c>
      <c r="G2142" t="s">
        <v>72</v>
      </c>
      <c r="H2142" t="s">
        <v>56</v>
      </c>
      <c r="I2142" t="s">
        <v>63</v>
      </c>
      <c r="J2142" t="s">
        <v>63</v>
      </c>
      <c r="K2142" t="s">
        <v>64</v>
      </c>
      <c r="L2142" t="s">
        <v>212</v>
      </c>
      <c r="M2142" t="s">
        <v>213</v>
      </c>
      <c r="N2142">
        <v>12.15</v>
      </c>
      <c r="O2142">
        <v>14.2857142857143</v>
      </c>
      <c r="P2142">
        <v>52.775</v>
      </c>
      <c r="Q2142">
        <v>67.0607142857143</v>
      </c>
      <c r="R2142">
        <v>0</v>
      </c>
      <c r="S2142">
        <v>67.0607142857143</v>
      </c>
      <c r="T2142">
        <v>76</v>
      </c>
      <c r="U2142">
        <f>SUMIF(货件明细!J:J,E2142,货件明细!AP:AP)</f>
        <v>0</v>
      </c>
      <c r="V2142">
        <f>IF(U2142=T2142,0,1)</f>
        <v>1</v>
      </c>
      <c r="W2142">
        <f>T2142</f>
        <v>76</v>
      </c>
      <c r="X2142">
        <f>SUMIF(货件明细!J:J,E2142,货件明细!H:H)</f>
        <v>0</v>
      </c>
      <c r="Y2142">
        <f>N2142-X2142</f>
        <v>12.15</v>
      </c>
      <c r="Z2142">
        <f>SUMIF(货件明细!J:J,E2142,货件明细!I:I)</f>
        <v>0</v>
      </c>
      <c r="AA2142">
        <f>IF(S2142=Z2142,0,1)</f>
        <v>1</v>
      </c>
    </row>
    <row r="2143" hidden="1" spans="1:27">
      <c r="A2143">
        <v>4</v>
      </c>
      <c r="B2143">
        <v>18</v>
      </c>
      <c r="C2143" s="3">
        <v>46141</v>
      </c>
      <c r="D2143" t="s">
        <v>27</v>
      </c>
      <c r="E2143" t="s">
        <v>2274</v>
      </c>
      <c r="F2143" t="s">
        <v>74</v>
      </c>
      <c r="G2143" t="s">
        <v>30</v>
      </c>
      <c r="H2143" t="s">
        <v>56</v>
      </c>
      <c r="I2143" t="s">
        <v>63</v>
      </c>
      <c r="J2143" t="s">
        <v>63</v>
      </c>
      <c r="K2143" t="s">
        <v>64</v>
      </c>
      <c r="L2143" t="s">
        <v>212</v>
      </c>
      <c r="M2143" t="s">
        <v>213</v>
      </c>
      <c r="N2143">
        <v>12.15</v>
      </c>
      <c r="O2143">
        <v>14.2857142857143</v>
      </c>
      <c r="P2143">
        <v>82.45</v>
      </c>
      <c r="Q2143">
        <v>96.7357142857143</v>
      </c>
      <c r="R2143">
        <v>0</v>
      </c>
      <c r="S2143">
        <v>96.7357142857143</v>
      </c>
      <c r="T2143">
        <v>76</v>
      </c>
      <c r="U2143">
        <f>SUMIF(货件明细!J:J,E2143,货件明细!AP:AP)</f>
        <v>0</v>
      </c>
      <c r="V2143">
        <f>IF(U2143=T2143,0,1)</f>
        <v>1</v>
      </c>
      <c r="W2143">
        <f>T2143</f>
        <v>76</v>
      </c>
      <c r="X2143">
        <f>SUMIF(货件明细!J:J,E2143,货件明细!H:H)</f>
        <v>0</v>
      </c>
      <c r="Y2143">
        <f>N2143-X2143</f>
        <v>12.15</v>
      </c>
      <c r="Z2143">
        <f>SUMIF(货件明细!J:J,E2143,货件明细!I:I)</f>
        <v>0</v>
      </c>
      <c r="AA2143">
        <f>IF(S2143=Z2143,0,1)</f>
        <v>1</v>
      </c>
    </row>
    <row r="2144" hidden="1" spans="1:27">
      <c r="A2144">
        <v>4</v>
      </c>
      <c r="B2144">
        <v>18</v>
      </c>
      <c r="C2144" s="3">
        <v>46141</v>
      </c>
      <c r="D2144" t="s">
        <v>27</v>
      </c>
      <c r="E2144" t="s">
        <v>2275</v>
      </c>
      <c r="F2144" t="s">
        <v>187</v>
      </c>
      <c r="G2144" t="s">
        <v>72</v>
      </c>
      <c r="H2144" t="s">
        <v>56</v>
      </c>
      <c r="I2144" t="s">
        <v>63</v>
      </c>
      <c r="J2144" t="s">
        <v>63</v>
      </c>
      <c r="K2144" t="s">
        <v>64</v>
      </c>
      <c r="L2144" t="s">
        <v>212</v>
      </c>
      <c r="M2144" t="s">
        <v>213</v>
      </c>
      <c r="N2144">
        <v>12.15</v>
      </c>
      <c r="O2144">
        <v>14.2857142857143</v>
      </c>
      <c r="P2144">
        <v>48.15</v>
      </c>
      <c r="Q2144">
        <v>62.4357142857143</v>
      </c>
      <c r="R2144">
        <v>0</v>
      </c>
      <c r="S2144">
        <v>62.4357142857143</v>
      </c>
      <c r="T2144">
        <v>76</v>
      </c>
      <c r="U2144">
        <f>SUMIF(货件明细!J:J,E2144,货件明细!AP:AP)</f>
        <v>0</v>
      </c>
      <c r="V2144">
        <f>IF(U2144=T2144,0,1)</f>
        <v>1</v>
      </c>
      <c r="W2144">
        <f>T2144</f>
        <v>76</v>
      </c>
      <c r="X2144">
        <f>SUMIF(货件明细!J:J,E2144,货件明细!H:H)</f>
        <v>0</v>
      </c>
      <c r="Y2144">
        <f>N2144-X2144</f>
        <v>12.15</v>
      </c>
      <c r="Z2144">
        <f>SUMIF(货件明细!J:J,E2144,货件明细!I:I)</f>
        <v>0</v>
      </c>
      <c r="AA2144">
        <f>IF(S2144=Z2144,0,1)</f>
        <v>1</v>
      </c>
    </row>
    <row r="2145" hidden="1" spans="1:27">
      <c r="A2145">
        <v>4</v>
      </c>
      <c r="B2145">
        <v>18</v>
      </c>
      <c r="C2145" s="3">
        <v>46141</v>
      </c>
      <c r="D2145" t="s">
        <v>27</v>
      </c>
      <c r="E2145" t="s">
        <v>2276</v>
      </c>
      <c r="F2145" t="s">
        <v>195</v>
      </c>
      <c r="G2145" t="s">
        <v>30</v>
      </c>
      <c r="H2145" t="s">
        <v>46</v>
      </c>
      <c r="I2145" t="s">
        <v>146</v>
      </c>
      <c r="J2145" t="s">
        <v>2115</v>
      </c>
      <c r="K2145" t="s">
        <v>64</v>
      </c>
      <c r="L2145" t="s">
        <v>65</v>
      </c>
      <c r="M2145" t="s">
        <v>1235</v>
      </c>
      <c r="N2145">
        <v>16.4</v>
      </c>
      <c r="O2145">
        <v>8.33333333333333</v>
      </c>
      <c r="P2145">
        <v>128.45</v>
      </c>
      <c r="Q2145">
        <v>136.783333333333</v>
      </c>
      <c r="R2145">
        <v>0</v>
      </c>
      <c r="S2145">
        <v>136.783333333333</v>
      </c>
      <c r="T2145">
        <v>140</v>
      </c>
      <c r="U2145">
        <f>SUMIF(货件明细!J:J,E2145,货件明细!AP:AP)</f>
        <v>0</v>
      </c>
      <c r="V2145">
        <f>IF(U2145=T2145,0,1)</f>
        <v>1</v>
      </c>
      <c r="W2145">
        <f>T2145</f>
        <v>140</v>
      </c>
      <c r="X2145">
        <f>SUMIF(货件明细!J:J,E2145,货件明细!H:H)</f>
        <v>0</v>
      </c>
      <c r="Y2145">
        <f>N2145-X2145</f>
        <v>16.4</v>
      </c>
      <c r="Z2145">
        <f>SUMIF(货件明细!J:J,E2145,货件明细!I:I)</f>
        <v>0</v>
      </c>
      <c r="AA2145">
        <f>IF(S2145=Z2145,0,1)</f>
        <v>1</v>
      </c>
    </row>
    <row r="2146" hidden="1" spans="1:27">
      <c r="A2146">
        <v>4</v>
      </c>
      <c r="B2146">
        <v>18</v>
      </c>
      <c r="C2146" s="3">
        <v>46141</v>
      </c>
      <c r="D2146" t="s">
        <v>27</v>
      </c>
      <c r="E2146" t="s">
        <v>2277</v>
      </c>
      <c r="F2146" t="s">
        <v>243</v>
      </c>
      <c r="G2146" t="s">
        <v>72</v>
      </c>
      <c r="H2146" t="s">
        <v>46</v>
      </c>
      <c r="I2146" t="s">
        <v>146</v>
      </c>
      <c r="J2146" t="s">
        <v>146</v>
      </c>
      <c r="K2146" t="s">
        <v>64</v>
      </c>
      <c r="L2146" t="s">
        <v>147</v>
      </c>
      <c r="M2146" t="s">
        <v>1545</v>
      </c>
      <c r="N2146">
        <v>16.4</v>
      </c>
      <c r="O2146">
        <v>8.82352941176471</v>
      </c>
      <c r="P2146">
        <v>91</v>
      </c>
      <c r="Q2146">
        <v>99.8235294117647</v>
      </c>
      <c r="R2146">
        <v>0</v>
      </c>
      <c r="S2146">
        <v>99.8235294117647</v>
      </c>
      <c r="T2146">
        <v>140</v>
      </c>
      <c r="U2146">
        <f>SUMIF(货件明细!J:J,E2146,货件明细!AP:AP)</f>
        <v>0</v>
      </c>
      <c r="V2146">
        <f>IF(U2146=T2146,0,1)</f>
        <v>1</v>
      </c>
      <c r="W2146">
        <f>T2146</f>
        <v>140</v>
      </c>
      <c r="X2146">
        <f>SUMIF(货件明细!J:J,E2146,货件明细!H:H)</f>
        <v>0</v>
      </c>
      <c r="Y2146">
        <f>N2146-X2146</f>
        <v>16.4</v>
      </c>
      <c r="Z2146">
        <f>SUMIF(货件明细!J:J,E2146,货件明细!I:I)</f>
        <v>0</v>
      </c>
      <c r="AA2146">
        <f>IF(S2146=Z2146,0,1)</f>
        <v>1</v>
      </c>
    </row>
    <row r="2147" hidden="1" spans="1:27">
      <c r="A2147">
        <v>4</v>
      </c>
      <c r="B2147">
        <v>18</v>
      </c>
      <c r="C2147" s="3">
        <v>46141</v>
      </c>
      <c r="D2147" t="s">
        <v>27</v>
      </c>
      <c r="E2147" t="s">
        <v>2278</v>
      </c>
      <c r="F2147" t="s">
        <v>250</v>
      </c>
      <c r="G2147" t="s">
        <v>72</v>
      </c>
      <c r="H2147" t="s">
        <v>46</v>
      </c>
      <c r="I2147" t="s">
        <v>146</v>
      </c>
      <c r="J2147" t="s">
        <v>146</v>
      </c>
      <c r="K2147" t="s">
        <v>64</v>
      </c>
      <c r="L2147" t="s">
        <v>147</v>
      </c>
      <c r="M2147" t="s">
        <v>1545</v>
      </c>
      <c r="N2147">
        <v>16.4</v>
      </c>
      <c r="O2147">
        <v>8.82352941176471</v>
      </c>
      <c r="P2147">
        <v>91</v>
      </c>
      <c r="Q2147">
        <v>99.8235294117647</v>
      </c>
      <c r="R2147">
        <v>0</v>
      </c>
      <c r="S2147">
        <v>99.8235294117647</v>
      </c>
      <c r="T2147">
        <v>140</v>
      </c>
      <c r="U2147">
        <f>SUMIF(货件明细!J:J,E2147,货件明细!AP:AP)</f>
        <v>0</v>
      </c>
      <c r="V2147">
        <f>IF(U2147=T2147,0,1)</f>
        <v>1</v>
      </c>
      <c r="W2147">
        <f>T2147</f>
        <v>140</v>
      </c>
      <c r="X2147">
        <f>SUMIF(货件明细!J:J,E2147,货件明细!H:H)</f>
        <v>0</v>
      </c>
      <c r="Y2147">
        <f>N2147-X2147</f>
        <v>16.4</v>
      </c>
      <c r="Z2147">
        <f>SUMIF(货件明细!J:J,E2147,货件明细!I:I)</f>
        <v>0</v>
      </c>
      <c r="AA2147">
        <f>IF(S2147=Z2147,0,1)</f>
        <v>1</v>
      </c>
    </row>
    <row r="2148" hidden="1" spans="1:27">
      <c r="A2148">
        <v>4</v>
      </c>
      <c r="B2148">
        <v>18</v>
      </c>
      <c r="C2148" s="3">
        <v>46141</v>
      </c>
      <c r="D2148" t="s">
        <v>27</v>
      </c>
      <c r="E2148" t="s">
        <v>2279</v>
      </c>
      <c r="F2148" t="s">
        <v>200</v>
      </c>
      <c r="G2148" t="s">
        <v>30</v>
      </c>
      <c r="H2148" t="s">
        <v>46</v>
      </c>
      <c r="I2148" t="s">
        <v>146</v>
      </c>
      <c r="J2148" t="s">
        <v>2115</v>
      </c>
      <c r="K2148" t="s">
        <v>64</v>
      </c>
      <c r="L2148" t="s">
        <v>65</v>
      </c>
      <c r="M2148" t="s">
        <v>1235</v>
      </c>
      <c r="N2148">
        <v>16.4</v>
      </c>
      <c r="O2148">
        <v>8.33333333333333</v>
      </c>
      <c r="P2148">
        <v>126</v>
      </c>
      <c r="Q2148">
        <v>134.333333333333</v>
      </c>
      <c r="R2148">
        <v>0</v>
      </c>
      <c r="S2148">
        <v>134.333333333333</v>
      </c>
      <c r="T2148">
        <v>140</v>
      </c>
      <c r="U2148">
        <f>SUMIF(货件明细!J:J,E2148,货件明细!AP:AP)</f>
        <v>0</v>
      </c>
      <c r="V2148">
        <f>IF(U2148=T2148,0,1)</f>
        <v>1</v>
      </c>
      <c r="W2148">
        <f>T2148</f>
        <v>140</v>
      </c>
      <c r="X2148">
        <f>SUMIF(货件明细!J:J,E2148,货件明细!H:H)</f>
        <v>0</v>
      </c>
      <c r="Y2148">
        <f>N2148-X2148</f>
        <v>16.4</v>
      </c>
      <c r="Z2148">
        <f>SUMIF(货件明细!J:J,E2148,货件明细!I:I)</f>
        <v>0</v>
      </c>
      <c r="AA2148">
        <f>IF(S2148=Z2148,0,1)</f>
        <v>1</v>
      </c>
    </row>
    <row r="2149" hidden="1" spans="1:27">
      <c r="A2149">
        <v>4</v>
      </c>
      <c r="B2149">
        <v>18</v>
      </c>
      <c r="C2149" s="3">
        <v>46141</v>
      </c>
      <c r="D2149" t="s">
        <v>27</v>
      </c>
      <c r="E2149" t="s">
        <v>2280</v>
      </c>
      <c r="F2149" t="s">
        <v>76</v>
      </c>
      <c r="G2149" t="s">
        <v>72</v>
      </c>
      <c r="H2149" t="s">
        <v>46</v>
      </c>
      <c r="I2149" t="s">
        <v>146</v>
      </c>
      <c r="J2149" t="s">
        <v>146</v>
      </c>
      <c r="K2149" t="s">
        <v>64</v>
      </c>
      <c r="L2149" t="s">
        <v>147</v>
      </c>
      <c r="M2149" t="s">
        <v>1545</v>
      </c>
      <c r="N2149">
        <v>16.4</v>
      </c>
      <c r="O2149">
        <v>8.82352941176471</v>
      </c>
      <c r="P2149">
        <v>82.6</v>
      </c>
      <c r="Q2149">
        <v>91.4235294117647</v>
      </c>
      <c r="R2149">
        <v>0</v>
      </c>
      <c r="S2149">
        <v>91.4235294117647</v>
      </c>
      <c r="T2149">
        <v>140</v>
      </c>
      <c r="U2149">
        <f>SUMIF(货件明细!J:J,E2149,货件明细!AP:AP)</f>
        <v>0</v>
      </c>
      <c r="V2149">
        <f>IF(U2149=T2149,0,1)</f>
        <v>1</v>
      </c>
      <c r="W2149">
        <f>T2149</f>
        <v>140</v>
      </c>
      <c r="X2149">
        <f>SUMIF(货件明细!J:J,E2149,货件明细!H:H)</f>
        <v>0</v>
      </c>
      <c r="Y2149">
        <f>N2149-X2149</f>
        <v>16.4</v>
      </c>
      <c r="Z2149">
        <f>SUMIF(货件明细!J:J,E2149,货件明细!I:I)</f>
        <v>0</v>
      </c>
      <c r="AA2149">
        <f>IF(S2149=Z2149,0,1)</f>
        <v>1</v>
      </c>
    </row>
    <row r="2150" hidden="1" spans="1:27">
      <c r="A2150">
        <v>4</v>
      </c>
      <c r="B2150">
        <v>18</v>
      </c>
      <c r="C2150" s="3">
        <v>46141</v>
      </c>
      <c r="D2150" t="s">
        <v>27</v>
      </c>
      <c r="E2150" t="s">
        <v>2281</v>
      </c>
      <c r="F2150" t="s">
        <v>195</v>
      </c>
      <c r="G2150" t="s">
        <v>30</v>
      </c>
      <c r="H2150" t="s">
        <v>56</v>
      </c>
      <c r="I2150" t="s">
        <v>146</v>
      </c>
      <c r="J2150" t="s">
        <v>146</v>
      </c>
      <c r="K2150" t="s">
        <v>64</v>
      </c>
      <c r="L2150" t="s">
        <v>147</v>
      </c>
      <c r="M2150" t="s">
        <v>148</v>
      </c>
      <c r="N2150">
        <v>48.8</v>
      </c>
      <c r="O2150">
        <v>25</v>
      </c>
      <c r="P2150">
        <v>344</v>
      </c>
      <c r="Q2150">
        <v>369</v>
      </c>
      <c r="R2150">
        <v>0</v>
      </c>
      <c r="S2150">
        <v>369</v>
      </c>
      <c r="T2150">
        <v>209</v>
      </c>
      <c r="U2150">
        <f>SUMIF(货件明细!J:J,E2150,货件明细!AP:AP)</f>
        <v>0</v>
      </c>
      <c r="V2150">
        <f>IF(U2150=T2150,0,1)</f>
        <v>1</v>
      </c>
      <c r="W2150">
        <f>T2150</f>
        <v>209</v>
      </c>
      <c r="X2150">
        <f>SUMIF(货件明细!J:J,E2150,货件明细!H:H)</f>
        <v>0</v>
      </c>
      <c r="Y2150">
        <f>N2150-X2150</f>
        <v>48.8</v>
      </c>
      <c r="Z2150">
        <f>SUMIF(货件明细!J:J,E2150,货件明细!I:I)</f>
        <v>0</v>
      </c>
      <c r="AA2150">
        <f>IF(S2150=Z2150,0,1)</f>
        <v>1</v>
      </c>
    </row>
    <row r="2151" hidden="1" spans="1:27">
      <c r="A2151">
        <v>4</v>
      </c>
      <c r="B2151">
        <v>18</v>
      </c>
      <c r="C2151" s="3">
        <v>46141</v>
      </c>
      <c r="D2151" t="s">
        <v>27</v>
      </c>
      <c r="E2151" t="s">
        <v>2282</v>
      </c>
      <c r="F2151" t="s">
        <v>243</v>
      </c>
      <c r="G2151" t="s">
        <v>72</v>
      </c>
      <c r="H2151" t="s">
        <v>56</v>
      </c>
      <c r="I2151" t="s">
        <v>146</v>
      </c>
      <c r="J2151" t="s">
        <v>146</v>
      </c>
      <c r="K2151" t="s">
        <v>64</v>
      </c>
      <c r="L2151" t="s">
        <v>147</v>
      </c>
      <c r="M2151" t="s">
        <v>1545</v>
      </c>
      <c r="N2151">
        <v>48.8</v>
      </c>
      <c r="O2151">
        <v>8.33333333333333</v>
      </c>
      <c r="P2151">
        <v>260</v>
      </c>
      <c r="Q2151">
        <v>268.333333333333</v>
      </c>
      <c r="R2151">
        <v>0</v>
      </c>
      <c r="S2151">
        <v>268.333333333333</v>
      </c>
      <c r="T2151">
        <v>209</v>
      </c>
      <c r="U2151">
        <f>SUMIF(货件明细!J:J,E2151,货件明细!AP:AP)</f>
        <v>0</v>
      </c>
      <c r="V2151">
        <f>IF(U2151=T2151,0,1)</f>
        <v>1</v>
      </c>
      <c r="W2151">
        <f>T2151</f>
        <v>209</v>
      </c>
      <c r="X2151">
        <f>SUMIF(货件明细!J:J,E2151,货件明细!H:H)</f>
        <v>0</v>
      </c>
      <c r="Y2151">
        <f>N2151-X2151</f>
        <v>48.8</v>
      </c>
      <c r="Z2151">
        <f>SUMIF(货件明细!J:J,E2151,货件明细!I:I)</f>
        <v>0</v>
      </c>
      <c r="AA2151">
        <f>IF(S2151=Z2151,0,1)</f>
        <v>1</v>
      </c>
    </row>
    <row r="2152" hidden="1" spans="1:27">
      <c r="A2152">
        <v>4</v>
      </c>
      <c r="B2152">
        <v>18</v>
      </c>
      <c r="C2152" s="3">
        <v>46141</v>
      </c>
      <c r="D2152" t="s">
        <v>27</v>
      </c>
      <c r="E2152" t="s">
        <v>2283</v>
      </c>
      <c r="F2152" t="s">
        <v>250</v>
      </c>
      <c r="G2152" t="s">
        <v>72</v>
      </c>
      <c r="H2152" t="s">
        <v>56</v>
      </c>
      <c r="I2152" t="s">
        <v>146</v>
      </c>
      <c r="J2152" t="s">
        <v>146</v>
      </c>
      <c r="K2152" t="s">
        <v>64</v>
      </c>
      <c r="L2152" t="s">
        <v>147</v>
      </c>
      <c r="M2152" t="s">
        <v>1545</v>
      </c>
      <c r="N2152">
        <v>48.8</v>
      </c>
      <c r="O2152">
        <v>8.33333333333333</v>
      </c>
      <c r="P2152">
        <v>260</v>
      </c>
      <c r="Q2152">
        <v>268.333333333333</v>
      </c>
      <c r="R2152">
        <v>0</v>
      </c>
      <c r="S2152">
        <v>268.333333333333</v>
      </c>
      <c r="T2152">
        <v>209</v>
      </c>
      <c r="U2152">
        <f>SUMIF(货件明细!J:J,E2152,货件明细!AP:AP)</f>
        <v>0</v>
      </c>
      <c r="V2152">
        <f>IF(U2152=T2152,0,1)</f>
        <v>1</v>
      </c>
      <c r="W2152">
        <f>T2152</f>
        <v>209</v>
      </c>
      <c r="X2152">
        <f>SUMIF(货件明细!J:J,E2152,货件明细!H:H)</f>
        <v>0</v>
      </c>
      <c r="Y2152">
        <f>N2152-X2152</f>
        <v>48.8</v>
      </c>
      <c r="Z2152">
        <f>SUMIF(货件明细!J:J,E2152,货件明细!I:I)</f>
        <v>0</v>
      </c>
      <c r="AA2152">
        <f>IF(S2152=Z2152,0,1)</f>
        <v>1</v>
      </c>
    </row>
    <row r="2153" hidden="1" spans="1:27">
      <c r="A2153">
        <v>4</v>
      </c>
      <c r="B2153">
        <v>18</v>
      </c>
      <c r="C2153" s="3">
        <v>46141</v>
      </c>
      <c r="D2153" t="s">
        <v>27</v>
      </c>
      <c r="E2153" t="s">
        <v>2284</v>
      </c>
      <c r="F2153" t="s">
        <v>200</v>
      </c>
      <c r="G2153" t="s">
        <v>30</v>
      </c>
      <c r="H2153" t="s">
        <v>56</v>
      </c>
      <c r="I2153" t="s">
        <v>146</v>
      </c>
      <c r="J2153" t="s">
        <v>146</v>
      </c>
      <c r="K2153" t="s">
        <v>64</v>
      </c>
      <c r="L2153" t="s">
        <v>147</v>
      </c>
      <c r="M2153" t="s">
        <v>148</v>
      </c>
      <c r="N2153">
        <v>48.8</v>
      </c>
      <c r="O2153">
        <v>25</v>
      </c>
      <c r="P2153">
        <v>382</v>
      </c>
      <c r="Q2153">
        <v>407</v>
      </c>
      <c r="R2153">
        <v>0</v>
      </c>
      <c r="S2153">
        <v>407</v>
      </c>
      <c r="T2153">
        <v>211</v>
      </c>
      <c r="U2153">
        <f>SUMIF(货件明细!J:J,E2153,货件明细!AP:AP)</f>
        <v>0</v>
      </c>
      <c r="V2153">
        <f>IF(U2153=T2153,0,1)</f>
        <v>1</v>
      </c>
      <c r="W2153">
        <f>T2153</f>
        <v>211</v>
      </c>
      <c r="X2153">
        <f>SUMIF(货件明细!J:J,E2153,货件明细!H:H)</f>
        <v>0</v>
      </c>
      <c r="Y2153">
        <f>N2153-X2153</f>
        <v>48.8</v>
      </c>
      <c r="Z2153">
        <f>SUMIF(货件明细!J:J,E2153,货件明细!I:I)</f>
        <v>0</v>
      </c>
      <c r="AA2153">
        <f>IF(S2153=Z2153,0,1)</f>
        <v>1</v>
      </c>
    </row>
    <row r="2154" hidden="1" spans="1:27">
      <c r="A2154">
        <v>4</v>
      </c>
      <c r="B2154">
        <v>18</v>
      </c>
      <c r="C2154" s="3">
        <v>46141</v>
      </c>
      <c r="D2154" t="s">
        <v>27</v>
      </c>
      <c r="E2154" t="s">
        <v>2285</v>
      </c>
      <c r="F2154" t="s">
        <v>76</v>
      </c>
      <c r="G2154" t="s">
        <v>72</v>
      </c>
      <c r="H2154" t="s">
        <v>56</v>
      </c>
      <c r="I2154" t="s">
        <v>146</v>
      </c>
      <c r="J2154" t="s">
        <v>146</v>
      </c>
      <c r="K2154" t="s">
        <v>64</v>
      </c>
      <c r="L2154" t="s">
        <v>147</v>
      </c>
      <c r="M2154" t="s">
        <v>1545</v>
      </c>
      <c r="N2154">
        <v>48.8</v>
      </c>
      <c r="O2154">
        <v>8.33333333333333</v>
      </c>
      <c r="P2154">
        <v>236</v>
      </c>
      <c r="Q2154">
        <v>244.333333333333</v>
      </c>
      <c r="R2154">
        <v>0</v>
      </c>
      <c r="S2154">
        <v>244.333333333333</v>
      </c>
      <c r="T2154">
        <v>209</v>
      </c>
      <c r="U2154">
        <f>SUMIF(货件明细!J:J,E2154,货件明细!AP:AP)</f>
        <v>0</v>
      </c>
      <c r="V2154">
        <f>IF(U2154=T2154,0,1)</f>
        <v>1</v>
      </c>
      <c r="W2154">
        <f>T2154</f>
        <v>209</v>
      </c>
      <c r="X2154">
        <f>SUMIF(货件明细!J:J,E2154,货件明细!H:H)</f>
        <v>0</v>
      </c>
      <c r="Y2154">
        <f>N2154-X2154</f>
        <v>48.8</v>
      </c>
      <c r="Z2154">
        <f>SUMIF(货件明细!J:J,E2154,货件明细!I:I)</f>
        <v>0</v>
      </c>
      <c r="AA2154">
        <f>IF(S2154=Z2154,0,1)</f>
        <v>1</v>
      </c>
    </row>
    <row r="2155" hidden="1" spans="1:27">
      <c r="A2155">
        <v>4</v>
      </c>
      <c r="B2155">
        <v>18</v>
      </c>
      <c r="C2155" s="3">
        <v>46141</v>
      </c>
      <c r="D2155" t="s">
        <v>27</v>
      </c>
      <c r="E2155" t="s">
        <v>2286</v>
      </c>
      <c r="F2155" t="s">
        <v>195</v>
      </c>
      <c r="G2155" t="s">
        <v>30</v>
      </c>
      <c r="H2155" t="s">
        <v>59</v>
      </c>
      <c r="I2155" t="s">
        <v>146</v>
      </c>
      <c r="J2155" t="s">
        <v>2115</v>
      </c>
      <c r="K2155" t="s">
        <v>64</v>
      </c>
      <c r="L2155" t="s">
        <v>65</v>
      </c>
      <c r="M2155" t="s">
        <v>1235</v>
      </c>
      <c r="N2155">
        <v>26.75</v>
      </c>
      <c r="O2155">
        <v>8.33333333333333</v>
      </c>
      <c r="P2155">
        <v>220.2</v>
      </c>
      <c r="Q2155">
        <v>228.533333333333</v>
      </c>
      <c r="R2155">
        <v>0</v>
      </c>
      <c r="S2155">
        <v>228.533333333333</v>
      </c>
      <c r="T2155">
        <v>202</v>
      </c>
      <c r="U2155">
        <f>SUMIF(货件明细!J:J,E2155,货件明细!AP:AP)</f>
        <v>0</v>
      </c>
      <c r="V2155">
        <f>IF(U2155=T2155,0,1)</f>
        <v>1</v>
      </c>
      <c r="W2155">
        <f>T2155</f>
        <v>202</v>
      </c>
      <c r="X2155">
        <f>SUMIF(货件明细!J:J,E2155,货件明细!H:H)</f>
        <v>0</v>
      </c>
      <c r="Y2155">
        <f>N2155-X2155</f>
        <v>26.75</v>
      </c>
      <c r="Z2155">
        <f>SUMIF(货件明细!J:J,E2155,货件明细!I:I)</f>
        <v>0</v>
      </c>
      <c r="AA2155">
        <f>IF(S2155=Z2155,0,1)</f>
        <v>1</v>
      </c>
    </row>
    <row r="2156" hidden="1" spans="1:27">
      <c r="A2156">
        <v>4</v>
      </c>
      <c r="B2156">
        <v>18</v>
      </c>
      <c r="C2156" s="3">
        <v>46141</v>
      </c>
      <c r="D2156" t="s">
        <v>27</v>
      </c>
      <c r="E2156" t="s">
        <v>2287</v>
      </c>
      <c r="F2156" t="s">
        <v>243</v>
      </c>
      <c r="G2156" t="s">
        <v>72</v>
      </c>
      <c r="H2156" t="s">
        <v>59</v>
      </c>
      <c r="I2156" t="s">
        <v>146</v>
      </c>
      <c r="J2156" t="s">
        <v>146</v>
      </c>
      <c r="K2156" t="s">
        <v>64</v>
      </c>
      <c r="L2156" t="s">
        <v>147</v>
      </c>
      <c r="M2156" t="s">
        <v>1545</v>
      </c>
      <c r="N2156">
        <v>26.75</v>
      </c>
      <c r="O2156">
        <v>8.82352941176471</v>
      </c>
      <c r="P2156">
        <v>156</v>
      </c>
      <c r="Q2156">
        <v>164.823529411765</v>
      </c>
      <c r="R2156">
        <v>0</v>
      </c>
      <c r="S2156">
        <v>164.823529411765</v>
      </c>
      <c r="T2156">
        <v>202</v>
      </c>
      <c r="U2156">
        <f>SUMIF(货件明细!J:J,E2156,货件明细!AP:AP)</f>
        <v>0</v>
      </c>
      <c r="V2156">
        <f>IF(U2156=T2156,0,1)</f>
        <v>1</v>
      </c>
      <c r="W2156">
        <f>T2156</f>
        <v>202</v>
      </c>
      <c r="X2156">
        <f>SUMIF(货件明细!J:J,E2156,货件明细!H:H)</f>
        <v>0</v>
      </c>
      <c r="Y2156">
        <f>N2156-X2156</f>
        <v>26.75</v>
      </c>
      <c r="Z2156">
        <f>SUMIF(货件明细!J:J,E2156,货件明细!I:I)</f>
        <v>0</v>
      </c>
      <c r="AA2156">
        <f>IF(S2156=Z2156,0,1)</f>
        <v>1</v>
      </c>
    </row>
    <row r="2157" hidden="1" spans="1:27">
      <c r="A2157">
        <v>4</v>
      </c>
      <c r="B2157">
        <v>18</v>
      </c>
      <c r="C2157" s="3">
        <v>46141</v>
      </c>
      <c r="D2157" t="s">
        <v>27</v>
      </c>
      <c r="E2157" t="s">
        <v>2288</v>
      </c>
      <c r="F2157" t="s">
        <v>250</v>
      </c>
      <c r="G2157" t="s">
        <v>72</v>
      </c>
      <c r="H2157" t="s">
        <v>59</v>
      </c>
      <c r="I2157" t="s">
        <v>146</v>
      </c>
      <c r="J2157" t="s">
        <v>146</v>
      </c>
      <c r="K2157" t="s">
        <v>64</v>
      </c>
      <c r="L2157" t="s">
        <v>147</v>
      </c>
      <c r="M2157" t="s">
        <v>1545</v>
      </c>
      <c r="N2157">
        <v>26.75</v>
      </c>
      <c r="O2157">
        <v>8.82352941176471</v>
      </c>
      <c r="P2157">
        <v>156</v>
      </c>
      <c r="Q2157">
        <v>164.823529411765</v>
      </c>
      <c r="R2157">
        <v>0</v>
      </c>
      <c r="S2157">
        <v>164.823529411765</v>
      </c>
      <c r="T2157">
        <v>202</v>
      </c>
      <c r="U2157">
        <f>SUMIF(货件明细!J:J,E2157,货件明细!AP:AP)</f>
        <v>0</v>
      </c>
      <c r="V2157">
        <f>IF(U2157=T2157,0,1)</f>
        <v>1</v>
      </c>
      <c r="W2157">
        <f>T2157</f>
        <v>202</v>
      </c>
      <c r="X2157">
        <f>SUMIF(货件明细!J:J,E2157,货件明细!H:H)</f>
        <v>0</v>
      </c>
      <c r="Y2157">
        <f>N2157-X2157</f>
        <v>26.75</v>
      </c>
      <c r="Z2157">
        <f>SUMIF(货件明细!J:J,E2157,货件明细!I:I)</f>
        <v>0</v>
      </c>
      <c r="AA2157">
        <f>IF(S2157=Z2157,0,1)</f>
        <v>1</v>
      </c>
    </row>
    <row r="2158" hidden="1" spans="1:27">
      <c r="A2158">
        <v>4</v>
      </c>
      <c r="B2158">
        <v>18</v>
      </c>
      <c r="C2158" s="3">
        <v>46141</v>
      </c>
      <c r="D2158" t="s">
        <v>27</v>
      </c>
      <c r="E2158" t="s">
        <v>2289</v>
      </c>
      <c r="F2158" t="s">
        <v>200</v>
      </c>
      <c r="G2158" t="s">
        <v>30</v>
      </c>
      <c r="H2158" t="s">
        <v>59</v>
      </c>
      <c r="I2158" t="s">
        <v>146</v>
      </c>
      <c r="J2158" t="s">
        <v>2115</v>
      </c>
      <c r="K2158" t="s">
        <v>64</v>
      </c>
      <c r="L2158" t="s">
        <v>65</v>
      </c>
      <c r="M2158" t="s">
        <v>1235</v>
      </c>
      <c r="N2158">
        <v>26.75</v>
      </c>
      <c r="O2158">
        <v>8.33333333333333</v>
      </c>
      <c r="P2158">
        <v>216</v>
      </c>
      <c r="Q2158">
        <v>224.333333333333</v>
      </c>
      <c r="R2158">
        <v>0</v>
      </c>
      <c r="S2158">
        <v>224.333333333333</v>
      </c>
      <c r="T2158">
        <v>202</v>
      </c>
      <c r="U2158">
        <f>SUMIF(货件明细!J:J,E2158,货件明细!AP:AP)</f>
        <v>0</v>
      </c>
      <c r="V2158">
        <f>IF(U2158=T2158,0,1)</f>
        <v>1</v>
      </c>
      <c r="W2158">
        <f>T2158</f>
        <v>202</v>
      </c>
      <c r="X2158">
        <f>SUMIF(货件明细!J:J,E2158,货件明细!H:H)</f>
        <v>0</v>
      </c>
      <c r="Y2158">
        <f>N2158-X2158</f>
        <v>26.75</v>
      </c>
      <c r="Z2158">
        <f>SUMIF(货件明细!J:J,E2158,货件明细!I:I)</f>
        <v>0</v>
      </c>
      <c r="AA2158">
        <f>IF(S2158=Z2158,0,1)</f>
        <v>1</v>
      </c>
    </row>
    <row r="2159" hidden="1" spans="1:27">
      <c r="A2159">
        <v>4</v>
      </c>
      <c r="B2159">
        <v>18</v>
      </c>
      <c r="C2159" s="3">
        <v>46141</v>
      </c>
      <c r="D2159" t="s">
        <v>27</v>
      </c>
      <c r="E2159" t="s">
        <v>2290</v>
      </c>
      <c r="F2159" t="s">
        <v>76</v>
      </c>
      <c r="G2159" t="s">
        <v>72</v>
      </c>
      <c r="H2159" t="s">
        <v>59</v>
      </c>
      <c r="I2159" t="s">
        <v>146</v>
      </c>
      <c r="J2159" t="s">
        <v>146</v>
      </c>
      <c r="K2159" t="s">
        <v>64</v>
      </c>
      <c r="L2159" t="s">
        <v>147</v>
      </c>
      <c r="M2159" t="s">
        <v>1545</v>
      </c>
      <c r="N2159">
        <v>26.75</v>
      </c>
      <c r="O2159">
        <v>8.82352941176471</v>
      </c>
      <c r="P2159">
        <v>141.6</v>
      </c>
      <c r="Q2159">
        <v>150.423529411765</v>
      </c>
      <c r="R2159">
        <v>0</v>
      </c>
      <c r="S2159">
        <v>150.423529411765</v>
      </c>
      <c r="T2159">
        <v>202</v>
      </c>
      <c r="U2159">
        <f>SUMIF(货件明细!J:J,E2159,货件明细!AP:AP)</f>
        <v>0</v>
      </c>
      <c r="V2159">
        <f>IF(U2159=T2159,0,1)</f>
        <v>1</v>
      </c>
      <c r="W2159">
        <f>T2159</f>
        <v>202</v>
      </c>
      <c r="X2159">
        <f>SUMIF(货件明细!J:J,E2159,货件明细!H:H)</f>
        <v>0</v>
      </c>
      <c r="Y2159">
        <f>N2159-X2159</f>
        <v>26.75</v>
      </c>
      <c r="Z2159">
        <f>SUMIF(货件明细!J:J,E2159,货件明细!I:I)</f>
        <v>0</v>
      </c>
      <c r="AA2159">
        <f>IF(S2159=Z2159,0,1)</f>
        <v>1</v>
      </c>
    </row>
    <row r="2160" hidden="1" spans="1:27">
      <c r="A2160">
        <v>4</v>
      </c>
      <c r="B2160">
        <v>18</v>
      </c>
      <c r="C2160" s="3">
        <v>46141</v>
      </c>
      <c r="D2160" t="s">
        <v>27</v>
      </c>
      <c r="E2160" t="s">
        <v>2291</v>
      </c>
      <c r="F2160" t="s">
        <v>195</v>
      </c>
      <c r="G2160" t="s">
        <v>30</v>
      </c>
      <c r="H2160" t="s">
        <v>39</v>
      </c>
      <c r="I2160" t="s">
        <v>146</v>
      </c>
      <c r="J2160" t="s">
        <v>146</v>
      </c>
      <c r="K2160" t="s">
        <v>64</v>
      </c>
      <c r="L2160" t="s">
        <v>147</v>
      </c>
      <c r="M2160" t="s">
        <v>148</v>
      </c>
      <c r="N2160">
        <v>14.8</v>
      </c>
      <c r="O2160">
        <v>25</v>
      </c>
      <c r="P2160">
        <v>103.2</v>
      </c>
      <c r="Q2160">
        <v>128.2</v>
      </c>
      <c r="R2160">
        <v>0</v>
      </c>
      <c r="S2160">
        <v>128.2</v>
      </c>
      <c r="T2160">
        <v>65</v>
      </c>
      <c r="U2160">
        <f>SUMIF(货件明细!J:J,E2160,货件明细!AP:AP)</f>
        <v>0</v>
      </c>
      <c r="V2160">
        <f>IF(U2160=T2160,0,1)</f>
        <v>1</v>
      </c>
      <c r="W2160">
        <f>T2160</f>
        <v>65</v>
      </c>
      <c r="X2160">
        <f>SUMIF(货件明细!J:J,E2160,货件明细!H:H)</f>
        <v>0</v>
      </c>
      <c r="Y2160">
        <f>N2160-X2160</f>
        <v>14.8</v>
      </c>
      <c r="Z2160">
        <f>SUMIF(货件明细!J:J,E2160,货件明细!I:I)</f>
        <v>0</v>
      </c>
      <c r="AA2160">
        <f>IF(S2160=Z2160,0,1)</f>
        <v>1</v>
      </c>
    </row>
    <row r="2161" hidden="1" spans="1:27">
      <c r="A2161">
        <v>4</v>
      </c>
      <c r="B2161">
        <v>18</v>
      </c>
      <c r="C2161" s="3">
        <v>46141</v>
      </c>
      <c r="D2161" t="s">
        <v>27</v>
      </c>
      <c r="E2161" t="s">
        <v>2292</v>
      </c>
      <c r="F2161" t="s">
        <v>243</v>
      </c>
      <c r="G2161" t="s">
        <v>72</v>
      </c>
      <c r="H2161" t="s">
        <v>39</v>
      </c>
      <c r="I2161" t="s">
        <v>146</v>
      </c>
      <c r="J2161" t="s">
        <v>146</v>
      </c>
      <c r="K2161" t="s">
        <v>64</v>
      </c>
      <c r="L2161" t="s">
        <v>147</v>
      </c>
      <c r="M2161" t="s">
        <v>1545</v>
      </c>
      <c r="N2161">
        <v>14.8</v>
      </c>
      <c r="O2161">
        <v>8.33333333333333</v>
      </c>
      <c r="P2161">
        <v>78</v>
      </c>
      <c r="Q2161">
        <v>86.3333333333333</v>
      </c>
      <c r="R2161">
        <v>0</v>
      </c>
      <c r="S2161">
        <v>86.3333333333333</v>
      </c>
      <c r="T2161">
        <v>65</v>
      </c>
      <c r="U2161">
        <f>SUMIF(货件明细!J:J,E2161,货件明细!AP:AP)</f>
        <v>0</v>
      </c>
      <c r="V2161">
        <f>IF(U2161=T2161,0,1)</f>
        <v>1</v>
      </c>
      <c r="W2161">
        <f>T2161</f>
        <v>65</v>
      </c>
      <c r="X2161">
        <f>SUMIF(货件明细!J:J,E2161,货件明细!H:H)</f>
        <v>0</v>
      </c>
      <c r="Y2161">
        <f>N2161-X2161</f>
        <v>14.8</v>
      </c>
      <c r="Z2161">
        <f>SUMIF(货件明细!J:J,E2161,货件明细!I:I)</f>
        <v>0</v>
      </c>
      <c r="AA2161">
        <f>IF(S2161=Z2161,0,1)</f>
        <v>1</v>
      </c>
    </row>
    <row r="2162" hidden="1" spans="1:27">
      <c r="A2162">
        <v>4</v>
      </c>
      <c r="B2162">
        <v>18</v>
      </c>
      <c r="C2162" s="3">
        <v>46141</v>
      </c>
      <c r="D2162" t="s">
        <v>27</v>
      </c>
      <c r="E2162" t="s">
        <v>2293</v>
      </c>
      <c r="F2162" t="s">
        <v>250</v>
      </c>
      <c r="G2162" t="s">
        <v>72</v>
      </c>
      <c r="H2162" t="s">
        <v>39</v>
      </c>
      <c r="I2162" t="s">
        <v>146</v>
      </c>
      <c r="J2162" t="s">
        <v>146</v>
      </c>
      <c r="K2162" t="s">
        <v>64</v>
      </c>
      <c r="L2162" t="s">
        <v>147</v>
      </c>
      <c r="M2162" t="s">
        <v>1545</v>
      </c>
      <c r="N2162">
        <v>14.8</v>
      </c>
      <c r="O2162">
        <v>8.33333333333333</v>
      </c>
      <c r="P2162">
        <v>78</v>
      </c>
      <c r="Q2162">
        <v>86.3333333333333</v>
      </c>
      <c r="R2162">
        <v>0</v>
      </c>
      <c r="S2162">
        <v>86.3333333333333</v>
      </c>
      <c r="T2162">
        <v>65</v>
      </c>
      <c r="U2162">
        <f>SUMIF(货件明细!J:J,E2162,货件明细!AP:AP)</f>
        <v>0</v>
      </c>
      <c r="V2162">
        <f>IF(U2162=T2162,0,1)</f>
        <v>1</v>
      </c>
      <c r="W2162">
        <f>T2162</f>
        <v>65</v>
      </c>
      <c r="X2162">
        <f>SUMIF(货件明细!J:J,E2162,货件明细!H:H)</f>
        <v>0</v>
      </c>
      <c r="Y2162">
        <f>N2162-X2162</f>
        <v>14.8</v>
      </c>
      <c r="Z2162">
        <f>SUMIF(货件明细!J:J,E2162,货件明细!I:I)</f>
        <v>0</v>
      </c>
      <c r="AA2162">
        <f>IF(S2162=Z2162,0,1)</f>
        <v>1</v>
      </c>
    </row>
    <row r="2163" hidden="1" spans="1:27">
      <c r="A2163">
        <v>4</v>
      </c>
      <c r="B2163">
        <v>18</v>
      </c>
      <c r="C2163" s="3">
        <v>46141</v>
      </c>
      <c r="D2163" t="s">
        <v>27</v>
      </c>
      <c r="E2163" t="s">
        <v>2294</v>
      </c>
      <c r="F2163" t="s">
        <v>200</v>
      </c>
      <c r="G2163" t="s">
        <v>30</v>
      </c>
      <c r="H2163" t="s">
        <v>39</v>
      </c>
      <c r="I2163" t="s">
        <v>146</v>
      </c>
      <c r="J2163" t="s">
        <v>146</v>
      </c>
      <c r="K2163" t="s">
        <v>64</v>
      </c>
      <c r="L2163" t="s">
        <v>147</v>
      </c>
      <c r="M2163" t="s">
        <v>148</v>
      </c>
      <c r="N2163">
        <v>14.8</v>
      </c>
      <c r="O2163">
        <v>25</v>
      </c>
      <c r="P2163">
        <v>114.6</v>
      </c>
      <c r="Q2163">
        <v>139.6</v>
      </c>
      <c r="R2163">
        <v>0</v>
      </c>
      <c r="S2163">
        <v>139.6</v>
      </c>
      <c r="T2163">
        <v>65</v>
      </c>
      <c r="U2163">
        <f>SUMIF(货件明细!J:J,E2163,货件明细!AP:AP)</f>
        <v>0</v>
      </c>
      <c r="V2163">
        <f>IF(U2163=T2163,0,1)</f>
        <v>1</v>
      </c>
      <c r="W2163">
        <f>T2163</f>
        <v>65</v>
      </c>
      <c r="X2163">
        <f>SUMIF(货件明细!J:J,E2163,货件明细!H:H)</f>
        <v>0</v>
      </c>
      <c r="Y2163">
        <f>N2163-X2163</f>
        <v>14.8</v>
      </c>
      <c r="Z2163">
        <f>SUMIF(货件明细!J:J,E2163,货件明细!I:I)</f>
        <v>0</v>
      </c>
      <c r="AA2163">
        <f>IF(S2163=Z2163,0,1)</f>
        <v>1</v>
      </c>
    </row>
    <row r="2164" hidden="1" spans="1:27">
      <c r="A2164">
        <v>4</v>
      </c>
      <c r="B2164">
        <v>18</v>
      </c>
      <c r="C2164" s="3">
        <v>46141</v>
      </c>
      <c r="D2164" t="s">
        <v>27</v>
      </c>
      <c r="E2164" t="s">
        <v>2295</v>
      </c>
      <c r="F2164" t="s">
        <v>76</v>
      </c>
      <c r="G2164" t="s">
        <v>72</v>
      </c>
      <c r="H2164" t="s">
        <v>39</v>
      </c>
      <c r="I2164" t="s">
        <v>146</v>
      </c>
      <c r="J2164" t="s">
        <v>146</v>
      </c>
      <c r="K2164" t="s">
        <v>64</v>
      </c>
      <c r="L2164" t="s">
        <v>147</v>
      </c>
      <c r="M2164" t="s">
        <v>1545</v>
      </c>
      <c r="N2164">
        <v>14.8</v>
      </c>
      <c r="O2164">
        <v>8.33333333333333</v>
      </c>
      <c r="P2164">
        <v>70.8</v>
      </c>
      <c r="Q2164">
        <v>79.1333333333333</v>
      </c>
      <c r="R2164">
        <v>0</v>
      </c>
      <c r="S2164">
        <v>79.1333333333333</v>
      </c>
      <c r="T2164">
        <v>65</v>
      </c>
      <c r="U2164">
        <f>SUMIF(货件明细!J:J,E2164,货件明细!AP:AP)</f>
        <v>0</v>
      </c>
      <c r="V2164">
        <f>IF(U2164=T2164,0,1)</f>
        <v>1</v>
      </c>
      <c r="W2164">
        <f>T2164</f>
        <v>65</v>
      </c>
      <c r="X2164">
        <f>SUMIF(货件明细!J:J,E2164,货件明细!H:H)</f>
        <v>0</v>
      </c>
      <c r="Y2164">
        <f>N2164-X2164</f>
        <v>14.8</v>
      </c>
      <c r="Z2164">
        <f>SUMIF(货件明细!J:J,E2164,货件明细!I:I)</f>
        <v>0</v>
      </c>
      <c r="AA2164">
        <f>IF(S2164=Z2164,0,1)</f>
        <v>1</v>
      </c>
    </row>
    <row r="2165" hidden="1" spans="1:27">
      <c r="A2165">
        <v>4</v>
      </c>
      <c r="B2165">
        <v>18</v>
      </c>
      <c r="C2165" s="3">
        <v>46141</v>
      </c>
      <c r="D2165" t="s">
        <v>27</v>
      </c>
      <c r="E2165" t="s">
        <v>2296</v>
      </c>
      <c r="F2165" t="s">
        <v>195</v>
      </c>
      <c r="G2165" t="s">
        <v>30</v>
      </c>
      <c r="H2165" t="s">
        <v>54</v>
      </c>
      <c r="I2165" t="s">
        <v>146</v>
      </c>
      <c r="J2165" t="s">
        <v>2115</v>
      </c>
      <c r="K2165" t="s">
        <v>64</v>
      </c>
      <c r="L2165" t="s">
        <v>65</v>
      </c>
      <c r="M2165" t="s">
        <v>1235</v>
      </c>
      <c r="N2165">
        <v>37.6</v>
      </c>
      <c r="O2165">
        <v>8.33333333333333</v>
      </c>
      <c r="P2165">
        <v>275.25</v>
      </c>
      <c r="Q2165">
        <v>283.583333333333</v>
      </c>
      <c r="R2165">
        <v>0</v>
      </c>
      <c r="S2165">
        <v>283.583333333333</v>
      </c>
      <c r="T2165">
        <v>238</v>
      </c>
      <c r="U2165">
        <f>SUMIF(货件明细!J:J,E2165,货件明细!AP:AP)</f>
        <v>0</v>
      </c>
      <c r="V2165">
        <f>IF(U2165=T2165,0,1)</f>
        <v>1</v>
      </c>
      <c r="W2165">
        <f>T2165</f>
        <v>238</v>
      </c>
      <c r="X2165">
        <f>SUMIF(货件明细!J:J,E2165,货件明细!H:H)</f>
        <v>0</v>
      </c>
      <c r="Y2165">
        <f>N2165-X2165</f>
        <v>37.6</v>
      </c>
      <c r="Z2165">
        <f>SUMIF(货件明细!J:J,E2165,货件明细!I:I)</f>
        <v>0</v>
      </c>
      <c r="AA2165">
        <f>IF(S2165=Z2165,0,1)</f>
        <v>1</v>
      </c>
    </row>
    <row r="2166" hidden="1" spans="1:27">
      <c r="A2166">
        <v>4</v>
      </c>
      <c r="B2166">
        <v>18</v>
      </c>
      <c r="C2166" s="3">
        <v>46141</v>
      </c>
      <c r="D2166" t="s">
        <v>27</v>
      </c>
      <c r="E2166" t="s">
        <v>2297</v>
      </c>
      <c r="F2166" t="s">
        <v>243</v>
      </c>
      <c r="G2166" t="s">
        <v>72</v>
      </c>
      <c r="H2166" t="s">
        <v>54</v>
      </c>
      <c r="I2166" t="s">
        <v>146</v>
      </c>
      <c r="J2166" t="s">
        <v>146</v>
      </c>
      <c r="K2166" t="s">
        <v>64</v>
      </c>
      <c r="L2166" t="s">
        <v>147</v>
      </c>
      <c r="M2166" t="s">
        <v>1545</v>
      </c>
      <c r="N2166">
        <v>37.6</v>
      </c>
      <c r="O2166">
        <v>8.82352941176471</v>
      </c>
      <c r="P2166">
        <v>195</v>
      </c>
      <c r="Q2166">
        <v>203.823529411765</v>
      </c>
      <c r="R2166">
        <v>0</v>
      </c>
      <c r="S2166">
        <v>203.823529411765</v>
      </c>
      <c r="T2166">
        <v>238</v>
      </c>
      <c r="U2166">
        <f>SUMIF(货件明细!J:J,E2166,货件明细!AP:AP)</f>
        <v>0</v>
      </c>
      <c r="V2166">
        <f>IF(U2166=T2166,0,1)</f>
        <v>1</v>
      </c>
      <c r="W2166">
        <f>T2166</f>
        <v>238</v>
      </c>
      <c r="X2166">
        <f>SUMIF(货件明细!J:J,E2166,货件明细!H:H)</f>
        <v>0</v>
      </c>
      <c r="Y2166">
        <f>N2166-X2166</f>
        <v>37.6</v>
      </c>
      <c r="Z2166">
        <f>SUMIF(货件明细!J:J,E2166,货件明细!I:I)</f>
        <v>0</v>
      </c>
      <c r="AA2166">
        <f>IF(S2166=Z2166,0,1)</f>
        <v>1</v>
      </c>
    </row>
    <row r="2167" hidden="1" spans="1:27">
      <c r="A2167">
        <v>4</v>
      </c>
      <c r="B2167">
        <v>18</v>
      </c>
      <c r="C2167" s="3">
        <v>46141</v>
      </c>
      <c r="D2167" t="s">
        <v>27</v>
      </c>
      <c r="E2167" t="s">
        <v>2298</v>
      </c>
      <c r="F2167" t="s">
        <v>250</v>
      </c>
      <c r="G2167" t="s">
        <v>72</v>
      </c>
      <c r="H2167" t="s">
        <v>54</v>
      </c>
      <c r="I2167" t="s">
        <v>146</v>
      </c>
      <c r="J2167" t="s">
        <v>146</v>
      </c>
      <c r="K2167" t="s">
        <v>64</v>
      </c>
      <c r="L2167" t="s">
        <v>147</v>
      </c>
      <c r="M2167" t="s">
        <v>1545</v>
      </c>
      <c r="N2167">
        <v>37.6</v>
      </c>
      <c r="O2167">
        <v>8.82352941176471</v>
      </c>
      <c r="P2167">
        <v>195</v>
      </c>
      <c r="Q2167">
        <v>203.823529411765</v>
      </c>
      <c r="R2167">
        <v>0</v>
      </c>
      <c r="S2167">
        <v>203.823529411765</v>
      </c>
      <c r="T2167">
        <v>238</v>
      </c>
      <c r="U2167">
        <f>SUMIF(货件明细!J:J,E2167,货件明细!AP:AP)</f>
        <v>0</v>
      </c>
      <c r="V2167">
        <f>IF(U2167=T2167,0,1)</f>
        <v>1</v>
      </c>
      <c r="W2167">
        <f>T2167</f>
        <v>238</v>
      </c>
      <c r="X2167">
        <f>SUMIF(货件明细!J:J,E2167,货件明细!H:H)</f>
        <v>0</v>
      </c>
      <c r="Y2167">
        <f>N2167-X2167</f>
        <v>37.6</v>
      </c>
      <c r="Z2167">
        <f>SUMIF(货件明细!J:J,E2167,货件明细!I:I)</f>
        <v>0</v>
      </c>
      <c r="AA2167">
        <f>IF(S2167=Z2167,0,1)</f>
        <v>1</v>
      </c>
    </row>
    <row r="2168" hidden="1" spans="1:27">
      <c r="A2168">
        <v>4</v>
      </c>
      <c r="B2168">
        <v>18</v>
      </c>
      <c r="C2168" s="3">
        <v>46141</v>
      </c>
      <c r="D2168" t="s">
        <v>27</v>
      </c>
      <c r="E2168" t="s">
        <v>2299</v>
      </c>
      <c r="F2168" t="s">
        <v>200</v>
      </c>
      <c r="G2168" t="s">
        <v>30</v>
      </c>
      <c r="H2168" t="s">
        <v>54</v>
      </c>
      <c r="I2168" t="s">
        <v>146</v>
      </c>
      <c r="J2168" t="s">
        <v>2115</v>
      </c>
      <c r="K2168" t="s">
        <v>64</v>
      </c>
      <c r="L2168" t="s">
        <v>65</v>
      </c>
      <c r="M2168" t="s">
        <v>1235</v>
      </c>
      <c r="N2168">
        <v>37.6</v>
      </c>
      <c r="O2168">
        <v>8.33333333333333</v>
      </c>
      <c r="P2168">
        <v>270</v>
      </c>
      <c r="Q2168">
        <v>278.333333333333</v>
      </c>
      <c r="R2168">
        <v>0</v>
      </c>
      <c r="S2168">
        <v>278.333333333333</v>
      </c>
      <c r="T2168">
        <v>238</v>
      </c>
      <c r="U2168">
        <f>SUMIF(货件明细!J:J,E2168,货件明细!AP:AP)</f>
        <v>0</v>
      </c>
      <c r="V2168">
        <f>IF(U2168=T2168,0,1)</f>
        <v>1</v>
      </c>
      <c r="W2168">
        <f>T2168</f>
        <v>238</v>
      </c>
      <c r="X2168">
        <f>SUMIF(货件明细!J:J,E2168,货件明细!H:H)</f>
        <v>0</v>
      </c>
      <c r="Y2168">
        <f>N2168-X2168</f>
        <v>37.6</v>
      </c>
      <c r="Z2168">
        <f>SUMIF(货件明细!J:J,E2168,货件明细!I:I)</f>
        <v>0</v>
      </c>
      <c r="AA2168">
        <f>IF(S2168=Z2168,0,1)</f>
        <v>1</v>
      </c>
    </row>
    <row r="2169" hidden="1" spans="1:27">
      <c r="A2169">
        <v>4</v>
      </c>
      <c r="B2169">
        <v>18</v>
      </c>
      <c r="C2169" s="3">
        <v>46141</v>
      </c>
      <c r="D2169" t="s">
        <v>27</v>
      </c>
      <c r="E2169" t="s">
        <v>2300</v>
      </c>
      <c r="F2169" t="s">
        <v>76</v>
      </c>
      <c r="G2169" t="s">
        <v>72</v>
      </c>
      <c r="H2169" t="s">
        <v>54</v>
      </c>
      <c r="I2169" t="s">
        <v>146</v>
      </c>
      <c r="J2169" t="s">
        <v>146</v>
      </c>
      <c r="K2169" t="s">
        <v>64</v>
      </c>
      <c r="L2169" t="s">
        <v>147</v>
      </c>
      <c r="M2169" t="s">
        <v>1545</v>
      </c>
      <c r="N2169">
        <v>37.6</v>
      </c>
      <c r="O2169">
        <v>8.82352941176471</v>
      </c>
      <c r="P2169">
        <v>177</v>
      </c>
      <c r="Q2169">
        <v>185.823529411765</v>
      </c>
      <c r="R2169">
        <v>0</v>
      </c>
      <c r="S2169">
        <v>185.823529411765</v>
      </c>
      <c r="T2169">
        <v>238</v>
      </c>
      <c r="U2169">
        <f>SUMIF(货件明细!J:J,E2169,货件明细!AP:AP)</f>
        <v>0</v>
      </c>
      <c r="V2169">
        <f>IF(U2169=T2169,0,1)</f>
        <v>1</v>
      </c>
      <c r="W2169">
        <f>T2169</f>
        <v>238</v>
      </c>
      <c r="X2169">
        <f>SUMIF(货件明细!J:J,E2169,货件明细!H:H)</f>
        <v>0</v>
      </c>
      <c r="Y2169">
        <f>N2169-X2169</f>
        <v>37.6</v>
      </c>
      <c r="Z2169">
        <f>SUMIF(货件明细!J:J,E2169,货件明细!I:I)</f>
        <v>0</v>
      </c>
      <c r="AA2169">
        <f>IF(S2169=Z2169,0,1)</f>
        <v>1</v>
      </c>
    </row>
    <row r="2170" hidden="1" spans="1:27">
      <c r="A2170">
        <v>4</v>
      </c>
      <c r="B2170">
        <v>18</v>
      </c>
      <c r="C2170" s="3">
        <v>46141</v>
      </c>
      <c r="D2170" t="s">
        <v>27</v>
      </c>
      <c r="E2170" t="s">
        <v>2301</v>
      </c>
      <c r="F2170" t="s">
        <v>195</v>
      </c>
      <c r="G2170" t="s">
        <v>30</v>
      </c>
      <c r="H2170" t="s">
        <v>37</v>
      </c>
      <c r="I2170" t="s">
        <v>146</v>
      </c>
      <c r="J2170" t="s">
        <v>2115</v>
      </c>
      <c r="K2170" t="s">
        <v>64</v>
      </c>
      <c r="L2170" t="s">
        <v>65</v>
      </c>
      <c r="M2170" t="s">
        <v>1235</v>
      </c>
      <c r="N2170">
        <v>53.85</v>
      </c>
      <c r="O2170">
        <v>8.33333333333333</v>
      </c>
      <c r="P2170">
        <v>330.3</v>
      </c>
      <c r="Q2170">
        <v>338.633333333333</v>
      </c>
      <c r="R2170">
        <v>0</v>
      </c>
      <c r="S2170">
        <v>338.633333333333</v>
      </c>
      <c r="T2170">
        <v>408</v>
      </c>
      <c r="U2170">
        <f>SUMIF(货件明细!J:J,E2170,货件明细!AP:AP)</f>
        <v>0</v>
      </c>
      <c r="V2170">
        <f>IF(U2170=T2170,0,1)</f>
        <v>1</v>
      </c>
      <c r="W2170">
        <f>T2170</f>
        <v>408</v>
      </c>
      <c r="X2170">
        <f>SUMIF(货件明细!J:J,E2170,货件明细!H:H)</f>
        <v>0</v>
      </c>
      <c r="Y2170">
        <f>N2170-X2170</f>
        <v>53.85</v>
      </c>
      <c r="Z2170">
        <f>SUMIF(货件明细!J:J,E2170,货件明细!I:I)</f>
        <v>0</v>
      </c>
      <c r="AA2170">
        <f>IF(S2170=Z2170,0,1)</f>
        <v>1</v>
      </c>
    </row>
    <row r="2171" hidden="1" spans="1:27">
      <c r="A2171">
        <v>4</v>
      </c>
      <c r="B2171">
        <v>18</v>
      </c>
      <c r="C2171" s="3">
        <v>46141</v>
      </c>
      <c r="D2171" t="s">
        <v>27</v>
      </c>
      <c r="E2171" t="s">
        <v>2302</v>
      </c>
      <c r="F2171" t="s">
        <v>243</v>
      </c>
      <c r="G2171" t="s">
        <v>72</v>
      </c>
      <c r="H2171" t="s">
        <v>37</v>
      </c>
      <c r="I2171" t="s">
        <v>146</v>
      </c>
      <c r="J2171" t="s">
        <v>146</v>
      </c>
      <c r="K2171" t="s">
        <v>64</v>
      </c>
      <c r="L2171" t="s">
        <v>147</v>
      </c>
      <c r="M2171" t="s">
        <v>1545</v>
      </c>
      <c r="N2171">
        <v>53.85</v>
      </c>
      <c r="O2171">
        <v>8.82352941176471</v>
      </c>
      <c r="P2171">
        <v>234</v>
      </c>
      <c r="Q2171">
        <v>242.823529411765</v>
      </c>
      <c r="R2171">
        <v>0</v>
      </c>
      <c r="S2171">
        <v>242.823529411765</v>
      </c>
      <c r="T2171">
        <v>408</v>
      </c>
      <c r="U2171">
        <f>SUMIF(货件明细!J:J,E2171,货件明细!AP:AP)</f>
        <v>0</v>
      </c>
      <c r="V2171">
        <f>IF(U2171=T2171,0,1)</f>
        <v>1</v>
      </c>
      <c r="W2171">
        <f>T2171</f>
        <v>408</v>
      </c>
      <c r="X2171">
        <f>SUMIF(货件明细!J:J,E2171,货件明细!H:H)</f>
        <v>0</v>
      </c>
      <c r="Y2171">
        <f>N2171-X2171</f>
        <v>53.85</v>
      </c>
      <c r="Z2171">
        <f>SUMIF(货件明细!J:J,E2171,货件明细!I:I)</f>
        <v>0</v>
      </c>
      <c r="AA2171">
        <f>IF(S2171=Z2171,0,1)</f>
        <v>1</v>
      </c>
    </row>
    <row r="2172" hidden="1" spans="1:27">
      <c r="A2172">
        <v>4</v>
      </c>
      <c r="B2172">
        <v>18</v>
      </c>
      <c r="C2172" s="3">
        <v>46141</v>
      </c>
      <c r="D2172" t="s">
        <v>27</v>
      </c>
      <c r="E2172" t="s">
        <v>2303</v>
      </c>
      <c r="F2172" t="s">
        <v>250</v>
      </c>
      <c r="G2172" t="s">
        <v>72</v>
      </c>
      <c r="H2172" t="s">
        <v>37</v>
      </c>
      <c r="I2172" t="s">
        <v>146</v>
      </c>
      <c r="J2172" t="s">
        <v>146</v>
      </c>
      <c r="K2172" t="s">
        <v>64</v>
      </c>
      <c r="L2172" t="s">
        <v>147</v>
      </c>
      <c r="M2172" t="s">
        <v>1545</v>
      </c>
      <c r="N2172">
        <v>53.85</v>
      </c>
      <c r="O2172">
        <v>8.82352941176471</v>
      </c>
      <c r="P2172">
        <v>234</v>
      </c>
      <c r="Q2172">
        <v>242.823529411765</v>
      </c>
      <c r="R2172">
        <v>0</v>
      </c>
      <c r="S2172">
        <v>242.823529411765</v>
      </c>
      <c r="T2172">
        <v>408</v>
      </c>
      <c r="U2172">
        <f>SUMIF(货件明细!J:J,E2172,货件明细!AP:AP)</f>
        <v>0</v>
      </c>
      <c r="V2172">
        <f>IF(U2172=T2172,0,1)</f>
        <v>1</v>
      </c>
      <c r="W2172">
        <f>T2172</f>
        <v>408</v>
      </c>
      <c r="X2172">
        <f>SUMIF(货件明细!J:J,E2172,货件明细!H:H)</f>
        <v>0</v>
      </c>
      <c r="Y2172">
        <f>N2172-X2172</f>
        <v>53.85</v>
      </c>
      <c r="Z2172">
        <f>SUMIF(货件明细!J:J,E2172,货件明细!I:I)</f>
        <v>0</v>
      </c>
      <c r="AA2172">
        <f>IF(S2172=Z2172,0,1)</f>
        <v>1</v>
      </c>
    </row>
    <row r="2173" hidden="1" spans="1:27">
      <c r="A2173">
        <v>4</v>
      </c>
      <c r="B2173">
        <v>18</v>
      </c>
      <c r="C2173" s="3">
        <v>46141</v>
      </c>
      <c r="D2173" t="s">
        <v>27</v>
      </c>
      <c r="E2173" t="s">
        <v>2304</v>
      </c>
      <c r="F2173" t="s">
        <v>200</v>
      </c>
      <c r="G2173" t="s">
        <v>30</v>
      </c>
      <c r="H2173" t="s">
        <v>37</v>
      </c>
      <c r="I2173" t="s">
        <v>146</v>
      </c>
      <c r="J2173" t="s">
        <v>2115</v>
      </c>
      <c r="K2173" t="s">
        <v>64</v>
      </c>
      <c r="L2173" t="s">
        <v>65</v>
      </c>
      <c r="M2173" t="s">
        <v>1235</v>
      </c>
      <c r="N2173">
        <v>53.85</v>
      </c>
      <c r="O2173">
        <v>8.33333333333333</v>
      </c>
      <c r="P2173">
        <v>324</v>
      </c>
      <c r="Q2173">
        <v>332.333333333333</v>
      </c>
      <c r="R2173">
        <v>0</v>
      </c>
      <c r="S2173">
        <v>332.333333333333</v>
      </c>
      <c r="T2173">
        <v>408</v>
      </c>
      <c r="U2173">
        <f>SUMIF(货件明细!J:J,E2173,货件明细!AP:AP)</f>
        <v>0</v>
      </c>
      <c r="V2173">
        <f>IF(U2173=T2173,0,1)</f>
        <v>1</v>
      </c>
      <c r="W2173">
        <f>T2173</f>
        <v>408</v>
      </c>
      <c r="X2173">
        <f>SUMIF(货件明细!J:J,E2173,货件明细!H:H)</f>
        <v>0</v>
      </c>
      <c r="Y2173">
        <f>N2173-X2173</f>
        <v>53.85</v>
      </c>
      <c r="Z2173">
        <f>SUMIF(货件明细!J:J,E2173,货件明细!I:I)</f>
        <v>0</v>
      </c>
      <c r="AA2173">
        <f>IF(S2173=Z2173,0,1)</f>
        <v>1</v>
      </c>
    </row>
    <row r="2174" hidden="1" spans="1:27">
      <c r="A2174">
        <v>4</v>
      </c>
      <c r="B2174">
        <v>18</v>
      </c>
      <c r="C2174" s="3">
        <v>46141</v>
      </c>
      <c r="D2174" t="s">
        <v>27</v>
      </c>
      <c r="E2174" t="s">
        <v>2305</v>
      </c>
      <c r="F2174" t="s">
        <v>76</v>
      </c>
      <c r="G2174" t="s">
        <v>72</v>
      </c>
      <c r="H2174" t="s">
        <v>37</v>
      </c>
      <c r="I2174" t="s">
        <v>146</v>
      </c>
      <c r="J2174" t="s">
        <v>146</v>
      </c>
      <c r="K2174" t="s">
        <v>64</v>
      </c>
      <c r="L2174" t="s">
        <v>147</v>
      </c>
      <c r="M2174" t="s">
        <v>1545</v>
      </c>
      <c r="N2174">
        <v>53.85</v>
      </c>
      <c r="O2174">
        <v>8.82352941176471</v>
      </c>
      <c r="P2174">
        <v>212.4</v>
      </c>
      <c r="Q2174">
        <v>221.223529411765</v>
      </c>
      <c r="R2174">
        <v>0</v>
      </c>
      <c r="S2174">
        <v>221.223529411765</v>
      </c>
      <c r="T2174">
        <v>408</v>
      </c>
      <c r="U2174">
        <f>SUMIF(货件明细!J:J,E2174,货件明细!AP:AP)</f>
        <v>0</v>
      </c>
      <c r="V2174">
        <f>IF(U2174=T2174,0,1)</f>
        <v>1</v>
      </c>
      <c r="W2174">
        <f>T2174</f>
        <v>408</v>
      </c>
      <c r="X2174">
        <f>SUMIF(货件明细!J:J,E2174,货件明细!H:H)</f>
        <v>0</v>
      </c>
      <c r="Y2174">
        <f>N2174-X2174</f>
        <v>53.85</v>
      </c>
      <c r="Z2174">
        <f>SUMIF(货件明细!J:J,E2174,货件明细!I:I)</f>
        <v>0</v>
      </c>
      <c r="AA2174">
        <f>IF(S2174=Z2174,0,1)</f>
        <v>1</v>
      </c>
    </row>
    <row r="2175" hidden="1" spans="1:27">
      <c r="A2175">
        <v>4</v>
      </c>
      <c r="B2175">
        <v>18</v>
      </c>
      <c r="C2175" s="3">
        <v>46141</v>
      </c>
      <c r="D2175" t="s">
        <v>27</v>
      </c>
      <c r="E2175" t="s">
        <v>2306</v>
      </c>
      <c r="F2175" t="s">
        <v>195</v>
      </c>
      <c r="G2175" t="s">
        <v>30</v>
      </c>
      <c r="H2175" t="s">
        <v>31</v>
      </c>
      <c r="I2175" t="s">
        <v>146</v>
      </c>
      <c r="J2175" t="s">
        <v>146</v>
      </c>
      <c r="K2175" t="s">
        <v>64</v>
      </c>
      <c r="L2175" t="s">
        <v>147</v>
      </c>
      <c r="M2175" t="s">
        <v>148</v>
      </c>
      <c r="N2175">
        <v>112.3</v>
      </c>
      <c r="O2175">
        <v>25</v>
      </c>
      <c r="P2175">
        <v>791.2</v>
      </c>
      <c r="Q2175">
        <v>816.2</v>
      </c>
      <c r="R2175">
        <v>0</v>
      </c>
      <c r="S2175">
        <v>816.2</v>
      </c>
      <c r="T2175">
        <v>715</v>
      </c>
      <c r="U2175">
        <f>SUMIF(货件明细!J:J,E2175,货件明细!AP:AP)</f>
        <v>0</v>
      </c>
      <c r="V2175">
        <f>IF(U2175=T2175,0,1)</f>
        <v>1</v>
      </c>
      <c r="W2175">
        <f>T2175</f>
        <v>715</v>
      </c>
      <c r="X2175">
        <f>SUMIF(货件明细!J:J,E2175,货件明细!H:H)</f>
        <v>0</v>
      </c>
      <c r="Y2175">
        <f>N2175-X2175</f>
        <v>112.3</v>
      </c>
      <c r="Z2175">
        <f>SUMIF(货件明细!J:J,E2175,货件明细!I:I)</f>
        <v>0</v>
      </c>
      <c r="AA2175">
        <f>IF(S2175=Z2175,0,1)</f>
        <v>1</v>
      </c>
    </row>
    <row r="2176" hidden="1" spans="1:27">
      <c r="A2176">
        <v>4</v>
      </c>
      <c r="B2176">
        <v>18</v>
      </c>
      <c r="C2176" s="3">
        <v>46141</v>
      </c>
      <c r="D2176" t="s">
        <v>27</v>
      </c>
      <c r="E2176" t="s">
        <v>2307</v>
      </c>
      <c r="F2176" t="s">
        <v>243</v>
      </c>
      <c r="G2176" t="s">
        <v>72</v>
      </c>
      <c r="H2176" t="s">
        <v>31</v>
      </c>
      <c r="I2176" t="s">
        <v>146</v>
      </c>
      <c r="J2176" t="s">
        <v>146</v>
      </c>
      <c r="K2176" t="s">
        <v>64</v>
      </c>
      <c r="L2176" t="s">
        <v>147</v>
      </c>
      <c r="M2176" t="s">
        <v>1545</v>
      </c>
      <c r="N2176">
        <v>112.3</v>
      </c>
      <c r="O2176">
        <v>8.33333333333333</v>
      </c>
      <c r="P2176">
        <v>598</v>
      </c>
      <c r="Q2176">
        <v>606.333333333333</v>
      </c>
      <c r="R2176">
        <v>0</v>
      </c>
      <c r="S2176">
        <v>606.333333333333</v>
      </c>
      <c r="T2176">
        <v>714</v>
      </c>
      <c r="U2176">
        <f>SUMIF(货件明细!J:J,E2176,货件明细!AP:AP)</f>
        <v>0</v>
      </c>
      <c r="V2176">
        <f>IF(U2176=T2176,0,1)</f>
        <v>1</v>
      </c>
      <c r="W2176">
        <f>T2176</f>
        <v>714</v>
      </c>
      <c r="X2176">
        <f>SUMIF(货件明细!J:J,E2176,货件明细!H:H)</f>
        <v>0</v>
      </c>
      <c r="Y2176">
        <f>N2176-X2176</f>
        <v>112.3</v>
      </c>
      <c r="Z2176">
        <f>SUMIF(货件明细!J:J,E2176,货件明细!I:I)</f>
        <v>0</v>
      </c>
      <c r="AA2176">
        <f>IF(S2176=Z2176,0,1)</f>
        <v>1</v>
      </c>
    </row>
    <row r="2177" hidden="1" spans="1:27">
      <c r="A2177">
        <v>4</v>
      </c>
      <c r="B2177">
        <v>18</v>
      </c>
      <c r="C2177" s="3">
        <v>46141</v>
      </c>
      <c r="D2177" t="s">
        <v>27</v>
      </c>
      <c r="E2177" t="s">
        <v>2308</v>
      </c>
      <c r="F2177" t="s">
        <v>250</v>
      </c>
      <c r="G2177" t="s">
        <v>72</v>
      </c>
      <c r="H2177" t="s">
        <v>31</v>
      </c>
      <c r="I2177" t="s">
        <v>146</v>
      </c>
      <c r="J2177" t="s">
        <v>146</v>
      </c>
      <c r="K2177" t="s">
        <v>64</v>
      </c>
      <c r="L2177" t="s">
        <v>147</v>
      </c>
      <c r="M2177" t="s">
        <v>1545</v>
      </c>
      <c r="N2177">
        <v>112.3</v>
      </c>
      <c r="O2177">
        <v>8.33333333333333</v>
      </c>
      <c r="P2177">
        <v>598</v>
      </c>
      <c r="Q2177">
        <v>606.333333333333</v>
      </c>
      <c r="R2177">
        <v>0</v>
      </c>
      <c r="S2177">
        <v>606.333333333333</v>
      </c>
      <c r="T2177">
        <v>715</v>
      </c>
      <c r="U2177">
        <f>SUMIF(货件明细!J:J,E2177,货件明细!AP:AP)</f>
        <v>0</v>
      </c>
      <c r="V2177">
        <f>IF(U2177=T2177,0,1)</f>
        <v>1</v>
      </c>
      <c r="W2177">
        <f>T2177</f>
        <v>715</v>
      </c>
      <c r="X2177">
        <f>SUMIF(货件明细!J:J,E2177,货件明细!H:H)</f>
        <v>0</v>
      </c>
      <c r="Y2177">
        <f>N2177-X2177</f>
        <v>112.3</v>
      </c>
      <c r="Z2177">
        <f>SUMIF(货件明细!J:J,E2177,货件明细!I:I)</f>
        <v>0</v>
      </c>
      <c r="AA2177">
        <f>IF(S2177=Z2177,0,1)</f>
        <v>1</v>
      </c>
    </row>
    <row r="2178" hidden="1" spans="1:27">
      <c r="A2178">
        <v>4</v>
      </c>
      <c r="B2178">
        <v>18</v>
      </c>
      <c r="C2178" s="3">
        <v>46141</v>
      </c>
      <c r="D2178" t="s">
        <v>27</v>
      </c>
      <c r="E2178" t="s">
        <v>2309</v>
      </c>
      <c r="F2178" t="s">
        <v>200</v>
      </c>
      <c r="G2178" t="s">
        <v>30</v>
      </c>
      <c r="H2178" t="s">
        <v>31</v>
      </c>
      <c r="I2178" t="s">
        <v>146</v>
      </c>
      <c r="J2178" t="s">
        <v>146</v>
      </c>
      <c r="K2178" t="s">
        <v>64</v>
      </c>
      <c r="L2178" t="s">
        <v>147</v>
      </c>
      <c r="M2178" t="s">
        <v>148</v>
      </c>
      <c r="N2178">
        <v>112.3</v>
      </c>
      <c r="O2178">
        <v>25</v>
      </c>
      <c r="P2178">
        <v>897.7</v>
      </c>
      <c r="Q2178">
        <v>922.7</v>
      </c>
      <c r="R2178">
        <v>0</v>
      </c>
      <c r="S2178">
        <v>922.7</v>
      </c>
      <c r="T2178">
        <v>715</v>
      </c>
      <c r="U2178">
        <f>SUMIF(货件明细!J:J,E2178,货件明细!AP:AP)</f>
        <v>0</v>
      </c>
      <c r="V2178">
        <f>IF(U2178=T2178,0,1)</f>
        <v>1</v>
      </c>
      <c r="W2178">
        <f>T2178</f>
        <v>715</v>
      </c>
      <c r="X2178">
        <f>SUMIF(货件明细!J:J,E2178,货件明细!H:H)</f>
        <v>0</v>
      </c>
      <c r="Y2178">
        <f>N2178-X2178</f>
        <v>112.3</v>
      </c>
      <c r="Z2178">
        <f>SUMIF(货件明细!J:J,E2178,货件明细!I:I)</f>
        <v>0</v>
      </c>
      <c r="AA2178">
        <f>IF(S2178=Z2178,0,1)</f>
        <v>1</v>
      </c>
    </row>
    <row r="2179" hidden="1" spans="1:27">
      <c r="A2179">
        <v>4</v>
      </c>
      <c r="B2179">
        <v>18</v>
      </c>
      <c r="C2179" s="3">
        <v>46141</v>
      </c>
      <c r="D2179" t="s">
        <v>27</v>
      </c>
      <c r="E2179" t="s">
        <v>2310</v>
      </c>
      <c r="F2179" t="s">
        <v>76</v>
      </c>
      <c r="G2179" t="s">
        <v>72</v>
      </c>
      <c r="H2179" t="s">
        <v>31</v>
      </c>
      <c r="I2179" t="s">
        <v>146</v>
      </c>
      <c r="J2179" t="s">
        <v>146</v>
      </c>
      <c r="K2179" t="s">
        <v>64</v>
      </c>
      <c r="L2179" t="s">
        <v>147</v>
      </c>
      <c r="M2179" t="s">
        <v>1545</v>
      </c>
      <c r="N2179">
        <v>112.3</v>
      </c>
      <c r="O2179">
        <v>8.33333333333333</v>
      </c>
      <c r="P2179">
        <v>542.8</v>
      </c>
      <c r="Q2179">
        <v>551.133333333333</v>
      </c>
      <c r="R2179">
        <v>0</v>
      </c>
      <c r="S2179">
        <v>551.133333333333</v>
      </c>
      <c r="T2179">
        <v>715</v>
      </c>
      <c r="U2179">
        <f>SUMIF(货件明细!J:J,E2179,货件明细!AP:AP)</f>
        <v>0</v>
      </c>
      <c r="V2179">
        <f>IF(U2179=T2179,0,1)</f>
        <v>1</v>
      </c>
      <c r="W2179">
        <f>T2179</f>
        <v>715</v>
      </c>
      <c r="X2179">
        <f>SUMIF(货件明细!J:J,E2179,货件明细!H:H)</f>
        <v>0</v>
      </c>
      <c r="Y2179">
        <f>N2179-X2179</f>
        <v>112.3</v>
      </c>
      <c r="Z2179">
        <f>SUMIF(货件明细!J:J,E2179,货件明细!I:I)</f>
        <v>0</v>
      </c>
      <c r="AA2179">
        <f>IF(S2179=Z2179,0,1)</f>
        <v>1</v>
      </c>
    </row>
    <row r="2180" hidden="1" spans="1:27">
      <c r="A2180">
        <v>4</v>
      </c>
      <c r="B2180">
        <v>18</v>
      </c>
      <c r="C2180" s="3">
        <v>46141</v>
      </c>
      <c r="D2180" t="s">
        <v>27</v>
      </c>
      <c r="E2180" t="s">
        <v>2311</v>
      </c>
      <c r="F2180" t="s">
        <v>68</v>
      </c>
      <c r="G2180" t="s">
        <v>69</v>
      </c>
      <c r="H2180" t="s">
        <v>224</v>
      </c>
      <c r="I2180" t="s">
        <v>146</v>
      </c>
      <c r="J2180" t="s">
        <v>2115</v>
      </c>
      <c r="K2180" t="s">
        <v>64</v>
      </c>
      <c r="L2180" t="s">
        <v>65</v>
      </c>
      <c r="M2180" t="s">
        <v>1235</v>
      </c>
      <c r="N2180">
        <v>41.55</v>
      </c>
      <c r="O2180">
        <v>8.33333333333333</v>
      </c>
      <c r="P2180">
        <v>240.8</v>
      </c>
      <c r="Q2180">
        <v>249.133333333333</v>
      </c>
      <c r="R2180">
        <v>0</v>
      </c>
      <c r="S2180">
        <v>249.133333333333</v>
      </c>
      <c r="T2180">
        <v>301</v>
      </c>
      <c r="U2180">
        <f>SUMIF(货件明细!J:J,E2180,货件明细!AP:AP)</f>
        <v>0</v>
      </c>
      <c r="V2180">
        <f>IF(U2180=T2180,0,1)</f>
        <v>1</v>
      </c>
      <c r="W2180">
        <f>T2180</f>
        <v>301</v>
      </c>
      <c r="X2180">
        <f>SUMIF(货件明细!J:J,E2180,货件明细!H:H)</f>
        <v>0</v>
      </c>
      <c r="Y2180">
        <f>N2180-X2180</f>
        <v>41.55</v>
      </c>
      <c r="Z2180">
        <f>SUMIF(货件明细!J:J,E2180,货件明细!I:I)</f>
        <v>0</v>
      </c>
      <c r="AA2180">
        <f>IF(S2180=Z2180,0,1)</f>
        <v>1</v>
      </c>
    </row>
    <row r="2181" hidden="1" spans="1:27">
      <c r="A2181">
        <v>4</v>
      </c>
      <c r="B2181">
        <v>18</v>
      </c>
      <c r="C2181" s="3">
        <v>46141</v>
      </c>
      <c r="D2181" t="s">
        <v>27</v>
      </c>
      <c r="E2181" t="s">
        <v>2312</v>
      </c>
      <c r="F2181" t="s">
        <v>141</v>
      </c>
      <c r="G2181" t="s">
        <v>69</v>
      </c>
      <c r="H2181" t="s">
        <v>224</v>
      </c>
      <c r="I2181" t="s">
        <v>146</v>
      </c>
      <c r="J2181" t="s">
        <v>2115</v>
      </c>
      <c r="K2181" t="s">
        <v>64</v>
      </c>
      <c r="L2181" t="s">
        <v>65</v>
      </c>
      <c r="M2181" t="s">
        <v>1235</v>
      </c>
      <c r="N2181">
        <v>41.55</v>
      </c>
      <c r="O2181">
        <v>8.33333333333333</v>
      </c>
      <c r="P2181">
        <v>246.4</v>
      </c>
      <c r="Q2181">
        <v>254.733333333333</v>
      </c>
      <c r="R2181">
        <v>0</v>
      </c>
      <c r="S2181">
        <v>254.733333333333</v>
      </c>
      <c r="T2181">
        <v>302</v>
      </c>
      <c r="U2181">
        <f>SUMIF(货件明细!J:J,E2181,货件明细!AP:AP)</f>
        <v>0</v>
      </c>
      <c r="V2181">
        <f>IF(U2181=T2181,0,1)</f>
        <v>1</v>
      </c>
      <c r="W2181">
        <f>T2181</f>
        <v>302</v>
      </c>
      <c r="X2181">
        <f>SUMIF(货件明细!J:J,E2181,货件明细!H:H)</f>
        <v>0</v>
      </c>
      <c r="Y2181">
        <f>N2181-X2181</f>
        <v>41.55</v>
      </c>
      <c r="Z2181">
        <f>SUMIF(货件明细!J:J,E2181,货件明细!I:I)</f>
        <v>0</v>
      </c>
      <c r="AA2181">
        <f>IF(S2181=Z2181,0,1)</f>
        <v>1</v>
      </c>
    </row>
    <row r="2182" hidden="1" spans="1:27">
      <c r="A2182">
        <v>4</v>
      </c>
      <c r="B2182">
        <v>18</v>
      </c>
      <c r="C2182" s="3">
        <v>46141</v>
      </c>
      <c r="D2182" t="s">
        <v>27</v>
      </c>
      <c r="E2182" t="s">
        <v>2313</v>
      </c>
      <c r="F2182" t="s">
        <v>198</v>
      </c>
      <c r="G2182" t="s">
        <v>69</v>
      </c>
      <c r="H2182" t="s">
        <v>224</v>
      </c>
      <c r="I2182" t="s">
        <v>146</v>
      </c>
      <c r="J2182" t="s">
        <v>2115</v>
      </c>
      <c r="K2182" t="s">
        <v>64</v>
      </c>
      <c r="L2182" t="s">
        <v>65</v>
      </c>
      <c r="M2182" t="s">
        <v>1235</v>
      </c>
      <c r="N2182">
        <v>41.55</v>
      </c>
      <c r="O2182">
        <v>8.33333333333333</v>
      </c>
      <c r="P2182">
        <v>240.8</v>
      </c>
      <c r="Q2182">
        <v>249.133333333333</v>
      </c>
      <c r="R2182">
        <v>0</v>
      </c>
      <c r="S2182">
        <v>249.133333333333</v>
      </c>
      <c r="T2182">
        <v>300</v>
      </c>
      <c r="U2182">
        <f>SUMIF(货件明细!J:J,E2182,货件明细!AP:AP)</f>
        <v>0</v>
      </c>
      <c r="V2182">
        <f>IF(U2182=T2182,0,1)</f>
        <v>1</v>
      </c>
      <c r="W2182">
        <f>T2182</f>
        <v>300</v>
      </c>
      <c r="X2182">
        <f>SUMIF(货件明细!J:J,E2182,货件明细!H:H)</f>
        <v>0</v>
      </c>
      <c r="Y2182">
        <f>N2182-X2182</f>
        <v>41.55</v>
      </c>
      <c r="Z2182">
        <f>SUMIF(货件明细!J:J,E2182,货件明细!I:I)</f>
        <v>0</v>
      </c>
      <c r="AA2182">
        <f>IF(S2182=Z2182,0,1)</f>
        <v>1</v>
      </c>
    </row>
    <row r="2183" hidden="1" spans="1:27">
      <c r="A2183">
        <v>4</v>
      </c>
      <c r="B2183">
        <v>18</v>
      </c>
      <c r="C2183" s="3">
        <v>46141</v>
      </c>
      <c r="D2183" t="s">
        <v>27</v>
      </c>
      <c r="E2183" t="s">
        <v>2314</v>
      </c>
      <c r="F2183" t="s">
        <v>1820</v>
      </c>
      <c r="G2183" t="s">
        <v>72</v>
      </c>
      <c r="H2183" t="s">
        <v>224</v>
      </c>
      <c r="I2183" t="s">
        <v>146</v>
      </c>
      <c r="J2183" t="s">
        <v>146</v>
      </c>
      <c r="K2183" t="s">
        <v>64</v>
      </c>
      <c r="L2183" t="s">
        <v>147</v>
      </c>
      <c r="M2183" t="s">
        <v>1545</v>
      </c>
      <c r="N2183">
        <v>41.55</v>
      </c>
      <c r="O2183">
        <v>8.82352941176471</v>
      </c>
      <c r="P2183">
        <v>182</v>
      </c>
      <c r="Q2183">
        <v>190.823529411765</v>
      </c>
      <c r="R2183">
        <v>0</v>
      </c>
      <c r="S2183">
        <v>190.823529411765</v>
      </c>
      <c r="T2183">
        <v>300</v>
      </c>
      <c r="U2183">
        <f>SUMIF(货件明细!J:J,E2183,货件明细!AP:AP)</f>
        <v>0</v>
      </c>
      <c r="V2183">
        <f>IF(U2183=T2183,0,1)</f>
        <v>1</v>
      </c>
      <c r="W2183">
        <f>T2183</f>
        <v>300</v>
      </c>
      <c r="X2183">
        <f>SUMIF(货件明细!J:J,E2183,货件明细!H:H)</f>
        <v>0</v>
      </c>
      <c r="Y2183">
        <f>N2183-X2183</f>
        <v>41.55</v>
      </c>
      <c r="Z2183">
        <f>SUMIF(货件明细!J:J,E2183,货件明细!I:I)</f>
        <v>0</v>
      </c>
      <c r="AA2183">
        <f>IF(S2183=Z2183,0,1)</f>
        <v>1</v>
      </c>
    </row>
    <row r="2184" hidden="1" spans="1:27">
      <c r="A2184">
        <v>4</v>
      </c>
      <c r="B2184">
        <v>18</v>
      </c>
      <c r="C2184" s="3">
        <v>46141</v>
      </c>
      <c r="D2184" t="s">
        <v>27</v>
      </c>
      <c r="E2184" t="s">
        <v>2315</v>
      </c>
      <c r="F2184" t="s">
        <v>942</v>
      </c>
      <c r="G2184" t="s">
        <v>30</v>
      </c>
      <c r="H2184" t="s">
        <v>224</v>
      </c>
      <c r="I2184" t="s">
        <v>146</v>
      </c>
      <c r="J2184" t="s">
        <v>2115</v>
      </c>
      <c r="K2184" t="s">
        <v>64</v>
      </c>
      <c r="L2184" t="s">
        <v>65</v>
      </c>
      <c r="M2184" t="s">
        <v>1235</v>
      </c>
      <c r="N2184">
        <v>41.55</v>
      </c>
      <c r="O2184">
        <v>8.33333333333333</v>
      </c>
      <c r="P2184">
        <v>256.9</v>
      </c>
      <c r="Q2184">
        <v>265.233333333333</v>
      </c>
      <c r="R2184">
        <v>0</v>
      </c>
      <c r="S2184">
        <v>265.233333333333</v>
      </c>
      <c r="T2184">
        <v>300</v>
      </c>
      <c r="U2184">
        <f>SUMIF(货件明细!J:J,E2184,货件明细!AP:AP)</f>
        <v>0</v>
      </c>
      <c r="V2184">
        <f>IF(U2184=T2184,0,1)</f>
        <v>1</v>
      </c>
      <c r="W2184">
        <f>T2184</f>
        <v>300</v>
      </c>
      <c r="X2184">
        <f>SUMIF(货件明细!J:J,E2184,货件明细!H:H)</f>
        <v>0</v>
      </c>
      <c r="Y2184">
        <f>N2184-X2184</f>
        <v>41.55</v>
      </c>
      <c r="Z2184">
        <f>SUMIF(货件明细!J:J,E2184,货件明细!I:I)</f>
        <v>0</v>
      </c>
      <c r="AA2184">
        <f>IF(S2184=Z2184,0,1)</f>
        <v>1</v>
      </c>
    </row>
    <row r="2185" hidden="1" spans="1:27">
      <c r="A2185">
        <v>4</v>
      </c>
      <c r="B2185">
        <v>18</v>
      </c>
      <c r="C2185" s="3">
        <v>46141</v>
      </c>
      <c r="D2185" t="s">
        <v>27</v>
      </c>
      <c r="E2185" t="s">
        <v>2316</v>
      </c>
      <c r="F2185" t="s">
        <v>195</v>
      </c>
      <c r="G2185" t="s">
        <v>30</v>
      </c>
      <c r="H2185" t="s">
        <v>51</v>
      </c>
      <c r="I2185" t="s">
        <v>146</v>
      </c>
      <c r="J2185" t="s">
        <v>146</v>
      </c>
      <c r="K2185" t="s">
        <v>64</v>
      </c>
      <c r="L2185" t="s">
        <v>147</v>
      </c>
      <c r="M2185" t="s">
        <v>148</v>
      </c>
      <c r="N2185">
        <v>26.95</v>
      </c>
      <c r="O2185">
        <v>25</v>
      </c>
      <c r="P2185">
        <v>172</v>
      </c>
      <c r="Q2185">
        <v>197</v>
      </c>
      <c r="R2185">
        <v>0</v>
      </c>
      <c r="S2185">
        <v>197</v>
      </c>
      <c r="T2185">
        <v>148</v>
      </c>
      <c r="U2185">
        <f>SUMIF(货件明细!J:J,E2185,货件明细!AP:AP)</f>
        <v>0</v>
      </c>
      <c r="V2185">
        <f>IF(U2185=T2185,0,1)</f>
        <v>1</v>
      </c>
      <c r="W2185">
        <f>T2185</f>
        <v>148</v>
      </c>
      <c r="X2185">
        <f>SUMIF(货件明细!J:J,E2185,货件明细!H:H)</f>
        <v>0</v>
      </c>
      <c r="Y2185">
        <f>N2185-X2185</f>
        <v>26.95</v>
      </c>
      <c r="Z2185">
        <f>SUMIF(货件明细!J:J,E2185,货件明细!I:I)</f>
        <v>0</v>
      </c>
      <c r="AA2185">
        <f>IF(S2185=Z2185,0,1)</f>
        <v>1</v>
      </c>
    </row>
    <row r="2186" hidden="1" spans="1:27">
      <c r="A2186">
        <v>4</v>
      </c>
      <c r="B2186">
        <v>18</v>
      </c>
      <c r="C2186" s="3">
        <v>46141</v>
      </c>
      <c r="D2186" t="s">
        <v>27</v>
      </c>
      <c r="E2186" t="s">
        <v>2317</v>
      </c>
      <c r="F2186" t="s">
        <v>243</v>
      </c>
      <c r="G2186" t="s">
        <v>72</v>
      </c>
      <c r="H2186" t="s">
        <v>51</v>
      </c>
      <c r="I2186" t="s">
        <v>146</v>
      </c>
      <c r="J2186" t="s">
        <v>146</v>
      </c>
      <c r="K2186" t="s">
        <v>64</v>
      </c>
      <c r="L2186" t="s">
        <v>147</v>
      </c>
      <c r="M2186" t="s">
        <v>1545</v>
      </c>
      <c r="N2186">
        <v>26.95</v>
      </c>
      <c r="O2186">
        <v>8.33333333333333</v>
      </c>
      <c r="P2186">
        <v>130</v>
      </c>
      <c r="Q2186">
        <v>138.333333333333</v>
      </c>
      <c r="R2186">
        <v>0</v>
      </c>
      <c r="S2186">
        <v>138.333333333333</v>
      </c>
      <c r="T2186">
        <v>148</v>
      </c>
      <c r="U2186">
        <f>SUMIF(货件明细!J:J,E2186,货件明细!AP:AP)</f>
        <v>0</v>
      </c>
      <c r="V2186">
        <f>IF(U2186=T2186,0,1)</f>
        <v>1</v>
      </c>
      <c r="W2186">
        <f>T2186</f>
        <v>148</v>
      </c>
      <c r="X2186">
        <f>SUMIF(货件明细!J:J,E2186,货件明细!H:H)</f>
        <v>0</v>
      </c>
      <c r="Y2186">
        <f>N2186-X2186</f>
        <v>26.95</v>
      </c>
      <c r="Z2186">
        <f>SUMIF(货件明细!J:J,E2186,货件明细!I:I)</f>
        <v>0</v>
      </c>
      <c r="AA2186">
        <f>IF(S2186=Z2186,0,1)</f>
        <v>1</v>
      </c>
    </row>
    <row r="2187" hidden="1" spans="1:27">
      <c r="A2187">
        <v>4</v>
      </c>
      <c r="B2187">
        <v>18</v>
      </c>
      <c r="C2187" s="3">
        <v>46141</v>
      </c>
      <c r="D2187" t="s">
        <v>27</v>
      </c>
      <c r="E2187" t="s">
        <v>2318</v>
      </c>
      <c r="F2187" t="s">
        <v>250</v>
      </c>
      <c r="G2187" t="s">
        <v>72</v>
      </c>
      <c r="H2187" t="s">
        <v>51</v>
      </c>
      <c r="I2187" t="s">
        <v>146</v>
      </c>
      <c r="J2187" t="s">
        <v>146</v>
      </c>
      <c r="K2187" t="s">
        <v>64</v>
      </c>
      <c r="L2187" t="s">
        <v>147</v>
      </c>
      <c r="M2187" t="s">
        <v>1545</v>
      </c>
      <c r="N2187">
        <v>26.95</v>
      </c>
      <c r="O2187">
        <v>8.33333333333333</v>
      </c>
      <c r="P2187">
        <v>130</v>
      </c>
      <c r="Q2187">
        <v>138.333333333333</v>
      </c>
      <c r="R2187">
        <v>0</v>
      </c>
      <c r="S2187">
        <v>138.333333333333</v>
      </c>
      <c r="T2187">
        <v>148</v>
      </c>
      <c r="U2187">
        <f>SUMIF(货件明细!J:J,E2187,货件明细!AP:AP)</f>
        <v>0</v>
      </c>
      <c r="V2187">
        <f>IF(U2187=T2187,0,1)</f>
        <v>1</v>
      </c>
      <c r="W2187">
        <f>T2187</f>
        <v>148</v>
      </c>
      <c r="X2187">
        <f>SUMIF(货件明细!J:J,E2187,货件明细!H:H)</f>
        <v>0</v>
      </c>
      <c r="Y2187">
        <f>N2187-X2187</f>
        <v>26.95</v>
      </c>
      <c r="Z2187">
        <f>SUMIF(货件明细!J:J,E2187,货件明细!I:I)</f>
        <v>0</v>
      </c>
      <c r="AA2187">
        <f>IF(S2187=Z2187,0,1)</f>
        <v>1</v>
      </c>
    </row>
    <row r="2188" hidden="1" spans="1:27">
      <c r="A2188">
        <v>4</v>
      </c>
      <c r="B2188">
        <v>18</v>
      </c>
      <c r="C2188" s="3">
        <v>46141</v>
      </c>
      <c r="D2188" t="s">
        <v>27</v>
      </c>
      <c r="E2188" t="s">
        <v>2319</v>
      </c>
      <c r="F2188" t="s">
        <v>200</v>
      </c>
      <c r="G2188" t="s">
        <v>30</v>
      </c>
      <c r="H2188" t="s">
        <v>51</v>
      </c>
      <c r="I2188" t="s">
        <v>146</v>
      </c>
      <c r="J2188" t="s">
        <v>146</v>
      </c>
      <c r="K2188" t="s">
        <v>64</v>
      </c>
      <c r="L2188" t="s">
        <v>147</v>
      </c>
      <c r="M2188" t="s">
        <v>148</v>
      </c>
      <c r="N2188">
        <v>26.95</v>
      </c>
      <c r="O2188">
        <v>25</v>
      </c>
      <c r="P2188">
        <v>191</v>
      </c>
      <c r="Q2188">
        <v>216</v>
      </c>
      <c r="R2188">
        <v>0</v>
      </c>
      <c r="S2188">
        <v>216</v>
      </c>
      <c r="T2188">
        <v>148</v>
      </c>
      <c r="U2188">
        <f>SUMIF(货件明细!J:J,E2188,货件明细!AP:AP)</f>
        <v>0</v>
      </c>
      <c r="V2188">
        <f>IF(U2188=T2188,0,1)</f>
        <v>1</v>
      </c>
      <c r="W2188">
        <f>T2188</f>
        <v>148</v>
      </c>
      <c r="X2188">
        <f>SUMIF(货件明细!J:J,E2188,货件明细!H:H)</f>
        <v>0</v>
      </c>
      <c r="Y2188">
        <f>N2188-X2188</f>
        <v>26.95</v>
      </c>
      <c r="Z2188">
        <f>SUMIF(货件明细!J:J,E2188,货件明细!I:I)</f>
        <v>0</v>
      </c>
      <c r="AA2188">
        <f>IF(S2188=Z2188,0,1)</f>
        <v>1</v>
      </c>
    </row>
    <row r="2189" hidden="1" spans="1:27">
      <c r="A2189">
        <v>4</v>
      </c>
      <c r="B2189">
        <v>18</v>
      </c>
      <c r="C2189" s="3">
        <v>46141</v>
      </c>
      <c r="D2189" t="s">
        <v>27</v>
      </c>
      <c r="E2189" t="s">
        <v>2320</v>
      </c>
      <c r="F2189" t="s">
        <v>76</v>
      </c>
      <c r="G2189" t="s">
        <v>72</v>
      </c>
      <c r="H2189" t="s">
        <v>51</v>
      </c>
      <c r="I2189" t="s">
        <v>146</v>
      </c>
      <c r="J2189" t="s">
        <v>146</v>
      </c>
      <c r="K2189" t="s">
        <v>64</v>
      </c>
      <c r="L2189" t="s">
        <v>147</v>
      </c>
      <c r="M2189" t="s">
        <v>1545</v>
      </c>
      <c r="N2189">
        <v>26.95</v>
      </c>
      <c r="O2189">
        <v>8.33333333333333</v>
      </c>
      <c r="P2189">
        <v>118</v>
      </c>
      <c r="Q2189">
        <v>126.333333333333</v>
      </c>
      <c r="R2189">
        <v>0</v>
      </c>
      <c r="S2189">
        <v>126.333333333333</v>
      </c>
      <c r="T2189">
        <v>148</v>
      </c>
      <c r="U2189">
        <f>SUMIF(货件明细!J:J,E2189,货件明细!AP:AP)</f>
        <v>0</v>
      </c>
      <c r="V2189">
        <f>IF(U2189=T2189,0,1)</f>
        <v>1</v>
      </c>
      <c r="W2189">
        <f>T2189</f>
        <v>148</v>
      </c>
      <c r="X2189">
        <f>SUMIF(货件明细!J:J,E2189,货件明细!H:H)</f>
        <v>0</v>
      </c>
      <c r="Y2189">
        <f>N2189-X2189</f>
        <v>26.95</v>
      </c>
      <c r="Z2189">
        <f>SUMIF(货件明细!J:J,E2189,货件明细!I:I)</f>
        <v>0</v>
      </c>
      <c r="AA2189">
        <f>IF(S2189=Z2189,0,1)</f>
        <v>1</v>
      </c>
    </row>
    <row r="2190" hidden="1" spans="1:27">
      <c r="A2190">
        <v>4</v>
      </c>
      <c r="B2190">
        <v>18</v>
      </c>
      <c r="C2190" s="3">
        <v>46141</v>
      </c>
      <c r="D2190" t="s">
        <v>27</v>
      </c>
      <c r="E2190" t="s">
        <v>2321</v>
      </c>
      <c r="F2190" t="s">
        <v>250</v>
      </c>
      <c r="G2190" t="s">
        <v>72</v>
      </c>
      <c r="H2190" t="s">
        <v>56</v>
      </c>
      <c r="I2190" t="s">
        <v>146</v>
      </c>
      <c r="J2190" t="s">
        <v>146</v>
      </c>
      <c r="K2190" t="s">
        <v>64</v>
      </c>
      <c r="L2190" t="s">
        <v>147</v>
      </c>
      <c r="M2190" t="s">
        <v>1545</v>
      </c>
      <c r="N2190">
        <v>21.15</v>
      </c>
      <c r="O2190">
        <v>8.33333333333333</v>
      </c>
      <c r="P2190">
        <v>130</v>
      </c>
      <c r="Q2190">
        <v>138.333333333333</v>
      </c>
      <c r="R2190">
        <v>0</v>
      </c>
      <c r="S2190">
        <v>138.333333333333</v>
      </c>
      <c r="T2190">
        <v>123</v>
      </c>
      <c r="U2190">
        <f>SUMIF(货件明细!J:J,E2190,货件明细!AP:AP)</f>
        <v>0</v>
      </c>
      <c r="V2190">
        <f>IF(U2190=T2190,0,1)</f>
        <v>1</v>
      </c>
      <c r="W2190">
        <f>T2190</f>
        <v>123</v>
      </c>
      <c r="X2190">
        <f>SUMIF(货件明细!J:J,E2190,货件明细!H:H)</f>
        <v>0</v>
      </c>
      <c r="Y2190">
        <f>N2190-X2190</f>
        <v>21.15</v>
      </c>
      <c r="Z2190">
        <f>SUMIF(货件明细!J:J,E2190,货件明细!I:I)</f>
        <v>0</v>
      </c>
      <c r="AA2190">
        <f>IF(S2190=Z2190,0,1)</f>
        <v>1</v>
      </c>
    </row>
    <row r="2191" hidden="1" spans="1:27">
      <c r="A2191">
        <v>4</v>
      </c>
      <c r="B2191">
        <v>18</v>
      </c>
      <c r="C2191" s="3">
        <v>46141</v>
      </c>
      <c r="D2191" t="s">
        <v>27</v>
      </c>
      <c r="E2191" t="s">
        <v>2322</v>
      </c>
      <c r="F2191" t="s">
        <v>195</v>
      </c>
      <c r="G2191" t="s">
        <v>30</v>
      </c>
      <c r="H2191" t="s">
        <v>56</v>
      </c>
      <c r="I2191" t="s">
        <v>146</v>
      </c>
      <c r="J2191" t="s">
        <v>146</v>
      </c>
      <c r="K2191" t="s">
        <v>64</v>
      </c>
      <c r="L2191" t="s">
        <v>147</v>
      </c>
      <c r="M2191" t="s">
        <v>148</v>
      </c>
      <c r="N2191">
        <v>21.35</v>
      </c>
      <c r="O2191">
        <v>25</v>
      </c>
      <c r="P2191">
        <v>172</v>
      </c>
      <c r="Q2191">
        <v>197</v>
      </c>
      <c r="R2191">
        <v>0</v>
      </c>
      <c r="S2191">
        <v>197</v>
      </c>
      <c r="T2191">
        <v>124</v>
      </c>
      <c r="U2191">
        <f>SUMIF(货件明细!J:J,E2191,货件明细!AP:AP)</f>
        <v>0</v>
      </c>
      <c r="V2191">
        <f>IF(U2191=T2191,0,1)</f>
        <v>1</v>
      </c>
      <c r="W2191">
        <f>T2191</f>
        <v>124</v>
      </c>
      <c r="X2191">
        <f>SUMIF(货件明细!J:J,E2191,货件明细!H:H)</f>
        <v>0</v>
      </c>
      <c r="Y2191">
        <f>N2191-X2191</f>
        <v>21.35</v>
      </c>
      <c r="Z2191">
        <f>SUMIF(货件明细!J:J,E2191,货件明细!I:I)</f>
        <v>0</v>
      </c>
      <c r="AA2191">
        <f>IF(S2191=Z2191,0,1)</f>
        <v>1</v>
      </c>
    </row>
    <row r="2192" hidden="1" spans="1:27">
      <c r="A2192">
        <v>4</v>
      </c>
      <c r="B2192">
        <v>18</v>
      </c>
      <c r="C2192" s="3">
        <v>46141</v>
      </c>
      <c r="D2192" t="s">
        <v>27</v>
      </c>
      <c r="E2192" t="s">
        <v>2323</v>
      </c>
      <c r="F2192" t="s">
        <v>243</v>
      </c>
      <c r="G2192" t="s">
        <v>72</v>
      </c>
      <c r="H2192" t="s">
        <v>56</v>
      </c>
      <c r="I2192" t="s">
        <v>146</v>
      </c>
      <c r="J2192" t="s">
        <v>146</v>
      </c>
      <c r="K2192" t="s">
        <v>64</v>
      </c>
      <c r="L2192" t="s">
        <v>147</v>
      </c>
      <c r="M2192" t="s">
        <v>1545</v>
      </c>
      <c r="N2192">
        <v>21.35</v>
      </c>
      <c r="O2192">
        <v>8.33333333333333</v>
      </c>
      <c r="P2192">
        <v>130</v>
      </c>
      <c r="Q2192">
        <v>138.333333333333</v>
      </c>
      <c r="R2192">
        <v>0</v>
      </c>
      <c r="S2192">
        <v>138.333333333333</v>
      </c>
      <c r="T2192">
        <v>124</v>
      </c>
      <c r="U2192">
        <f>SUMIF(货件明细!J:J,E2192,货件明细!AP:AP)</f>
        <v>0</v>
      </c>
      <c r="V2192">
        <f>IF(U2192=T2192,0,1)</f>
        <v>1</v>
      </c>
      <c r="W2192">
        <f>T2192</f>
        <v>124</v>
      </c>
      <c r="X2192">
        <f>SUMIF(货件明细!J:J,E2192,货件明细!H:H)</f>
        <v>0</v>
      </c>
      <c r="Y2192">
        <f>N2192-X2192</f>
        <v>21.35</v>
      </c>
      <c r="Z2192">
        <f>SUMIF(货件明细!J:J,E2192,货件明细!I:I)</f>
        <v>0</v>
      </c>
      <c r="AA2192">
        <f>IF(S2192=Z2192,0,1)</f>
        <v>1</v>
      </c>
    </row>
    <row r="2193" hidden="1" spans="1:27">
      <c r="A2193">
        <v>4</v>
      </c>
      <c r="B2193">
        <v>18</v>
      </c>
      <c r="C2193" s="3">
        <v>46141</v>
      </c>
      <c r="D2193" t="s">
        <v>27</v>
      </c>
      <c r="E2193" t="s">
        <v>2324</v>
      </c>
      <c r="F2193" t="s">
        <v>200</v>
      </c>
      <c r="G2193" t="s">
        <v>30</v>
      </c>
      <c r="H2193" t="s">
        <v>56</v>
      </c>
      <c r="I2193" t="s">
        <v>146</v>
      </c>
      <c r="J2193" t="s">
        <v>146</v>
      </c>
      <c r="K2193" t="s">
        <v>64</v>
      </c>
      <c r="L2193" t="s">
        <v>147</v>
      </c>
      <c r="M2193" t="s">
        <v>148</v>
      </c>
      <c r="N2193">
        <v>21.35</v>
      </c>
      <c r="O2193">
        <v>25</v>
      </c>
      <c r="P2193">
        <v>191</v>
      </c>
      <c r="Q2193">
        <v>216</v>
      </c>
      <c r="R2193">
        <v>0</v>
      </c>
      <c r="S2193">
        <v>216</v>
      </c>
      <c r="T2193">
        <v>124</v>
      </c>
      <c r="U2193">
        <f>SUMIF(货件明细!J:J,E2193,货件明细!AP:AP)</f>
        <v>0</v>
      </c>
      <c r="V2193">
        <f>IF(U2193=T2193,0,1)</f>
        <v>1</v>
      </c>
      <c r="W2193">
        <f>T2193</f>
        <v>124</v>
      </c>
      <c r="X2193">
        <f>SUMIF(货件明细!J:J,E2193,货件明细!H:H)</f>
        <v>0</v>
      </c>
      <c r="Y2193">
        <f>N2193-X2193</f>
        <v>21.35</v>
      </c>
      <c r="Z2193">
        <f>SUMIF(货件明细!J:J,E2193,货件明细!I:I)</f>
        <v>0</v>
      </c>
      <c r="AA2193">
        <f>IF(S2193=Z2193,0,1)</f>
        <v>1</v>
      </c>
    </row>
    <row r="2194" hidden="1" spans="1:27">
      <c r="A2194">
        <v>4</v>
      </c>
      <c r="B2194">
        <v>18</v>
      </c>
      <c r="C2194" s="3">
        <v>46141</v>
      </c>
      <c r="D2194" t="s">
        <v>27</v>
      </c>
      <c r="E2194" t="s">
        <v>2325</v>
      </c>
      <c r="F2194" t="s">
        <v>76</v>
      </c>
      <c r="G2194" t="s">
        <v>72</v>
      </c>
      <c r="H2194" t="s">
        <v>56</v>
      </c>
      <c r="I2194" t="s">
        <v>146</v>
      </c>
      <c r="J2194" t="s">
        <v>146</v>
      </c>
      <c r="K2194" t="s">
        <v>64</v>
      </c>
      <c r="L2194" t="s">
        <v>147</v>
      </c>
      <c r="M2194" t="s">
        <v>1545</v>
      </c>
      <c r="N2194">
        <v>21.35</v>
      </c>
      <c r="O2194">
        <v>8.33333333333333</v>
      </c>
      <c r="P2194">
        <v>118</v>
      </c>
      <c r="Q2194">
        <v>126.333333333333</v>
      </c>
      <c r="R2194">
        <v>0</v>
      </c>
      <c r="S2194">
        <v>126.333333333333</v>
      </c>
      <c r="T2194">
        <v>124</v>
      </c>
      <c r="U2194">
        <f>SUMIF(货件明细!J:J,E2194,货件明细!AP:AP)</f>
        <v>0</v>
      </c>
      <c r="V2194">
        <f>IF(U2194=T2194,0,1)</f>
        <v>1</v>
      </c>
      <c r="W2194">
        <f>T2194</f>
        <v>124</v>
      </c>
      <c r="X2194">
        <f>SUMIF(货件明细!J:J,E2194,货件明细!H:H)</f>
        <v>0</v>
      </c>
      <c r="Y2194">
        <f>N2194-X2194</f>
        <v>21.35</v>
      </c>
      <c r="Z2194">
        <f>SUMIF(货件明细!J:J,E2194,货件明细!I:I)</f>
        <v>0</v>
      </c>
      <c r="AA2194">
        <f>IF(S2194=Z2194,0,1)</f>
        <v>1</v>
      </c>
    </row>
    <row r="2195" hidden="1" spans="1:27">
      <c r="A2195">
        <v>4</v>
      </c>
      <c r="B2195">
        <v>18</v>
      </c>
      <c r="C2195" s="3">
        <v>46141</v>
      </c>
      <c r="D2195" t="s">
        <v>27</v>
      </c>
      <c r="E2195" t="s">
        <v>2326</v>
      </c>
      <c r="F2195" t="s">
        <v>195</v>
      </c>
      <c r="G2195" t="s">
        <v>30</v>
      </c>
      <c r="H2195" t="s">
        <v>78</v>
      </c>
      <c r="I2195" t="s">
        <v>146</v>
      </c>
      <c r="J2195" t="s">
        <v>146</v>
      </c>
      <c r="K2195" t="s">
        <v>64</v>
      </c>
      <c r="L2195" t="s">
        <v>147</v>
      </c>
      <c r="M2195" t="s">
        <v>148</v>
      </c>
      <c r="N2195">
        <v>34.7</v>
      </c>
      <c r="O2195">
        <v>25</v>
      </c>
      <c r="P2195">
        <v>223.6</v>
      </c>
      <c r="Q2195">
        <v>248.6</v>
      </c>
      <c r="R2195">
        <v>0</v>
      </c>
      <c r="S2195">
        <v>248.6</v>
      </c>
      <c r="T2195">
        <v>240</v>
      </c>
      <c r="U2195">
        <f>SUMIF(货件明细!J:J,E2195,货件明细!AP:AP)</f>
        <v>0</v>
      </c>
      <c r="V2195">
        <f>IF(U2195=T2195,0,1)</f>
        <v>1</v>
      </c>
      <c r="W2195">
        <f>T2195</f>
        <v>240</v>
      </c>
      <c r="X2195">
        <f>SUMIF(货件明细!J:J,E2195,货件明细!H:H)</f>
        <v>0</v>
      </c>
      <c r="Y2195">
        <f>N2195-X2195</f>
        <v>34.7</v>
      </c>
      <c r="Z2195">
        <f>SUMIF(货件明细!J:J,E2195,货件明细!I:I)</f>
        <v>0</v>
      </c>
      <c r="AA2195">
        <f>IF(S2195=Z2195,0,1)</f>
        <v>1</v>
      </c>
    </row>
    <row r="2196" hidden="1" spans="1:27">
      <c r="A2196">
        <v>4</v>
      </c>
      <c r="B2196">
        <v>18</v>
      </c>
      <c r="C2196" s="3">
        <v>46141</v>
      </c>
      <c r="D2196" t="s">
        <v>27</v>
      </c>
      <c r="E2196" t="s">
        <v>2327</v>
      </c>
      <c r="F2196" t="s">
        <v>243</v>
      </c>
      <c r="G2196" t="s">
        <v>72</v>
      </c>
      <c r="H2196" t="s">
        <v>78</v>
      </c>
      <c r="I2196" t="s">
        <v>146</v>
      </c>
      <c r="J2196" t="s">
        <v>146</v>
      </c>
      <c r="K2196" t="s">
        <v>64</v>
      </c>
      <c r="L2196" t="s">
        <v>147</v>
      </c>
      <c r="M2196" t="s">
        <v>1545</v>
      </c>
      <c r="N2196">
        <v>34.7</v>
      </c>
      <c r="O2196">
        <v>8.33333333333333</v>
      </c>
      <c r="P2196">
        <v>169</v>
      </c>
      <c r="Q2196">
        <v>177.333333333333</v>
      </c>
      <c r="R2196">
        <v>0</v>
      </c>
      <c r="S2196">
        <v>177.333333333333</v>
      </c>
      <c r="T2196">
        <v>240</v>
      </c>
      <c r="U2196">
        <f>SUMIF(货件明细!J:J,E2196,货件明细!AP:AP)</f>
        <v>0</v>
      </c>
      <c r="V2196">
        <f>IF(U2196=T2196,0,1)</f>
        <v>1</v>
      </c>
      <c r="W2196">
        <f>T2196</f>
        <v>240</v>
      </c>
      <c r="X2196">
        <f>SUMIF(货件明细!J:J,E2196,货件明细!H:H)</f>
        <v>0</v>
      </c>
      <c r="Y2196">
        <f>N2196-X2196</f>
        <v>34.7</v>
      </c>
      <c r="Z2196">
        <f>SUMIF(货件明细!J:J,E2196,货件明细!I:I)</f>
        <v>0</v>
      </c>
      <c r="AA2196">
        <f>IF(S2196=Z2196,0,1)</f>
        <v>1</v>
      </c>
    </row>
    <row r="2197" hidden="1" spans="1:27">
      <c r="A2197">
        <v>4</v>
      </c>
      <c r="B2197">
        <v>18</v>
      </c>
      <c r="C2197" s="3">
        <v>46141</v>
      </c>
      <c r="D2197" t="s">
        <v>27</v>
      </c>
      <c r="E2197" t="s">
        <v>2328</v>
      </c>
      <c r="F2197" t="s">
        <v>250</v>
      </c>
      <c r="G2197" t="s">
        <v>72</v>
      </c>
      <c r="H2197" t="s">
        <v>78</v>
      </c>
      <c r="I2197" t="s">
        <v>146</v>
      </c>
      <c r="J2197" t="s">
        <v>146</v>
      </c>
      <c r="K2197" t="s">
        <v>64</v>
      </c>
      <c r="L2197" t="s">
        <v>147</v>
      </c>
      <c r="M2197" t="s">
        <v>1545</v>
      </c>
      <c r="N2197">
        <v>34.7</v>
      </c>
      <c r="O2197">
        <v>8.33333333333333</v>
      </c>
      <c r="P2197">
        <v>169</v>
      </c>
      <c r="Q2197">
        <v>177.333333333333</v>
      </c>
      <c r="R2197">
        <v>0</v>
      </c>
      <c r="S2197">
        <v>177.333333333333</v>
      </c>
      <c r="T2197">
        <v>240</v>
      </c>
      <c r="U2197">
        <f>SUMIF(货件明细!J:J,E2197,货件明细!AP:AP)</f>
        <v>0</v>
      </c>
      <c r="V2197">
        <f>IF(U2197=T2197,0,1)</f>
        <v>1</v>
      </c>
      <c r="W2197">
        <f>T2197</f>
        <v>240</v>
      </c>
      <c r="X2197">
        <f>SUMIF(货件明细!J:J,E2197,货件明细!H:H)</f>
        <v>0</v>
      </c>
      <c r="Y2197">
        <f>N2197-X2197</f>
        <v>34.7</v>
      </c>
      <c r="Z2197">
        <f>SUMIF(货件明细!J:J,E2197,货件明细!I:I)</f>
        <v>0</v>
      </c>
      <c r="AA2197">
        <f>IF(S2197=Z2197,0,1)</f>
        <v>1</v>
      </c>
    </row>
    <row r="2198" hidden="1" spans="1:27">
      <c r="A2198">
        <v>4</v>
      </c>
      <c r="B2198">
        <v>18</v>
      </c>
      <c r="C2198" s="3">
        <v>46141</v>
      </c>
      <c r="D2198" t="s">
        <v>27</v>
      </c>
      <c r="E2198" t="s">
        <v>2329</v>
      </c>
      <c r="F2198" t="s">
        <v>200</v>
      </c>
      <c r="G2198" t="s">
        <v>30</v>
      </c>
      <c r="H2198" t="s">
        <v>78</v>
      </c>
      <c r="I2198" t="s">
        <v>146</v>
      </c>
      <c r="J2198" t="s">
        <v>146</v>
      </c>
      <c r="K2198" t="s">
        <v>64</v>
      </c>
      <c r="L2198" t="s">
        <v>147</v>
      </c>
      <c r="M2198" t="s">
        <v>148</v>
      </c>
      <c r="N2198">
        <v>34.7</v>
      </c>
      <c r="O2198">
        <v>25</v>
      </c>
      <c r="P2198">
        <v>248.3</v>
      </c>
      <c r="Q2198">
        <v>273.3</v>
      </c>
      <c r="R2198">
        <v>0</v>
      </c>
      <c r="S2198">
        <v>273.3</v>
      </c>
      <c r="T2198">
        <v>240</v>
      </c>
      <c r="U2198">
        <f>SUMIF(货件明细!J:J,E2198,货件明细!AP:AP)</f>
        <v>0</v>
      </c>
      <c r="V2198">
        <f>IF(U2198=T2198,0,1)</f>
        <v>1</v>
      </c>
      <c r="W2198">
        <f>T2198</f>
        <v>240</v>
      </c>
      <c r="X2198">
        <f>SUMIF(货件明细!J:J,E2198,货件明细!H:H)</f>
        <v>0</v>
      </c>
      <c r="Y2198">
        <f>N2198-X2198</f>
        <v>34.7</v>
      </c>
      <c r="Z2198">
        <f>SUMIF(货件明细!J:J,E2198,货件明细!I:I)</f>
        <v>0</v>
      </c>
      <c r="AA2198">
        <f>IF(S2198=Z2198,0,1)</f>
        <v>1</v>
      </c>
    </row>
    <row r="2199" hidden="1" spans="1:27">
      <c r="A2199">
        <v>4</v>
      </c>
      <c r="B2199">
        <v>18</v>
      </c>
      <c r="C2199" s="3">
        <v>46141</v>
      </c>
      <c r="D2199" t="s">
        <v>27</v>
      </c>
      <c r="E2199" t="s">
        <v>2330</v>
      </c>
      <c r="F2199" t="s">
        <v>76</v>
      </c>
      <c r="G2199" t="s">
        <v>72</v>
      </c>
      <c r="H2199" t="s">
        <v>78</v>
      </c>
      <c r="I2199" t="s">
        <v>146</v>
      </c>
      <c r="J2199" t="s">
        <v>146</v>
      </c>
      <c r="K2199" t="s">
        <v>64</v>
      </c>
      <c r="L2199" t="s">
        <v>147</v>
      </c>
      <c r="M2199" t="s">
        <v>1545</v>
      </c>
      <c r="N2199">
        <v>34.7</v>
      </c>
      <c r="O2199">
        <v>8.33333333333333</v>
      </c>
      <c r="P2199">
        <v>153.4</v>
      </c>
      <c r="Q2199">
        <v>161.733333333333</v>
      </c>
      <c r="R2199">
        <v>0</v>
      </c>
      <c r="S2199">
        <v>161.733333333333</v>
      </c>
      <c r="T2199">
        <v>240</v>
      </c>
      <c r="U2199">
        <f>SUMIF(货件明细!J:J,E2199,货件明细!AP:AP)</f>
        <v>0</v>
      </c>
      <c r="V2199">
        <f>IF(U2199=T2199,0,1)</f>
        <v>1</v>
      </c>
      <c r="W2199">
        <f>T2199</f>
        <v>240</v>
      </c>
      <c r="X2199">
        <f>SUMIF(货件明细!J:J,E2199,货件明细!H:H)</f>
        <v>0</v>
      </c>
      <c r="Y2199">
        <f>N2199-X2199</f>
        <v>34.7</v>
      </c>
      <c r="Z2199">
        <f>SUMIF(货件明细!J:J,E2199,货件明细!I:I)</f>
        <v>0</v>
      </c>
      <c r="AA2199">
        <f>IF(S2199=Z2199,0,1)</f>
        <v>1</v>
      </c>
    </row>
  </sheetData>
  <autoFilter xmlns:etc="http://www.wps.cn/officeDocument/2017/etCustomData" ref="A1:AA2199" etc:filterBottomFollowUsedRange="0">
    <filterColumn colId="9">
      <filters>
        <filter val="红单"/>
        <filter val="空派"/>
      </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840"/>
  <sheetViews>
    <sheetView workbookViewId="0">
      <selection activeCell="B1" sqref="B1"/>
    </sheetView>
  </sheetViews>
  <sheetFormatPr defaultColWidth="9" defaultRowHeight="13.5"/>
  <cols>
    <col min="1" max="2" width="9" style="1"/>
    <col min="3" max="4" width="15" style="1" customWidth="1"/>
    <col min="5" max="9" width="15" style="2" customWidth="1"/>
    <col min="20" max="20" width="20.75" style="3" customWidth="1"/>
    <col min="21" max="21" width="20.75" customWidth="1"/>
  </cols>
  <sheetData>
    <row r="1" spans="1:48">
      <c r="A1" s="1" t="s">
        <v>0</v>
      </c>
      <c r="B1" s="1" t="s">
        <v>1</v>
      </c>
      <c r="C1" s="1" t="s">
        <v>9</v>
      </c>
      <c r="D1" s="1" t="s">
        <v>2331</v>
      </c>
      <c r="E1" s="2" t="s">
        <v>2332</v>
      </c>
      <c r="F1" s="2" t="s">
        <v>2333</v>
      </c>
      <c r="G1" s="2" t="s">
        <v>2334</v>
      </c>
      <c r="H1" s="2" t="s">
        <v>2335</v>
      </c>
      <c r="I1" s="2" t="s">
        <v>2336</v>
      </c>
      <c r="J1" t="s">
        <v>2337</v>
      </c>
      <c r="K1" t="s">
        <v>7</v>
      </c>
      <c r="L1" t="s">
        <v>2338</v>
      </c>
      <c r="M1" t="s">
        <v>2339</v>
      </c>
      <c r="N1" t="s">
        <v>2340</v>
      </c>
      <c r="O1" t="s">
        <v>2341</v>
      </c>
      <c r="P1" t="s">
        <v>2342</v>
      </c>
      <c r="Q1" t="s">
        <v>2343</v>
      </c>
      <c r="R1" t="s">
        <v>2344</v>
      </c>
      <c r="S1" t="s">
        <v>2345</v>
      </c>
      <c r="T1" s="3" t="s">
        <v>2346</v>
      </c>
      <c r="U1" t="s">
        <v>2347</v>
      </c>
      <c r="V1" t="s">
        <v>2348</v>
      </c>
      <c r="W1" t="s">
        <v>2349</v>
      </c>
      <c r="X1" t="s">
        <v>2350</v>
      </c>
      <c r="Y1" t="s">
        <v>2351</v>
      </c>
      <c r="Z1" t="s">
        <v>2352</v>
      </c>
      <c r="AA1" t="s">
        <v>2353</v>
      </c>
      <c r="AB1" t="s">
        <v>2354</v>
      </c>
      <c r="AC1" t="s">
        <v>2355</v>
      </c>
      <c r="AD1" t="s">
        <v>2356</v>
      </c>
      <c r="AE1" t="s">
        <v>2357</v>
      </c>
      <c r="AF1" t="s">
        <v>2358</v>
      </c>
      <c r="AG1" t="s">
        <v>2359</v>
      </c>
      <c r="AH1" t="s">
        <v>2360</v>
      </c>
      <c r="AI1" t="s">
        <v>2361</v>
      </c>
      <c r="AJ1" t="s">
        <v>2362</v>
      </c>
      <c r="AK1" t="s">
        <v>2363</v>
      </c>
      <c r="AL1" t="s">
        <v>2364</v>
      </c>
      <c r="AM1" t="s">
        <v>2365</v>
      </c>
      <c r="AN1" t="s">
        <v>2366</v>
      </c>
      <c r="AO1" t="s">
        <v>2367</v>
      </c>
      <c r="AP1" t="s">
        <v>19</v>
      </c>
      <c r="AQ1" t="s">
        <v>2368</v>
      </c>
      <c r="AR1" t="s">
        <v>2369</v>
      </c>
      <c r="AS1" t="s">
        <v>2370</v>
      </c>
      <c r="AT1" t="s">
        <v>2371</v>
      </c>
      <c r="AU1" t="s">
        <v>2372</v>
      </c>
      <c r="AV1" t="s">
        <v>2373</v>
      </c>
    </row>
    <row r="2" spans="1:48">
      <c r="A2" s="1">
        <f>_xlfn.XLOOKUP(J2,数据!E:E,数据!A:A)</f>
        <v>4</v>
      </c>
      <c r="B2" s="1">
        <f>_xlfn.XLOOKUP(J2,数据!E:E,数据!B:B)</f>
        <v>18</v>
      </c>
      <c r="C2" s="1" t="str">
        <f>_xlfn.XLOOKUP(J2,数据!E:E,数据!J:J)</f>
        <v>红单</v>
      </c>
      <c r="D2" s="1" t="str" cm="1">
        <f t="array" ref="D2">IF(OR(C2="红单",C2="空派"),_xlfn.IFS(E2="未开售","新品首批发货",F2&lt;E2,"新品首批发货",F2-E2&lt;=60,"新品期补货空运",F2-E2&gt;60,"老品应急空运"),"海运，不进行分析")</f>
        <v>新品期补货空运</v>
      </c>
      <c r="E2" s="2">
        <v>46110</v>
      </c>
      <c r="F2" s="2">
        <f>_xlfn.XLOOKUP(J2,数据!E:E,数据!C:C)</f>
        <v>46141</v>
      </c>
      <c r="G2" s="4">
        <v>235</v>
      </c>
      <c r="H2" s="4">
        <f>G2*AP2/1000</f>
        <v>11.75</v>
      </c>
      <c r="I2" s="4">
        <f>_xlfn.XLOOKUP(J2,数据!E:E,数据!S:S)*(H2/_xlfn.XLOOKUP(J2,数据!E:E,数据!X:X))</f>
        <v>1157.95</v>
      </c>
      <c r="J2" t="s">
        <v>2229</v>
      </c>
      <c r="K2" t="s">
        <v>56</v>
      </c>
      <c r="L2" t="s">
        <v>2374</v>
      </c>
      <c r="M2" t="s">
        <v>2375</v>
      </c>
      <c r="N2" t="s">
        <v>2376</v>
      </c>
      <c r="O2" t="s">
        <v>2377</v>
      </c>
      <c r="P2" t="s">
        <v>2378</v>
      </c>
      <c r="Q2" t="s">
        <v>2379</v>
      </c>
      <c r="R2" t="s">
        <v>2229</v>
      </c>
      <c r="S2" t="s">
        <v>2380</v>
      </c>
      <c r="T2" s="3" t="s">
        <v>2381</v>
      </c>
      <c r="U2" t="s">
        <v>2382</v>
      </c>
      <c r="V2" t="s">
        <v>2383</v>
      </c>
      <c r="W2" t="s">
        <v>2384</v>
      </c>
      <c r="X2" t="s">
        <v>2385</v>
      </c>
      <c r="Y2" t="s">
        <v>2386</v>
      </c>
      <c r="Z2" t="s">
        <v>2387</v>
      </c>
      <c r="AA2" t="s">
        <v>2381</v>
      </c>
      <c r="AB2" t="s">
        <v>2388</v>
      </c>
      <c r="AC2" t="s">
        <v>2389</v>
      </c>
      <c r="AD2" t="s">
        <v>2390</v>
      </c>
      <c r="AH2" t="s">
        <v>2391</v>
      </c>
      <c r="AI2" t="s">
        <v>2392</v>
      </c>
      <c r="AJ2" t="s">
        <v>2393</v>
      </c>
      <c r="AK2" t="s">
        <v>2394</v>
      </c>
      <c r="AL2" t="s">
        <v>2395</v>
      </c>
      <c r="AM2" t="s">
        <v>2396</v>
      </c>
      <c r="AN2" t="s">
        <v>2397</v>
      </c>
      <c r="AO2" t="s">
        <v>2393</v>
      </c>
      <c r="AP2">
        <v>50</v>
      </c>
      <c r="AQ2">
        <v>50</v>
      </c>
      <c r="AR2">
        <v>48</v>
      </c>
      <c r="AS2" t="s">
        <v>2398</v>
      </c>
      <c r="AT2">
        <v>0</v>
      </c>
      <c r="AU2">
        <v>-2</v>
      </c>
      <c r="AV2">
        <v>2</v>
      </c>
    </row>
    <row r="3" spans="1:48">
      <c r="A3" s="1">
        <f>_xlfn.XLOOKUP(J3,数据!E:E,数据!A:A)</f>
        <v>4</v>
      </c>
      <c r="B3" s="1">
        <f>_xlfn.XLOOKUP(J3,数据!E:E,数据!B:B)</f>
        <v>18</v>
      </c>
      <c r="C3" s="1" t="str">
        <f>_xlfn.XLOOKUP(J3,数据!E:E,数据!J:J)</f>
        <v>红单</v>
      </c>
      <c r="D3" s="1" t="str" cm="1">
        <f t="array" ref="D3">IF(OR(C3="红单",C3="空派"),_xlfn.IFS(E3="未开售","新品首批发货",F3&lt;E3,"新品首批发货",F3-E3&lt;=60,"新品期补货空运",F3-E3&gt;60,"老品应急空运"),"海运，不进行分析")</f>
        <v>新品期补货空运</v>
      </c>
      <c r="E3" s="2">
        <v>46113</v>
      </c>
      <c r="F3" s="2">
        <f>_xlfn.XLOOKUP(J3,数据!E:E,数据!C:C)</f>
        <v>46141</v>
      </c>
      <c r="G3" s="4">
        <v>270</v>
      </c>
      <c r="H3" s="4">
        <f>G3*AP3/1000</f>
        <v>7.56</v>
      </c>
      <c r="I3" s="4">
        <f>_xlfn.XLOOKUP(J3,数据!E:E,数据!S:S)*(H3/_xlfn.XLOOKUP(J3,数据!E:E,数据!X:X))</f>
        <v>723.64876744186</v>
      </c>
      <c r="J3" t="s">
        <v>2230</v>
      </c>
      <c r="K3" t="s">
        <v>37</v>
      </c>
      <c r="L3" t="s">
        <v>2374</v>
      </c>
      <c r="M3" t="s">
        <v>2399</v>
      </c>
      <c r="N3" t="s">
        <v>2376</v>
      </c>
      <c r="O3" t="s">
        <v>2400</v>
      </c>
      <c r="P3" t="s">
        <v>2378</v>
      </c>
      <c r="Q3" t="s">
        <v>2379</v>
      </c>
      <c r="R3" t="s">
        <v>2230</v>
      </c>
      <c r="S3" t="s">
        <v>2380</v>
      </c>
      <c r="T3" s="3" t="s">
        <v>2381</v>
      </c>
      <c r="U3" t="s">
        <v>2401</v>
      </c>
      <c r="V3" t="s">
        <v>2402</v>
      </c>
      <c r="W3" t="s">
        <v>2384</v>
      </c>
      <c r="X3" t="s">
        <v>2403</v>
      </c>
      <c r="Y3" t="s">
        <v>2404</v>
      </c>
      <c r="Z3" t="s">
        <v>2405</v>
      </c>
      <c r="AA3" t="s">
        <v>2381</v>
      </c>
      <c r="AB3" t="s">
        <v>2406</v>
      </c>
      <c r="AC3" t="s">
        <v>2407</v>
      </c>
      <c r="AD3" t="s">
        <v>2390</v>
      </c>
      <c r="AH3" t="s">
        <v>2391</v>
      </c>
      <c r="AI3" t="s">
        <v>2392</v>
      </c>
      <c r="AJ3" t="s">
        <v>2408</v>
      </c>
      <c r="AK3" t="s">
        <v>2409</v>
      </c>
      <c r="AL3" t="s">
        <v>2410</v>
      </c>
      <c r="AM3" t="s">
        <v>2410</v>
      </c>
      <c r="AN3" t="s">
        <v>2411</v>
      </c>
      <c r="AO3" t="s">
        <v>2408</v>
      </c>
      <c r="AP3">
        <v>28</v>
      </c>
      <c r="AQ3">
        <v>28</v>
      </c>
      <c r="AR3">
        <v>28</v>
      </c>
      <c r="AS3" t="s">
        <v>2412</v>
      </c>
      <c r="AT3">
        <v>0</v>
      </c>
      <c r="AU3">
        <v>0</v>
      </c>
      <c r="AV3">
        <v>0</v>
      </c>
    </row>
    <row r="4" spans="1:48">
      <c r="A4" s="1">
        <f>_xlfn.XLOOKUP(J4,数据!E:E,数据!A:A)</f>
        <v>4</v>
      </c>
      <c r="B4" s="1">
        <f>_xlfn.XLOOKUP(J4,数据!E:E,数据!B:B)</f>
        <v>18</v>
      </c>
      <c r="C4" s="1" t="str">
        <f>_xlfn.XLOOKUP(J4,数据!E:E,数据!J:J)</f>
        <v>红单</v>
      </c>
      <c r="D4" s="1" t="str" cm="1">
        <f t="array" ref="D4">IF(OR(C4="红单",C4="空派"),_xlfn.IFS(E4="未开售","新品首批发货",F4&lt;E4,"新品首批发货",F4-E4&lt;=60,"新品期补货空运",F4-E4&gt;60,"老品应急空运"),"海运，不进行分析")</f>
        <v>老品应急空运</v>
      </c>
      <c r="E4" s="2">
        <v>46060</v>
      </c>
      <c r="F4" s="2">
        <f>_xlfn.XLOOKUP(J4,数据!E:E,数据!C:C)</f>
        <v>46141</v>
      </c>
      <c r="G4" s="4">
        <v>87</v>
      </c>
      <c r="H4" s="4">
        <f>G4*AP4/1000</f>
        <v>3.48</v>
      </c>
      <c r="I4" s="4">
        <f>_xlfn.XLOOKUP(J4,数据!E:E,数据!S:S)*(H4/_xlfn.XLOOKUP(J4,数据!E:E,数据!X:X))</f>
        <v>333.108162790698</v>
      </c>
      <c r="J4" t="s">
        <v>2230</v>
      </c>
      <c r="K4" t="s">
        <v>37</v>
      </c>
      <c r="L4" t="s">
        <v>2374</v>
      </c>
      <c r="M4" t="s">
        <v>2399</v>
      </c>
      <c r="N4" t="s">
        <v>2376</v>
      </c>
      <c r="O4" t="s">
        <v>2400</v>
      </c>
      <c r="P4" t="s">
        <v>2378</v>
      </c>
      <c r="Q4" t="s">
        <v>2379</v>
      </c>
      <c r="R4" t="s">
        <v>2230</v>
      </c>
      <c r="S4" t="s">
        <v>2380</v>
      </c>
      <c r="T4" s="3" t="s">
        <v>2381</v>
      </c>
      <c r="U4" t="s">
        <v>2401</v>
      </c>
      <c r="V4" t="s">
        <v>2402</v>
      </c>
      <c r="W4" t="s">
        <v>2384</v>
      </c>
      <c r="X4" t="s">
        <v>2403</v>
      </c>
      <c r="Y4" t="s">
        <v>2404</v>
      </c>
      <c r="Z4" t="s">
        <v>2405</v>
      </c>
      <c r="AA4" t="s">
        <v>2381</v>
      </c>
      <c r="AB4" t="s">
        <v>2406</v>
      </c>
      <c r="AC4" t="s">
        <v>2407</v>
      </c>
      <c r="AD4" t="s">
        <v>2390</v>
      </c>
      <c r="AH4" t="s">
        <v>2391</v>
      </c>
      <c r="AI4" t="s">
        <v>2392</v>
      </c>
      <c r="AJ4" t="s">
        <v>2413</v>
      </c>
      <c r="AK4" t="s">
        <v>2414</v>
      </c>
      <c r="AL4" t="s">
        <v>2415</v>
      </c>
      <c r="AM4" t="s">
        <v>2415</v>
      </c>
      <c r="AN4" t="s">
        <v>2416</v>
      </c>
      <c r="AO4" t="s">
        <v>2413</v>
      </c>
      <c r="AP4">
        <v>40</v>
      </c>
      <c r="AQ4">
        <v>40</v>
      </c>
      <c r="AR4">
        <v>46</v>
      </c>
      <c r="AS4" t="s">
        <v>2417</v>
      </c>
      <c r="AT4">
        <v>0</v>
      </c>
      <c r="AU4">
        <v>6</v>
      </c>
      <c r="AV4">
        <v>-6</v>
      </c>
    </row>
    <row r="5" spans="1:48">
      <c r="A5" s="1">
        <f>_xlfn.XLOOKUP(J5,数据!E:E,数据!A:A)</f>
        <v>4</v>
      </c>
      <c r="B5" s="1">
        <f>_xlfn.XLOOKUP(J5,数据!E:E,数据!B:B)</f>
        <v>18</v>
      </c>
      <c r="C5" s="1" t="str">
        <f>_xlfn.XLOOKUP(J5,数据!E:E,数据!J:J)</f>
        <v>红单</v>
      </c>
      <c r="D5" s="1" t="str" cm="1">
        <f t="array" ref="D5">IF(OR(C5="红单",C5="空派"),_xlfn.IFS(E5="未开售","新品首批发货",F5&lt;E5,"新品首批发货",F5-E5&lt;=60,"新品期补货空运",F5-E5&gt;60,"老品应急空运"),"海运，不进行分析")</f>
        <v>新品期补货空运</v>
      </c>
      <c r="E5" s="2">
        <v>46122</v>
      </c>
      <c r="F5" s="2">
        <f>_xlfn.XLOOKUP(J5,数据!E:E,数据!C:C)</f>
        <v>46141</v>
      </c>
      <c r="G5" s="4">
        <v>96</v>
      </c>
      <c r="H5" s="4">
        <f>G5*AP5/1000</f>
        <v>9.6</v>
      </c>
      <c r="I5" s="4">
        <f>_xlfn.XLOOKUP(J5,数据!E:E,数据!S:S)*(H5/_xlfn.XLOOKUP(J5,数据!E:E,数据!X:X))</f>
        <v>918.919069767442</v>
      </c>
      <c r="J5" t="s">
        <v>2230</v>
      </c>
      <c r="K5" t="s">
        <v>37</v>
      </c>
      <c r="L5" t="s">
        <v>2374</v>
      </c>
      <c r="M5" t="s">
        <v>2399</v>
      </c>
      <c r="N5" t="s">
        <v>2376</v>
      </c>
      <c r="O5" t="s">
        <v>2400</v>
      </c>
      <c r="P5" t="s">
        <v>2378</v>
      </c>
      <c r="Q5" t="s">
        <v>2379</v>
      </c>
      <c r="R5" t="s">
        <v>2230</v>
      </c>
      <c r="S5" t="s">
        <v>2380</v>
      </c>
      <c r="T5" s="3" t="s">
        <v>2381</v>
      </c>
      <c r="U5" t="s">
        <v>2401</v>
      </c>
      <c r="V5" t="s">
        <v>2402</v>
      </c>
      <c r="W5" t="s">
        <v>2384</v>
      </c>
      <c r="X5" t="s">
        <v>2403</v>
      </c>
      <c r="Y5" t="s">
        <v>2404</v>
      </c>
      <c r="Z5" t="s">
        <v>2405</v>
      </c>
      <c r="AA5" t="s">
        <v>2381</v>
      </c>
      <c r="AB5" t="s">
        <v>2406</v>
      </c>
      <c r="AC5" t="s">
        <v>2407</v>
      </c>
      <c r="AD5" t="s">
        <v>2390</v>
      </c>
      <c r="AH5" t="s">
        <v>2391</v>
      </c>
      <c r="AI5" t="s">
        <v>2392</v>
      </c>
      <c r="AJ5" t="s">
        <v>2418</v>
      </c>
      <c r="AK5" t="s">
        <v>2419</v>
      </c>
      <c r="AL5" t="s">
        <v>2420</v>
      </c>
      <c r="AM5" t="s">
        <v>2420</v>
      </c>
      <c r="AN5" t="s">
        <v>2421</v>
      </c>
      <c r="AO5" t="s">
        <v>2418</v>
      </c>
      <c r="AP5">
        <v>100</v>
      </c>
      <c r="AQ5">
        <v>100</v>
      </c>
      <c r="AR5">
        <v>108</v>
      </c>
      <c r="AS5" t="s">
        <v>2422</v>
      </c>
      <c r="AT5">
        <v>0</v>
      </c>
      <c r="AU5">
        <v>8</v>
      </c>
      <c r="AV5">
        <v>-8</v>
      </c>
    </row>
    <row r="6" spans="1:48">
      <c r="A6" s="1">
        <f>_xlfn.XLOOKUP(J6,数据!E:E,数据!A:A)</f>
        <v>4</v>
      </c>
      <c r="B6" s="1">
        <f>_xlfn.XLOOKUP(J6,数据!E:E,数据!B:B)</f>
        <v>18</v>
      </c>
      <c r="C6" s="1" t="str">
        <f>_xlfn.XLOOKUP(J6,数据!E:E,数据!J:J)</f>
        <v>空派</v>
      </c>
      <c r="D6" s="1" t="str" cm="1">
        <f t="array" ref="D6">IF(OR(C6="红单",C6="空派"),_xlfn.IFS(E6="未开售","新品首批发货",F6&lt;E6,"新品首批发货",F6-E6&lt;=60,"新品期补货空运",F6-E6&gt;60,"老品应急空运"),"海运，不进行分析")</f>
        <v>新品首批发货</v>
      </c>
      <c r="E6" s="2" t="s">
        <v>2423</v>
      </c>
      <c r="F6" s="2">
        <f>_xlfn.XLOOKUP(J6,数据!E:E,数据!C:C)</f>
        <v>46141</v>
      </c>
      <c r="G6" s="4">
        <v>119</v>
      </c>
      <c r="H6" s="4">
        <f>G6*AP6/1000</f>
        <v>19.04</v>
      </c>
      <c r="I6" s="4">
        <f>_xlfn.XLOOKUP(J6,数据!E:E,数据!S:S)*(H6/_xlfn.XLOOKUP(J6,数据!E:E,数据!X:X))</f>
        <v>1666.94787878788</v>
      </c>
      <c r="J6" t="s">
        <v>2228</v>
      </c>
      <c r="K6" t="s">
        <v>46</v>
      </c>
      <c r="L6" t="s">
        <v>2374</v>
      </c>
      <c r="M6" t="s">
        <v>2424</v>
      </c>
      <c r="N6" t="s">
        <v>2376</v>
      </c>
      <c r="O6" t="s">
        <v>2377</v>
      </c>
      <c r="P6" t="s">
        <v>2378</v>
      </c>
      <c r="Q6" t="s">
        <v>2379</v>
      </c>
      <c r="S6" t="s">
        <v>2380</v>
      </c>
      <c r="T6" s="3" t="s">
        <v>2425</v>
      </c>
      <c r="U6" t="s">
        <v>2426</v>
      </c>
      <c r="V6" t="s">
        <v>2427</v>
      </c>
      <c r="W6" t="s">
        <v>2384</v>
      </c>
      <c r="X6" t="s">
        <v>2403</v>
      </c>
      <c r="Y6" t="s">
        <v>2428</v>
      </c>
      <c r="Z6" t="s">
        <v>2405</v>
      </c>
      <c r="AA6" t="s">
        <v>2425</v>
      </c>
      <c r="AB6" t="s">
        <v>2429</v>
      </c>
      <c r="AC6" t="s">
        <v>2430</v>
      </c>
      <c r="AD6" t="s">
        <v>2431</v>
      </c>
      <c r="AG6" t="s">
        <v>2432</v>
      </c>
      <c r="AH6" t="s">
        <v>2433</v>
      </c>
      <c r="AI6" t="s">
        <v>2391</v>
      </c>
      <c r="AJ6" t="s">
        <v>2434</v>
      </c>
      <c r="AK6" t="s">
        <v>2435</v>
      </c>
      <c r="AL6" t="s">
        <v>2436</v>
      </c>
      <c r="AM6" t="s">
        <v>2437</v>
      </c>
      <c r="AN6" t="s">
        <v>2438</v>
      </c>
      <c r="AO6" t="s">
        <v>2434</v>
      </c>
      <c r="AP6">
        <v>160</v>
      </c>
      <c r="AQ6">
        <v>160</v>
      </c>
      <c r="AR6">
        <v>160</v>
      </c>
      <c r="AS6" t="s">
        <v>2439</v>
      </c>
      <c r="AT6">
        <v>0</v>
      </c>
      <c r="AU6">
        <v>0</v>
      </c>
      <c r="AV6">
        <v>0</v>
      </c>
    </row>
    <row r="7" spans="1:48">
      <c r="A7" s="1">
        <f>_xlfn.XLOOKUP(J7,数据!E:E,数据!A:A)</f>
        <v>4</v>
      </c>
      <c r="B7" s="1">
        <f>_xlfn.XLOOKUP(J7,数据!E:E,数据!B:B)</f>
        <v>18</v>
      </c>
      <c r="C7" s="1" t="str">
        <f>_xlfn.XLOOKUP(J7,数据!E:E,数据!J:J)</f>
        <v>空派</v>
      </c>
      <c r="D7" s="1" t="str" cm="1">
        <f t="array" ref="D7">IF(OR(C7="红单",C7="空派"),_xlfn.IFS(E7="未开售","新品首批发货",F7&lt;E7,"新品首批发货",F7-E7&lt;=60,"新品期补货空运",F7-E7&gt;60,"老品应急空运"),"海运，不进行分析")</f>
        <v>新品首批发货</v>
      </c>
      <c r="E7" s="2" t="s">
        <v>2423</v>
      </c>
      <c r="F7" s="2">
        <f>_xlfn.XLOOKUP(J7,数据!E:E,数据!C:C)</f>
        <v>46141</v>
      </c>
      <c r="G7" s="4">
        <v>112</v>
      </c>
      <c r="H7" s="4">
        <f>G7*AP7/1000</f>
        <v>17.92</v>
      </c>
      <c r="I7" s="4">
        <f>_xlfn.XLOOKUP(J7,数据!E:E,数据!S:S)*(H7/_xlfn.XLOOKUP(J7,数据!E:E,数据!X:X))</f>
        <v>1568.89212121212</v>
      </c>
      <c r="J7" t="s">
        <v>2228</v>
      </c>
      <c r="K7" t="s">
        <v>46</v>
      </c>
      <c r="L7" t="s">
        <v>2374</v>
      </c>
      <c r="M7" t="s">
        <v>2424</v>
      </c>
      <c r="N7" t="s">
        <v>2376</v>
      </c>
      <c r="O7" t="s">
        <v>2377</v>
      </c>
      <c r="P7" t="s">
        <v>2378</v>
      </c>
      <c r="Q7" t="s">
        <v>2379</v>
      </c>
      <c r="S7" t="s">
        <v>2380</v>
      </c>
      <c r="T7" s="3" t="s">
        <v>2425</v>
      </c>
      <c r="U7" t="s">
        <v>2426</v>
      </c>
      <c r="V7" t="s">
        <v>2427</v>
      </c>
      <c r="W7" t="s">
        <v>2384</v>
      </c>
      <c r="X7" t="s">
        <v>2403</v>
      </c>
      <c r="Y7" t="s">
        <v>2428</v>
      </c>
      <c r="Z7" t="s">
        <v>2405</v>
      </c>
      <c r="AA7" t="s">
        <v>2425</v>
      </c>
      <c r="AB7" t="s">
        <v>2429</v>
      </c>
      <c r="AC7" t="s">
        <v>2430</v>
      </c>
      <c r="AD7" t="s">
        <v>2431</v>
      </c>
      <c r="AG7" t="s">
        <v>2432</v>
      </c>
      <c r="AH7" t="s">
        <v>2433</v>
      </c>
      <c r="AI7" t="s">
        <v>2391</v>
      </c>
      <c r="AJ7" t="s">
        <v>2440</v>
      </c>
      <c r="AK7" t="s">
        <v>2441</v>
      </c>
      <c r="AL7" t="s">
        <v>2442</v>
      </c>
      <c r="AM7" t="s">
        <v>2437</v>
      </c>
      <c r="AN7" t="s">
        <v>2443</v>
      </c>
      <c r="AO7" t="s">
        <v>2440</v>
      </c>
      <c r="AP7">
        <v>160</v>
      </c>
      <c r="AQ7">
        <v>160</v>
      </c>
      <c r="AR7">
        <v>160</v>
      </c>
      <c r="AS7" t="s">
        <v>2444</v>
      </c>
      <c r="AT7">
        <v>0</v>
      </c>
      <c r="AU7">
        <v>0</v>
      </c>
      <c r="AV7">
        <v>0</v>
      </c>
    </row>
    <row r="8" spans="1:48">
      <c r="A8" s="1">
        <f>_xlfn.XLOOKUP(J8,数据!E:E,数据!A:A)</f>
        <v>4</v>
      </c>
      <c r="B8" s="1">
        <f>_xlfn.XLOOKUP(J8,数据!E:E,数据!B:B)</f>
        <v>18</v>
      </c>
      <c r="C8" s="1" t="str">
        <f>_xlfn.XLOOKUP(J8,数据!E:E,数据!J:J)</f>
        <v>空派</v>
      </c>
      <c r="D8" s="1" t="str" cm="1">
        <f t="array" ref="D8">IF(OR(C8="红单",C8="空派"),_xlfn.IFS(E8="未开售","新品首批发货",F8&lt;E8,"新品首批发货",F8-E8&lt;=60,"新品期补货空运",F8-E8&gt;60,"老品应急空运"),"海运，不进行分析")</f>
        <v>老品应急空运</v>
      </c>
      <c r="E8" s="2">
        <v>45471</v>
      </c>
      <c r="F8" s="2">
        <f>_xlfn.XLOOKUP(J8,数据!E:E,数据!C:C)</f>
        <v>46141</v>
      </c>
      <c r="G8" s="4">
        <v>110</v>
      </c>
      <c r="H8" s="4">
        <f>G8*AP8/1000</f>
        <v>4.95</v>
      </c>
      <c r="I8" s="4">
        <f>_xlfn.XLOOKUP(J8,数据!E:E,数据!S:S)*(H8/_xlfn.XLOOKUP(J8,数据!E:E,数据!X:X))</f>
        <v>469.916864608076</v>
      </c>
      <c r="J8" t="s">
        <v>2227</v>
      </c>
      <c r="K8" t="s">
        <v>78</v>
      </c>
      <c r="L8" t="s">
        <v>2374</v>
      </c>
      <c r="M8" t="s">
        <v>2445</v>
      </c>
      <c r="N8" t="s">
        <v>2376</v>
      </c>
      <c r="O8" t="s">
        <v>2400</v>
      </c>
      <c r="P8" t="s">
        <v>2378</v>
      </c>
      <c r="Q8" t="s">
        <v>2379</v>
      </c>
      <c r="S8" t="s">
        <v>2380</v>
      </c>
      <c r="T8" s="3" t="s">
        <v>2425</v>
      </c>
      <c r="U8" t="s">
        <v>2446</v>
      </c>
      <c r="V8" t="s">
        <v>2447</v>
      </c>
      <c r="W8" t="s">
        <v>2384</v>
      </c>
      <c r="X8" t="s">
        <v>2403</v>
      </c>
      <c r="Y8" t="s">
        <v>2448</v>
      </c>
      <c r="Z8" t="s">
        <v>2387</v>
      </c>
      <c r="AA8" t="s">
        <v>2425</v>
      </c>
      <c r="AB8" t="s">
        <v>2449</v>
      </c>
      <c r="AC8" t="s">
        <v>2450</v>
      </c>
      <c r="AD8" t="s">
        <v>2451</v>
      </c>
      <c r="AG8" t="s">
        <v>2432</v>
      </c>
      <c r="AH8" t="s">
        <v>2433</v>
      </c>
      <c r="AI8" t="s">
        <v>2391</v>
      </c>
      <c r="AJ8" t="s">
        <v>2452</v>
      </c>
      <c r="AK8" t="s">
        <v>2453</v>
      </c>
      <c r="AL8" t="s">
        <v>2454</v>
      </c>
      <c r="AM8" t="s">
        <v>2455</v>
      </c>
      <c r="AN8" t="s">
        <v>2456</v>
      </c>
      <c r="AO8" t="s">
        <v>2452</v>
      </c>
      <c r="AP8">
        <v>45</v>
      </c>
      <c r="AQ8">
        <v>45</v>
      </c>
      <c r="AR8">
        <v>46</v>
      </c>
      <c r="AS8" t="s">
        <v>2457</v>
      </c>
      <c r="AT8">
        <v>0</v>
      </c>
      <c r="AU8">
        <v>1</v>
      </c>
      <c r="AV8">
        <v>-1</v>
      </c>
    </row>
    <row r="9" spans="1:48">
      <c r="A9" s="1">
        <f>_xlfn.XLOOKUP(J9,数据!E:E,数据!A:A)</f>
        <v>4</v>
      </c>
      <c r="B9" s="1">
        <f>_xlfn.XLOOKUP(J9,数据!E:E,数据!B:B)</f>
        <v>18</v>
      </c>
      <c r="C9" s="1" t="str">
        <f>_xlfn.XLOOKUP(J9,数据!E:E,数据!J:J)</f>
        <v>空派</v>
      </c>
      <c r="D9" s="1" t="str" cm="1">
        <f t="array" ref="D9">IF(OR(C9="红单",C9="空派"),_xlfn.IFS(E9="未开售","新品首批发货",F9&lt;E9,"新品首批发货",F9-E9&lt;=60,"新品期补货空运",F9-E9&gt;60,"老品应急空运"),"海运，不进行分析")</f>
        <v>新品期补货空运</v>
      </c>
      <c r="E9" s="2">
        <v>46115</v>
      </c>
      <c r="F9" s="2">
        <f>_xlfn.XLOOKUP(J9,数据!E:E,数据!C:C)</f>
        <v>46141</v>
      </c>
      <c r="G9" s="4">
        <v>96</v>
      </c>
      <c r="H9" s="4">
        <f>G9*AP9/1000</f>
        <v>7.68</v>
      </c>
      <c r="I9" s="4">
        <f>_xlfn.XLOOKUP(J9,数据!E:E,数据!S:S)*(H9/_xlfn.XLOOKUP(J9,数据!E:E,数据!X:X))</f>
        <v>729.083135391924</v>
      </c>
      <c r="J9" t="s">
        <v>2227</v>
      </c>
      <c r="K9" t="s">
        <v>78</v>
      </c>
      <c r="L9" t="s">
        <v>2374</v>
      </c>
      <c r="M9" t="s">
        <v>2445</v>
      </c>
      <c r="N9" t="s">
        <v>2376</v>
      </c>
      <c r="O9" t="s">
        <v>2400</v>
      </c>
      <c r="P9" t="s">
        <v>2378</v>
      </c>
      <c r="Q9" t="s">
        <v>2379</v>
      </c>
      <c r="S9" t="s">
        <v>2380</v>
      </c>
      <c r="T9" s="3" t="s">
        <v>2425</v>
      </c>
      <c r="U9" t="s">
        <v>2446</v>
      </c>
      <c r="V9" t="s">
        <v>2447</v>
      </c>
      <c r="W9" t="s">
        <v>2384</v>
      </c>
      <c r="X9" t="s">
        <v>2403</v>
      </c>
      <c r="Y9" t="s">
        <v>2448</v>
      </c>
      <c r="Z9" t="s">
        <v>2387</v>
      </c>
      <c r="AA9" t="s">
        <v>2425</v>
      </c>
      <c r="AB9" t="s">
        <v>2449</v>
      </c>
      <c r="AC9" t="s">
        <v>2450</v>
      </c>
      <c r="AD9" t="s">
        <v>2451</v>
      </c>
      <c r="AG9" t="s">
        <v>2432</v>
      </c>
      <c r="AH9" t="s">
        <v>2433</v>
      </c>
      <c r="AI9" t="s">
        <v>2391</v>
      </c>
      <c r="AJ9" t="s">
        <v>2458</v>
      </c>
      <c r="AK9" t="s">
        <v>2459</v>
      </c>
      <c r="AL9" t="s">
        <v>2460</v>
      </c>
      <c r="AM9" t="s">
        <v>2460</v>
      </c>
      <c r="AN9" t="s">
        <v>2461</v>
      </c>
      <c r="AO9" t="s">
        <v>2458</v>
      </c>
      <c r="AP9">
        <v>80</v>
      </c>
      <c r="AQ9">
        <v>80</v>
      </c>
      <c r="AR9">
        <v>80</v>
      </c>
      <c r="AS9" t="s">
        <v>2462</v>
      </c>
      <c r="AT9">
        <v>0</v>
      </c>
      <c r="AU9">
        <v>0</v>
      </c>
      <c r="AV9">
        <v>0</v>
      </c>
    </row>
    <row r="10" spans="1:48">
      <c r="A10" s="1">
        <f>_xlfn.XLOOKUP(J10,数据!E:E,数据!A:A)</f>
        <v>4</v>
      </c>
      <c r="B10" s="1">
        <f>_xlfn.XLOOKUP(J10,数据!E:E,数据!B:B)</f>
        <v>18</v>
      </c>
      <c r="C10" s="1" t="str">
        <f>_xlfn.XLOOKUP(J10,数据!E:E,数据!J:J)</f>
        <v>红单</v>
      </c>
      <c r="D10" s="1" t="str" cm="1">
        <f t="array" ref="D10">IF(OR(C10="红单",C10="空派"),_xlfn.IFS(E10="未开售","新品首批发货",F10&lt;E10,"新品首批发货",F10-E10&lt;=60,"新品期补货空运",F10-E10&gt;60,"老品应急空运"),"海运，不进行分析")</f>
        <v>新品首批发货</v>
      </c>
      <c r="E10" s="2">
        <v>46156</v>
      </c>
      <c r="F10" s="2">
        <f>_xlfn.XLOOKUP(J10,数据!E:E,数据!C:C)</f>
        <v>46139</v>
      </c>
      <c r="G10" s="4">
        <v>71</v>
      </c>
      <c r="H10" s="4">
        <f t="shared" ref="H10:H26" si="0">G10*AP10/1000</f>
        <v>8.52</v>
      </c>
      <c r="I10" s="4">
        <f>_xlfn.XLOOKUP(J10,数据!E:E,数据!S:S)*(H10/_xlfn.XLOOKUP(J10,数据!E:E,数据!X:X))</f>
        <v>878.879469026549</v>
      </c>
      <c r="J10" t="s">
        <v>2212</v>
      </c>
      <c r="K10" t="s">
        <v>224</v>
      </c>
      <c r="L10" t="s">
        <v>2374</v>
      </c>
      <c r="M10" t="s">
        <v>2463</v>
      </c>
      <c r="N10" t="s">
        <v>2376</v>
      </c>
      <c r="O10" t="s">
        <v>2400</v>
      </c>
      <c r="P10" t="s">
        <v>2378</v>
      </c>
      <c r="Q10" t="s">
        <v>2379</v>
      </c>
      <c r="R10" t="s">
        <v>2464</v>
      </c>
      <c r="S10" t="s">
        <v>2380</v>
      </c>
      <c r="T10" s="3" t="s">
        <v>2465</v>
      </c>
      <c r="U10" t="s">
        <v>2466</v>
      </c>
      <c r="V10" t="s">
        <v>2467</v>
      </c>
      <c r="W10" t="s">
        <v>2384</v>
      </c>
      <c r="X10" t="s">
        <v>2403</v>
      </c>
      <c r="Y10" t="s">
        <v>2468</v>
      </c>
      <c r="Z10" t="s">
        <v>2405</v>
      </c>
      <c r="AA10" t="s">
        <v>2465</v>
      </c>
      <c r="AB10" t="s">
        <v>2469</v>
      </c>
      <c r="AC10" t="s">
        <v>2470</v>
      </c>
      <c r="AD10" t="s">
        <v>2471</v>
      </c>
      <c r="AH10" t="s">
        <v>2433</v>
      </c>
      <c r="AI10" t="s">
        <v>2391</v>
      </c>
      <c r="AJ10" t="s">
        <v>2472</v>
      </c>
      <c r="AK10" t="s">
        <v>2473</v>
      </c>
      <c r="AL10" t="s">
        <v>2474</v>
      </c>
      <c r="AM10" t="s">
        <v>2475</v>
      </c>
      <c r="AN10" t="s">
        <v>2476</v>
      </c>
      <c r="AO10" t="s">
        <v>2472</v>
      </c>
      <c r="AP10">
        <v>120</v>
      </c>
      <c r="AQ10">
        <v>120</v>
      </c>
      <c r="AR10">
        <v>120</v>
      </c>
      <c r="AS10" t="s">
        <v>2477</v>
      </c>
      <c r="AT10">
        <v>0</v>
      </c>
      <c r="AU10">
        <v>0</v>
      </c>
      <c r="AV10">
        <v>0</v>
      </c>
    </row>
    <row r="11" spans="1:48">
      <c r="A11" s="1">
        <f>_xlfn.XLOOKUP(J11,数据!E:E,数据!A:A)</f>
        <v>4</v>
      </c>
      <c r="B11" s="1">
        <f>_xlfn.XLOOKUP(J11,数据!E:E,数据!B:B)</f>
        <v>18</v>
      </c>
      <c r="C11" s="1" t="str">
        <f>_xlfn.XLOOKUP(J11,数据!E:E,数据!J:J)</f>
        <v>红单</v>
      </c>
      <c r="D11" s="1" t="str" cm="1">
        <f t="array" ref="D11">IF(OR(C11="红单",C11="空派"),_xlfn.IFS(E11="未开售","新品首批发货",F11&lt;E11,"新品首批发货",F11-E11&lt;=60,"新品期补货空运",F11-E11&gt;60,"老品应急空运"),"海运，不进行分析")</f>
        <v>新品首批发货</v>
      </c>
      <c r="E11" s="2">
        <v>46157</v>
      </c>
      <c r="F11" s="2">
        <f>_xlfn.XLOOKUP(J11,数据!E:E,数据!C:C)</f>
        <v>46139</v>
      </c>
      <c r="G11" s="4">
        <v>71</v>
      </c>
      <c r="H11" s="4">
        <f t="shared" si="0"/>
        <v>8.52</v>
      </c>
      <c r="I11" s="4">
        <f>_xlfn.XLOOKUP(J11,数据!E:E,数据!S:S)*(H11/_xlfn.XLOOKUP(J11,数据!E:E,数据!X:X))</f>
        <v>878.879469026549</v>
      </c>
      <c r="J11" t="s">
        <v>2212</v>
      </c>
      <c r="K11" t="s">
        <v>224</v>
      </c>
      <c r="L11" t="s">
        <v>2374</v>
      </c>
      <c r="M11" t="s">
        <v>2463</v>
      </c>
      <c r="N11" t="s">
        <v>2376</v>
      </c>
      <c r="O11" t="s">
        <v>2400</v>
      </c>
      <c r="P11" t="s">
        <v>2378</v>
      </c>
      <c r="Q11" t="s">
        <v>2379</v>
      </c>
      <c r="R11" t="s">
        <v>2464</v>
      </c>
      <c r="S11" t="s">
        <v>2380</v>
      </c>
      <c r="T11" s="3" t="s">
        <v>2465</v>
      </c>
      <c r="U11" t="s">
        <v>2466</v>
      </c>
      <c r="V11" t="s">
        <v>2467</v>
      </c>
      <c r="W11" t="s">
        <v>2384</v>
      </c>
      <c r="X11" t="s">
        <v>2403</v>
      </c>
      <c r="Y11" t="s">
        <v>2468</v>
      </c>
      <c r="Z11" t="s">
        <v>2405</v>
      </c>
      <c r="AA11" t="s">
        <v>2465</v>
      </c>
      <c r="AB11" t="s">
        <v>2469</v>
      </c>
      <c r="AC11" t="s">
        <v>2470</v>
      </c>
      <c r="AD11" t="s">
        <v>2471</v>
      </c>
      <c r="AH11" t="s">
        <v>2433</v>
      </c>
      <c r="AI11" t="s">
        <v>2391</v>
      </c>
      <c r="AJ11" t="s">
        <v>2478</v>
      </c>
      <c r="AK11" t="s">
        <v>2479</v>
      </c>
      <c r="AL11" t="s">
        <v>2480</v>
      </c>
      <c r="AM11" t="s">
        <v>2475</v>
      </c>
      <c r="AN11" t="s">
        <v>2481</v>
      </c>
      <c r="AO11" t="s">
        <v>2478</v>
      </c>
      <c r="AP11">
        <v>120</v>
      </c>
      <c r="AQ11">
        <v>120</v>
      </c>
      <c r="AR11">
        <v>120</v>
      </c>
      <c r="AS11" t="s">
        <v>2482</v>
      </c>
      <c r="AT11">
        <v>0</v>
      </c>
      <c r="AU11">
        <v>0</v>
      </c>
      <c r="AV11">
        <v>0</v>
      </c>
    </row>
    <row r="12" spans="1:48">
      <c r="A12" s="1">
        <f>_xlfn.XLOOKUP(J12,数据!E:E,数据!A:A)</f>
        <v>4</v>
      </c>
      <c r="B12" s="1">
        <f>_xlfn.XLOOKUP(J12,数据!E:E,数据!B:B)</f>
        <v>18</v>
      </c>
      <c r="C12" s="1" t="str">
        <f>_xlfn.XLOOKUP(J12,数据!E:E,数据!J:J)</f>
        <v>红单</v>
      </c>
      <c r="D12" s="1" t="str" cm="1">
        <f t="array" ref="D12">IF(OR(C12="红单",C12="空派"),_xlfn.IFS(E12="未开售","新品首批发货",F12&lt;E12,"新品首批发货",F12-E12&lt;=60,"新品期补货空运",F12-E12&gt;60,"老品应急空运"),"海运，不进行分析")</f>
        <v>新品首批发货</v>
      </c>
      <c r="E12" s="2">
        <v>46156</v>
      </c>
      <c r="F12" s="2">
        <f>_xlfn.XLOOKUP(J12,数据!E:E,数据!C:C)</f>
        <v>46139</v>
      </c>
      <c r="G12" s="4">
        <v>72</v>
      </c>
      <c r="H12" s="4">
        <f t="shared" si="0"/>
        <v>10.08</v>
      </c>
      <c r="I12" s="4">
        <f>_xlfn.XLOOKUP(J12,数据!E:E,数据!S:S)*(H12/_xlfn.XLOOKUP(J12,数据!E:E,数据!X:X))</f>
        <v>1039.8010619469</v>
      </c>
      <c r="J12" t="s">
        <v>2212</v>
      </c>
      <c r="K12" t="s">
        <v>224</v>
      </c>
      <c r="L12" t="s">
        <v>2374</v>
      </c>
      <c r="M12" t="s">
        <v>2463</v>
      </c>
      <c r="N12" t="s">
        <v>2376</v>
      </c>
      <c r="O12" t="s">
        <v>2400</v>
      </c>
      <c r="P12" t="s">
        <v>2378</v>
      </c>
      <c r="Q12" t="s">
        <v>2379</v>
      </c>
      <c r="R12" t="s">
        <v>2464</v>
      </c>
      <c r="S12" t="s">
        <v>2380</v>
      </c>
      <c r="T12" s="3" t="s">
        <v>2465</v>
      </c>
      <c r="U12" t="s">
        <v>2466</v>
      </c>
      <c r="V12" t="s">
        <v>2467</v>
      </c>
      <c r="W12" t="s">
        <v>2384</v>
      </c>
      <c r="X12" t="s">
        <v>2403</v>
      </c>
      <c r="Y12" t="s">
        <v>2468</v>
      </c>
      <c r="Z12" t="s">
        <v>2405</v>
      </c>
      <c r="AA12" t="s">
        <v>2465</v>
      </c>
      <c r="AB12" t="s">
        <v>2469</v>
      </c>
      <c r="AC12" t="s">
        <v>2470</v>
      </c>
      <c r="AD12" t="s">
        <v>2471</v>
      </c>
      <c r="AH12" t="s">
        <v>2433</v>
      </c>
      <c r="AI12" t="s">
        <v>2391</v>
      </c>
      <c r="AJ12" t="s">
        <v>2483</v>
      </c>
      <c r="AK12" t="s">
        <v>2484</v>
      </c>
      <c r="AL12" t="s">
        <v>2485</v>
      </c>
      <c r="AM12" t="s">
        <v>2485</v>
      </c>
      <c r="AN12" t="s">
        <v>2486</v>
      </c>
      <c r="AO12" t="s">
        <v>2483</v>
      </c>
      <c r="AP12">
        <v>140</v>
      </c>
      <c r="AQ12">
        <v>140</v>
      </c>
      <c r="AR12">
        <v>140</v>
      </c>
      <c r="AS12" t="s">
        <v>2487</v>
      </c>
      <c r="AT12">
        <v>0</v>
      </c>
      <c r="AU12">
        <v>0</v>
      </c>
      <c r="AV12">
        <v>0</v>
      </c>
    </row>
    <row r="13" spans="1:48">
      <c r="A13" s="1">
        <f>_xlfn.XLOOKUP(J13,数据!E:E,数据!A:A)</f>
        <v>4</v>
      </c>
      <c r="B13" s="1">
        <f>_xlfn.XLOOKUP(J13,数据!E:E,数据!B:B)</f>
        <v>18</v>
      </c>
      <c r="C13" s="1" t="str">
        <f>_xlfn.XLOOKUP(J13,数据!E:E,数据!J:J)</f>
        <v>红单</v>
      </c>
      <c r="D13" s="1" t="str" cm="1">
        <f t="array" ref="D13">IF(OR(C13="红单",C13="空派"),_xlfn.IFS(E13="未开售","新品首批发货",F13&lt;E13,"新品首批发货",F13-E13&lt;=60,"新品期补货空运",F13-E13&gt;60,"老品应急空运"),"海运，不进行分析")</f>
        <v>新品期补货空运</v>
      </c>
      <c r="E13" s="2">
        <v>46092</v>
      </c>
      <c r="F13" s="2">
        <f>_xlfn.XLOOKUP(J13,数据!E:E,数据!C:C)</f>
        <v>46139</v>
      </c>
      <c r="G13" s="4">
        <v>53</v>
      </c>
      <c r="H13" s="4">
        <f t="shared" si="0"/>
        <v>2.65</v>
      </c>
      <c r="I13" s="4">
        <f>_xlfn.XLOOKUP(J13,数据!E:E,数据!S:S)*(H13/_xlfn.XLOOKUP(J13,数据!E:E,数据!X:X))</f>
        <v>278.404083444296</v>
      </c>
      <c r="J13" t="s">
        <v>2214</v>
      </c>
      <c r="K13" t="s">
        <v>224</v>
      </c>
      <c r="L13" t="s">
        <v>2374</v>
      </c>
      <c r="M13" t="s">
        <v>2488</v>
      </c>
      <c r="N13" t="s">
        <v>2376</v>
      </c>
      <c r="O13" t="s">
        <v>2400</v>
      </c>
      <c r="P13" t="s">
        <v>2378</v>
      </c>
      <c r="Q13" t="s">
        <v>2379</v>
      </c>
      <c r="R13" t="s">
        <v>2489</v>
      </c>
      <c r="S13" t="s">
        <v>2380</v>
      </c>
      <c r="T13" s="3" t="s">
        <v>2465</v>
      </c>
      <c r="U13" t="s">
        <v>2466</v>
      </c>
      <c r="V13" t="s">
        <v>2490</v>
      </c>
      <c r="W13" t="s">
        <v>2384</v>
      </c>
      <c r="X13" t="s">
        <v>2403</v>
      </c>
      <c r="Y13" t="s">
        <v>2491</v>
      </c>
      <c r="Z13" t="s">
        <v>2405</v>
      </c>
      <c r="AA13" t="s">
        <v>2465</v>
      </c>
      <c r="AB13" t="s">
        <v>2492</v>
      </c>
      <c r="AC13" t="s">
        <v>2493</v>
      </c>
      <c r="AD13" t="s">
        <v>2471</v>
      </c>
      <c r="AH13" t="s">
        <v>2433</v>
      </c>
      <c r="AI13" t="s">
        <v>2391</v>
      </c>
      <c r="AJ13" t="s">
        <v>2494</v>
      </c>
      <c r="AK13" t="s">
        <v>2495</v>
      </c>
      <c r="AL13" t="s">
        <v>2496</v>
      </c>
      <c r="AM13" t="s">
        <v>2497</v>
      </c>
      <c r="AN13" t="s">
        <v>2498</v>
      </c>
      <c r="AO13" t="s">
        <v>2494</v>
      </c>
      <c r="AP13">
        <v>50</v>
      </c>
      <c r="AQ13">
        <v>50</v>
      </c>
      <c r="AR13">
        <v>50</v>
      </c>
      <c r="AS13" t="s">
        <v>2499</v>
      </c>
      <c r="AT13">
        <v>0</v>
      </c>
      <c r="AU13">
        <v>0</v>
      </c>
      <c r="AV13">
        <v>0</v>
      </c>
    </row>
    <row r="14" spans="1:48">
      <c r="A14" s="1">
        <f>_xlfn.XLOOKUP(J14,数据!E:E,数据!A:A)</f>
        <v>4</v>
      </c>
      <c r="B14" s="1">
        <f>_xlfn.XLOOKUP(J14,数据!E:E,数据!B:B)</f>
        <v>18</v>
      </c>
      <c r="C14" s="1" t="str">
        <f>_xlfn.XLOOKUP(J14,数据!E:E,数据!J:J)</f>
        <v>红单</v>
      </c>
      <c r="D14" s="1" t="str" cm="1">
        <f t="array" ref="D14">IF(OR(C14="红单",C14="空派"),_xlfn.IFS(E14="未开售","新品首批发货",F14&lt;E14,"新品首批发货",F14-E14&lt;=60,"新品期补货空运",F14-E14&gt;60,"老品应急空运"),"海运，不进行分析")</f>
        <v>新品首批发货</v>
      </c>
      <c r="E14" s="2">
        <v>46158</v>
      </c>
      <c r="F14" s="2">
        <f>_xlfn.XLOOKUP(J14,数据!E:E,数据!C:C)</f>
        <v>46139</v>
      </c>
      <c r="G14" s="4">
        <v>71</v>
      </c>
      <c r="H14" s="4">
        <f t="shared" si="0"/>
        <v>9.94</v>
      </c>
      <c r="I14" s="4">
        <f>_xlfn.XLOOKUP(J14,数据!E:E,数据!S:S)*(H14/_xlfn.XLOOKUP(J14,数据!E:E,数据!X:X))</f>
        <v>1044.27795827785</v>
      </c>
      <c r="J14" t="s">
        <v>2214</v>
      </c>
      <c r="K14" t="s">
        <v>224</v>
      </c>
      <c r="L14" t="s">
        <v>2374</v>
      </c>
      <c r="M14" t="s">
        <v>2488</v>
      </c>
      <c r="N14" t="s">
        <v>2376</v>
      </c>
      <c r="O14" t="s">
        <v>2400</v>
      </c>
      <c r="P14" t="s">
        <v>2378</v>
      </c>
      <c r="Q14" t="s">
        <v>2379</v>
      </c>
      <c r="R14" t="s">
        <v>2489</v>
      </c>
      <c r="S14" t="s">
        <v>2380</v>
      </c>
      <c r="T14" s="3" t="s">
        <v>2465</v>
      </c>
      <c r="U14" t="s">
        <v>2466</v>
      </c>
      <c r="V14" t="s">
        <v>2490</v>
      </c>
      <c r="W14" t="s">
        <v>2384</v>
      </c>
      <c r="X14" t="s">
        <v>2403</v>
      </c>
      <c r="Y14" t="s">
        <v>2491</v>
      </c>
      <c r="Z14" t="s">
        <v>2405</v>
      </c>
      <c r="AA14" t="s">
        <v>2465</v>
      </c>
      <c r="AB14" t="s">
        <v>2492</v>
      </c>
      <c r="AC14" t="s">
        <v>2493</v>
      </c>
      <c r="AD14" t="s">
        <v>2471</v>
      </c>
      <c r="AH14" t="s">
        <v>2433</v>
      </c>
      <c r="AI14" t="s">
        <v>2391</v>
      </c>
      <c r="AJ14" t="s">
        <v>2500</v>
      </c>
      <c r="AK14" t="s">
        <v>2501</v>
      </c>
      <c r="AL14" t="s">
        <v>2502</v>
      </c>
      <c r="AM14" t="s">
        <v>2497</v>
      </c>
      <c r="AN14" t="s">
        <v>2503</v>
      </c>
      <c r="AO14" t="s">
        <v>2500</v>
      </c>
      <c r="AP14">
        <v>140</v>
      </c>
      <c r="AQ14">
        <v>140</v>
      </c>
      <c r="AR14">
        <v>140</v>
      </c>
      <c r="AS14" t="s">
        <v>2504</v>
      </c>
      <c r="AT14">
        <v>0</v>
      </c>
      <c r="AU14">
        <v>0</v>
      </c>
      <c r="AV14">
        <v>0</v>
      </c>
    </row>
    <row r="15" spans="1:48">
      <c r="A15" s="1">
        <f>_xlfn.XLOOKUP(J15,数据!E:E,数据!A:A)</f>
        <v>4</v>
      </c>
      <c r="B15" s="1">
        <f>_xlfn.XLOOKUP(J15,数据!E:E,数据!B:B)</f>
        <v>18</v>
      </c>
      <c r="C15" s="1" t="str">
        <f>_xlfn.XLOOKUP(J15,数据!E:E,数据!J:J)</f>
        <v>红单</v>
      </c>
      <c r="D15" s="1" t="str" cm="1">
        <f t="array" ref="D15">IF(OR(C15="红单",C15="空派"),_xlfn.IFS(E15="未开售","新品首批发货",F15&lt;E15,"新品首批发货",F15-E15&lt;=60,"新品期补货空运",F15-E15&gt;60,"老品应急空运"),"海运，不进行分析")</f>
        <v>新品首批发货</v>
      </c>
      <c r="E15" s="2" t="s">
        <v>2423</v>
      </c>
      <c r="F15" s="2">
        <f>_xlfn.XLOOKUP(J15,数据!E:E,数据!C:C)</f>
        <v>46139</v>
      </c>
      <c r="G15" s="4">
        <v>71</v>
      </c>
      <c r="H15" s="4">
        <f t="shared" si="0"/>
        <v>9.94</v>
      </c>
      <c r="I15" s="4">
        <f>_xlfn.XLOOKUP(J15,数据!E:E,数据!S:S)*(H15/_xlfn.XLOOKUP(J15,数据!E:E,数据!X:X))</f>
        <v>1044.27795827785</v>
      </c>
      <c r="J15" t="s">
        <v>2214</v>
      </c>
      <c r="K15" t="s">
        <v>224</v>
      </c>
      <c r="L15" t="s">
        <v>2374</v>
      </c>
      <c r="M15" t="s">
        <v>2488</v>
      </c>
      <c r="N15" t="s">
        <v>2376</v>
      </c>
      <c r="O15" t="s">
        <v>2400</v>
      </c>
      <c r="P15" t="s">
        <v>2378</v>
      </c>
      <c r="Q15" t="s">
        <v>2379</v>
      </c>
      <c r="R15" t="s">
        <v>2489</v>
      </c>
      <c r="S15" t="s">
        <v>2380</v>
      </c>
      <c r="T15" s="3" t="s">
        <v>2465</v>
      </c>
      <c r="U15" t="s">
        <v>2466</v>
      </c>
      <c r="V15" t="s">
        <v>2490</v>
      </c>
      <c r="W15" t="s">
        <v>2384</v>
      </c>
      <c r="X15" t="s">
        <v>2403</v>
      </c>
      <c r="Y15" t="s">
        <v>2491</v>
      </c>
      <c r="Z15" t="s">
        <v>2405</v>
      </c>
      <c r="AA15" t="s">
        <v>2465</v>
      </c>
      <c r="AB15" t="s">
        <v>2492</v>
      </c>
      <c r="AC15" t="s">
        <v>2493</v>
      </c>
      <c r="AD15" t="s">
        <v>2471</v>
      </c>
      <c r="AH15" t="s">
        <v>2433</v>
      </c>
      <c r="AI15" t="s">
        <v>2391</v>
      </c>
      <c r="AJ15" t="s">
        <v>2505</v>
      </c>
      <c r="AK15" t="s">
        <v>2506</v>
      </c>
      <c r="AL15" t="s">
        <v>2507</v>
      </c>
      <c r="AM15" t="s">
        <v>2497</v>
      </c>
      <c r="AN15" t="s">
        <v>2508</v>
      </c>
      <c r="AO15" t="s">
        <v>2505</v>
      </c>
      <c r="AP15">
        <v>140</v>
      </c>
      <c r="AQ15">
        <v>140</v>
      </c>
      <c r="AR15">
        <v>142</v>
      </c>
      <c r="AS15" t="s">
        <v>2509</v>
      </c>
      <c r="AT15">
        <v>0</v>
      </c>
      <c r="AU15">
        <v>2</v>
      </c>
      <c r="AV15">
        <v>-2</v>
      </c>
    </row>
    <row r="16" spans="1:48">
      <c r="A16" s="1">
        <f>_xlfn.XLOOKUP(J16,数据!E:E,数据!A:A)</f>
        <v>4</v>
      </c>
      <c r="B16" s="1">
        <f>_xlfn.XLOOKUP(J16,数据!E:E,数据!B:B)</f>
        <v>18</v>
      </c>
      <c r="C16" s="1" t="str">
        <f>_xlfn.XLOOKUP(J16,数据!E:E,数据!J:J)</f>
        <v>空派</v>
      </c>
      <c r="D16" s="1" t="str" cm="1">
        <f t="array" ref="D16">IF(OR(C16="红单",C16="空派"),_xlfn.IFS(E16="未开售","新品首批发货",F16&lt;E16,"新品首批发货",F16-E16&lt;=60,"新品期补货空运",F16-E16&gt;60,"老品应急空运"),"海运，不进行分析")</f>
        <v>老品应急空运</v>
      </c>
      <c r="E16" s="2">
        <v>45334</v>
      </c>
      <c r="F16" s="2">
        <f>_xlfn.XLOOKUP(J16,数据!E:E,数据!C:C)</f>
        <v>46139</v>
      </c>
      <c r="G16" s="4">
        <v>428.6</v>
      </c>
      <c r="H16" s="4">
        <f t="shared" si="0"/>
        <v>8.572</v>
      </c>
      <c r="I16" s="4">
        <f>_xlfn.XLOOKUP(J16,数据!E:E,数据!S:S)*(H16/_xlfn.XLOOKUP(J16,数据!E:E,数据!X:X))</f>
        <v>707.426425160547</v>
      </c>
      <c r="J16" t="s">
        <v>2217</v>
      </c>
      <c r="K16" t="s">
        <v>39</v>
      </c>
      <c r="L16" t="s">
        <v>2374</v>
      </c>
      <c r="M16" t="s">
        <v>2510</v>
      </c>
      <c r="N16" t="s">
        <v>2376</v>
      </c>
      <c r="O16" t="s">
        <v>2400</v>
      </c>
      <c r="P16" t="s">
        <v>2378</v>
      </c>
      <c r="Q16" t="s">
        <v>2379</v>
      </c>
      <c r="S16" t="s">
        <v>2511</v>
      </c>
      <c r="T16" s="3" t="s">
        <v>2512</v>
      </c>
      <c r="U16" t="s">
        <v>2513</v>
      </c>
      <c r="V16" t="s">
        <v>2514</v>
      </c>
      <c r="W16" t="s">
        <v>2515</v>
      </c>
      <c r="X16" t="s">
        <v>2403</v>
      </c>
      <c r="Y16" t="s">
        <v>2516</v>
      </c>
      <c r="Z16" t="s">
        <v>2387</v>
      </c>
      <c r="AA16" t="s">
        <v>2512</v>
      </c>
      <c r="AB16" t="s">
        <v>2517</v>
      </c>
      <c r="AC16" t="s">
        <v>2518</v>
      </c>
      <c r="AD16" t="s">
        <v>2391</v>
      </c>
      <c r="AG16" t="s">
        <v>2432</v>
      </c>
      <c r="AH16" t="s">
        <v>2433</v>
      </c>
      <c r="AI16" t="s">
        <v>2391</v>
      </c>
      <c r="AJ16" t="s">
        <v>2519</v>
      </c>
      <c r="AK16" t="s">
        <v>2520</v>
      </c>
      <c r="AL16" t="s">
        <v>2521</v>
      </c>
      <c r="AM16" t="s">
        <v>2521</v>
      </c>
      <c r="AN16" t="s">
        <v>2522</v>
      </c>
      <c r="AO16" t="s">
        <v>2519</v>
      </c>
      <c r="AP16">
        <v>20</v>
      </c>
      <c r="AQ16">
        <v>20</v>
      </c>
      <c r="AR16">
        <v>20</v>
      </c>
      <c r="AS16" t="s">
        <v>2523</v>
      </c>
      <c r="AT16">
        <v>0</v>
      </c>
      <c r="AU16">
        <v>0</v>
      </c>
      <c r="AV16">
        <v>0</v>
      </c>
    </row>
    <row r="17" spans="1:48">
      <c r="A17" s="1">
        <f>_xlfn.XLOOKUP(J17,数据!E:E,数据!A:A)</f>
        <v>4</v>
      </c>
      <c r="B17" s="1">
        <f>_xlfn.XLOOKUP(J17,数据!E:E,数据!B:B)</f>
        <v>18</v>
      </c>
      <c r="C17" s="1" t="str">
        <f>_xlfn.XLOOKUP(J17,数据!E:E,数据!J:J)</f>
        <v>空派</v>
      </c>
      <c r="D17" s="1" t="str" cm="1">
        <f t="array" ref="D17">IF(OR(C17="红单",C17="空派"),_xlfn.IFS(E17="未开售","新品首批发货",F17&lt;E17,"新品首批发货",F17-E17&lt;=60,"新品期补货空运",F17-E17&gt;60,"老品应急空运"),"海运，不进行分析")</f>
        <v>老品应急空运</v>
      </c>
      <c r="E17" s="2">
        <v>44646</v>
      </c>
      <c r="F17" s="2">
        <f>_xlfn.XLOOKUP(J17,数据!E:E,数据!C:C)</f>
        <v>46139</v>
      </c>
      <c r="G17" s="4">
        <v>117.2</v>
      </c>
      <c r="H17" s="4">
        <f t="shared" si="0"/>
        <v>2.344</v>
      </c>
      <c r="I17" s="4">
        <f>_xlfn.XLOOKUP(J17,数据!E:E,数据!S:S)*(H17/_xlfn.XLOOKUP(J17,数据!E:E,数据!X:X))</f>
        <v>193.444650090565</v>
      </c>
      <c r="J17" t="s">
        <v>2217</v>
      </c>
      <c r="K17" t="s">
        <v>39</v>
      </c>
      <c r="L17" t="s">
        <v>2374</v>
      </c>
      <c r="M17" t="s">
        <v>2510</v>
      </c>
      <c r="N17" t="s">
        <v>2376</v>
      </c>
      <c r="O17" t="s">
        <v>2400</v>
      </c>
      <c r="P17" t="s">
        <v>2378</v>
      </c>
      <c r="Q17" t="s">
        <v>2379</v>
      </c>
      <c r="S17" t="s">
        <v>2511</v>
      </c>
      <c r="T17" s="3" t="s">
        <v>2512</v>
      </c>
      <c r="U17" t="s">
        <v>2513</v>
      </c>
      <c r="V17" t="s">
        <v>2514</v>
      </c>
      <c r="W17" t="s">
        <v>2515</v>
      </c>
      <c r="X17" t="s">
        <v>2403</v>
      </c>
      <c r="Y17" t="s">
        <v>2516</v>
      </c>
      <c r="Z17" t="s">
        <v>2387</v>
      </c>
      <c r="AA17" t="s">
        <v>2512</v>
      </c>
      <c r="AB17" t="s">
        <v>2517</v>
      </c>
      <c r="AC17" t="s">
        <v>2518</v>
      </c>
      <c r="AD17" t="s">
        <v>2391</v>
      </c>
      <c r="AG17" t="s">
        <v>2432</v>
      </c>
      <c r="AH17" t="s">
        <v>2433</v>
      </c>
      <c r="AI17" t="s">
        <v>2391</v>
      </c>
      <c r="AJ17" t="s">
        <v>2524</v>
      </c>
      <c r="AK17" t="s">
        <v>2525</v>
      </c>
      <c r="AL17" t="s">
        <v>2526</v>
      </c>
      <c r="AM17" t="s">
        <v>2526</v>
      </c>
      <c r="AN17" t="s">
        <v>2527</v>
      </c>
      <c r="AO17" t="s">
        <v>2524</v>
      </c>
      <c r="AP17">
        <v>20</v>
      </c>
      <c r="AQ17">
        <v>20</v>
      </c>
      <c r="AR17">
        <v>20</v>
      </c>
      <c r="AS17" t="s">
        <v>2523</v>
      </c>
      <c r="AT17">
        <v>0</v>
      </c>
      <c r="AU17">
        <v>0</v>
      </c>
      <c r="AV17">
        <v>0</v>
      </c>
    </row>
    <row r="18" spans="1:48">
      <c r="A18" s="1">
        <f>_xlfn.XLOOKUP(J18,数据!E:E,数据!A:A)</f>
        <v>4</v>
      </c>
      <c r="B18" s="1">
        <f>_xlfn.XLOOKUP(J18,数据!E:E,数据!B:B)</f>
        <v>18</v>
      </c>
      <c r="C18" s="1" t="str">
        <f>_xlfn.XLOOKUP(J18,数据!E:E,数据!J:J)</f>
        <v>空派</v>
      </c>
      <c r="D18" s="1" t="str" cm="1">
        <f t="array" ref="D18">IF(OR(C18="红单",C18="空派"),_xlfn.IFS(E18="未开售","新品首批发货",F18&lt;E18,"新品首批发货",F18-E18&lt;=60,"新品期补货空运",F18-E18&gt;60,"老品应急空运"),"海运，不进行分析")</f>
        <v>老品应急空运</v>
      </c>
      <c r="E18" s="2">
        <v>45089</v>
      </c>
      <c r="F18" s="2">
        <f>_xlfn.XLOOKUP(J18,数据!E:E,数据!C:C)</f>
        <v>46139</v>
      </c>
      <c r="G18" s="4">
        <v>123</v>
      </c>
      <c r="H18" s="4">
        <f t="shared" si="0"/>
        <v>1.23</v>
      </c>
      <c r="I18" s="4">
        <f>_xlfn.XLOOKUP(J18,数据!E:E,数据!S:S)*(H18/_xlfn.XLOOKUP(J18,数据!E:E,数据!X:X))</f>
        <v>101.508924748889</v>
      </c>
      <c r="J18" t="s">
        <v>2217</v>
      </c>
      <c r="K18" t="s">
        <v>39</v>
      </c>
      <c r="L18" t="s">
        <v>2374</v>
      </c>
      <c r="M18" t="s">
        <v>2510</v>
      </c>
      <c r="N18" t="s">
        <v>2376</v>
      </c>
      <c r="O18" t="s">
        <v>2400</v>
      </c>
      <c r="P18" t="s">
        <v>2378</v>
      </c>
      <c r="Q18" t="s">
        <v>2379</v>
      </c>
      <c r="S18" t="s">
        <v>2511</v>
      </c>
      <c r="T18" s="3" t="s">
        <v>2512</v>
      </c>
      <c r="U18" t="s">
        <v>2513</v>
      </c>
      <c r="V18" t="s">
        <v>2514</v>
      </c>
      <c r="W18" t="s">
        <v>2515</v>
      </c>
      <c r="X18" t="s">
        <v>2403</v>
      </c>
      <c r="Y18" t="s">
        <v>2516</v>
      </c>
      <c r="Z18" t="s">
        <v>2387</v>
      </c>
      <c r="AA18" t="s">
        <v>2512</v>
      </c>
      <c r="AB18" t="s">
        <v>2517</v>
      </c>
      <c r="AC18" t="s">
        <v>2518</v>
      </c>
      <c r="AD18" t="s">
        <v>2391</v>
      </c>
      <c r="AG18" t="s">
        <v>2432</v>
      </c>
      <c r="AH18" t="s">
        <v>2433</v>
      </c>
      <c r="AI18" t="s">
        <v>2391</v>
      </c>
      <c r="AJ18" t="s">
        <v>2528</v>
      </c>
      <c r="AK18" t="s">
        <v>2529</v>
      </c>
      <c r="AL18" t="s">
        <v>2530</v>
      </c>
      <c r="AM18" t="s">
        <v>2530</v>
      </c>
      <c r="AN18" t="s">
        <v>2531</v>
      </c>
      <c r="AO18" t="s">
        <v>2528</v>
      </c>
      <c r="AP18">
        <v>10</v>
      </c>
      <c r="AQ18">
        <v>10</v>
      </c>
      <c r="AR18">
        <v>10</v>
      </c>
      <c r="AS18" t="s">
        <v>2532</v>
      </c>
      <c r="AT18">
        <v>0</v>
      </c>
      <c r="AU18">
        <v>0</v>
      </c>
      <c r="AV18">
        <v>0</v>
      </c>
    </row>
    <row r="19" spans="1:48">
      <c r="A19" s="1">
        <f>_xlfn.XLOOKUP(J19,数据!E:E,数据!A:A)</f>
        <v>4</v>
      </c>
      <c r="B19" s="1">
        <f>_xlfn.XLOOKUP(J19,数据!E:E,数据!B:B)</f>
        <v>18</v>
      </c>
      <c r="C19" s="1" t="str">
        <f>_xlfn.XLOOKUP(J19,数据!E:E,数据!J:J)</f>
        <v>空派</v>
      </c>
      <c r="D19" s="1" t="str" cm="1">
        <f t="array" ref="D19">IF(OR(C19="红单",C19="空派"),_xlfn.IFS(E19="未开售","新品首批发货",F19&lt;E19,"新品首批发货",F19-E19&lt;=60,"新品期补货空运",F19-E19&gt;60,"老品应急空运"),"海运，不进行分析")</f>
        <v>老品应急空运</v>
      </c>
      <c r="E19" s="2">
        <v>46030</v>
      </c>
      <c r="F19" s="2">
        <f>_xlfn.XLOOKUP(J19,数据!E:E,数据!C:C)</f>
        <v>46139</v>
      </c>
      <c r="G19" s="4">
        <v>98</v>
      </c>
      <c r="H19" s="4">
        <f t="shared" si="0"/>
        <v>4.9</v>
      </c>
      <c r="I19" s="4">
        <f>_xlfn.XLOOKUP(J19,数据!E:E,数据!S:S)*(H19/_xlfn.XLOOKUP(J19,数据!E:E,数据!X:X))</f>
        <v>450.014717906787</v>
      </c>
      <c r="J19" t="s">
        <v>2215</v>
      </c>
      <c r="K19" t="s">
        <v>54</v>
      </c>
      <c r="L19" t="s">
        <v>2374</v>
      </c>
      <c r="M19" t="s">
        <v>2533</v>
      </c>
      <c r="N19" t="s">
        <v>2376</v>
      </c>
      <c r="O19" t="s">
        <v>2400</v>
      </c>
      <c r="P19" t="s">
        <v>2378</v>
      </c>
      <c r="Q19" t="s">
        <v>2379</v>
      </c>
      <c r="S19" t="s">
        <v>2511</v>
      </c>
      <c r="T19" s="3" t="s">
        <v>2534</v>
      </c>
      <c r="U19" t="s">
        <v>2535</v>
      </c>
      <c r="V19" t="s">
        <v>2536</v>
      </c>
      <c r="W19" t="s">
        <v>2537</v>
      </c>
      <c r="X19" t="s">
        <v>2403</v>
      </c>
      <c r="Y19" t="s">
        <v>2538</v>
      </c>
      <c r="Z19" t="s">
        <v>2387</v>
      </c>
      <c r="AA19" t="s">
        <v>2534</v>
      </c>
      <c r="AB19" t="s">
        <v>2539</v>
      </c>
      <c r="AC19" t="s">
        <v>2540</v>
      </c>
      <c r="AD19" t="s">
        <v>2391</v>
      </c>
      <c r="AG19" t="s">
        <v>2541</v>
      </c>
      <c r="AH19" t="s">
        <v>2433</v>
      </c>
      <c r="AI19" t="s">
        <v>2391</v>
      </c>
      <c r="AJ19" t="s">
        <v>2542</v>
      </c>
      <c r="AK19" t="s">
        <v>2543</v>
      </c>
      <c r="AL19" t="s">
        <v>2544</v>
      </c>
      <c r="AM19" t="s">
        <v>2545</v>
      </c>
      <c r="AN19" t="s">
        <v>2546</v>
      </c>
      <c r="AO19" t="s">
        <v>2542</v>
      </c>
      <c r="AP19">
        <v>50</v>
      </c>
      <c r="AQ19">
        <v>50</v>
      </c>
      <c r="AR19">
        <v>50</v>
      </c>
      <c r="AS19" t="s">
        <v>2547</v>
      </c>
      <c r="AT19">
        <v>0</v>
      </c>
      <c r="AU19">
        <v>0</v>
      </c>
      <c r="AV19">
        <v>0</v>
      </c>
    </row>
    <row r="20" spans="1:48">
      <c r="A20" s="1">
        <f>_xlfn.XLOOKUP(J20,数据!E:E,数据!A:A)</f>
        <v>4</v>
      </c>
      <c r="B20" s="1">
        <f>_xlfn.XLOOKUP(J20,数据!E:E,数据!B:B)</f>
        <v>18</v>
      </c>
      <c r="C20" s="1" t="str">
        <f>_xlfn.XLOOKUP(J20,数据!E:E,数据!J:J)</f>
        <v>空派</v>
      </c>
      <c r="D20" s="1" t="str" cm="1">
        <f t="array" ref="D20">IF(OR(C20="红单",C20="空派"),_xlfn.IFS(E20="未开售","新品首批发货",F20&lt;E20,"新品首批发货",F20-E20&lt;=60,"新品期补货空运",F20-E20&gt;60,"老品应急空运"),"海运，不进行分析")</f>
        <v>老品应急空运</v>
      </c>
      <c r="E20" s="2">
        <v>45910</v>
      </c>
      <c r="F20" s="2">
        <f>_xlfn.XLOOKUP(J20,数据!E:E,数据!C:C)</f>
        <v>46139</v>
      </c>
      <c r="G20" s="4">
        <v>95</v>
      </c>
      <c r="H20" s="4">
        <f t="shared" si="0"/>
        <v>1.9</v>
      </c>
      <c r="I20" s="4">
        <f>_xlfn.XLOOKUP(J20,数据!E:E,数据!S:S)*(H20/_xlfn.XLOOKUP(J20,数据!E:E,数据!X:X))</f>
        <v>174.495502861815</v>
      </c>
      <c r="J20" t="s">
        <v>2215</v>
      </c>
      <c r="K20" t="s">
        <v>54</v>
      </c>
      <c r="L20" t="s">
        <v>2374</v>
      </c>
      <c r="M20" t="s">
        <v>2533</v>
      </c>
      <c r="N20" t="s">
        <v>2376</v>
      </c>
      <c r="O20" t="s">
        <v>2400</v>
      </c>
      <c r="P20" t="s">
        <v>2378</v>
      </c>
      <c r="Q20" t="s">
        <v>2379</v>
      </c>
      <c r="S20" t="s">
        <v>2511</v>
      </c>
      <c r="T20" s="3" t="s">
        <v>2534</v>
      </c>
      <c r="U20" t="s">
        <v>2535</v>
      </c>
      <c r="V20" t="s">
        <v>2536</v>
      </c>
      <c r="W20" t="s">
        <v>2537</v>
      </c>
      <c r="X20" t="s">
        <v>2403</v>
      </c>
      <c r="Y20" t="s">
        <v>2538</v>
      </c>
      <c r="Z20" t="s">
        <v>2387</v>
      </c>
      <c r="AA20" t="s">
        <v>2534</v>
      </c>
      <c r="AB20" t="s">
        <v>2539</v>
      </c>
      <c r="AC20" t="s">
        <v>2540</v>
      </c>
      <c r="AD20" t="s">
        <v>2391</v>
      </c>
      <c r="AG20" t="s">
        <v>2541</v>
      </c>
      <c r="AH20" t="s">
        <v>2433</v>
      </c>
      <c r="AI20" t="s">
        <v>2391</v>
      </c>
      <c r="AJ20" t="s">
        <v>2548</v>
      </c>
      <c r="AK20" t="s">
        <v>2549</v>
      </c>
      <c r="AL20" t="s">
        <v>2550</v>
      </c>
      <c r="AM20" t="s">
        <v>2545</v>
      </c>
      <c r="AN20" t="s">
        <v>2551</v>
      </c>
      <c r="AO20" t="s">
        <v>2548</v>
      </c>
      <c r="AP20">
        <v>20</v>
      </c>
      <c r="AQ20">
        <v>20</v>
      </c>
      <c r="AR20">
        <v>20</v>
      </c>
      <c r="AS20" t="s">
        <v>2523</v>
      </c>
      <c r="AT20">
        <v>0</v>
      </c>
      <c r="AU20">
        <v>0</v>
      </c>
      <c r="AV20">
        <v>0</v>
      </c>
    </row>
    <row r="21" spans="1:48">
      <c r="A21" s="1">
        <f>_xlfn.XLOOKUP(J21,数据!E:E,数据!A:A)</f>
        <v>4</v>
      </c>
      <c r="B21" s="1">
        <f>_xlfn.XLOOKUP(J21,数据!E:E,数据!B:B)</f>
        <v>18</v>
      </c>
      <c r="C21" s="1" t="str">
        <f>_xlfn.XLOOKUP(J21,数据!E:E,数据!J:J)</f>
        <v>空派</v>
      </c>
      <c r="D21" s="1" t="str" cm="1">
        <f t="array" ref="D21">IF(OR(C21="红单",C21="空派"),_xlfn.IFS(E21="未开售","新品首批发货",F21&lt;E21,"新品首批发货",F21-E21&lt;=60,"新品期补货空运",F21-E21&gt;60,"老品应急空运"),"海运，不进行分析")</f>
        <v>老品应急空运</v>
      </c>
      <c r="E21" s="2">
        <v>46028</v>
      </c>
      <c r="F21" s="2">
        <f>_xlfn.XLOOKUP(J21,数据!E:E,数据!C:C)</f>
        <v>46139</v>
      </c>
      <c r="G21" s="4">
        <v>181</v>
      </c>
      <c r="H21" s="4">
        <f t="shared" si="0"/>
        <v>5.43</v>
      </c>
      <c r="I21" s="4">
        <f>_xlfn.XLOOKUP(J21,数据!E:E,数据!S:S)*(H21/_xlfn.XLOOKUP(J21,数据!E:E,数据!X:X))</f>
        <v>498.689779231398</v>
      </c>
      <c r="J21" t="s">
        <v>2215</v>
      </c>
      <c r="K21" t="s">
        <v>54</v>
      </c>
      <c r="L21" t="s">
        <v>2374</v>
      </c>
      <c r="M21" t="s">
        <v>2533</v>
      </c>
      <c r="N21" t="s">
        <v>2376</v>
      </c>
      <c r="O21" t="s">
        <v>2400</v>
      </c>
      <c r="P21" t="s">
        <v>2378</v>
      </c>
      <c r="Q21" t="s">
        <v>2379</v>
      </c>
      <c r="S21" t="s">
        <v>2511</v>
      </c>
      <c r="T21" s="3" t="s">
        <v>2534</v>
      </c>
      <c r="U21" t="s">
        <v>2535</v>
      </c>
      <c r="V21" t="s">
        <v>2536</v>
      </c>
      <c r="W21" t="s">
        <v>2537</v>
      </c>
      <c r="X21" t="s">
        <v>2403</v>
      </c>
      <c r="Y21" t="s">
        <v>2538</v>
      </c>
      <c r="Z21" t="s">
        <v>2387</v>
      </c>
      <c r="AA21" t="s">
        <v>2534</v>
      </c>
      <c r="AB21" t="s">
        <v>2539</v>
      </c>
      <c r="AC21" t="s">
        <v>2540</v>
      </c>
      <c r="AD21" t="s">
        <v>2391</v>
      </c>
      <c r="AG21" t="s">
        <v>2541</v>
      </c>
      <c r="AH21" t="s">
        <v>2433</v>
      </c>
      <c r="AI21" t="s">
        <v>2391</v>
      </c>
      <c r="AJ21" t="s">
        <v>2552</v>
      </c>
      <c r="AK21" t="s">
        <v>2553</v>
      </c>
      <c r="AL21" t="s">
        <v>2554</v>
      </c>
      <c r="AM21" t="s">
        <v>2555</v>
      </c>
      <c r="AN21" t="s">
        <v>2556</v>
      </c>
      <c r="AO21" t="s">
        <v>2552</v>
      </c>
      <c r="AP21">
        <v>30</v>
      </c>
      <c r="AQ21">
        <v>30</v>
      </c>
      <c r="AR21">
        <v>30</v>
      </c>
      <c r="AS21" t="s">
        <v>2557</v>
      </c>
      <c r="AT21">
        <v>0</v>
      </c>
      <c r="AU21">
        <v>0</v>
      </c>
      <c r="AV21">
        <v>0</v>
      </c>
    </row>
    <row r="22" spans="1:48">
      <c r="A22" s="1">
        <f>_xlfn.XLOOKUP(J22,数据!E:E,数据!A:A)</f>
        <v>4</v>
      </c>
      <c r="B22" s="1">
        <f>_xlfn.XLOOKUP(J22,数据!E:E,数据!B:B)</f>
        <v>18</v>
      </c>
      <c r="C22" s="1" t="str">
        <f>_xlfn.XLOOKUP(J22,数据!E:E,数据!J:J)</f>
        <v>空派</v>
      </c>
      <c r="D22" s="1" t="str" cm="1">
        <f t="array" ref="D22">IF(OR(C22="红单",C22="空派"),_xlfn.IFS(E22="未开售","新品首批发货",F22&lt;E22,"新品首批发货",F22-E22&lt;=60,"新品期补货空运",F22-E22&gt;60,"老品应急空运"),"海运，不进行分析")</f>
        <v>老品应急空运</v>
      </c>
      <c r="E22" s="2">
        <v>44557</v>
      </c>
      <c r="F22" s="2">
        <f>_xlfn.XLOOKUP(J22,数据!E:E,数据!C:C)</f>
        <v>46139</v>
      </c>
      <c r="G22" s="4">
        <v>154</v>
      </c>
      <c r="H22" s="4">
        <f t="shared" si="0"/>
        <v>6.93</v>
      </c>
      <c r="I22" s="4">
        <f>_xlfn.XLOOKUP(J22,数据!E:E,数据!S:S)*(H22/_xlfn.XLOOKUP(J22,数据!E:E,数据!X:X))</f>
        <v>524.351459705446</v>
      </c>
      <c r="J22" t="s">
        <v>2219</v>
      </c>
      <c r="K22" t="s">
        <v>56</v>
      </c>
      <c r="L22" t="s">
        <v>2374</v>
      </c>
      <c r="M22" t="s">
        <v>2558</v>
      </c>
      <c r="N22" t="s">
        <v>2376</v>
      </c>
      <c r="O22" t="s">
        <v>2400</v>
      </c>
      <c r="P22" t="s">
        <v>2378</v>
      </c>
      <c r="Q22" t="s">
        <v>2379</v>
      </c>
      <c r="S22" t="s">
        <v>2380</v>
      </c>
      <c r="T22" s="3" t="s">
        <v>2534</v>
      </c>
      <c r="U22" t="s">
        <v>2559</v>
      </c>
      <c r="V22" t="s">
        <v>2560</v>
      </c>
      <c r="W22" t="s">
        <v>2384</v>
      </c>
      <c r="X22" t="s">
        <v>2385</v>
      </c>
      <c r="Y22" t="s">
        <v>2561</v>
      </c>
      <c r="Z22" t="s">
        <v>2387</v>
      </c>
      <c r="AA22" t="s">
        <v>2534</v>
      </c>
      <c r="AB22" t="s">
        <v>2562</v>
      </c>
      <c r="AC22" t="s">
        <v>2563</v>
      </c>
      <c r="AD22" t="s">
        <v>2391</v>
      </c>
      <c r="AG22" t="s">
        <v>2432</v>
      </c>
      <c r="AH22" t="s">
        <v>2433</v>
      </c>
      <c r="AI22" t="s">
        <v>2391</v>
      </c>
      <c r="AJ22" t="s">
        <v>2564</v>
      </c>
      <c r="AK22" t="s">
        <v>2565</v>
      </c>
      <c r="AL22" t="s">
        <v>2566</v>
      </c>
      <c r="AM22" t="s">
        <v>2567</v>
      </c>
      <c r="AN22" t="s">
        <v>2568</v>
      </c>
      <c r="AO22" t="s">
        <v>2564</v>
      </c>
      <c r="AP22">
        <v>45</v>
      </c>
      <c r="AQ22">
        <v>45</v>
      </c>
      <c r="AR22">
        <v>45</v>
      </c>
      <c r="AS22" t="s">
        <v>2569</v>
      </c>
      <c r="AT22">
        <v>0</v>
      </c>
      <c r="AU22">
        <v>0</v>
      </c>
      <c r="AV22">
        <v>0</v>
      </c>
    </row>
    <row r="23" spans="1:48">
      <c r="A23" s="1">
        <f>_xlfn.XLOOKUP(J23,数据!E:E,数据!A:A)</f>
        <v>4</v>
      </c>
      <c r="B23" s="1">
        <f>_xlfn.XLOOKUP(J23,数据!E:E,数据!B:B)</f>
        <v>18</v>
      </c>
      <c r="C23" s="1" t="str">
        <f>_xlfn.XLOOKUP(J23,数据!E:E,数据!J:J)</f>
        <v>空派</v>
      </c>
      <c r="D23" s="1" t="str" cm="1">
        <f t="array" ref="D23">IF(OR(C23="红单",C23="空派"),_xlfn.IFS(E23="未开售","新品首批发货",F23&lt;E23,"新品首批发货",F23-E23&lt;=60,"新品期补货空运",F23-E23&gt;60,"老品应急空运"),"海运，不进行分析")</f>
        <v>新品期补货空运</v>
      </c>
      <c r="E23" s="2">
        <v>46110</v>
      </c>
      <c r="F23" s="2">
        <f>_xlfn.XLOOKUP(J23,数据!E:E,数据!C:C)</f>
        <v>46139</v>
      </c>
      <c r="G23" s="4">
        <v>235</v>
      </c>
      <c r="H23" s="4">
        <f t="shared" si="0"/>
        <v>11.75</v>
      </c>
      <c r="I23" s="4">
        <f>_xlfn.XLOOKUP(J23,数据!E:E,数据!S:S)*(H23/_xlfn.XLOOKUP(J23,数据!E:E,数据!X:X))</f>
        <v>889.051897768975</v>
      </c>
      <c r="J23" t="s">
        <v>2219</v>
      </c>
      <c r="K23" t="s">
        <v>56</v>
      </c>
      <c r="L23" t="s">
        <v>2374</v>
      </c>
      <c r="M23" t="s">
        <v>2558</v>
      </c>
      <c r="N23" t="s">
        <v>2376</v>
      </c>
      <c r="O23" t="s">
        <v>2400</v>
      </c>
      <c r="P23" t="s">
        <v>2378</v>
      </c>
      <c r="Q23" t="s">
        <v>2379</v>
      </c>
      <c r="S23" t="s">
        <v>2380</v>
      </c>
      <c r="T23" s="3" t="s">
        <v>2534</v>
      </c>
      <c r="U23" t="s">
        <v>2559</v>
      </c>
      <c r="V23" t="s">
        <v>2560</v>
      </c>
      <c r="W23" t="s">
        <v>2384</v>
      </c>
      <c r="X23" t="s">
        <v>2385</v>
      </c>
      <c r="Y23" t="s">
        <v>2561</v>
      </c>
      <c r="Z23" t="s">
        <v>2387</v>
      </c>
      <c r="AA23" t="s">
        <v>2534</v>
      </c>
      <c r="AB23" t="s">
        <v>2562</v>
      </c>
      <c r="AC23" t="s">
        <v>2563</v>
      </c>
      <c r="AD23" t="s">
        <v>2391</v>
      </c>
      <c r="AG23" t="s">
        <v>2432</v>
      </c>
      <c r="AH23" t="s">
        <v>2433</v>
      </c>
      <c r="AI23" t="s">
        <v>2391</v>
      </c>
      <c r="AJ23" t="s">
        <v>2393</v>
      </c>
      <c r="AK23" t="s">
        <v>2394</v>
      </c>
      <c r="AL23" t="s">
        <v>2395</v>
      </c>
      <c r="AM23" t="s">
        <v>2396</v>
      </c>
      <c r="AN23" t="s">
        <v>2397</v>
      </c>
      <c r="AO23" t="s">
        <v>2393</v>
      </c>
      <c r="AP23">
        <v>50</v>
      </c>
      <c r="AQ23">
        <v>50</v>
      </c>
      <c r="AR23">
        <v>49</v>
      </c>
      <c r="AS23" t="s">
        <v>2570</v>
      </c>
      <c r="AT23">
        <v>0</v>
      </c>
      <c r="AU23">
        <v>-1</v>
      </c>
      <c r="AV23">
        <v>1</v>
      </c>
    </row>
    <row r="24" spans="1:48">
      <c r="A24" s="1">
        <f>_xlfn.XLOOKUP(J24,数据!E:E,数据!A:A)</f>
        <v>4</v>
      </c>
      <c r="B24" s="1">
        <f>_xlfn.XLOOKUP(J24,数据!E:E,数据!B:B)</f>
        <v>18</v>
      </c>
      <c r="C24" s="1" t="str">
        <f>_xlfn.XLOOKUP(J24,数据!E:E,数据!J:J)</f>
        <v>空派</v>
      </c>
      <c r="D24" s="1" t="str" cm="1">
        <f t="array" ref="D24">IF(OR(C24="红单",C24="空派"),_xlfn.IFS(E24="未开售","新品首批发货",F24&lt;E24,"新品首批发货",F24-E24&lt;=60,"新品期补货空运",F24-E24&gt;60,"老品应急空运"),"海运，不进行分析")</f>
        <v>新品期补货空运</v>
      </c>
      <c r="E24" s="2">
        <v>46113</v>
      </c>
      <c r="F24" s="2">
        <f>_xlfn.XLOOKUP(J24,数据!E:E,数据!C:C)</f>
        <v>46139</v>
      </c>
      <c r="G24" s="4">
        <v>384.8</v>
      </c>
      <c r="H24" s="4">
        <f t="shared" si="0"/>
        <v>14.2376</v>
      </c>
      <c r="I24" s="4">
        <f>_xlfn.XLOOKUP(J24,数据!E:E,数据!S:S)*(H24/_xlfn.XLOOKUP(J24,数据!E:E,数据!X:X))</f>
        <v>1077.27364252558</v>
      </c>
      <c r="J24" t="s">
        <v>2219</v>
      </c>
      <c r="K24" t="s">
        <v>56</v>
      </c>
      <c r="L24" t="s">
        <v>2374</v>
      </c>
      <c r="M24" t="s">
        <v>2558</v>
      </c>
      <c r="N24" t="s">
        <v>2376</v>
      </c>
      <c r="O24" t="s">
        <v>2400</v>
      </c>
      <c r="P24" t="s">
        <v>2378</v>
      </c>
      <c r="Q24" t="s">
        <v>2379</v>
      </c>
      <c r="S24" t="s">
        <v>2380</v>
      </c>
      <c r="T24" s="3" t="s">
        <v>2534</v>
      </c>
      <c r="U24" t="s">
        <v>2559</v>
      </c>
      <c r="V24" t="s">
        <v>2560</v>
      </c>
      <c r="W24" t="s">
        <v>2384</v>
      </c>
      <c r="X24" t="s">
        <v>2385</v>
      </c>
      <c r="Y24" t="s">
        <v>2561</v>
      </c>
      <c r="Z24" t="s">
        <v>2387</v>
      </c>
      <c r="AA24" t="s">
        <v>2534</v>
      </c>
      <c r="AB24" t="s">
        <v>2562</v>
      </c>
      <c r="AC24" t="s">
        <v>2563</v>
      </c>
      <c r="AD24" t="s">
        <v>2391</v>
      </c>
      <c r="AG24" t="s">
        <v>2432</v>
      </c>
      <c r="AH24" t="s">
        <v>2433</v>
      </c>
      <c r="AI24" t="s">
        <v>2391</v>
      </c>
      <c r="AJ24" t="s">
        <v>2571</v>
      </c>
      <c r="AK24" t="s">
        <v>2572</v>
      </c>
      <c r="AL24" t="s">
        <v>2573</v>
      </c>
      <c r="AM24" t="s">
        <v>2573</v>
      </c>
      <c r="AN24" t="s">
        <v>2574</v>
      </c>
      <c r="AO24" t="s">
        <v>2571</v>
      </c>
      <c r="AP24">
        <v>37</v>
      </c>
      <c r="AQ24">
        <v>37</v>
      </c>
      <c r="AR24">
        <v>37</v>
      </c>
      <c r="AS24" t="s">
        <v>2575</v>
      </c>
      <c r="AT24">
        <v>0</v>
      </c>
      <c r="AU24">
        <v>0</v>
      </c>
      <c r="AV24">
        <v>0</v>
      </c>
    </row>
    <row r="25" spans="1:48">
      <c r="A25" s="1">
        <f>_xlfn.XLOOKUP(J25,数据!E:E,数据!A:A)</f>
        <v>4</v>
      </c>
      <c r="B25" s="1">
        <f>_xlfn.XLOOKUP(J25,数据!E:E,数据!B:B)</f>
        <v>18</v>
      </c>
      <c r="C25" s="1" t="str">
        <f>_xlfn.XLOOKUP(J25,数据!E:E,数据!J:J)</f>
        <v>空派</v>
      </c>
      <c r="D25" s="1" t="str" cm="1">
        <f t="array" ref="D25">IF(OR(C25="红单",C25="空派"),_xlfn.IFS(E25="未开售","新品首批发货",F25&lt;E25,"新品首批发货",F25-E25&lt;=60,"新品期补货空运",F25-E25&gt;60,"老品应急空运"),"海运，不进行分析")</f>
        <v>新品首批发货</v>
      </c>
      <c r="E25" s="2">
        <v>46155</v>
      </c>
      <c r="F25" s="2">
        <f>_xlfn.XLOOKUP(J25,数据!E:E,数据!C:C)</f>
        <v>46139</v>
      </c>
      <c r="G25" s="4">
        <v>142</v>
      </c>
      <c r="H25" s="4">
        <f t="shared" si="0"/>
        <v>12.78</v>
      </c>
      <c r="I25" s="4">
        <f>_xlfn.XLOOKUP(J25,数据!E:E,数据!S:S)*(H25/_xlfn.XLOOKUP(J25,数据!E:E,数据!X:X))</f>
        <v>1103.86357541899</v>
      </c>
      <c r="J25" t="s">
        <v>2218</v>
      </c>
      <c r="K25" t="s">
        <v>51</v>
      </c>
      <c r="L25" t="s">
        <v>2374</v>
      </c>
      <c r="M25" t="s">
        <v>2576</v>
      </c>
      <c r="N25" t="s">
        <v>2376</v>
      </c>
      <c r="O25" t="s">
        <v>2400</v>
      </c>
      <c r="P25" t="s">
        <v>2378</v>
      </c>
      <c r="Q25" t="s">
        <v>2379</v>
      </c>
      <c r="S25" t="s">
        <v>2511</v>
      </c>
      <c r="T25" s="3" t="s">
        <v>2534</v>
      </c>
      <c r="U25" t="s">
        <v>2559</v>
      </c>
      <c r="V25" t="s">
        <v>2577</v>
      </c>
      <c r="W25" t="s">
        <v>2578</v>
      </c>
      <c r="X25" t="s">
        <v>2403</v>
      </c>
      <c r="Y25" t="s">
        <v>2579</v>
      </c>
      <c r="Z25" t="s">
        <v>2405</v>
      </c>
      <c r="AA25" t="s">
        <v>2534</v>
      </c>
      <c r="AB25" t="s">
        <v>2580</v>
      </c>
      <c r="AC25" t="s">
        <v>2581</v>
      </c>
      <c r="AD25" t="s">
        <v>2391</v>
      </c>
      <c r="AG25" t="s">
        <v>2432</v>
      </c>
      <c r="AH25" t="s">
        <v>2433</v>
      </c>
      <c r="AI25" t="s">
        <v>2391</v>
      </c>
      <c r="AJ25" t="s">
        <v>2582</v>
      </c>
      <c r="AK25" t="s">
        <v>2583</v>
      </c>
      <c r="AL25" t="s">
        <v>2584</v>
      </c>
      <c r="AM25" t="s">
        <v>2584</v>
      </c>
      <c r="AN25" t="s">
        <v>2585</v>
      </c>
      <c r="AO25" t="s">
        <v>2582</v>
      </c>
      <c r="AP25">
        <v>90</v>
      </c>
      <c r="AQ25">
        <v>90</v>
      </c>
      <c r="AR25">
        <v>90</v>
      </c>
      <c r="AS25" t="s">
        <v>2586</v>
      </c>
      <c r="AT25">
        <v>0</v>
      </c>
      <c r="AU25">
        <v>0</v>
      </c>
      <c r="AV25">
        <v>0</v>
      </c>
    </row>
    <row r="26" spans="1:48">
      <c r="A26" s="1">
        <f>_xlfn.XLOOKUP(J26,数据!E:E,数据!A:A)</f>
        <v>4</v>
      </c>
      <c r="B26" s="1">
        <f>_xlfn.XLOOKUP(J26,数据!E:E,数据!B:B)</f>
        <v>18</v>
      </c>
      <c r="C26" s="1" t="str">
        <f>_xlfn.XLOOKUP(J26,数据!E:E,数据!J:J)</f>
        <v>空派</v>
      </c>
      <c r="D26" s="1" t="str" cm="1">
        <f t="array" ref="D26">IF(OR(C26="红单",C26="空派"),_xlfn.IFS(E26="未开售","新品首批发货",F26&lt;E26,"新品首批发货",F26-E26&lt;=60,"新品期补货空运",F26-E26&gt;60,"老品应急空运"),"海运，不进行分析")</f>
        <v>新品期补货空运</v>
      </c>
      <c r="E26" s="2">
        <v>46093</v>
      </c>
      <c r="F26" s="2">
        <f>_xlfn.XLOOKUP(J26,数据!E:E,数据!C:C)</f>
        <v>46139</v>
      </c>
      <c r="G26" s="4">
        <v>108</v>
      </c>
      <c r="H26" s="4">
        <f t="shared" si="0"/>
        <v>0.108</v>
      </c>
      <c r="I26" s="4">
        <f>_xlfn.XLOOKUP(J26,数据!E:E,数据!S:S)*(H26/_xlfn.XLOOKUP(J26,数据!E:E,数据!X:X))</f>
        <v>9.32842458100559</v>
      </c>
      <c r="J26" t="s">
        <v>2218</v>
      </c>
      <c r="K26" t="s">
        <v>51</v>
      </c>
      <c r="L26" t="s">
        <v>2374</v>
      </c>
      <c r="M26" t="s">
        <v>2576</v>
      </c>
      <c r="N26" t="s">
        <v>2376</v>
      </c>
      <c r="O26" t="s">
        <v>2400</v>
      </c>
      <c r="P26" t="s">
        <v>2378</v>
      </c>
      <c r="Q26" t="s">
        <v>2379</v>
      </c>
      <c r="S26" t="s">
        <v>2511</v>
      </c>
      <c r="T26" s="3" t="s">
        <v>2534</v>
      </c>
      <c r="U26" t="s">
        <v>2559</v>
      </c>
      <c r="V26" t="s">
        <v>2577</v>
      </c>
      <c r="W26" t="s">
        <v>2578</v>
      </c>
      <c r="X26" t="s">
        <v>2403</v>
      </c>
      <c r="Y26" t="s">
        <v>2579</v>
      </c>
      <c r="Z26" t="s">
        <v>2405</v>
      </c>
      <c r="AA26" t="s">
        <v>2534</v>
      </c>
      <c r="AB26" t="s">
        <v>2580</v>
      </c>
      <c r="AC26" t="s">
        <v>2581</v>
      </c>
      <c r="AD26" t="s">
        <v>2391</v>
      </c>
      <c r="AG26" t="s">
        <v>2432</v>
      </c>
      <c r="AH26" t="s">
        <v>2433</v>
      </c>
      <c r="AI26" t="s">
        <v>2391</v>
      </c>
      <c r="AJ26" t="s">
        <v>2587</v>
      </c>
      <c r="AK26" t="s">
        <v>2588</v>
      </c>
      <c r="AL26" t="s">
        <v>2589</v>
      </c>
      <c r="AM26" t="s">
        <v>2590</v>
      </c>
      <c r="AN26" t="s">
        <v>2591</v>
      </c>
      <c r="AO26" t="s">
        <v>2587</v>
      </c>
      <c r="AP26">
        <v>1</v>
      </c>
      <c r="AQ26">
        <v>1</v>
      </c>
      <c r="AR26">
        <v>1</v>
      </c>
      <c r="AS26" t="s">
        <v>2592</v>
      </c>
      <c r="AT26">
        <v>0</v>
      </c>
      <c r="AU26">
        <v>0</v>
      </c>
      <c r="AV26">
        <v>0</v>
      </c>
    </row>
    <row r="27" spans="1:48">
      <c r="A27" s="1">
        <f>_xlfn.XLOOKUP(J27,数据!E:E,数据!A:A)</f>
        <v>4</v>
      </c>
      <c r="B27" s="1">
        <f>_xlfn.XLOOKUP(J27,数据!E:E,数据!B:B)</f>
        <v>18</v>
      </c>
      <c r="C27" s="1" t="str">
        <f>_xlfn.XLOOKUP(J27,数据!E:E,数据!J:J)</f>
        <v>空派</v>
      </c>
      <c r="D27" s="1" t="str" cm="1">
        <f t="array" ref="D27">IF(OR(C27="红单",C27="空派"),_xlfn.IFS(E27="未开售","新品首批发货",F27&lt;E27,"新品首批发货",F27-E27&lt;=60,"新品期补货空运",F27-E27&gt;60,"老品应急空运"),"海运，不进行分析")</f>
        <v>新品期补货空运</v>
      </c>
      <c r="E27" s="2">
        <v>46106</v>
      </c>
      <c r="F27" s="2">
        <f>_xlfn.XLOOKUP(J27,数据!E:E,数据!C:C)</f>
        <v>46139</v>
      </c>
      <c r="G27" s="4">
        <v>108</v>
      </c>
      <c r="H27" s="4">
        <f>G27*AP27/1000</f>
        <v>10.8</v>
      </c>
      <c r="I27" s="4">
        <f>_xlfn.XLOOKUP(J27,数据!E:E,数据!S:S)*(H27/_xlfn.XLOOKUP(J27,数据!E:E,数据!X:X))</f>
        <v>873.7808761187</v>
      </c>
      <c r="J27" t="s">
        <v>2216</v>
      </c>
      <c r="K27" t="s">
        <v>31</v>
      </c>
      <c r="L27" t="s">
        <v>2374</v>
      </c>
      <c r="M27" t="s">
        <v>2593</v>
      </c>
      <c r="N27" t="s">
        <v>2376</v>
      </c>
      <c r="O27" t="s">
        <v>2400</v>
      </c>
      <c r="P27" t="s">
        <v>2378</v>
      </c>
      <c r="Q27" t="s">
        <v>2379</v>
      </c>
      <c r="S27" t="s">
        <v>2380</v>
      </c>
      <c r="T27" s="3" t="s">
        <v>2534</v>
      </c>
      <c r="U27" t="s">
        <v>2594</v>
      </c>
      <c r="V27" t="s">
        <v>2595</v>
      </c>
      <c r="W27" t="s">
        <v>2384</v>
      </c>
      <c r="X27" t="s">
        <v>2385</v>
      </c>
      <c r="Y27" t="s">
        <v>2596</v>
      </c>
      <c r="Z27" t="s">
        <v>2405</v>
      </c>
      <c r="AA27" t="s">
        <v>2534</v>
      </c>
      <c r="AB27" t="s">
        <v>2597</v>
      </c>
      <c r="AC27" t="s">
        <v>2598</v>
      </c>
      <c r="AD27" t="s">
        <v>2391</v>
      </c>
      <c r="AG27" t="s">
        <v>2432</v>
      </c>
      <c r="AH27" t="s">
        <v>2433</v>
      </c>
      <c r="AI27" t="s">
        <v>2391</v>
      </c>
      <c r="AJ27" t="s">
        <v>2599</v>
      </c>
      <c r="AK27" t="s">
        <v>2600</v>
      </c>
      <c r="AL27" t="s">
        <v>2601</v>
      </c>
      <c r="AM27" t="s">
        <v>2601</v>
      </c>
      <c r="AN27" t="s">
        <v>2602</v>
      </c>
      <c r="AO27" t="s">
        <v>2599</v>
      </c>
      <c r="AP27">
        <v>100</v>
      </c>
      <c r="AQ27">
        <v>100</v>
      </c>
      <c r="AR27">
        <v>100</v>
      </c>
      <c r="AS27" t="s">
        <v>2603</v>
      </c>
      <c r="AT27">
        <v>0</v>
      </c>
      <c r="AU27">
        <v>0</v>
      </c>
      <c r="AV27">
        <v>0</v>
      </c>
    </row>
    <row r="28" spans="1:48">
      <c r="A28" s="1">
        <f>_xlfn.XLOOKUP(J28,数据!E:E,数据!A:A)</f>
        <v>4</v>
      </c>
      <c r="B28" s="1">
        <f>_xlfn.XLOOKUP(J28,数据!E:E,数据!B:B)</f>
        <v>18</v>
      </c>
      <c r="C28" s="1" t="str">
        <f>_xlfn.XLOOKUP(J28,数据!E:E,数据!J:J)</f>
        <v>空派</v>
      </c>
      <c r="D28" s="1" t="str" cm="1">
        <f t="array" ref="D28">IF(OR(C28="红单",C28="空派"),_xlfn.IFS(E28="未开售","新品首批发货",F28&lt;E28,"新品首批发货",F28-E28&lt;=60,"新品期补货空运",F28-E28&gt;60,"老品应急空运"),"海运，不进行分析")</f>
        <v>老品应急空运</v>
      </c>
      <c r="E28" s="2">
        <v>46023</v>
      </c>
      <c r="F28" s="2">
        <f>_xlfn.XLOOKUP(J28,数据!E:E,数据!C:C)</f>
        <v>46139</v>
      </c>
      <c r="G28" s="4">
        <v>144</v>
      </c>
      <c r="H28" s="4">
        <f>G28*AP28/1000</f>
        <v>7.2</v>
      </c>
      <c r="I28" s="4">
        <f>_xlfn.XLOOKUP(J28,数据!E:E,数据!S:S)*(H28/_xlfn.XLOOKUP(J28,数据!E:E,数据!X:X))</f>
        <v>582.520584079133</v>
      </c>
      <c r="J28" t="s">
        <v>2216</v>
      </c>
      <c r="K28" t="s">
        <v>31</v>
      </c>
      <c r="L28" t="s">
        <v>2374</v>
      </c>
      <c r="M28" t="s">
        <v>2593</v>
      </c>
      <c r="N28" t="s">
        <v>2376</v>
      </c>
      <c r="O28" t="s">
        <v>2400</v>
      </c>
      <c r="P28" t="s">
        <v>2378</v>
      </c>
      <c r="Q28" t="s">
        <v>2379</v>
      </c>
      <c r="S28" t="s">
        <v>2380</v>
      </c>
      <c r="T28" s="3" t="s">
        <v>2534</v>
      </c>
      <c r="U28" t="s">
        <v>2594</v>
      </c>
      <c r="V28" t="s">
        <v>2595</v>
      </c>
      <c r="W28" t="s">
        <v>2384</v>
      </c>
      <c r="X28" t="s">
        <v>2385</v>
      </c>
      <c r="Y28" t="s">
        <v>2596</v>
      </c>
      <c r="Z28" t="s">
        <v>2405</v>
      </c>
      <c r="AA28" t="s">
        <v>2534</v>
      </c>
      <c r="AB28" t="s">
        <v>2597</v>
      </c>
      <c r="AC28" t="s">
        <v>2598</v>
      </c>
      <c r="AD28" t="s">
        <v>2391</v>
      </c>
      <c r="AG28" t="s">
        <v>2432</v>
      </c>
      <c r="AH28" t="s">
        <v>2433</v>
      </c>
      <c r="AI28" t="s">
        <v>2391</v>
      </c>
      <c r="AJ28" t="s">
        <v>2604</v>
      </c>
      <c r="AK28" t="s">
        <v>2605</v>
      </c>
      <c r="AL28" t="s">
        <v>2606</v>
      </c>
      <c r="AM28" t="s">
        <v>2607</v>
      </c>
      <c r="AN28" t="s">
        <v>2608</v>
      </c>
      <c r="AO28" t="s">
        <v>2604</v>
      </c>
      <c r="AP28">
        <v>50</v>
      </c>
      <c r="AQ28">
        <v>50</v>
      </c>
      <c r="AR28">
        <v>50</v>
      </c>
      <c r="AS28" t="s">
        <v>2547</v>
      </c>
      <c r="AT28">
        <v>0</v>
      </c>
      <c r="AU28">
        <v>0</v>
      </c>
      <c r="AV28">
        <v>0</v>
      </c>
    </row>
    <row r="29" spans="1:48">
      <c r="A29" s="1">
        <f>_xlfn.XLOOKUP(J29,数据!E:E,数据!A:A)</f>
        <v>4</v>
      </c>
      <c r="B29" s="1">
        <f>_xlfn.XLOOKUP(J29,数据!E:E,数据!B:B)</f>
        <v>18</v>
      </c>
      <c r="C29" s="1" t="str">
        <f>_xlfn.XLOOKUP(J29,数据!E:E,数据!J:J)</f>
        <v>空派</v>
      </c>
      <c r="D29" s="1" t="str" cm="1">
        <f t="array" ref="D29">IF(OR(C29="红单",C29="空派"),_xlfn.IFS(E29="未开售","新品首批发货",F29&lt;E29,"新品首批发货",F29-E29&lt;=60,"新品期补货空运",F29-E29&gt;60,"老品应急空运"),"海运，不进行分析")</f>
        <v>老品应急空运</v>
      </c>
      <c r="E29" s="2">
        <v>46017</v>
      </c>
      <c r="F29" s="2">
        <f>_xlfn.XLOOKUP(J29,数据!E:E,数据!C:C)</f>
        <v>46139</v>
      </c>
      <c r="G29" s="4">
        <v>224.1</v>
      </c>
      <c r="H29" s="4">
        <f>G29*AP29/1000</f>
        <v>11.205</v>
      </c>
      <c r="I29" s="4">
        <f>_xlfn.XLOOKUP(J29,数据!E:E,数据!S:S)*(H29/_xlfn.XLOOKUP(J29,数据!E:E,数据!X:X))</f>
        <v>906.547658973151</v>
      </c>
      <c r="J29" t="s">
        <v>2216</v>
      </c>
      <c r="K29" t="s">
        <v>31</v>
      </c>
      <c r="L29" t="s">
        <v>2374</v>
      </c>
      <c r="M29" t="s">
        <v>2593</v>
      </c>
      <c r="N29" t="s">
        <v>2376</v>
      </c>
      <c r="O29" t="s">
        <v>2400</v>
      </c>
      <c r="P29" t="s">
        <v>2378</v>
      </c>
      <c r="Q29" t="s">
        <v>2379</v>
      </c>
      <c r="S29" t="s">
        <v>2380</v>
      </c>
      <c r="T29" s="3" t="s">
        <v>2534</v>
      </c>
      <c r="U29" t="s">
        <v>2594</v>
      </c>
      <c r="V29" t="s">
        <v>2595</v>
      </c>
      <c r="W29" t="s">
        <v>2384</v>
      </c>
      <c r="X29" t="s">
        <v>2385</v>
      </c>
      <c r="Y29" t="s">
        <v>2596</v>
      </c>
      <c r="Z29" t="s">
        <v>2405</v>
      </c>
      <c r="AA29" t="s">
        <v>2534</v>
      </c>
      <c r="AB29" t="s">
        <v>2597</v>
      </c>
      <c r="AC29" t="s">
        <v>2598</v>
      </c>
      <c r="AD29" t="s">
        <v>2391</v>
      </c>
      <c r="AG29" t="s">
        <v>2432</v>
      </c>
      <c r="AH29" t="s">
        <v>2433</v>
      </c>
      <c r="AI29" t="s">
        <v>2391</v>
      </c>
      <c r="AJ29" t="s">
        <v>2609</v>
      </c>
      <c r="AK29" t="s">
        <v>2610</v>
      </c>
      <c r="AL29" t="s">
        <v>2611</v>
      </c>
      <c r="AM29" t="s">
        <v>2611</v>
      </c>
      <c r="AN29" t="s">
        <v>2612</v>
      </c>
      <c r="AO29" t="s">
        <v>2609</v>
      </c>
      <c r="AP29">
        <v>50</v>
      </c>
      <c r="AQ29">
        <v>50</v>
      </c>
      <c r="AR29">
        <v>49</v>
      </c>
      <c r="AS29" t="s">
        <v>2613</v>
      </c>
      <c r="AT29">
        <v>0</v>
      </c>
      <c r="AU29">
        <v>-1</v>
      </c>
      <c r="AV29">
        <v>1</v>
      </c>
    </row>
    <row r="30" spans="1:48">
      <c r="A30" s="1">
        <f>_xlfn.XLOOKUP(J30,数据!E:E,数据!A:A)</f>
        <v>4</v>
      </c>
      <c r="B30" s="1">
        <f>_xlfn.XLOOKUP(J30,数据!E:E,数据!B:B)</f>
        <v>18</v>
      </c>
      <c r="C30" s="1" t="str">
        <f>_xlfn.XLOOKUP(J30,数据!E:E,数据!J:J)</f>
        <v>空派</v>
      </c>
      <c r="D30" s="1" t="str" cm="1">
        <f t="array" ref="D30">IF(OR(C30="红单",C30="空派"),_xlfn.IFS(E30="未开售","新品首批发货",F30&lt;E30,"新品首批发货",F30-E30&lt;=60,"新品期补货空运",F30-E30&gt;60,"老品应急空运"),"海运，不进行分析")</f>
        <v>老品应急空运</v>
      </c>
      <c r="E30" s="2">
        <v>44688</v>
      </c>
      <c r="F30" s="2">
        <f>_xlfn.XLOOKUP(J30,数据!E:E,数据!C:C)</f>
        <v>46139</v>
      </c>
      <c r="G30" s="4">
        <v>132</v>
      </c>
      <c r="H30" s="4">
        <f>G30*AP30/1000</f>
        <v>2.64</v>
      </c>
      <c r="I30" s="4">
        <f>_xlfn.XLOOKUP(J30,数据!E:E,数据!S:S)*(H30/_xlfn.XLOOKUP(J30,数据!E:E,数据!X:X))</f>
        <v>213.590880829016</v>
      </c>
      <c r="J30" t="s">
        <v>2216</v>
      </c>
      <c r="K30" t="s">
        <v>31</v>
      </c>
      <c r="L30" t="s">
        <v>2374</v>
      </c>
      <c r="M30" t="s">
        <v>2593</v>
      </c>
      <c r="N30" t="s">
        <v>2376</v>
      </c>
      <c r="O30" t="s">
        <v>2400</v>
      </c>
      <c r="P30" t="s">
        <v>2378</v>
      </c>
      <c r="Q30" t="s">
        <v>2379</v>
      </c>
      <c r="S30" t="s">
        <v>2380</v>
      </c>
      <c r="T30" s="3" t="s">
        <v>2534</v>
      </c>
      <c r="U30" t="s">
        <v>2594</v>
      </c>
      <c r="V30" t="s">
        <v>2595</v>
      </c>
      <c r="W30" t="s">
        <v>2384</v>
      </c>
      <c r="X30" t="s">
        <v>2385</v>
      </c>
      <c r="Y30" t="s">
        <v>2596</v>
      </c>
      <c r="Z30" t="s">
        <v>2405</v>
      </c>
      <c r="AA30" t="s">
        <v>2534</v>
      </c>
      <c r="AB30" t="s">
        <v>2597</v>
      </c>
      <c r="AC30" t="s">
        <v>2598</v>
      </c>
      <c r="AD30" t="s">
        <v>2391</v>
      </c>
      <c r="AG30" t="s">
        <v>2432</v>
      </c>
      <c r="AH30" t="s">
        <v>2433</v>
      </c>
      <c r="AI30" t="s">
        <v>2391</v>
      </c>
      <c r="AJ30" t="s">
        <v>2614</v>
      </c>
      <c r="AK30" t="s">
        <v>2615</v>
      </c>
      <c r="AL30" t="s">
        <v>2616</v>
      </c>
      <c r="AM30" t="s">
        <v>2616</v>
      </c>
      <c r="AN30" t="s">
        <v>2617</v>
      </c>
      <c r="AO30" t="s">
        <v>2614</v>
      </c>
      <c r="AP30">
        <v>20</v>
      </c>
      <c r="AQ30">
        <v>20</v>
      </c>
      <c r="AR30">
        <v>20</v>
      </c>
      <c r="AS30" t="s">
        <v>2523</v>
      </c>
      <c r="AT30">
        <v>0</v>
      </c>
      <c r="AU30">
        <v>0</v>
      </c>
      <c r="AV30">
        <v>0</v>
      </c>
    </row>
    <row r="31" spans="1:48">
      <c r="A31" s="1">
        <f>_xlfn.XLOOKUP(J31,数据!E:E,数据!A:A)</f>
        <v>4</v>
      </c>
      <c r="B31" s="1">
        <f>_xlfn.XLOOKUP(J31,数据!E:E,数据!B:B)</f>
        <v>17</v>
      </c>
      <c r="C31" s="1" t="str">
        <f>_xlfn.XLOOKUP(J31,数据!E:E,数据!J:J)</f>
        <v>空派</v>
      </c>
      <c r="D31" s="1" t="str" cm="1">
        <f t="array" ref="D31">IF(OR(C31="红单",C31="空派"),_xlfn.IFS(E31="未开售","新品首批发货",F31&lt;E31,"新品首批发货",F31-E31&lt;=60,"新品期补货空运",F31-E31&gt;60,"老品应急空运"),"海运，不进行分析")</f>
        <v>新品首批发货</v>
      </c>
      <c r="E31" s="2">
        <v>46152</v>
      </c>
      <c r="F31" s="2">
        <f>_xlfn.XLOOKUP(J31,数据!E:E,数据!C:C)</f>
        <v>46136</v>
      </c>
      <c r="G31" s="4">
        <v>136</v>
      </c>
      <c r="H31" s="4">
        <f t="shared" ref="H31:H41" si="1">G31*AP31/1000</f>
        <v>23.664</v>
      </c>
      <c r="I31" s="4">
        <f>_xlfn.XLOOKUP(J31,数据!E:E,数据!S:S)*(H31/_xlfn.XLOOKUP(J31,数据!E:E,数据!X:X))</f>
        <v>2069.104</v>
      </c>
      <c r="J31" t="s">
        <v>2211</v>
      </c>
      <c r="K31" t="s">
        <v>46</v>
      </c>
      <c r="L31" t="s">
        <v>2374</v>
      </c>
      <c r="M31" t="s">
        <v>2618</v>
      </c>
      <c r="N31" t="s">
        <v>2376</v>
      </c>
      <c r="O31" t="s">
        <v>2377</v>
      </c>
      <c r="P31" t="s">
        <v>2378</v>
      </c>
      <c r="Q31" t="s">
        <v>2379</v>
      </c>
      <c r="S31" t="s">
        <v>2511</v>
      </c>
      <c r="T31" s="3" t="s">
        <v>2619</v>
      </c>
      <c r="U31" t="s">
        <v>2620</v>
      </c>
      <c r="V31" t="s">
        <v>2621</v>
      </c>
      <c r="W31" t="s">
        <v>2622</v>
      </c>
      <c r="X31" t="s">
        <v>2403</v>
      </c>
      <c r="Y31" t="s">
        <v>2623</v>
      </c>
      <c r="Z31" t="s">
        <v>2405</v>
      </c>
      <c r="AA31" t="s">
        <v>2619</v>
      </c>
      <c r="AB31" t="s">
        <v>2624</v>
      </c>
      <c r="AC31" t="s">
        <v>2625</v>
      </c>
      <c r="AD31" t="s">
        <v>2626</v>
      </c>
      <c r="AG31" t="s">
        <v>2432</v>
      </c>
      <c r="AH31" t="s">
        <v>2433</v>
      </c>
      <c r="AI31" t="s">
        <v>2391</v>
      </c>
      <c r="AJ31" t="s">
        <v>2627</v>
      </c>
      <c r="AK31" t="s">
        <v>2628</v>
      </c>
      <c r="AL31" t="s">
        <v>2629</v>
      </c>
      <c r="AM31" t="s">
        <v>2629</v>
      </c>
      <c r="AN31" t="s">
        <v>2630</v>
      </c>
      <c r="AO31" t="s">
        <v>2627</v>
      </c>
      <c r="AP31">
        <v>174</v>
      </c>
      <c r="AQ31">
        <v>174</v>
      </c>
      <c r="AR31">
        <v>174</v>
      </c>
      <c r="AS31" t="s">
        <v>2631</v>
      </c>
      <c r="AT31">
        <v>0</v>
      </c>
      <c r="AU31">
        <v>0</v>
      </c>
      <c r="AV31">
        <v>0</v>
      </c>
    </row>
    <row r="32" spans="1:48">
      <c r="A32" s="1">
        <f>_xlfn.XLOOKUP(J32,数据!E:E,数据!A:A)</f>
        <v>4</v>
      </c>
      <c r="B32" s="1">
        <f>_xlfn.XLOOKUP(J32,数据!E:E,数据!B:B)</f>
        <v>17</v>
      </c>
      <c r="C32" s="1" t="str">
        <f>_xlfn.XLOOKUP(J32,数据!E:E,数据!J:J)</f>
        <v>空派</v>
      </c>
      <c r="D32" s="1" t="str" cm="1">
        <f t="array" ref="D32">IF(OR(C32="红单",C32="空派"),_xlfn.IFS(E32="未开售","新品首批发货",F32&lt;E32,"新品首批发货",F32-E32&lt;=60,"新品期补货空运",F32-E32&gt;60,"老品应急空运"),"海运，不进行分析")</f>
        <v>老品应急空运</v>
      </c>
      <c r="E32" s="2">
        <v>44409</v>
      </c>
      <c r="F32" s="2">
        <f>_xlfn.XLOOKUP(J32,数据!E:E,数据!C:C)</f>
        <v>46136</v>
      </c>
      <c r="G32" s="4">
        <v>120</v>
      </c>
      <c r="H32" s="4">
        <f t="shared" si="1"/>
        <v>12</v>
      </c>
      <c r="I32" s="4">
        <f>_xlfn.XLOOKUP(J32,数据!E:E,数据!S:S)*(H32/_xlfn.XLOOKUP(J32,数据!E:E,数据!X:X))</f>
        <v>1126.429</v>
      </c>
      <c r="J32" t="s">
        <v>2210</v>
      </c>
      <c r="K32" t="s">
        <v>31</v>
      </c>
      <c r="L32" t="s">
        <v>2374</v>
      </c>
      <c r="M32" t="s">
        <v>2632</v>
      </c>
      <c r="N32" t="s">
        <v>2376</v>
      </c>
      <c r="O32" t="s">
        <v>2377</v>
      </c>
      <c r="P32" t="s">
        <v>2378</v>
      </c>
      <c r="Q32" t="s">
        <v>2379</v>
      </c>
      <c r="S32" t="s">
        <v>2511</v>
      </c>
      <c r="T32" s="3" t="s">
        <v>2619</v>
      </c>
      <c r="U32" t="s">
        <v>2633</v>
      </c>
      <c r="V32" t="s">
        <v>2634</v>
      </c>
      <c r="W32" t="s">
        <v>2635</v>
      </c>
      <c r="X32" t="s">
        <v>2403</v>
      </c>
      <c r="Y32" t="s">
        <v>2636</v>
      </c>
      <c r="Z32" t="s">
        <v>2405</v>
      </c>
      <c r="AA32" t="s">
        <v>2619</v>
      </c>
      <c r="AB32" t="s">
        <v>2637</v>
      </c>
      <c r="AC32" t="s">
        <v>2638</v>
      </c>
      <c r="AD32" t="s">
        <v>2626</v>
      </c>
      <c r="AG32" t="s">
        <v>2541</v>
      </c>
      <c r="AH32" t="s">
        <v>2433</v>
      </c>
      <c r="AI32" t="s">
        <v>2391</v>
      </c>
      <c r="AJ32" t="s">
        <v>2639</v>
      </c>
      <c r="AK32" t="s">
        <v>2640</v>
      </c>
      <c r="AL32" t="s">
        <v>2641</v>
      </c>
      <c r="AM32" t="s">
        <v>2641</v>
      </c>
      <c r="AN32" t="s">
        <v>2642</v>
      </c>
      <c r="AO32" t="s">
        <v>2639</v>
      </c>
      <c r="AP32">
        <v>100</v>
      </c>
      <c r="AQ32">
        <v>100</v>
      </c>
      <c r="AR32">
        <v>100</v>
      </c>
      <c r="AS32" t="s">
        <v>2603</v>
      </c>
      <c r="AT32">
        <v>0</v>
      </c>
      <c r="AU32">
        <v>0</v>
      </c>
      <c r="AV32">
        <v>0</v>
      </c>
    </row>
    <row r="33" spans="1:48">
      <c r="A33" s="1">
        <f>_xlfn.XLOOKUP(J33,数据!E:E,数据!A:A)</f>
        <v>4</v>
      </c>
      <c r="B33" s="1">
        <f>_xlfn.XLOOKUP(J33,数据!E:E,数据!B:B)</f>
        <v>17</v>
      </c>
      <c r="C33" s="1" t="str">
        <f>_xlfn.XLOOKUP(J33,数据!E:E,数据!J:J)</f>
        <v>空派</v>
      </c>
      <c r="D33" s="1" t="str" cm="1">
        <f t="array" ref="D33">IF(OR(C33="红单",C33="空派"),_xlfn.IFS(E33="未开售","新品首批发货",F33&lt;E33,"新品首批发货",F33-E33&lt;=60,"新品期补货空运",F33-E33&gt;60,"老品应急空运"),"海运，不进行分析")</f>
        <v>老品应急空运</v>
      </c>
      <c r="E33" s="2">
        <v>45497</v>
      </c>
      <c r="F33" s="2">
        <f>_xlfn.XLOOKUP(J33,数据!E:E,数据!C:C)</f>
        <v>46136</v>
      </c>
      <c r="G33" s="4">
        <v>61.1</v>
      </c>
      <c r="H33" s="4">
        <f t="shared" si="1"/>
        <v>3.055</v>
      </c>
      <c r="I33" s="4">
        <f>_xlfn.XLOOKUP(J33,数据!E:E,数据!S:S)*(H33/_xlfn.XLOOKUP(J33,数据!E:E,数据!X:X))</f>
        <v>259.432589257628</v>
      </c>
      <c r="J33" t="s">
        <v>2209</v>
      </c>
      <c r="K33" t="s">
        <v>59</v>
      </c>
      <c r="L33" t="s">
        <v>2374</v>
      </c>
      <c r="M33" t="s">
        <v>2643</v>
      </c>
      <c r="N33" t="s">
        <v>2376</v>
      </c>
      <c r="O33" t="s">
        <v>2400</v>
      </c>
      <c r="P33" t="s">
        <v>2378</v>
      </c>
      <c r="Q33" t="s">
        <v>2379</v>
      </c>
      <c r="S33" t="s">
        <v>2511</v>
      </c>
      <c r="T33" s="3" t="s">
        <v>2644</v>
      </c>
      <c r="U33" t="s">
        <v>2645</v>
      </c>
      <c r="V33" t="s">
        <v>2646</v>
      </c>
      <c r="W33" t="s">
        <v>2647</v>
      </c>
      <c r="X33" t="s">
        <v>2403</v>
      </c>
      <c r="Y33" t="s">
        <v>2648</v>
      </c>
      <c r="Z33" t="s">
        <v>2387</v>
      </c>
      <c r="AA33" t="s">
        <v>2644</v>
      </c>
      <c r="AB33" t="s">
        <v>2649</v>
      </c>
      <c r="AC33" t="s">
        <v>2650</v>
      </c>
      <c r="AD33" t="s">
        <v>2626</v>
      </c>
      <c r="AG33" t="s">
        <v>2432</v>
      </c>
      <c r="AH33" t="s">
        <v>2651</v>
      </c>
      <c r="AI33" t="s">
        <v>2433</v>
      </c>
      <c r="AJ33" t="s">
        <v>2652</v>
      </c>
      <c r="AK33" t="s">
        <v>2653</v>
      </c>
      <c r="AL33" t="s">
        <v>2654</v>
      </c>
      <c r="AM33" t="s">
        <v>2655</v>
      </c>
      <c r="AN33" t="s">
        <v>2656</v>
      </c>
      <c r="AO33" t="s">
        <v>2652</v>
      </c>
      <c r="AP33">
        <v>50</v>
      </c>
      <c r="AQ33">
        <v>50</v>
      </c>
      <c r="AR33">
        <v>50</v>
      </c>
      <c r="AS33" t="s">
        <v>2657</v>
      </c>
      <c r="AT33">
        <v>0</v>
      </c>
      <c r="AU33">
        <v>0</v>
      </c>
      <c r="AV33">
        <v>0</v>
      </c>
    </row>
    <row r="34" spans="1:48">
      <c r="A34" s="1">
        <f>_xlfn.XLOOKUP(J34,数据!E:E,数据!A:A)</f>
        <v>4</v>
      </c>
      <c r="B34" s="1">
        <f>_xlfn.XLOOKUP(J34,数据!E:E,数据!B:B)</f>
        <v>17</v>
      </c>
      <c r="C34" s="1" t="str">
        <f>_xlfn.XLOOKUP(J34,数据!E:E,数据!J:J)</f>
        <v>空派</v>
      </c>
      <c r="D34" s="1" t="str" cm="1">
        <f t="array" ref="D34">IF(OR(C34="红单",C34="空派"),_xlfn.IFS(E34="未开售","新品首批发货",F34&lt;E34,"新品首批发货",F34-E34&lt;=60,"新品期补货空运",F34-E34&gt;60,"老品应急空运"),"海运，不进行分析")</f>
        <v>老品应急空运</v>
      </c>
      <c r="E34" s="2">
        <v>45885</v>
      </c>
      <c r="F34" s="2">
        <f>_xlfn.XLOOKUP(J34,数据!E:E,数据!C:C)</f>
        <v>46136</v>
      </c>
      <c r="G34" s="4">
        <v>68</v>
      </c>
      <c r="H34" s="4">
        <f t="shared" si="1"/>
        <v>1.36</v>
      </c>
      <c r="I34" s="4">
        <f>_xlfn.XLOOKUP(J34,数据!E:E,数据!S:S)*(H34/_xlfn.XLOOKUP(J34,数据!E:E,数据!X:X))</f>
        <v>115.492085561497</v>
      </c>
      <c r="J34" t="s">
        <v>2209</v>
      </c>
      <c r="K34" t="s">
        <v>59</v>
      </c>
      <c r="L34" t="s">
        <v>2374</v>
      </c>
      <c r="M34" t="s">
        <v>2643</v>
      </c>
      <c r="N34" t="s">
        <v>2376</v>
      </c>
      <c r="O34" t="s">
        <v>2400</v>
      </c>
      <c r="P34" t="s">
        <v>2378</v>
      </c>
      <c r="Q34" t="s">
        <v>2379</v>
      </c>
      <c r="S34" t="s">
        <v>2511</v>
      </c>
      <c r="T34" s="3" t="s">
        <v>2644</v>
      </c>
      <c r="U34" t="s">
        <v>2645</v>
      </c>
      <c r="V34" t="s">
        <v>2646</v>
      </c>
      <c r="W34" t="s">
        <v>2647</v>
      </c>
      <c r="X34" t="s">
        <v>2403</v>
      </c>
      <c r="Y34" t="s">
        <v>2648</v>
      </c>
      <c r="Z34" t="s">
        <v>2387</v>
      </c>
      <c r="AA34" t="s">
        <v>2644</v>
      </c>
      <c r="AB34" t="s">
        <v>2649</v>
      </c>
      <c r="AC34" t="s">
        <v>2650</v>
      </c>
      <c r="AD34" t="s">
        <v>2626</v>
      </c>
      <c r="AG34" t="s">
        <v>2432</v>
      </c>
      <c r="AH34" t="s">
        <v>2651</v>
      </c>
      <c r="AI34" t="s">
        <v>2433</v>
      </c>
      <c r="AJ34" t="s">
        <v>2658</v>
      </c>
      <c r="AK34" t="s">
        <v>2659</v>
      </c>
      <c r="AL34" t="s">
        <v>2660</v>
      </c>
      <c r="AM34" t="s">
        <v>2655</v>
      </c>
      <c r="AN34" t="s">
        <v>2661</v>
      </c>
      <c r="AO34" t="s">
        <v>2658</v>
      </c>
      <c r="AP34">
        <v>20</v>
      </c>
      <c r="AQ34">
        <v>20</v>
      </c>
      <c r="AR34">
        <v>20</v>
      </c>
      <c r="AS34" t="s">
        <v>2662</v>
      </c>
      <c r="AT34">
        <v>0</v>
      </c>
      <c r="AU34">
        <v>0</v>
      </c>
      <c r="AV34">
        <v>0</v>
      </c>
    </row>
    <row r="35" spans="1:48">
      <c r="A35" s="1">
        <f>_xlfn.XLOOKUP(J35,数据!E:E,数据!A:A)</f>
        <v>4</v>
      </c>
      <c r="B35" s="1">
        <f>_xlfn.XLOOKUP(J35,数据!E:E,数据!B:B)</f>
        <v>17</v>
      </c>
      <c r="C35" s="1" t="str">
        <f>_xlfn.XLOOKUP(J35,数据!E:E,数据!J:J)</f>
        <v>空派</v>
      </c>
      <c r="D35" s="1" t="str" cm="1">
        <f t="array" ref="D35">IF(OR(C35="红单",C35="空派"),_xlfn.IFS(E35="未开售","新品首批发货",F35&lt;E35,"新品首批发货",F35-E35&lt;=60,"新品期补货空运",F35-E35&gt;60,"老品应急空运"),"海运，不进行分析")</f>
        <v>新品首批发货</v>
      </c>
      <c r="E35" s="2">
        <v>46151</v>
      </c>
      <c r="F35" s="2">
        <f>_xlfn.XLOOKUP(J35,数据!E:E,数据!C:C)</f>
        <v>46136</v>
      </c>
      <c r="G35" s="4">
        <v>265</v>
      </c>
      <c r="H35" s="4">
        <f t="shared" si="1"/>
        <v>29.15</v>
      </c>
      <c r="I35" s="4">
        <f>_xlfn.XLOOKUP(J35,数据!E:E,数据!S:S)*(H35/_xlfn.XLOOKUP(J35,数据!E:E,数据!X:X))</f>
        <v>2475.43698096886</v>
      </c>
      <c r="J35" t="s">
        <v>2209</v>
      </c>
      <c r="K35" t="s">
        <v>59</v>
      </c>
      <c r="L35" t="s">
        <v>2374</v>
      </c>
      <c r="M35" t="s">
        <v>2643</v>
      </c>
      <c r="N35" t="s">
        <v>2376</v>
      </c>
      <c r="O35" t="s">
        <v>2400</v>
      </c>
      <c r="P35" t="s">
        <v>2378</v>
      </c>
      <c r="Q35" t="s">
        <v>2379</v>
      </c>
      <c r="S35" t="s">
        <v>2511</v>
      </c>
      <c r="T35" s="3" t="s">
        <v>2644</v>
      </c>
      <c r="U35" t="s">
        <v>2645</v>
      </c>
      <c r="V35" t="s">
        <v>2646</v>
      </c>
      <c r="W35" t="s">
        <v>2647</v>
      </c>
      <c r="X35" t="s">
        <v>2403</v>
      </c>
      <c r="Y35" t="s">
        <v>2648</v>
      </c>
      <c r="Z35" t="s">
        <v>2387</v>
      </c>
      <c r="AA35" t="s">
        <v>2644</v>
      </c>
      <c r="AB35" t="s">
        <v>2649</v>
      </c>
      <c r="AC35" t="s">
        <v>2650</v>
      </c>
      <c r="AD35" t="s">
        <v>2626</v>
      </c>
      <c r="AG35" t="s">
        <v>2432</v>
      </c>
      <c r="AH35" t="s">
        <v>2651</v>
      </c>
      <c r="AI35" t="s">
        <v>2433</v>
      </c>
      <c r="AJ35" t="s">
        <v>2663</v>
      </c>
      <c r="AK35" t="s">
        <v>2664</v>
      </c>
      <c r="AL35" t="s">
        <v>2665</v>
      </c>
      <c r="AM35" t="s">
        <v>2665</v>
      </c>
      <c r="AN35" t="s">
        <v>2666</v>
      </c>
      <c r="AO35" t="s">
        <v>2663</v>
      </c>
      <c r="AP35">
        <v>110</v>
      </c>
      <c r="AQ35">
        <v>110</v>
      </c>
      <c r="AR35">
        <v>110</v>
      </c>
      <c r="AS35" t="s">
        <v>2667</v>
      </c>
      <c r="AT35">
        <v>0</v>
      </c>
      <c r="AU35">
        <v>0</v>
      </c>
      <c r="AV35">
        <v>0</v>
      </c>
    </row>
    <row r="36" spans="1:48">
      <c r="A36" s="1">
        <f>_xlfn.XLOOKUP(J36,数据!E:E,数据!A:A)</f>
        <v>4</v>
      </c>
      <c r="B36" s="1">
        <f>_xlfn.XLOOKUP(J36,数据!E:E,数据!B:B)</f>
        <v>17</v>
      </c>
      <c r="C36" s="1" t="str">
        <f>_xlfn.XLOOKUP(J36,数据!E:E,数据!J:J)</f>
        <v>空派</v>
      </c>
      <c r="D36" s="1" t="str" cm="1">
        <f t="array" ref="D36">IF(OR(C36="红单",C36="空派"),_xlfn.IFS(E36="未开售","新品首批发货",F36&lt;E36,"新品首批发货",F36-E36&lt;=60,"新品期补货空运",F36-E36&gt;60,"老品应急空运"),"海运，不进行分析")</f>
        <v>新品首批发货</v>
      </c>
      <c r="E36" s="2">
        <v>46152</v>
      </c>
      <c r="F36" s="2">
        <f>_xlfn.XLOOKUP(J36,数据!E:E,数据!C:C)</f>
        <v>46136</v>
      </c>
      <c r="G36" s="4">
        <v>261</v>
      </c>
      <c r="H36" s="4">
        <f t="shared" si="1"/>
        <v>30.015</v>
      </c>
      <c r="I36" s="4">
        <f>_xlfn.XLOOKUP(J36,数据!E:E,数据!S:S)*(H36/_xlfn.XLOOKUP(J36,数据!E:E,数据!X:X))</f>
        <v>2548.89334421202</v>
      </c>
      <c r="J36" t="s">
        <v>2209</v>
      </c>
      <c r="K36" t="s">
        <v>59</v>
      </c>
      <c r="L36" t="s">
        <v>2374</v>
      </c>
      <c r="M36" t="s">
        <v>2643</v>
      </c>
      <c r="N36" t="s">
        <v>2376</v>
      </c>
      <c r="O36" t="s">
        <v>2400</v>
      </c>
      <c r="P36" t="s">
        <v>2378</v>
      </c>
      <c r="Q36" t="s">
        <v>2379</v>
      </c>
      <c r="S36" t="s">
        <v>2511</v>
      </c>
      <c r="T36" s="3" t="s">
        <v>2644</v>
      </c>
      <c r="U36" t="s">
        <v>2645</v>
      </c>
      <c r="V36" t="s">
        <v>2646</v>
      </c>
      <c r="W36" t="s">
        <v>2647</v>
      </c>
      <c r="X36" t="s">
        <v>2403</v>
      </c>
      <c r="Y36" t="s">
        <v>2648</v>
      </c>
      <c r="Z36" t="s">
        <v>2387</v>
      </c>
      <c r="AA36" t="s">
        <v>2644</v>
      </c>
      <c r="AB36" t="s">
        <v>2649</v>
      </c>
      <c r="AC36" t="s">
        <v>2650</v>
      </c>
      <c r="AD36" t="s">
        <v>2626</v>
      </c>
      <c r="AG36" t="s">
        <v>2432</v>
      </c>
      <c r="AH36" t="s">
        <v>2651</v>
      </c>
      <c r="AI36" t="s">
        <v>2433</v>
      </c>
      <c r="AJ36" t="s">
        <v>2668</v>
      </c>
      <c r="AK36" t="s">
        <v>2669</v>
      </c>
      <c r="AL36" t="s">
        <v>2670</v>
      </c>
      <c r="AM36" t="s">
        <v>2670</v>
      </c>
      <c r="AN36" t="s">
        <v>2671</v>
      </c>
      <c r="AO36" t="s">
        <v>2668</v>
      </c>
      <c r="AP36">
        <v>115</v>
      </c>
      <c r="AQ36">
        <v>115</v>
      </c>
      <c r="AR36">
        <v>115</v>
      </c>
      <c r="AS36" t="s">
        <v>2672</v>
      </c>
      <c r="AT36">
        <v>0</v>
      </c>
      <c r="AU36">
        <v>0</v>
      </c>
      <c r="AV36">
        <v>0</v>
      </c>
    </row>
    <row r="37" spans="1:48">
      <c r="A37" s="1">
        <f>_xlfn.XLOOKUP(J37,数据!E:E,数据!A:A)</f>
        <v>4</v>
      </c>
      <c r="B37" s="1">
        <f>_xlfn.XLOOKUP(J37,数据!E:E,数据!B:B)</f>
        <v>17</v>
      </c>
      <c r="C37" s="1" t="str">
        <f>_xlfn.XLOOKUP(J37,数据!E:E,数据!J:J)</f>
        <v>空派</v>
      </c>
      <c r="D37" s="1" t="str" cm="1">
        <f t="array" ref="D37">IF(OR(C37="红单",C37="空派"),_xlfn.IFS(E37="未开售","新品首批发货",F37&lt;E37,"新品首批发货",F37-E37&lt;=60,"新品期补货空运",F37-E37&gt;60,"老品应急空运"),"海运，不进行分析")</f>
        <v>新品首批发货</v>
      </c>
      <c r="E37" s="2">
        <v>46154</v>
      </c>
      <c r="F37" s="2">
        <f>_xlfn.XLOOKUP(J37,数据!E:E,数据!C:C)</f>
        <v>46136</v>
      </c>
      <c r="G37" s="4">
        <v>138</v>
      </c>
      <c r="H37" s="4">
        <f t="shared" si="1"/>
        <v>15.87</v>
      </c>
      <c r="I37" s="4">
        <f>_xlfn.XLOOKUP(J37,数据!E:E,数据!S:S)*(H37/_xlfn.XLOOKUP(J37,数据!E:E,数据!X:X))</f>
        <v>1291.96772544241</v>
      </c>
      <c r="J37" t="s">
        <v>2208</v>
      </c>
      <c r="K37" t="s">
        <v>39</v>
      </c>
      <c r="L37" t="s">
        <v>2374</v>
      </c>
      <c r="M37" t="s">
        <v>2673</v>
      </c>
      <c r="N37" t="s">
        <v>2376</v>
      </c>
      <c r="O37" t="s">
        <v>2400</v>
      </c>
      <c r="P37" t="s">
        <v>2378</v>
      </c>
      <c r="Q37" t="s">
        <v>2379</v>
      </c>
      <c r="S37" t="s">
        <v>2511</v>
      </c>
      <c r="T37" s="3" t="s">
        <v>2674</v>
      </c>
      <c r="U37" t="s">
        <v>2675</v>
      </c>
      <c r="V37" t="s">
        <v>2676</v>
      </c>
      <c r="W37" t="s">
        <v>2677</v>
      </c>
      <c r="X37" t="s">
        <v>2385</v>
      </c>
      <c r="Y37" t="s">
        <v>2678</v>
      </c>
      <c r="Z37" t="s">
        <v>2387</v>
      </c>
      <c r="AA37" t="s">
        <v>2674</v>
      </c>
      <c r="AB37" t="s">
        <v>2679</v>
      </c>
      <c r="AC37" t="s">
        <v>2680</v>
      </c>
      <c r="AD37" t="s">
        <v>2626</v>
      </c>
      <c r="AG37" t="s">
        <v>2432</v>
      </c>
      <c r="AH37" t="s">
        <v>2651</v>
      </c>
      <c r="AI37" t="s">
        <v>2433</v>
      </c>
      <c r="AJ37" t="s">
        <v>2681</v>
      </c>
      <c r="AK37" t="s">
        <v>2682</v>
      </c>
      <c r="AL37" t="s">
        <v>2683</v>
      </c>
      <c r="AM37" t="s">
        <v>2683</v>
      </c>
      <c r="AN37" t="s">
        <v>2684</v>
      </c>
      <c r="AO37" t="s">
        <v>2681</v>
      </c>
      <c r="AP37">
        <v>115</v>
      </c>
      <c r="AQ37">
        <v>115</v>
      </c>
      <c r="AR37">
        <v>132</v>
      </c>
      <c r="AS37" t="s">
        <v>2685</v>
      </c>
      <c r="AT37">
        <v>0</v>
      </c>
      <c r="AU37">
        <v>17</v>
      </c>
      <c r="AV37">
        <v>-17</v>
      </c>
    </row>
    <row r="38" spans="1:48">
      <c r="A38" s="1">
        <f>_xlfn.XLOOKUP(J38,数据!E:E,数据!A:A)</f>
        <v>4</v>
      </c>
      <c r="B38" s="1">
        <f>_xlfn.XLOOKUP(J38,数据!E:E,数据!B:B)</f>
        <v>17</v>
      </c>
      <c r="C38" s="1" t="str">
        <f>_xlfn.XLOOKUP(J38,数据!E:E,数据!J:J)</f>
        <v>空派</v>
      </c>
      <c r="D38" s="1" t="str" cm="1">
        <f t="array" ref="D38">IF(OR(C38="红单",C38="空派"),_xlfn.IFS(E38="未开售","新品首批发货",F38&lt;E38,"新品首批发货",F38-E38&lt;=60,"新品期补货空运",F38-E38&gt;60,"老品应急空运"),"海运，不进行分析")</f>
        <v>新品首批发货</v>
      </c>
      <c r="E38" s="2">
        <v>46156</v>
      </c>
      <c r="F38" s="2">
        <f>_xlfn.XLOOKUP(J38,数据!E:E,数据!C:C)</f>
        <v>46136</v>
      </c>
      <c r="G38" s="4">
        <v>159</v>
      </c>
      <c r="H38" s="4">
        <f t="shared" si="1"/>
        <v>21.465</v>
      </c>
      <c r="I38" s="4">
        <f>_xlfn.XLOOKUP(J38,数据!E:E,数据!S:S)*(H38/_xlfn.XLOOKUP(J38,数据!E:E,数据!X:X))</f>
        <v>1747.45351144431</v>
      </c>
      <c r="J38" t="s">
        <v>2208</v>
      </c>
      <c r="K38" t="s">
        <v>39</v>
      </c>
      <c r="L38" t="s">
        <v>2374</v>
      </c>
      <c r="M38" t="s">
        <v>2673</v>
      </c>
      <c r="N38" t="s">
        <v>2376</v>
      </c>
      <c r="O38" t="s">
        <v>2400</v>
      </c>
      <c r="P38" t="s">
        <v>2378</v>
      </c>
      <c r="Q38" t="s">
        <v>2379</v>
      </c>
      <c r="S38" t="s">
        <v>2511</v>
      </c>
      <c r="T38" s="3" t="s">
        <v>2674</v>
      </c>
      <c r="U38" t="s">
        <v>2675</v>
      </c>
      <c r="V38" t="s">
        <v>2676</v>
      </c>
      <c r="W38" t="s">
        <v>2677</v>
      </c>
      <c r="X38" t="s">
        <v>2385</v>
      </c>
      <c r="Y38" t="s">
        <v>2678</v>
      </c>
      <c r="Z38" t="s">
        <v>2387</v>
      </c>
      <c r="AA38" t="s">
        <v>2674</v>
      </c>
      <c r="AB38" t="s">
        <v>2679</v>
      </c>
      <c r="AC38" t="s">
        <v>2680</v>
      </c>
      <c r="AD38" t="s">
        <v>2626</v>
      </c>
      <c r="AG38" t="s">
        <v>2432</v>
      </c>
      <c r="AH38" t="s">
        <v>2651</v>
      </c>
      <c r="AI38" t="s">
        <v>2433</v>
      </c>
      <c r="AJ38" t="s">
        <v>2686</v>
      </c>
      <c r="AK38" t="s">
        <v>2687</v>
      </c>
      <c r="AL38" t="s">
        <v>2688</v>
      </c>
      <c r="AM38" t="s">
        <v>2688</v>
      </c>
      <c r="AN38" t="s">
        <v>2689</v>
      </c>
      <c r="AO38" t="s">
        <v>2686</v>
      </c>
      <c r="AP38">
        <v>135</v>
      </c>
      <c r="AQ38">
        <v>135</v>
      </c>
      <c r="AR38">
        <v>129</v>
      </c>
      <c r="AS38" t="s">
        <v>2690</v>
      </c>
      <c r="AT38">
        <v>0</v>
      </c>
      <c r="AU38">
        <v>-6</v>
      </c>
      <c r="AV38">
        <v>6</v>
      </c>
    </row>
    <row r="39" spans="1:48">
      <c r="A39" s="1">
        <f>_xlfn.XLOOKUP(J39,数据!E:E,数据!A:A)</f>
        <v>4</v>
      </c>
      <c r="B39" s="1">
        <f>_xlfn.XLOOKUP(J39,数据!E:E,数据!B:B)</f>
        <v>17</v>
      </c>
      <c r="C39" s="1" t="str">
        <f>_xlfn.XLOOKUP(J39,数据!E:E,数据!J:J)</f>
        <v>空派</v>
      </c>
      <c r="D39" s="1" t="str" cm="1">
        <f t="array" ref="D39">IF(OR(C39="红单",C39="空派"),_xlfn.IFS(E39="未开售","新品首批发货",F39&lt;E39,"新品首批发货",F39-E39&lt;=60,"新品期补货空运",F39-E39&gt;60,"老品应急空运"),"海运，不进行分析")</f>
        <v>老品应急空运</v>
      </c>
      <c r="E39" s="2">
        <v>45334</v>
      </c>
      <c r="F39" s="2">
        <f>_xlfn.XLOOKUP(J39,数据!E:E,数据!C:C)</f>
        <v>46136</v>
      </c>
      <c r="G39" s="4">
        <v>428.6</v>
      </c>
      <c r="H39" s="4">
        <f t="shared" si="1"/>
        <v>19.287</v>
      </c>
      <c r="I39" s="4">
        <f>_xlfn.XLOOKUP(J39,数据!E:E,数据!S:S)*(H39/_xlfn.XLOOKUP(J39,数据!E:E,数据!X:X))</f>
        <v>1570.14376311328</v>
      </c>
      <c r="J39" t="s">
        <v>2208</v>
      </c>
      <c r="K39" t="s">
        <v>39</v>
      </c>
      <c r="L39" t="s">
        <v>2374</v>
      </c>
      <c r="M39" t="s">
        <v>2673</v>
      </c>
      <c r="N39" t="s">
        <v>2376</v>
      </c>
      <c r="O39" t="s">
        <v>2400</v>
      </c>
      <c r="P39" t="s">
        <v>2378</v>
      </c>
      <c r="Q39" t="s">
        <v>2379</v>
      </c>
      <c r="S39" t="s">
        <v>2511</v>
      </c>
      <c r="T39" s="3" t="s">
        <v>2674</v>
      </c>
      <c r="U39" t="s">
        <v>2675</v>
      </c>
      <c r="V39" t="s">
        <v>2676</v>
      </c>
      <c r="W39" t="s">
        <v>2677</v>
      </c>
      <c r="X39" t="s">
        <v>2385</v>
      </c>
      <c r="Y39" t="s">
        <v>2678</v>
      </c>
      <c r="Z39" t="s">
        <v>2387</v>
      </c>
      <c r="AA39" t="s">
        <v>2674</v>
      </c>
      <c r="AB39" t="s">
        <v>2679</v>
      </c>
      <c r="AC39" t="s">
        <v>2680</v>
      </c>
      <c r="AD39" t="s">
        <v>2626</v>
      </c>
      <c r="AG39" t="s">
        <v>2432</v>
      </c>
      <c r="AH39" t="s">
        <v>2651</v>
      </c>
      <c r="AI39" t="s">
        <v>2433</v>
      </c>
      <c r="AJ39" t="s">
        <v>2519</v>
      </c>
      <c r="AK39" t="s">
        <v>2520</v>
      </c>
      <c r="AL39" t="s">
        <v>2521</v>
      </c>
      <c r="AM39" t="s">
        <v>2521</v>
      </c>
      <c r="AN39" t="s">
        <v>2522</v>
      </c>
      <c r="AO39" t="s">
        <v>2519</v>
      </c>
      <c r="AP39">
        <v>45</v>
      </c>
      <c r="AQ39">
        <v>45</v>
      </c>
      <c r="AR39">
        <v>45</v>
      </c>
      <c r="AS39" t="s">
        <v>2691</v>
      </c>
      <c r="AT39">
        <v>0</v>
      </c>
      <c r="AU39">
        <v>0</v>
      </c>
      <c r="AV39">
        <v>0</v>
      </c>
    </row>
    <row r="40" spans="1:48">
      <c r="A40" s="1">
        <f>_xlfn.XLOOKUP(J40,数据!E:E,数据!A:A)</f>
        <v>4</v>
      </c>
      <c r="B40" s="1">
        <f>_xlfn.XLOOKUP(J40,数据!E:E,数据!B:B)</f>
        <v>17</v>
      </c>
      <c r="C40" s="1" t="str">
        <f>_xlfn.XLOOKUP(J40,数据!E:E,数据!J:J)</f>
        <v>红单</v>
      </c>
      <c r="D40" s="1" t="str" cm="1">
        <f t="array" ref="D40">IF(OR(C40="红单",C40="空派"),_xlfn.IFS(E40="未开售","新品首批发货",F40&lt;E40,"新品首批发货",F40-E40&lt;=60,"新品期补货空运",F40-E40&gt;60,"老品应急空运"),"海运，不进行分析")</f>
        <v>新品期补货空运</v>
      </c>
      <c r="E40" s="2">
        <v>46131</v>
      </c>
      <c r="F40" s="2">
        <f>_xlfn.XLOOKUP(J40,数据!E:E,数据!C:C)</f>
        <v>46136</v>
      </c>
      <c r="G40" s="4">
        <v>201</v>
      </c>
      <c r="H40" s="4">
        <f t="shared" si="1"/>
        <v>18.09</v>
      </c>
      <c r="I40" s="4">
        <f>_xlfn.XLOOKUP(J40,数据!E:E,数据!S:S)*(H40/_xlfn.XLOOKUP(J40,数据!E:E,数据!X:X))</f>
        <v>1718.98146917626</v>
      </c>
      <c r="J40" t="s">
        <v>2207</v>
      </c>
      <c r="K40" t="s">
        <v>224</v>
      </c>
      <c r="L40" t="s">
        <v>2374</v>
      </c>
      <c r="M40" t="s">
        <v>2692</v>
      </c>
      <c r="N40" t="s">
        <v>2376</v>
      </c>
      <c r="O40" t="s">
        <v>2400</v>
      </c>
      <c r="P40" t="s">
        <v>2378</v>
      </c>
      <c r="Q40" t="s">
        <v>2379</v>
      </c>
      <c r="R40" t="s">
        <v>2693</v>
      </c>
      <c r="S40" t="s">
        <v>2380</v>
      </c>
      <c r="T40" s="3" t="s">
        <v>2694</v>
      </c>
      <c r="U40" t="s">
        <v>2695</v>
      </c>
      <c r="V40" t="s">
        <v>2696</v>
      </c>
      <c r="W40" t="s">
        <v>2384</v>
      </c>
      <c r="X40" t="s">
        <v>2385</v>
      </c>
      <c r="Y40" t="s">
        <v>2697</v>
      </c>
      <c r="Z40" t="s">
        <v>2405</v>
      </c>
      <c r="AA40" t="s">
        <v>2694</v>
      </c>
      <c r="AB40" t="s">
        <v>2698</v>
      </c>
      <c r="AC40" t="s">
        <v>2699</v>
      </c>
      <c r="AD40" t="s">
        <v>2433</v>
      </c>
      <c r="AH40" t="s">
        <v>2651</v>
      </c>
      <c r="AI40" t="s">
        <v>2433</v>
      </c>
      <c r="AJ40" t="s">
        <v>2700</v>
      </c>
      <c r="AK40" t="s">
        <v>2701</v>
      </c>
      <c r="AL40" t="s">
        <v>2702</v>
      </c>
      <c r="AM40" t="s">
        <v>2703</v>
      </c>
      <c r="AN40" t="s">
        <v>2704</v>
      </c>
      <c r="AO40" t="s">
        <v>2700</v>
      </c>
      <c r="AP40">
        <v>90</v>
      </c>
      <c r="AQ40">
        <v>90</v>
      </c>
      <c r="AR40">
        <v>90</v>
      </c>
      <c r="AS40" t="s">
        <v>2705</v>
      </c>
      <c r="AT40">
        <v>0</v>
      </c>
      <c r="AU40">
        <v>0</v>
      </c>
      <c r="AV40">
        <v>0</v>
      </c>
    </row>
    <row r="41" spans="1:48">
      <c r="A41" s="1">
        <f>_xlfn.XLOOKUP(J41,数据!E:E,数据!A:A)</f>
        <v>4</v>
      </c>
      <c r="B41" s="1">
        <f>_xlfn.XLOOKUP(J41,数据!E:E,数据!B:B)</f>
        <v>17</v>
      </c>
      <c r="C41" s="1" t="str">
        <f>_xlfn.XLOOKUP(J41,数据!E:E,数据!J:J)</f>
        <v>红单</v>
      </c>
      <c r="D41" s="1" t="str" cm="1">
        <f t="array" ref="D41">IF(OR(C41="红单",C41="空派"),_xlfn.IFS(E41="未开售","新品首批发货",F41&lt;E41,"新品首批发货",F41-E41&lt;=60,"新品期补货空运",F41-E41&gt;60,"老品应急空运"),"海运，不进行分析")</f>
        <v>新品期补货空运</v>
      </c>
      <c r="E41" s="2">
        <v>46127</v>
      </c>
      <c r="F41" s="2">
        <f>_xlfn.XLOOKUP(J41,数据!E:E,数据!C:C)</f>
        <v>46136</v>
      </c>
      <c r="G41" s="4">
        <v>169</v>
      </c>
      <c r="H41" s="4">
        <f t="shared" si="1"/>
        <v>14.872</v>
      </c>
      <c r="I41" s="4">
        <f>_xlfn.XLOOKUP(J41,数据!E:E,数据!S:S)*(H41/_xlfn.XLOOKUP(J41,数据!E:E,数据!X:X))</f>
        <v>1413.19471584241</v>
      </c>
      <c r="J41" t="s">
        <v>2207</v>
      </c>
      <c r="K41" t="s">
        <v>224</v>
      </c>
      <c r="L41" t="s">
        <v>2374</v>
      </c>
      <c r="M41" t="s">
        <v>2692</v>
      </c>
      <c r="N41" t="s">
        <v>2376</v>
      </c>
      <c r="O41" t="s">
        <v>2400</v>
      </c>
      <c r="P41" t="s">
        <v>2378</v>
      </c>
      <c r="Q41" t="s">
        <v>2379</v>
      </c>
      <c r="R41" t="s">
        <v>2693</v>
      </c>
      <c r="S41" t="s">
        <v>2380</v>
      </c>
      <c r="T41" s="3" t="s">
        <v>2694</v>
      </c>
      <c r="U41" t="s">
        <v>2695</v>
      </c>
      <c r="V41" t="s">
        <v>2696</v>
      </c>
      <c r="W41" t="s">
        <v>2384</v>
      </c>
      <c r="X41" t="s">
        <v>2385</v>
      </c>
      <c r="Y41" t="s">
        <v>2697</v>
      </c>
      <c r="Z41" t="s">
        <v>2405</v>
      </c>
      <c r="AA41" t="s">
        <v>2694</v>
      </c>
      <c r="AB41" t="s">
        <v>2698</v>
      </c>
      <c r="AC41" t="s">
        <v>2699</v>
      </c>
      <c r="AD41" t="s">
        <v>2433</v>
      </c>
      <c r="AH41" t="s">
        <v>2651</v>
      </c>
      <c r="AI41" t="s">
        <v>2433</v>
      </c>
      <c r="AJ41" t="s">
        <v>2706</v>
      </c>
      <c r="AK41" t="s">
        <v>2707</v>
      </c>
      <c r="AL41" t="s">
        <v>2708</v>
      </c>
      <c r="AM41" t="s">
        <v>2703</v>
      </c>
      <c r="AN41" t="s">
        <v>2709</v>
      </c>
      <c r="AO41" t="s">
        <v>2706</v>
      </c>
      <c r="AP41">
        <v>88</v>
      </c>
      <c r="AQ41">
        <v>88</v>
      </c>
      <c r="AR41">
        <v>89</v>
      </c>
      <c r="AS41" t="s">
        <v>2710</v>
      </c>
      <c r="AT41">
        <v>0</v>
      </c>
      <c r="AU41">
        <v>1</v>
      </c>
      <c r="AV41">
        <v>-1</v>
      </c>
    </row>
    <row r="42" spans="1:48">
      <c r="A42" s="1">
        <f>_xlfn.XLOOKUP(J42,数据!E:E,数据!A:A)</f>
        <v>4</v>
      </c>
      <c r="B42" s="1">
        <f>_xlfn.XLOOKUP(J42,数据!E:E,数据!B:B)</f>
        <v>17</v>
      </c>
      <c r="C42" s="1" t="str">
        <f>_xlfn.XLOOKUP(J42,数据!E:E,数据!J:J)</f>
        <v>红单</v>
      </c>
      <c r="D42" s="1" t="str" cm="1">
        <f t="array" ref="D42">IF(OR(C42="红单",C42="空派"),_xlfn.IFS(E42="未开售","新品首批发货",F42&lt;E42,"新品首批发货",F42-E42&lt;=60,"新品期补货空运",F42-E42&gt;60,"老品应急空运"),"海运，不进行分析")</f>
        <v>新品期补货空运</v>
      </c>
      <c r="E42" s="2">
        <v>46130</v>
      </c>
      <c r="F42" s="2">
        <f>_xlfn.XLOOKUP(J42,数据!E:E,数据!C:C)</f>
        <v>46136</v>
      </c>
      <c r="G42" s="4">
        <v>217</v>
      </c>
      <c r="H42" s="4">
        <f>G42*AP42/1000</f>
        <v>19.53</v>
      </c>
      <c r="I42" s="4">
        <f>_xlfn.XLOOKUP(J42,数据!E:E,数据!S:S)*(H42/_xlfn.XLOOKUP(J42,数据!E:E,数据!X:X))</f>
        <v>1855.81581498133</v>
      </c>
      <c r="J42" t="s">
        <v>2207</v>
      </c>
      <c r="K42" t="s">
        <v>224</v>
      </c>
      <c r="L42" t="s">
        <v>2374</v>
      </c>
      <c r="M42" t="s">
        <v>2692</v>
      </c>
      <c r="N42" t="s">
        <v>2376</v>
      </c>
      <c r="O42" t="s">
        <v>2400</v>
      </c>
      <c r="P42" t="s">
        <v>2378</v>
      </c>
      <c r="Q42" t="s">
        <v>2379</v>
      </c>
      <c r="R42" t="s">
        <v>2693</v>
      </c>
      <c r="S42" t="s">
        <v>2380</v>
      </c>
      <c r="T42" s="3" t="s">
        <v>2694</v>
      </c>
      <c r="U42" t="s">
        <v>2695</v>
      </c>
      <c r="V42" t="s">
        <v>2696</v>
      </c>
      <c r="W42" t="s">
        <v>2384</v>
      </c>
      <c r="X42" t="s">
        <v>2385</v>
      </c>
      <c r="Y42" t="s">
        <v>2697</v>
      </c>
      <c r="Z42" t="s">
        <v>2405</v>
      </c>
      <c r="AA42" t="s">
        <v>2694</v>
      </c>
      <c r="AB42" t="s">
        <v>2698</v>
      </c>
      <c r="AC42" t="s">
        <v>2699</v>
      </c>
      <c r="AD42" t="s">
        <v>2433</v>
      </c>
      <c r="AH42" t="s">
        <v>2651</v>
      </c>
      <c r="AI42" t="s">
        <v>2433</v>
      </c>
      <c r="AJ42" t="s">
        <v>2711</v>
      </c>
      <c r="AK42" t="s">
        <v>2712</v>
      </c>
      <c r="AL42" t="s">
        <v>2713</v>
      </c>
      <c r="AM42" t="s">
        <v>2703</v>
      </c>
      <c r="AN42" t="s">
        <v>2714</v>
      </c>
      <c r="AO42" t="s">
        <v>2711</v>
      </c>
      <c r="AP42">
        <v>90</v>
      </c>
      <c r="AQ42">
        <v>90</v>
      </c>
      <c r="AR42">
        <v>89</v>
      </c>
      <c r="AS42" t="s">
        <v>2715</v>
      </c>
      <c r="AT42">
        <v>0</v>
      </c>
      <c r="AU42">
        <v>-1</v>
      </c>
      <c r="AV42">
        <v>1</v>
      </c>
    </row>
    <row r="43" spans="1:48">
      <c r="A43" s="1">
        <f>_xlfn.XLOOKUP(J43,数据!E:E,数据!A:A)</f>
        <v>4</v>
      </c>
      <c r="B43" s="1">
        <f>_xlfn.XLOOKUP(J43,数据!E:E,数据!B:B)</f>
        <v>17</v>
      </c>
      <c r="C43" s="1" t="str">
        <f>_xlfn.XLOOKUP(J43,数据!E:E,数据!J:J)</f>
        <v>红单</v>
      </c>
      <c r="D43" s="1" t="str" cm="1">
        <f t="array" ref="D43">IF(OR(C43="红单",C43="空派"),_xlfn.IFS(E43="未开售","新品首批发货",F43&lt;E43,"新品首批发货",F43-E43&lt;=60,"新品期补货空运",F43-E43&gt;60,"老品应急空运"),"海运，不进行分析")</f>
        <v>新品首批发货</v>
      </c>
      <c r="E43" s="2">
        <v>46156</v>
      </c>
      <c r="F43" s="2">
        <f>_xlfn.XLOOKUP(J43,数据!E:E,数据!C:C)</f>
        <v>46135</v>
      </c>
      <c r="G43" s="4">
        <v>71</v>
      </c>
      <c r="H43" s="4">
        <f>G43*AP43/1000</f>
        <v>11.36</v>
      </c>
      <c r="I43" s="4">
        <f>_xlfn.XLOOKUP(J43,数据!E:E,数据!S:S)*(H43/_xlfn.XLOOKUP(J43,数据!E:E,数据!X:X))</f>
        <v>1130.41067084517</v>
      </c>
      <c r="J43" t="s">
        <v>2113</v>
      </c>
      <c r="K43" t="s">
        <v>224</v>
      </c>
      <c r="L43" t="s">
        <v>2374</v>
      </c>
      <c r="M43" t="s">
        <v>2716</v>
      </c>
      <c r="N43" t="s">
        <v>2376</v>
      </c>
      <c r="O43" t="s">
        <v>2400</v>
      </c>
      <c r="P43" t="s">
        <v>2378</v>
      </c>
      <c r="Q43" t="s">
        <v>2379</v>
      </c>
      <c r="R43" t="s">
        <v>2113</v>
      </c>
      <c r="S43" t="s">
        <v>2380</v>
      </c>
      <c r="T43" s="3" t="s">
        <v>2717</v>
      </c>
      <c r="U43" t="s">
        <v>2718</v>
      </c>
      <c r="V43" t="s">
        <v>2719</v>
      </c>
      <c r="W43" t="s">
        <v>2384</v>
      </c>
      <c r="X43" t="s">
        <v>2385</v>
      </c>
      <c r="Y43" t="s">
        <v>2720</v>
      </c>
      <c r="Z43" t="s">
        <v>2405</v>
      </c>
      <c r="AA43" t="s">
        <v>2717</v>
      </c>
      <c r="AB43" t="s">
        <v>2721</v>
      </c>
      <c r="AC43" t="s">
        <v>2722</v>
      </c>
      <c r="AD43" t="s">
        <v>2626</v>
      </c>
      <c r="AH43" t="s">
        <v>2433</v>
      </c>
      <c r="AI43" t="s">
        <v>2391</v>
      </c>
      <c r="AJ43" t="s">
        <v>2723</v>
      </c>
      <c r="AK43" t="s">
        <v>2724</v>
      </c>
      <c r="AL43" t="s">
        <v>2725</v>
      </c>
      <c r="AM43" t="s">
        <v>2497</v>
      </c>
      <c r="AN43" t="s">
        <v>2726</v>
      </c>
      <c r="AO43" t="s">
        <v>2723</v>
      </c>
      <c r="AP43">
        <v>160</v>
      </c>
      <c r="AQ43">
        <v>160</v>
      </c>
      <c r="AR43">
        <v>160</v>
      </c>
      <c r="AS43" t="s">
        <v>2727</v>
      </c>
      <c r="AT43">
        <v>0</v>
      </c>
      <c r="AU43">
        <v>0</v>
      </c>
      <c r="AV43">
        <v>0</v>
      </c>
    </row>
    <row r="44" spans="1:48">
      <c r="A44" s="1">
        <f>_xlfn.XLOOKUP(J44,数据!E:E,数据!A:A)</f>
        <v>4</v>
      </c>
      <c r="B44" s="1">
        <f>_xlfn.XLOOKUP(J44,数据!E:E,数据!B:B)</f>
        <v>17</v>
      </c>
      <c r="C44" s="1" t="str">
        <f>_xlfn.XLOOKUP(J44,数据!E:E,数据!J:J)</f>
        <v>红单</v>
      </c>
      <c r="D44" s="1" t="str" cm="1">
        <f t="array" ref="D44">IF(OR(C44="红单",C44="空派"),_xlfn.IFS(E44="未开售","新品首批发货",F44&lt;E44,"新品首批发货",F44-E44&lt;=60,"新品期补货空运",F44-E44&gt;60,"老品应急空运"),"海运，不进行分析")</f>
        <v>新品首批发货</v>
      </c>
      <c r="E44" s="2">
        <v>46156</v>
      </c>
      <c r="F44" s="2">
        <f>_xlfn.XLOOKUP(J44,数据!E:E,数据!C:C)</f>
        <v>46135</v>
      </c>
      <c r="G44" s="4">
        <v>72</v>
      </c>
      <c r="H44" s="4">
        <f>G44*AP44/1000</f>
        <v>11.52</v>
      </c>
      <c r="I44" s="4">
        <f>_xlfn.XLOOKUP(J44,数据!E:E,数据!S:S)*(H44/_xlfn.XLOOKUP(J44,数据!E:E,数据!X:X))</f>
        <v>1146.33194789932</v>
      </c>
      <c r="J44" t="s">
        <v>2113</v>
      </c>
      <c r="K44" t="s">
        <v>224</v>
      </c>
      <c r="L44" t="s">
        <v>2374</v>
      </c>
      <c r="M44" t="s">
        <v>2716</v>
      </c>
      <c r="N44" t="s">
        <v>2376</v>
      </c>
      <c r="O44" t="s">
        <v>2400</v>
      </c>
      <c r="P44" t="s">
        <v>2378</v>
      </c>
      <c r="Q44" t="s">
        <v>2379</v>
      </c>
      <c r="R44" t="s">
        <v>2113</v>
      </c>
      <c r="S44" t="s">
        <v>2380</v>
      </c>
      <c r="T44" s="3" t="s">
        <v>2717</v>
      </c>
      <c r="U44" t="s">
        <v>2718</v>
      </c>
      <c r="V44" t="s">
        <v>2719</v>
      </c>
      <c r="W44" t="s">
        <v>2384</v>
      </c>
      <c r="X44" t="s">
        <v>2385</v>
      </c>
      <c r="Y44" t="s">
        <v>2720</v>
      </c>
      <c r="Z44" t="s">
        <v>2405</v>
      </c>
      <c r="AA44" t="s">
        <v>2717</v>
      </c>
      <c r="AB44" t="s">
        <v>2721</v>
      </c>
      <c r="AC44" t="s">
        <v>2722</v>
      </c>
      <c r="AD44" t="s">
        <v>2626</v>
      </c>
      <c r="AH44" t="s">
        <v>2433</v>
      </c>
      <c r="AI44" t="s">
        <v>2391</v>
      </c>
      <c r="AJ44" t="s">
        <v>2728</v>
      </c>
      <c r="AK44" t="s">
        <v>2729</v>
      </c>
      <c r="AL44" t="s">
        <v>2730</v>
      </c>
      <c r="AM44" t="s">
        <v>2497</v>
      </c>
      <c r="AN44" t="s">
        <v>2731</v>
      </c>
      <c r="AO44" t="s">
        <v>2728</v>
      </c>
      <c r="AP44">
        <v>160</v>
      </c>
      <c r="AQ44">
        <v>160</v>
      </c>
      <c r="AR44">
        <v>157</v>
      </c>
      <c r="AS44" t="s">
        <v>2732</v>
      </c>
      <c r="AT44">
        <v>0</v>
      </c>
      <c r="AU44">
        <v>-3</v>
      </c>
      <c r="AV44">
        <v>3</v>
      </c>
    </row>
    <row r="45" spans="1:48">
      <c r="A45" s="1">
        <f>_xlfn.XLOOKUP(J45,数据!E:E,数据!A:A)</f>
        <v>4</v>
      </c>
      <c r="B45" s="1">
        <f>_xlfn.XLOOKUP(J45,数据!E:E,数据!B:B)</f>
        <v>17</v>
      </c>
      <c r="C45" s="1" t="str">
        <f>_xlfn.XLOOKUP(J45,数据!E:E,数据!J:J)</f>
        <v>红单</v>
      </c>
      <c r="D45" s="1" t="str" cm="1">
        <f t="array" ref="D45">IF(OR(C45="红单",C45="空派"),_xlfn.IFS(E45="未开售","新品首批发货",F45&lt;E45,"新品首批发货",F45-E45&lt;=60,"新品期补货空运",F45-E45&gt;60,"老品应急空运"),"海运，不进行分析")</f>
        <v>新品首批发货</v>
      </c>
      <c r="E45" s="2">
        <v>46157</v>
      </c>
      <c r="F45" s="2">
        <f>_xlfn.XLOOKUP(J45,数据!E:E,数据!C:C)</f>
        <v>46135</v>
      </c>
      <c r="G45" s="4">
        <v>71</v>
      </c>
      <c r="H45" s="4">
        <f>G45*AP45/1000</f>
        <v>9.585</v>
      </c>
      <c r="I45" s="4">
        <f>_xlfn.XLOOKUP(J45,数据!E:E,数据!S:S)*(H45/_xlfn.XLOOKUP(J45,数据!E:E,数据!X:X))</f>
        <v>953.78400352561</v>
      </c>
      <c r="J45" t="s">
        <v>2113</v>
      </c>
      <c r="K45" t="s">
        <v>224</v>
      </c>
      <c r="L45" t="s">
        <v>2374</v>
      </c>
      <c r="M45" t="s">
        <v>2716</v>
      </c>
      <c r="N45" t="s">
        <v>2376</v>
      </c>
      <c r="O45" t="s">
        <v>2400</v>
      </c>
      <c r="P45" t="s">
        <v>2378</v>
      </c>
      <c r="Q45" t="s">
        <v>2379</v>
      </c>
      <c r="R45" t="s">
        <v>2113</v>
      </c>
      <c r="S45" t="s">
        <v>2380</v>
      </c>
      <c r="T45" s="3" t="s">
        <v>2717</v>
      </c>
      <c r="U45" t="s">
        <v>2718</v>
      </c>
      <c r="V45" t="s">
        <v>2719</v>
      </c>
      <c r="W45" t="s">
        <v>2384</v>
      </c>
      <c r="X45" t="s">
        <v>2385</v>
      </c>
      <c r="Y45" t="s">
        <v>2720</v>
      </c>
      <c r="Z45" t="s">
        <v>2405</v>
      </c>
      <c r="AA45" t="s">
        <v>2717</v>
      </c>
      <c r="AB45" t="s">
        <v>2721</v>
      </c>
      <c r="AC45" t="s">
        <v>2722</v>
      </c>
      <c r="AD45" t="s">
        <v>2626</v>
      </c>
      <c r="AH45" t="s">
        <v>2433</v>
      </c>
      <c r="AI45" t="s">
        <v>2391</v>
      </c>
      <c r="AJ45" t="s">
        <v>2733</v>
      </c>
      <c r="AK45" t="s">
        <v>2734</v>
      </c>
      <c r="AL45" t="s">
        <v>2735</v>
      </c>
      <c r="AM45" t="s">
        <v>2497</v>
      </c>
      <c r="AN45" t="s">
        <v>2736</v>
      </c>
      <c r="AO45" t="s">
        <v>2733</v>
      </c>
      <c r="AP45">
        <v>135</v>
      </c>
      <c r="AQ45">
        <v>135</v>
      </c>
      <c r="AR45">
        <v>134</v>
      </c>
      <c r="AS45" t="s">
        <v>2737</v>
      </c>
      <c r="AT45">
        <v>0</v>
      </c>
      <c r="AU45">
        <v>-1</v>
      </c>
      <c r="AV45">
        <v>1</v>
      </c>
    </row>
    <row r="46" spans="1:48">
      <c r="A46" s="1">
        <f>_xlfn.XLOOKUP(J46,数据!E:E,数据!A:A)</f>
        <v>4</v>
      </c>
      <c r="B46" s="1">
        <f>_xlfn.XLOOKUP(J46,数据!E:E,数据!B:B)</f>
        <v>17</v>
      </c>
      <c r="C46" s="1" t="str">
        <f>_xlfn.XLOOKUP(J46,数据!E:E,数据!J:J)</f>
        <v>红单</v>
      </c>
      <c r="D46" s="1" t="str" cm="1">
        <f t="array" ref="D46">IF(OR(C46="红单",C46="空派"),_xlfn.IFS(E46="未开售","新品首批发货",F46&lt;E46,"新品首批发货",F46-E46&lt;=60,"新品期补货空运",F46-E46&gt;60,"老品应急空运"),"海运，不进行分析")</f>
        <v>新品首批发货</v>
      </c>
      <c r="E46" s="2">
        <v>46158</v>
      </c>
      <c r="F46" s="2">
        <f>_xlfn.XLOOKUP(J46,数据!E:E,数据!C:C)</f>
        <v>46135</v>
      </c>
      <c r="G46" s="4">
        <v>71</v>
      </c>
      <c r="H46" s="4">
        <f>G46*AP46/1000</f>
        <v>9.23</v>
      </c>
      <c r="I46" s="4">
        <f>_xlfn.XLOOKUP(J46,数据!E:E,数据!S:S)*(H46/_xlfn.XLOOKUP(J46,数据!E:E,数据!X:X))</f>
        <v>918.458670061698</v>
      </c>
      <c r="J46" t="s">
        <v>2113</v>
      </c>
      <c r="K46" t="s">
        <v>224</v>
      </c>
      <c r="L46" t="s">
        <v>2374</v>
      </c>
      <c r="M46" t="s">
        <v>2716</v>
      </c>
      <c r="N46" t="s">
        <v>2376</v>
      </c>
      <c r="O46" t="s">
        <v>2400</v>
      </c>
      <c r="P46" t="s">
        <v>2378</v>
      </c>
      <c r="Q46" t="s">
        <v>2379</v>
      </c>
      <c r="R46" t="s">
        <v>2113</v>
      </c>
      <c r="S46" t="s">
        <v>2380</v>
      </c>
      <c r="T46" s="3" t="s">
        <v>2717</v>
      </c>
      <c r="U46" t="s">
        <v>2718</v>
      </c>
      <c r="V46" t="s">
        <v>2719</v>
      </c>
      <c r="W46" t="s">
        <v>2384</v>
      </c>
      <c r="X46" t="s">
        <v>2385</v>
      </c>
      <c r="Y46" t="s">
        <v>2720</v>
      </c>
      <c r="Z46" t="s">
        <v>2405</v>
      </c>
      <c r="AA46" t="s">
        <v>2717</v>
      </c>
      <c r="AB46" t="s">
        <v>2721</v>
      </c>
      <c r="AC46" t="s">
        <v>2722</v>
      </c>
      <c r="AD46" t="s">
        <v>2626</v>
      </c>
      <c r="AH46" t="s">
        <v>2433</v>
      </c>
      <c r="AI46" t="s">
        <v>2391</v>
      </c>
      <c r="AJ46" t="s">
        <v>2738</v>
      </c>
      <c r="AK46" t="s">
        <v>2739</v>
      </c>
      <c r="AL46" t="s">
        <v>2740</v>
      </c>
      <c r="AM46" t="s">
        <v>2497</v>
      </c>
      <c r="AN46" t="s">
        <v>2741</v>
      </c>
      <c r="AO46" t="s">
        <v>2738</v>
      </c>
      <c r="AP46">
        <v>130</v>
      </c>
      <c r="AQ46">
        <v>130</v>
      </c>
      <c r="AR46">
        <v>126</v>
      </c>
      <c r="AS46" t="s">
        <v>2742</v>
      </c>
      <c r="AT46">
        <v>0</v>
      </c>
      <c r="AU46">
        <v>-4</v>
      </c>
      <c r="AV46">
        <v>4</v>
      </c>
    </row>
    <row r="47" spans="1:48">
      <c r="A47" s="1">
        <f>_xlfn.XLOOKUP(J47,数据!E:E,数据!A:A)</f>
        <v>4</v>
      </c>
      <c r="B47" s="1">
        <f>_xlfn.XLOOKUP(J47,数据!E:E,数据!B:B)</f>
        <v>17</v>
      </c>
      <c r="C47" s="1" t="str">
        <f>_xlfn.XLOOKUP(J47,数据!E:E,数据!J:J)</f>
        <v>红单</v>
      </c>
      <c r="D47" s="1" t="str" cm="1">
        <f t="array" ref="D47">IF(OR(C47="红单",C47="空派"),_xlfn.IFS(E47="未开售","新品首批发货",F47&lt;E47,"新品首批发货",F47-E47&lt;=60,"新品期补货空运",F47-E47&gt;60,"老品应急空运"),"海运，不进行分析")</f>
        <v>新品首批发货</v>
      </c>
      <c r="E47" s="2">
        <v>46154</v>
      </c>
      <c r="F47" s="2">
        <f>_xlfn.XLOOKUP(J47,数据!E:E,数据!C:C)</f>
        <v>46135</v>
      </c>
      <c r="G47" s="4">
        <v>72</v>
      </c>
      <c r="H47" s="4">
        <f>G47*AP47/1000</f>
        <v>9.36</v>
      </c>
      <c r="I47" s="4">
        <f>_xlfn.XLOOKUP(J47,数据!E:E,数据!S:S)*(H47/_xlfn.XLOOKUP(J47,数据!E:E,数据!X:X))</f>
        <v>931.394707668201</v>
      </c>
      <c r="J47" t="s">
        <v>2113</v>
      </c>
      <c r="K47" t="s">
        <v>224</v>
      </c>
      <c r="L47" t="s">
        <v>2374</v>
      </c>
      <c r="M47" t="s">
        <v>2716</v>
      </c>
      <c r="N47" t="s">
        <v>2376</v>
      </c>
      <c r="O47" t="s">
        <v>2400</v>
      </c>
      <c r="P47" t="s">
        <v>2378</v>
      </c>
      <c r="Q47" t="s">
        <v>2379</v>
      </c>
      <c r="R47" t="s">
        <v>2113</v>
      </c>
      <c r="S47" t="s">
        <v>2380</v>
      </c>
      <c r="T47" s="3" t="s">
        <v>2717</v>
      </c>
      <c r="U47" t="s">
        <v>2718</v>
      </c>
      <c r="V47" t="s">
        <v>2719</v>
      </c>
      <c r="W47" t="s">
        <v>2384</v>
      </c>
      <c r="X47" t="s">
        <v>2385</v>
      </c>
      <c r="Y47" t="s">
        <v>2720</v>
      </c>
      <c r="Z47" t="s">
        <v>2405</v>
      </c>
      <c r="AA47" t="s">
        <v>2717</v>
      </c>
      <c r="AB47" t="s">
        <v>2721</v>
      </c>
      <c r="AC47" t="s">
        <v>2722</v>
      </c>
      <c r="AD47" t="s">
        <v>2626</v>
      </c>
      <c r="AH47" t="s">
        <v>2433</v>
      </c>
      <c r="AI47" t="s">
        <v>2391</v>
      </c>
      <c r="AJ47" t="s">
        <v>2743</v>
      </c>
      <c r="AK47" t="s">
        <v>2744</v>
      </c>
      <c r="AL47" t="s">
        <v>2745</v>
      </c>
      <c r="AM47" t="s">
        <v>2745</v>
      </c>
      <c r="AN47" t="s">
        <v>2746</v>
      </c>
      <c r="AO47" t="s">
        <v>2743</v>
      </c>
      <c r="AP47">
        <v>130</v>
      </c>
      <c r="AQ47">
        <v>130</v>
      </c>
      <c r="AR47">
        <v>125</v>
      </c>
      <c r="AS47" t="s">
        <v>2747</v>
      </c>
      <c r="AT47">
        <v>0</v>
      </c>
      <c r="AU47">
        <v>-5</v>
      </c>
      <c r="AV47">
        <v>5</v>
      </c>
    </row>
    <row r="48" spans="1:48">
      <c r="A48" s="1">
        <f>_xlfn.XLOOKUP(J48,数据!E:E,数据!A:A)</f>
        <v>4</v>
      </c>
      <c r="B48" s="1">
        <f>_xlfn.XLOOKUP(J48,数据!E:E,数据!B:B)</f>
        <v>17</v>
      </c>
      <c r="C48" s="1" t="str">
        <f>_xlfn.XLOOKUP(J48,数据!E:E,数据!J:J)</f>
        <v>红单</v>
      </c>
      <c r="D48" s="1" t="str" cm="1">
        <f t="array" ref="D48">IF(OR(C48="红单",C48="空派"),_xlfn.IFS(E48="未开售","新品首批发货",F48&lt;E48,"新品首批发货",F48-E48&lt;=60,"新品期补货空运",F48-E48&gt;60,"老品应急空运"),"海运，不进行分析")</f>
        <v>新品首批发货</v>
      </c>
      <c r="E48" s="2">
        <v>46152</v>
      </c>
      <c r="F48" s="2">
        <f>_xlfn.XLOOKUP(J48,数据!E:E,数据!C:C)</f>
        <v>46134</v>
      </c>
      <c r="G48" s="4">
        <v>138</v>
      </c>
      <c r="H48" s="4">
        <f>G48*AP48/1000</f>
        <v>22.08</v>
      </c>
      <c r="I48" s="4">
        <f>_xlfn.XLOOKUP(J48,数据!E:E,数据!S:S)*(H48/_xlfn.XLOOKUP(J48,数据!E:E,数据!X:X))</f>
        <v>1921.85094736842</v>
      </c>
      <c r="J48" t="s">
        <v>2112</v>
      </c>
      <c r="K48" t="s">
        <v>46</v>
      </c>
      <c r="L48" t="s">
        <v>2374</v>
      </c>
      <c r="M48" t="s">
        <v>2748</v>
      </c>
      <c r="N48" t="s">
        <v>2376</v>
      </c>
      <c r="O48" t="s">
        <v>2400</v>
      </c>
      <c r="P48" t="s">
        <v>2378</v>
      </c>
      <c r="Q48" t="s">
        <v>2379</v>
      </c>
      <c r="R48" t="s">
        <v>2112</v>
      </c>
      <c r="S48" t="s">
        <v>2380</v>
      </c>
      <c r="T48" s="3" t="s">
        <v>2749</v>
      </c>
      <c r="U48" t="s">
        <v>2750</v>
      </c>
      <c r="V48" t="s">
        <v>2751</v>
      </c>
      <c r="W48" t="s">
        <v>2384</v>
      </c>
      <c r="X48" t="s">
        <v>2385</v>
      </c>
      <c r="Y48" t="s">
        <v>2752</v>
      </c>
      <c r="Z48" t="s">
        <v>2405</v>
      </c>
      <c r="AA48" t="s">
        <v>2749</v>
      </c>
      <c r="AB48" t="s">
        <v>2753</v>
      </c>
      <c r="AC48" t="s">
        <v>2754</v>
      </c>
      <c r="AD48" t="s">
        <v>2755</v>
      </c>
      <c r="AH48" t="s">
        <v>2651</v>
      </c>
      <c r="AI48" t="s">
        <v>2433</v>
      </c>
      <c r="AJ48" t="s">
        <v>2756</v>
      </c>
      <c r="AK48" t="s">
        <v>2757</v>
      </c>
      <c r="AL48" t="s">
        <v>2758</v>
      </c>
      <c r="AM48" t="s">
        <v>2758</v>
      </c>
      <c r="AN48" t="s">
        <v>2759</v>
      </c>
      <c r="AO48" t="s">
        <v>2756</v>
      </c>
      <c r="AP48">
        <v>160</v>
      </c>
      <c r="AQ48">
        <v>160</v>
      </c>
      <c r="AR48">
        <v>159</v>
      </c>
      <c r="AS48" t="s">
        <v>2760</v>
      </c>
      <c r="AT48">
        <v>0</v>
      </c>
      <c r="AU48">
        <v>-1</v>
      </c>
      <c r="AV48">
        <v>1</v>
      </c>
    </row>
    <row r="49" spans="1:48">
      <c r="A49" s="1">
        <f>_xlfn.XLOOKUP(J49,数据!E:E,数据!A:A)</f>
        <v>4</v>
      </c>
      <c r="B49" s="1">
        <f>_xlfn.XLOOKUP(J49,数据!E:E,数据!B:B)</f>
        <v>17</v>
      </c>
      <c r="C49" s="1" t="str">
        <f>_xlfn.XLOOKUP(J49,数据!E:E,数据!J:J)</f>
        <v>红单</v>
      </c>
      <c r="D49" s="1" t="str" cm="1">
        <f t="array" ref="D49">IF(OR(C49="红单",C49="空派"),_xlfn.IFS(E49="未开售","新品首批发货",F49&lt;E49,"新品首批发货",F49-E49&lt;=60,"新品期补货空运",F49-E49&gt;60,"老品应急空运"),"海运，不进行分析")</f>
        <v>新品首批发货</v>
      </c>
      <c r="E49" s="2">
        <v>46152</v>
      </c>
      <c r="F49" s="2">
        <f>_xlfn.XLOOKUP(J49,数据!E:E,数据!C:C)</f>
        <v>46134</v>
      </c>
      <c r="G49" s="4">
        <v>147</v>
      </c>
      <c r="H49" s="4">
        <f>G49*AP49/1000</f>
        <v>23.52</v>
      </c>
      <c r="I49" s="4">
        <f>_xlfn.XLOOKUP(J49,数据!E:E,数据!S:S)*(H49/_xlfn.XLOOKUP(J49,数据!E:E,数据!X:X))</f>
        <v>2047.18905263158</v>
      </c>
      <c r="J49" t="s">
        <v>2112</v>
      </c>
      <c r="K49" t="s">
        <v>46</v>
      </c>
      <c r="L49" t="s">
        <v>2374</v>
      </c>
      <c r="M49" t="s">
        <v>2748</v>
      </c>
      <c r="N49" t="s">
        <v>2376</v>
      </c>
      <c r="O49" t="s">
        <v>2400</v>
      </c>
      <c r="P49" t="s">
        <v>2378</v>
      </c>
      <c r="Q49" t="s">
        <v>2379</v>
      </c>
      <c r="R49" t="s">
        <v>2112</v>
      </c>
      <c r="S49" t="s">
        <v>2380</v>
      </c>
      <c r="T49" s="3" t="s">
        <v>2749</v>
      </c>
      <c r="U49" t="s">
        <v>2750</v>
      </c>
      <c r="V49" t="s">
        <v>2751</v>
      </c>
      <c r="W49" t="s">
        <v>2384</v>
      </c>
      <c r="X49" t="s">
        <v>2385</v>
      </c>
      <c r="Y49" t="s">
        <v>2752</v>
      </c>
      <c r="Z49" t="s">
        <v>2405</v>
      </c>
      <c r="AA49" t="s">
        <v>2749</v>
      </c>
      <c r="AB49" t="s">
        <v>2753</v>
      </c>
      <c r="AC49" t="s">
        <v>2754</v>
      </c>
      <c r="AD49" t="s">
        <v>2755</v>
      </c>
      <c r="AH49" t="s">
        <v>2651</v>
      </c>
      <c r="AI49" t="s">
        <v>2433</v>
      </c>
      <c r="AJ49" t="s">
        <v>2761</v>
      </c>
      <c r="AK49" t="s">
        <v>2762</v>
      </c>
      <c r="AL49" t="s">
        <v>2763</v>
      </c>
      <c r="AM49" t="s">
        <v>2437</v>
      </c>
      <c r="AN49" t="s">
        <v>2764</v>
      </c>
      <c r="AO49" t="s">
        <v>2761</v>
      </c>
      <c r="AP49">
        <v>160</v>
      </c>
      <c r="AQ49">
        <v>160</v>
      </c>
      <c r="AR49">
        <v>160</v>
      </c>
      <c r="AS49" t="s">
        <v>2765</v>
      </c>
      <c r="AT49">
        <v>0</v>
      </c>
      <c r="AU49">
        <v>0</v>
      </c>
      <c r="AV49">
        <v>0</v>
      </c>
    </row>
    <row r="50" spans="1:48">
      <c r="A50" s="1">
        <f>_xlfn.XLOOKUP(J50,数据!E:E,数据!A:A)</f>
        <v>4</v>
      </c>
      <c r="B50" s="1">
        <f>_xlfn.XLOOKUP(J50,数据!E:E,数据!B:B)</f>
        <v>17</v>
      </c>
      <c r="C50" s="1" t="str">
        <f>_xlfn.XLOOKUP(J50,数据!E:E,数据!J:J)</f>
        <v>红单</v>
      </c>
      <c r="D50" s="1" t="str" cm="1">
        <f t="array" ref="D50">IF(OR(C50="红单",C50="空派"),_xlfn.IFS(E50="未开售","新品首批发货",F50&lt;E50,"新品首批发货",F50-E50&lt;=60,"新品期补货空运",F50-E50&gt;60,"老品应急空运"),"海运，不进行分析")</f>
        <v>新品期补货空运</v>
      </c>
      <c r="E50" s="2">
        <v>46112</v>
      </c>
      <c r="F50" s="2">
        <f>_xlfn.XLOOKUP(J50,数据!E:E,数据!C:C)</f>
        <v>46134</v>
      </c>
      <c r="G50" s="4">
        <v>141</v>
      </c>
      <c r="H50" s="4">
        <f>G50*AP50/1000</f>
        <v>5.64</v>
      </c>
      <c r="I50" s="4">
        <f>_xlfn.XLOOKUP(J50,数据!E:E,数据!S:S)*(H50/_xlfn.XLOOKUP(J50,数据!E:E,数据!X:X))</f>
        <v>471.499459459459</v>
      </c>
      <c r="J50" t="s">
        <v>2111</v>
      </c>
      <c r="K50" t="s">
        <v>31</v>
      </c>
      <c r="L50" t="s">
        <v>2374</v>
      </c>
      <c r="M50" t="s">
        <v>2766</v>
      </c>
      <c r="N50" t="s">
        <v>2376</v>
      </c>
      <c r="O50" t="s">
        <v>2400</v>
      </c>
      <c r="P50" t="s">
        <v>2378</v>
      </c>
      <c r="Q50" t="s">
        <v>2379</v>
      </c>
      <c r="R50" t="s">
        <v>2111</v>
      </c>
      <c r="S50" t="s">
        <v>2511</v>
      </c>
      <c r="T50" s="3" t="s">
        <v>2749</v>
      </c>
      <c r="U50" t="s">
        <v>2767</v>
      </c>
      <c r="V50" t="s">
        <v>2768</v>
      </c>
      <c r="W50" t="s">
        <v>2769</v>
      </c>
      <c r="X50" t="s">
        <v>2403</v>
      </c>
      <c r="Y50" t="s">
        <v>2770</v>
      </c>
      <c r="Z50" t="s">
        <v>2405</v>
      </c>
      <c r="AA50" t="s">
        <v>2749</v>
      </c>
      <c r="AB50" t="s">
        <v>2771</v>
      </c>
      <c r="AC50" t="s">
        <v>2772</v>
      </c>
      <c r="AD50" t="s">
        <v>2755</v>
      </c>
      <c r="AH50" t="s">
        <v>2651</v>
      </c>
      <c r="AI50" t="s">
        <v>2433</v>
      </c>
      <c r="AJ50" t="s">
        <v>2773</v>
      </c>
      <c r="AK50" t="s">
        <v>2774</v>
      </c>
      <c r="AL50" t="s">
        <v>2775</v>
      </c>
      <c r="AM50" t="s">
        <v>2607</v>
      </c>
      <c r="AN50" t="s">
        <v>2776</v>
      </c>
      <c r="AO50" t="s">
        <v>2773</v>
      </c>
      <c r="AP50">
        <v>40</v>
      </c>
      <c r="AQ50">
        <v>40</v>
      </c>
      <c r="AR50">
        <v>40</v>
      </c>
      <c r="AS50" t="s">
        <v>2777</v>
      </c>
      <c r="AT50">
        <v>0</v>
      </c>
      <c r="AU50">
        <v>0</v>
      </c>
      <c r="AV50">
        <v>0</v>
      </c>
    </row>
    <row r="51" spans="1:48">
      <c r="A51" s="1">
        <f>_xlfn.XLOOKUP(J51,数据!E:E,数据!A:A)</f>
        <v>4</v>
      </c>
      <c r="B51" s="1">
        <f>_xlfn.XLOOKUP(J51,数据!E:E,数据!B:B)</f>
        <v>17</v>
      </c>
      <c r="C51" s="1" t="str">
        <f>_xlfn.XLOOKUP(J51,数据!E:E,数据!J:J)</f>
        <v>红单</v>
      </c>
      <c r="D51" s="1" t="str" cm="1">
        <f t="array" ref="D51">IF(OR(C51="红单",C51="空派"),_xlfn.IFS(E51="未开售","新品首批发货",F51&lt;E51,"新品首批发货",F51-E51&lt;=60,"新品期补货空运",F51-E51&gt;60,"老品应急空运"),"海运，不进行分析")</f>
        <v>新品期补货空运</v>
      </c>
      <c r="E51" s="2">
        <v>46098</v>
      </c>
      <c r="F51" s="2">
        <f>_xlfn.XLOOKUP(J51,数据!E:E,数据!C:C)</f>
        <v>46134</v>
      </c>
      <c r="G51" s="4">
        <v>340</v>
      </c>
      <c r="H51" s="4">
        <f>G51*AP51/1000</f>
        <v>3.4</v>
      </c>
      <c r="I51" s="4">
        <f>_xlfn.XLOOKUP(J51,数据!E:E,数据!S:S)*(H51/_xlfn.XLOOKUP(J51,数据!E:E,数据!X:X))</f>
        <v>284.23726279471</v>
      </c>
      <c r="J51" t="s">
        <v>2111</v>
      </c>
      <c r="K51" t="s">
        <v>31</v>
      </c>
      <c r="L51" t="s">
        <v>2374</v>
      </c>
      <c r="M51" t="s">
        <v>2766</v>
      </c>
      <c r="N51" t="s">
        <v>2376</v>
      </c>
      <c r="O51" t="s">
        <v>2400</v>
      </c>
      <c r="P51" t="s">
        <v>2378</v>
      </c>
      <c r="Q51" t="s">
        <v>2379</v>
      </c>
      <c r="R51" t="s">
        <v>2111</v>
      </c>
      <c r="S51" t="s">
        <v>2511</v>
      </c>
      <c r="T51" s="3" t="s">
        <v>2749</v>
      </c>
      <c r="U51" t="s">
        <v>2767</v>
      </c>
      <c r="V51" t="s">
        <v>2768</v>
      </c>
      <c r="W51" t="s">
        <v>2769</v>
      </c>
      <c r="X51" t="s">
        <v>2403</v>
      </c>
      <c r="Y51" t="s">
        <v>2770</v>
      </c>
      <c r="Z51" t="s">
        <v>2405</v>
      </c>
      <c r="AA51" t="s">
        <v>2749</v>
      </c>
      <c r="AB51" t="s">
        <v>2771</v>
      </c>
      <c r="AC51" t="s">
        <v>2772</v>
      </c>
      <c r="AD51" t="s">
        <v>2755</v>
      </c>
      <c r="AH51" t="s">
        <v>2651</v>
      </c>
      <c r="AI51" t="s">
        <v>2433</v>
      </c>
      <c r="AJ51" t="s">
        <v>2778</v>
      </c>
      <c r="AK51" t="s">
        <v>2779</v>
      </c>
      <c r="AL51" t="s">
        <v>2780</v>
      </c>
      <c r="AM51" t="s">
        <v>2781</v>
      </c>
      <c r="AN51" t="s">
        <v>2782</v>
      </c>
      <c r="AO51" t="s">
        <v>2778</v>
      </c>
      <c r="AP51">
        <v>10</v>
      </c>
      <c r="AQ51">
        <v>10</v>
      </c>
      <c r="AR51">
        <v>10</v>
      </c>
      <c r="AS51" t="s">
        <v>2783</v>
      </c>
      <c r="AT51">
        <v>0</v>
      </c>
      <c r="AU51">
        <v>0</v>
      </c>
      <c r="AV51">
        <v>0</v>
      </c>
    </row>
    <row r="52" spans="1:48">
      <c r="A52" s="1">
        <f>_xlfn.XLOOKUP(J52,数据!E:E,数据!A:A)</f>
        <v>4</v>
      </c>
      <c r="B52" s="1">
        <f>_xlfn.XLOOKUP(J52,数据!E:E,数据!B:B)</f>
        <v>17</v>
      </c>
      <c r="C52" s="1" t="str">
        <f>_xlfn.XLOOKUP(J52,数据!E:E,数据!J:J)</f>
        <v>红单</v>
      </c>
      <c r="D52" s="1" t="str" cm="1">
        <f t="array" ref="D52">IF(OR(C52="红单",C52="空派"),_xlfn.IFS(E52="未开售","新品首批发货",F52&lt;E52,"新品首批发货",F52-E52&lt;=60,"新品期补货空运",F52-E52&gt;60,"老品应急空运"),"海运，不进行分析")</f>
        <v>新品期补货空运</v>
      </c>
      <c r="E52" s="2">
        <v>46112</v>
      </c>
      <c r="F52" s="2">
        <f>_xlfn.XLOOKUP(J52,数据!E:E,数据!C:C)</f>
        <v>46134</v>
      </c>
      <c r="G52" s="4">
        <v>167</v>
      </c>
      <c r="H52" s="4">
        <f>G52*AP52/1000</f>
        <v>8.35</v>
      </c>
      <c r="I52" s="4">
        <f>_xlfn.XLOOKUP(J52,数据!E:E,数据!S:S)*(H52/_xlfn.XLOOKUP(J52,数据!E:E,数据!X:X))</f>
        <v>698.053277745831</v>
      </c>
      <c r="J52" t="s">
        <v>2111</v>
      </c>
      <c r="K52" t="s">
        <v>31</v>
      </c>
      <c r="L52" t="s">
        <v>2374</v>
      </c>
      <c r="M52" t="s">
        <v>2766</v>
      </c>
      <c r="N52" t="s">
        <v>2376</v>
      </c>
      <c r="O52" t="s">
        <v>2400</v>
      </c>
      <c r="P52" t="s">
        <v>2378</v>
      </c>
      <c r="Q52" t="s">
        <v>2379</v>
      </c>
      <c r="R52" t="s">
        <v>2111</v>
      </c>
      <c r="S52" t="s">
        <v>2511</v>
      </c>
      <c r="T52" s="3" t="s">
        <v>2749</v>
      </c>
      <c r="U52" t="s">
        <v>2767</v>
      </c>
      <c r="V52" t="s">
        <v>2768</v>
      </c>
      <c r="W52" t="s">
        <v>2769</v>
      </c>
      <c r="X52" t="s">
        <v>2403</v>
      </c>
      <c r="Y52" t="s">
        <v>2770</v>
      </c>
      <c r="Z52" t="s">
        <v>2405</v>
      </c>
      <c r="AA52" t="s">
        <v>2749</v>
      </c>
      <c r="AB52" t="s">
        <v>2771</v>
      </c>
      <c r="AC52" t="s">
        <v>2772</v>
      </c>
      <c r="AD52" t="s">
        <v>2755</v>
      </c>
      <c r="AH52" t="s">
        <v>2651</v>
      </c>
      <c r="AI52" t="s">
        <v>2433</v>
      </c>
      <c r="AJ52" t="s">
        <v>2784</v>
      </c>
      <c r="AK52" t="s">
        <v>2785</v>
      </c>
      <c r="AL52" t="s">
        <v>2786</v>
      </c>
      <c r="AM52" t="s">
        <v>2787</v>
      </c>
      <c r="AN52" t="s">
        <v>2788</v>
      </c>
      <c r="AO52" t="s">
        <v>2784</v>
      </c>
      <c r="AP52">
        <v>50</v>
      </c>
      <c r="AQ52">
        <v>50</v>
      </c>
      <c r="AR52">
        <v>50</v>
      </c>
      <c r="AS52" t="s">
        <v>2789</v>
      </c>
      <c r="AT52">
        <v>0</v>
      </c>
      <c r="AU52">
        <v>0</v>
      </c>
      <c r="AV52">
        <v>0</v>
      </c>
    </row>
    <row r="53" spans="1:48">
      <c r="A53" s="1">
        <f>_xlfn.XLOOKUP(J53,数据!E:E,数据!A:A)</f>
        <v>4</v>
      </c>
      <c r="B53" s="1">
        <f>_xlfn.XLOOKUP(J53,数据!E:E,数据!B:B)</f>
        <v>17</v>
      </c>
      <c r="C53" s="1" t="str">
        <f>_xlfn.XLOOKUP(J53,数据!E:E,数据!J:J)</f>
        <v>红单</v>
      </c>
      <c r="D53" s="1" t="str" cm="1">
        <f t="array" ref="D53">IF(OR(C53="红单",C53="空派"),_xlfn.IFS(E53="未开售","新品首批发货",F53&lt;E53,"新品首批发货",F53-E53&lt;=60,"新品期补货空运",F53-E53&gt;60,"老品应急空运"),"海运，不进行分析")</f>
        <v>老品应急空运</v>
      </c>
      <c r="E53" s="2">
        <v>45987</v>
      </c>
      <c r="F53" s="2">
        <f>_xlfn.XLOOKUP(J53,数据!E:E,数据!C:C)</f>
        <v>46133</v>
      </c>
      <c r="G53" s="4">
        <v>95.6</v>
      </c>
      <c r="H53" s="4">
        <f>G53*AP53/1000</f>
        <v>4.78</v>
      </c>
      <c r="I53" s="4">
        <f>_xlfn.XLOOKUP(J53,数据!E:E,数据!S:S)*(H53/_xlfn.XLOOKUP(J53,数据!E:E,数据!X:X))</f>
        <v>503.697393894267</v>
      </c>
      <c r="J53" t="s">
        <v>2110</v>
      </c>
      <c r="K53" t="s">
        <v>37</v>
      </c>
      <c r="L53" t="s">
        <v>2374</v>
      </c>
      <c r="M53" t="s">
        <v>2790</v>
      </c>
      <c r="N53" t="s">
        <v>2376</v>
      </c>
      <c r="O53" t="s">
        <v>2400</v>
      </c>
      <c r="P53" t="s">
        <v>2378</v>
      </c>
      <c r="Q53" t="s">
        <v>2379</v>
      </c>
      <c r="R53" t="s">
        <v>2110</v>
      </c>
      <c r="S53" t="s">
        <v>2380</v>
      </c>
      <c r="T53" s="3" t="s">
        <v>2791</v>
      </c>
      <c r="U53" t="s">
        <v>2792</v>
      </c>
      <c r="V53" t="s">
        <v>2793</v>
      </c>
      <c r="W53" t="s">
        <v>2384</v>
      </c>
      <c r="X53" t="s">
        <v>2385</v>
      </c>
      <c r="Y53" t="s">
        <v>2794</v>
      </c>
      <c r="Z53" t="s">
        <v>2405</v>
      </c>
      <c r="AA53" t="s">
        <v>2791</v>
      </c>
      <c r="AB53" t="s">
        <v>2795</v>
      </c>
      <c r="AC53" t="s">
        <v>2796</v>
      </c>
      <c r="AD53" t="s">
        <v>2433</v>
      </c>
      <c r="AH53" t="s">
        <v>2433</v>
      </c>
      <c r="AI53" t="s">
        <v>2391</v>
      </c>
      <c r="AJ53" t="s">
        <v>2797</v>
      </c>
      <c r="AK53" t="s">
        <v>2798</v>
      </c>
      <c r="AL53" t="s">
        <v>2799</v>
      </c>
      <c r="AM53" t="s">
        <v>2800</v>
      </c>
      <c r="AN53" t="s">
        <v>2801</v>
      </c>
      <c r="AO53" t="s">
        <v>2797</v>
      </c>
      <c r="AP53">
        <v>50</v>
      </c>
      <c r="AQ53">
        <v>50</v>
      </c>
      <c r="AR53">
        <v>49</v>
      </c>
      <c r="AS53" t="s">
        <v>2802</v>
      </c>
      <c r="AT53">
        <v>0</v>
      </c>
      <c r="AU53">
        <v>-1</v>
      </c>
      <c r="AV53">
        <v>1</v>
      </c>
    </row>
    <row r="54" spans="1:48">
      <c r="A54" s="1">
        <f>_xlfn.XLOOKUP(J54,数据!E:E,数据!A:A)</f>
        <v>4</v>
      </c>
      <c r="B54" s="1">
        <f>_xlfn.XLOOKUP(J54,数据!E:E,数据!B:B)</f>
        <v>17</v>
      </c>
      <c r="C54" s="1" t="str">
        <f>_xlfn.XLOOKUP(J54,数据!E:E,数据!J:J)</f>
        <v>红单</v>
      </c>
      <c r="D54" s="1" t="str" cm="1">
        <f t="array" ref="D54">IF(OR(C54="红单",C54="空派"),_xlfn.IFS(E54="未开售","新品首批发货",F54&lt;E54,"新品首批发货",F54-E54&lt;=60,"新品期补货空运",F54-E54&gt;60,"老品应急空运"),"海运，不进行分析")</f>
        <v>新品首批发货</v>
      </c>
      <c r="E54" s="2">
        <v>46150</v>
      </c>
      <c r="F54" s="2">
        <f>_xlfn.XLOOKUP(J54,数据!E:E,数据!C:C)</f>
        <v>46133</v>
      </c>
      <c r="G54" s="4">
        <v>96</v>
      </c>
      <c r="H54" s="4">
        <f>G54*AP54/1000</f>
        <v>13.44</v>
      </c>
      <c r="I54" s="4">
        <f>_xlfn.XLOOKUP(J54,数据!E:E,数据!S:S)*(H54/_xlfn.XLOOKUP(J54,数据!E:E,数据!X:X))</f>
        <v>1416.25376023827</v>
      </c>
      <c r="J54" t="s">
        <v>2110</v>
      </c>
      <c r="K54" t="s">
        <v>37</v>
      </c>
      <c r="L54" t="s">
        <v>2374</v>
      </c>
      <c r="M54" t="s">
        <v>2790</v>
      </c>
      <c r="N54" t="s">
        <v>2376</v>
      </c>
      <c r="O54" t="s">
        <v>2400</v>
      </c>
      <c r="P54" t="s">
        <v>2378</v>
      </c>
      <c r="Q54" t="s">
        <v>2379</v>
      </c>
      <c r="R54" t="s">
        <v>2110</v>
      </c>
      <c r="S54" t="s">
        <v>2380</v>
      </c>
      <c r="T54" s="3" t="s">
        <v>2791</v>
      </c>
      <c r="U54" t="s">
        <v>2792</v>
      </c>
      <c r="V54" t="s">
        <v>2793</v>
      </c>
      <c r="W54" t="s">
        <v>2384</v>
      </c>
      <c r="X54" t="s">
        <v>2385</v>
      </c>
      <c r="Y54" t="s">
        <v>2794</v>
      </c>
      <c r="Z54" t="s">
        <v>2405</v>
      </c>
      <c r="AA54" t="s">
        <v>2791</v>
      </c>
      <c r="AB54" t="s">
        <v>2795</v>
      </c>
      <c r="AC54" t="s">
        <v>2796</v>
      </c>
      <c r="AD54" t="s">
        <v>2433</v>
      </c>
      <c r="AH54" t="s">
        <v>2433</v>
      </c>
      <c r="AI54" t="s">
        <v>2391</v>
      </c>
      <c r="AJ54" t="s">
        <v>2803</v>
      </c>
      <c r="AK54" t="s">
        <v>2804</v>
      </c>
      <c r="AL54" t="s">
        <v>2805</v>
      </c>
      <c r="AM54" t="s">
        <v>2800</v>
      </c>
      <c r="AN54" t="s">
        <v>2806</v>
      </c>
      <c r="AO54" t="s">
        <v>2803</v>
      </c>
      <c r="AP54">
        <v>140</v>
      </c>
      <c r="AQ54">
        <v>140</v>
      </c>
      <c r="AR54">
        <v>139</v>
      </c>
      <c r="AS54" t="s">
        <v>2807</v>
      </c>
      <c r="AT54">
        <v>0</v>
      </c>
      <c r="AU54">
        <v>-1</v>
      </c>
      <c r="AV54">
        <v>1</v>
      </c>
    </row>
    <row r="55" spans="1:48">
      <c r="A55" s="1">
        <f>_xlfn.XLOOKUP(J55,数据!E:E,数据!A:A)</f>
        <v>4</v>
      </c>
      <c r="B55" s="1">
        <f>_xlfn.XLOOKUP(J55,数据!E:E,数据!B:B)</f>
        <v>17</v>
      </c>
      <c r="C55" s="1" t="str">
        <f>_xlfn.XLOOKUP(J55,数据!E:E,数据!J:J)</f>
        <v>红单</v>
      </c>
      <c r="D55" s="1" t="str" cm="1">
        <f t="array" ref="D55">IF(OR(C55="红单",C55="空派"),_xlfn.IFS(E55="未开售","新品首批发货",F55&lt;E55,"新品首批发货",F55-E55&lt;=60,"新品期补货空运",F55-E55&gt;60,"老品应急空运"),"海运，不进行分析")</f>
        <v>新品期补货空运</v>
      </c>
      <c r="E55" s="2">
        <v>46122</v>
      </c>
      <c r="F55" s="2">
        <f>_xlfn.XLOOKUP(J55,数据!E:E,数据!C:C)</f>
        <v>46133</v>
      </c>
      <c r="G55" s="4">
        <v>96</v>
      </c>
      <c r="H55" s="4">
        <f>G55*AP55/1000</f>
        <v>8.64</v>
      </c>
      <c r="I55" s="4">
        <f>_xlfn.XLOOKUP(J55,数据!E:E,数据!S:S)*(H55/_xlfn.XLOOKUP(J55,数据!E:E,数据!X:X))</f>
        <v>910.448845867461</v>
      </c>
      <c r="J55" t="s">
        <v>2110</v>
      </c>
      <c r="K55" t="s">
        <v>37</v>
      </c>
      <c r="L55" t="s">
        <v>2374</v>
      </c>
      <c r="M55" t="s">
        <v>2790</v>
      </c>
      <c r="N55" t="s">
        <v>2376</v>
      </c>
      <c r="O55" t="s">
        <v>2400</v>
      </c>
      <c r="P55" t="s">
        <v>2378</v>
      </c>
      <c r="Q55" t="s">
        <v>2379</v>
      </c>
      <c r="R55" t="s">
        <v>2110</v>
      </c>
      <c r="S55" t="s">
        <v>2380</v>
      </c>
      <c r="T55" s="3" t="s">
        <v>2791</v>
      </c>
      <c r="U55" t="s">
        <v>2792</v>
      </c>
      <c r="V55" t="s">
        <v>2793</v>
      </c>
      <c r="W55" t="s">
        <v>2384</v>
      </c>
      <c r="X55" t="s">
        <v>2385</v>
      </c>
      <c r="Y55" t="s">
        <v>2794</v>
      </c>
      <c r="Z55" t="s">
        <v>2405</v>
      </c>
      <c r="AA55" t="s">
        <v>2791</v>
      </c>
      <c r="AB55" t="s">
        <v>2795</v>
      </c>
      <c r="AC55" t="s">
        <v>2796</v>
      </c>
      <c r="AD55" t="s">
        <v>2433</v>
      </c>
      <c r="AH55" t="s">
        <v>2433</v>
      </c>
      <c r="AI55" t="s">
        <v>2391</v>
      </c>
      <c r="AJ55" t="s">
        <v>2418</v>
      </c>
      <c r="AK55" t="s">
        <v>2419</v>
      </c>
      <c r="AL55" t="s">
        <v>2420</v>
      </c>
      <c r="AM55" t="s">
        <v>2420</v>
      </c>
      <c r="AN55" t="s">
        <v>2421</v>
      </c>
      <c r="AO55" t="s">
        <v>2418</v>
      </c>
      <c r="AP55">
        <v>90</v>
      </c>
      <c r="AQ55">
        <v>90</v>
      </c>
      <c r="AR55">
        <v>89</v>
      </c>
      <c r="AS55" t="s">
        <v>2808</v>
      </c>
      <c r="AT55">
        <v>0</v>
      </c>
      <c r="AU55">
        <v>-1</v>
      </c>
      <c r="AV55">
        <v>1</v>
      </c>
    </row>
    <row r="56" spans="1:48">
      <c r="A56" s="1">
        <f>_xlfn.XLOOKUP(J56,数据!E:E,数据!A:A)</f>
        <v>4</v>
      </c>
      <c r="B56" s="1">
        <f>_xlfn.XLOOKUP(J56,数据!E:E,数据!B:B)</f>
        <v>17</v>
      </c>
      <c r="C56" s="1" t="str">
        <f>_xlfn.XLOOKUP(J56,数据!E:E,数据!J:J)</f>
        <v>空派</v>
      </c>
      <c r="D56" s="1" t="str" cm="1">
        <f t="array" ref="D56">IF(OR(C56="红单",C56="空派"),_xlfn.IFS(E56="未开售","新品首批发货",F56&lt;E56,"新品首批发货",F56-E56&lt;=60,"新品期补货空运",F56-E56&gt;60,"老品应急空运"),"海运，不进行分析")</f>
        <v>老品应急空运</v>
      </c>
      <c r="E56" s="2">
        <v>46019</v>
      </c>
      <c r="F56" s="2">
        <f>_xlfn.XLOOKUP(J56,数据!E:E,数据!C:C)</f>
        <v>46132</v>
      </c>
      <c r="G56" s="4">
        <v>161</v>
      </c>
      <c r="H56" s="4">
        <f t="shared" ref="H56:H64" si="2">G56*AP56/1000</f>
        <v>3.22</v>
      </c>
      <c r="I56" s="4">
        <f>_xlfn.XLOOKUP(J56,数据!E:E,数据!S:S)*(H56/_xlfn.XLOOKUP(J56,数据!E:E,数据!X:X))</f>
        <v>258.702270953026</v>
      </c>
      <c r="J56" t="s">
        <v>2109</v>
      </c>
      <c r="K56" t="s">
        <v>56</v>
      </c>
      <c r="L56" t="s">
        <v>2374</v>
      </c>
      <c r="M56" t="s">
        <v>2809</v>
      </c>
      <c r="N56" t="s">
        <v>2376</v>
      </c>
      <c r="O56" t="s">
        <v>2400</v>
      </c>
      <c r="P56" t="s">
        <v>2378</v>
      </c>
      <c r="Q56" t="s">
        <v>2379</v>
      </c>
      <c r="R56" t="s">
        <v>2810</v>
      </c>
      <c r="S56" t="s">
        <v>2380</v>
      </c>
      <c r="T56" s="3" t="s">
        <v>2811</v>
      </c>
      <c r="U56" t="s">
        <v>2812</v>
      </c>
      <c r="V56" t="s">
        <v>2813</v>
      </c>
      <c r="W56" t="s">
        <v>2384</v>
      </c>
      <c r="X56" t="s">
        <v>2403</v>
      </c>
      <c r="Y56" t="s">
        <v>2814</v>
      </c>
      <c r="Z56" t="s">
        <v>2387</v>
      </c>
      <c r="AA56" t="s">
        <v>2811</v>
      </c>
      <c r="AB56" t="s">
        <v>2815</v>
      </c>
      <c r="AC56" t="s">
        <v>2816</v>
      </c>
      <c r="AD56" t="s">
        <v>2817</v>
      </c>
      <c r="AH56" t="s">
        <v>2651</v>
      </c>
      <c r="AI56" t="s">
        <v>2433</v>
      </c>
      <c r="AJ56" t="s">
        <v>2818</v>
      </c>
      <c r="AK56" t="s">
        <v>2819</v>
      </c>
      <c r="AL56" t="s">
        <v>2820</v>
      </c>
      <c r="AM56" t="s">
        <v>2821</v>
      </c>
      <c r="AN56" t="s">
        <v>2822</v>
      </c>
      <c r="AO56" t="s">
        <v>2818</v>
      </c>
      <c r="AP56">
        <v>20</v>
      </c>
      <c r="AQ56">
        <v>20</v>
      </c>
      <c r="AR56">
        <v>20</v>
      </c>
      <c r="AS56" t="s">
        <v>2823</v>
      </c>
      <c r="AT56">
        <v>0</v>
      </c>
      <c r="AU56">
        <v>0</v>
      </c>
      <c r="AV56">
        <v>0</v>
      </c>
    </row>
    <row r="57" spans="1:48">
      <c r="A57" s="1">
        <f>_xlfn.XLOOKUP(J57,数据!E:E,数据!A:A)</f>
        <v>4</v>
      </c>
      <c r="B57" s="1">
        <f>_xlfn.XLOOKUP(J57,数据!E:E,数据!B:B)</f>
        <v>17</v>
      </c>
      <c r="C57" s="1" t="str">
        <f>_xlfn.XLOOKUP(J57,数据!E:E,数据!J:J)</f>
        <v>空派</v>
      </c>
      <c r="D57" s="1" t="str" cm="1">
        <f t="array" ref="D57">IF(OR(C57="红单",C57="空派"),_xlfn.IFS(E57="未开售","新品首批发货",F57&lt;E57,"新品首批发货",F57-E57&lt;=60,"新品期补货空运",F57-E57&gt;60,"老品应急空运"),"海运，不进行分析")</f>
        <v>新品期补货空运</v>
      </c>
      <c r="E57" s="2">
        <v>46112</v>
      </c>
      <c r="F57" s="2">
        <f>_xlfn.XLOOKUP(J57,数据!E:E,数据!C:C)</f>
        <v>46132</v>
      </c>
      <c r="G57" s="4">
        <v>261</v>
      </c>
      <c r="H57" s="4">
        <f t="shared" si="2"/>
        <v>13.05</v>
      </c>
      <c r="I57" s="4">
        <f>_xlfn.XLOOKUP(J57,数据!E:E,数据!S:S)*(H57/_xlfn.XLOOKUP(J57,数据!E:E,数据!X:X))</f>
        <v>1048.4672782413</v>
      </c>
      <c r="J57" t="s">
        <v>2109</v>
      </c>
      <c r="K57" t="s">
        <v>56</v>
      </c>
      <c r="L57" t="s">
        <v>2374</v>
      </c>
      <c r="M57" t="s">
        <v>2809</v>
      </c>
      <c r="N57" t="s">
        <v>2376</v>
      </c>
      <c r="O57" t="s">
        <v>2400</v>
      </c>
      <c r="P57" t="s">
        <v>2378</v>
      </c>
      <c r="Q57" t="s">
        <v>2379</v>
      </c>
      <c r="R57" t="s">
        <v>2810</v>
      </c>
      <c r="S57" t="s">
        <v>2380</v>
      </c>
      <c r="T57" s="3" t="s">
        <v>2811</v>
      </c>
      <c r="U57" t="s">
        <v>2812</v>
      </c>
      <c r="V57" t="s">
        <v>2813</v>
      </c>
      <c r="W57" t="s">
        <v>2384</v>
      </c>
      <c r="X57" t="s">
        <v>2403</v>
      </c>
      <c r="Y57" t="s">
        <v>2814</v>
      </c>
      <c r="Z57" t="s">
        <v>2387</v>
      </c>
      <c r="AA57" t="s">
        <v>2811</v>
      </c>
      <c r="AB57" t="s">
        <v>2815</v>
      </c>
      <c r="AC57" t="s">
        <v>2816</v>
      </c>
      <c r="AD57" t="s">
        <v>2817</v>
      </c>
      <c r="AH57" t="s">
        <v>2651</v>
      </c>
      <c r="AI57" t="s">
        <v>2433</v>
      </c>
      <c r="AJ57" t="s">
        <v>2824</v>
      </c>
      <c r="AK57" t="s">
        <v>2825</v>
      </c>
      <c r="AL57" t="s">
        <v>2826</v>
      </c>
      <c r="AM57" t="s">
        <v>2826</v>
      </c>
      <c r="AN57" t="s">
        <v>2827</v>
      </c>
      <c r="AO57" t="s">
        <v>2824</v>
      </c>
      <c r="AP57">
        <v>50</v>
      </c>
      <c r="AQ57">
        <v>50</v>
      </c>
      <c r="AR57">
        <v>50</v>
      </c>
      <c r="AS57" t="s">
        <v>2828</v>
      </c>
      <c r="AT57">
        <v>0</v>
      </c>
      <c r="AU57">
        <v>0</v>
      </c>
      <c r="AV57">
        <v>0</v>
      </c>
    </row>
    <row r="58" spans="1:48">
      <c r="A58" s="1">
        <f>_xlfn.XLOOKUP(J58,数据!E:E,数据!A:A)</f>
        <v>4</v>
      </c>
      <c r="B58" s="1">
        <f>_xlfn.XLOOKUP(J58,数据!E:E,数据!B:B)</f>
        <v>17</v>
      </c>
      <c r="C58" s="1" t="str">
        <f>_xlfn.XLOOKUP(J58,数据!E:E,数据!J:J)</f>
        <v>空派</v>
      </c>
      <c r="D58" s="1" t="str" cm="1">
        <f t="array" ref="D58">IF(OR(C58="红单",C58="空派"),_xlfn.IFS(E58="未开售","新品首批发货",F58&lt;E58,"新品首批发货",F58-E58&lt;=60,"新品期补货空运",F58-E58&gt;60,"老品应急空运"),"海运，不进行分析")</f>
        <v>新品期补货空运</v>
      </c>
      <c r="E58" s="2">
        <v>46113</v>
      </c>
      <c r="F58" s="2">
        <f>_xlfn.XLOOKUP(J58,数据!E:E,数据!C:C)</f>
        <v>46132</v>
      </c>
      <c r="G58" s="4">
        <v>384.8</v>
      </c>
      <c r="H58" s="4">
        <f t="shared" si="2"/>
        <v>0.3848</v>
      </c>
      <c r="I58" s="4">
        <f>_xlfn.XLOOKUP(J58,数据!E:E,数据!S:S)*(H58/_xlfn.XLOOKUP(J58,数据!E:E,数据!X:X))</f>
        <v>30.9157248020883</v>
      </c>
      <c r="J58" t="s">
        <v>2109</v>
      </c>
      <c r="K58" t="s">
        <v>56</v>
      </c>
      <c r="L58" t="s">
        <v>2374</v>
      </c>
      <c r="M58" t="s">
        <v>2809</v>
      </c>
      <c r="N58" t="s">
        <v>2376</v>
      </c>
      <c r="O58" t="s">
        <v>2400</v>
      </c>
      <c r="P58" t="s">
        <v>2378</v>
      </c>
      <c r="Q58" t="s">
        <v>2379</v>
      </c>
      <c r="R58" t="s">
        <v>2810</v>
      </c>
      <c r="S58" t="s">
        <v>2380</v>
      </c>
      <c r="T58" s="3" t="s">
        <v>2811</v>
      </c>
      <c r="U58" t="s">
        <v>2812</v>
      </c>
      <c r="V58" t="s">
        <v>2813</v>
      </c>
      <c r="W58" t="s">
        <v>2384</v>
      </c>
      <c r="X58" t="s">
        <v>2403</v>
      </c>
      <c r="Y58" t="s">
        <v>2814</v>
      </c>
      <c r="Z58" t="s">
        <v>2387</v>
      </c>
      <c r="AA58" t="s">
        <v>2811</v>
      </c>
      <c r="AB58" t="s">
        <v>2815</v>
      </c>
      <c r="AC58" t="s">
        <v>2816</v>
      </c>
      <c r="AD58" t="s">
        <v>2817</v>
      </c>
      <c r="AH58" t="s">
        <v>2651</v>
      </c>
      <c r="AI58" t="s">
        <v>2433</v>
      </c>
      <c r="AJ58" t="s">
        <v>2571</v>
      </c>
      <c r="AK58" t="s">
        <v>2572</v>
      </c>
      <c r="AL58" t="s">
        <v>2573</v>
      </c>
      <c r="AM58" t="s">
        <v>2573</v>
      </c>
      <c r="AN58" t="s">
        <v>2574</v>
      </c>
      <c r="AO58" t="s">
        <v>2571</v>
      </c>
      <c r="AP58">
        <v>1</v>
      </c>
      <c r="AQ58">
        <v>1</v>
      </c>
      <c r="AR58">
        <v>1</v>
      </c>
      <c r="AS58" t="s">
        <v>2829</v>
      </c>
      <c r="AT58">
        <v>0</v>
      </c>
      <c r="AU58">
        <v>0</v>
      </c>
      <c r="AV58">
        <v>0</v>
      </c>
    </row>
    <row r="59" spans="1:48">
      <c r="A59" s="1">
        <f>_xlfn.XLOOKUP(J59,数据!E:E,数据!A:A)</f>
        <v>4</v>
      </c>
      <c r="B59" s="1">
        <f>_xlfn.XLOOKUP(J59,数据!E:E,数据!B:B)</f>
        <v>17</v>
      </c>
      <c r="C59" s="1" t="str">
        <f>_xlfn.XLOOKUP(J59,数据!E:E,数据!J:J)</f>
        <v>空派</v>
      </c>
      <c r="D59" s="1" t="str" cm="1">
        <f t="array" ref="D59">IF(OR(C59="红单",C59="空派"),_xlfn.IFS(E59="未开售","新品首批发货",F59&lt;E59,"新品首批发货",F59-E59&lt;=60,"新品期补货空运",F59-E59&gt;60,"老品应急空运"),"海运，不进行分析")</f>
        <v>新品期补货空运</v>
      </c>
      <c r="E59" s="2">
        <v>46113</v>
      </c>
      <c r="F59" s="2">
        <f>_xlfn.XLOOKUP(J59,数据!E:E,数据!C:C)</f>
        <v>46132</v>
      </c>
      <c r="G59" s="4">
        <v>250</v>
      </c>
      <c r="H59" s="4">
        <f t="shared" si="2"/>
        <v>0.75</v>
      </c>
      <c r="I59" s="4">
        <f>_xlfn.XLOOKUP(J59,数据!E:E,数据!S:S)*(H59/_xlfn.XLOOKUP(J59,数据!E:E,数据!X:X))</f>
        <v>60.2567401288103</v>
      </c>
      <c r="J59" t="s">
        <v>2109</v>
      </c>
      <c r="K59" t="s">
        <v>56</v>
      </c>
      <c r="L59" t="s">
        <v>2374</v>
      </c>
      <c r="M59" t="s">
        <v>2809</v>
      </c>
      <c r="N59" t="s">
        <v>2376</v>
      </c>
      <c r="O59" t="s">
        <v>2400</v>
      </c>
      <c r="P59" t="s">
        <v>2378</v>
      </c>
      <c r="Q59" t="s">
        <v>2379</v>
      </c>
      <c r="R59" t="s">
        <v>2810</v>
      </c>
      <c r="S59" t="s">
        <v>2380</v>
      </c>
      <c r="T59" s="3" t="s">
        <v>2811</v>
      </c>
      <c r="U59" t="s">
        <v>2812</v>
      </c>
      <c r="V59" t="s">
        <v>2813</v>
      </c>
      <c r="W59" t="s">
        <v>2384</v>
      </c>
      <c r="X59" t="s">
        <v>2403</v>
      </c>
      <c r="Y59" t="s">
        <v>2814</v>
      </c>
      <c r="Z59" t="s">
        <v>2387</v>
      </c>
      <c r="AA59" t="s">
        <v>2811</v>
      </c>
      <c r="AB59" t="s">
        <v>2815</v>
      </c>
      <c r="AC59" t="s">
        <v>2816</v>
      </c>
      <c r="AD59" t="s">
        <v>2817</v>
      </c>
      <c r="AH59" t="s">
        <v>2651</v>
      </c>
      <c r="AI59" t="s">
        <v>2433</v>
      </c>
      <c r="AJ59" t="s">
        <v>2830</v>
      </c>
      <c r="AK59" t="s">
        <v>2831</v>
      </c>
      <c r="AL59" t="s">
        <v>2832</v>
      </c>
      <c r="AM59" t="s">
        <v>2832</v>
      </c>
      <c r="AN59" t="s">
        <v>2833</v>
      </c>
      <c r="AO59" t="s">
        <v>2830</v>
      </c>
      <c r="AP59">
        <v>3</v>
      </c>
      <c r="AQ59">
        <v>3</v>
      </c>
      <c r="AR59">
        <v>3</v>
      </c>
      <c r="AS59" t="s">
        <v>2834</v>
      </c>
      <c r="AT59">
        <v>0</v>
      </c>
      <c r="AU59">
        <v>0</v>
      </c>
      <c r="AV59">
        <v>0</v>
      </c>
    </row>
    <row r="60" spans="1:48">
      <c r="A60" s="1">
        <f>_xlfn.XLOOKUP(J60,数据!E:E,数据!A:A)</f>
        <v>4</v>
      </c>
      <c r="B60" s="1">
        <f>_xlfn.XLOOKUP(J60,数据!E:E,数据!B:B)</f>
        <v>17</v>
      </c>
      <c r="C60" s="1" t="str">
        <f>_xlfn.XLOOKUP(J60,数据!E:E,数据!J:J)</f>
        <v>空派</v>
      </c>
      <c r="D60" s="1" t="str" cm="1">
        <f t="array" ref="D60">IF(OR(C60="红单",C60="空派"),_xlfn.IFS(E60="未开售","新品首批发货",F60&lt;E60,"新品首批发货",F60-E60&lt;=60,"新品期补货空运",F60-E60&gt;60,"老品应急空运"),"海运，不进行分析")</f>
        <v>老品应急空运</v>
      </c>
      <c r="E60" s="2">
        <v>46017</v>
      </c>
      <c r="F60" s="2">
        <f>_xlfn.XLOOKUP(J60,数据!E:E,数据!C:C)</f>
        <v>46132</v>
      </c>
      <c r="G60" s="4">
        <v>163</v>
      </c>
      <c r="H60" s="4">
        <f t="shared" si="2"/>
        <v>3.26</v>
      </c>
      <c r="I60" s="4">
        <f>_xlfn.XLOOKUP(J60,数据!E:E,数据!S:S)*(H60/_xlfn.XLOOKUP(J60,数据!E:E,数据!X:X))</f>
        <v>261.915963759896</v>
      </c>
      <c r="J60" t="s">
        <v>2109</v>
      </c>
      <c r="K60" t="s">
        <v>56</v>
      </c>
      <c r="L60" t="s">
        <v>2374</v>
      </c>
      <c r="M60" t="s">
        <v>2809</v>
      </c>
      <c r="N60" t="s">
        <v>2376</v>
      </c>
      <c r="O60" t="s">
        <v>2400</v>
      </c>
      <c r="P60" t="s">
        <v>2378</v>
      </c>
      <c r="Q60" t="s">
        <v>2379</v>
      </c>
      <c r="R60" t="s">
        <v>2810</v>
      </c>
      <c r="S60" t="s">
        <v>2380</v>
      </c>
      <c r="T60" s="3" t="s">
        <v>2811</v>
      </c>
      <c r="U60" t="s">
        <v>2812</v>
      </c>
      <c r="V60" t="s">
        <v>2813</v>
      </c>
      <c r="W60" t="s">
        <v>2384</v>
      </c>
      <c r="X60" t="s">
        <v>2403</v>
      </c>
      <c r="Y60" t="s">
        <v>2814</v>
      </c>
      <c r="Z60" t="s">
        <v>2387</v>
      </c>
      <c r="AA60" t="s">
        <v>2811</v>
      </c>
      <c r="AB60" t="s">
        <v>2815</v>
      </c>
      <c r="AC60" t="s">
        <v>2816</v>
      </c>
      <c r="AD60" t="s">
        <v>2817</v>
      </c>
      <c r="AH60" t="s">
        <v>2651</v>
      </c>
      <c r="AI60" t="s">
        <v>2433</v>
      </c>
      <c r="AJ60" t="s">
        <v>2835</v>
      </c>
      <c r="AK60" t="s">
        <v>2836</v>
      </c>
      <c r="AL60" t="s">
        <v>2837</v>
      </c>
      <c r="AM60" t="s">
        <v>2821</v>
      </c>
      <c r="AN60" t="s">
        <v>2838</v>
      </c>
      <c r="AO60" t="s">
        <v>2835</v>
      </c>
      <c r="AP60">
        <v>20</v>
      </c>
      <c r="AQ60">
        <v>20</v>
      </c>
      <c r="AR60">
        <v>20</v>
      </c>
      <c r="AS60" t="s">
        <v>2823</v>
      </c>
      <c r="AT60">
        <v>0</v>
      </c>
      <c r="AU60">
        <v>0</v>
      </c>
      <c r="AV60">
        <v>0</v>
      </c>
    </row>
    <row r="61" spans="1:48">
      <c r="A61" s="1">
        <f>_xlfn.XLOOKUP(J61,数据!E:E,数据!A:A)</f>
        <v>4</v>
      </c>
      <c r="B61" s="1">
        <f>_xlfn.XLOOKUP(J61,数据!E:E,数据!B:B)</f>
        <v>17</v>
      </c>
      <c r="C61" s="1" t="str">
        <f>_xlfn.XLOOKUP(J61,数据!E:E,数据!J:J)</f>
        <v>空派</v>
      </c>
      <c r="D61" s="1" t="str" cm="1">
        <f t="array" ref="D61">IF(OR(C61="红单",C61="空派"),_xlfn.IFS(E61="未开售","新品首批发货",F61&lt;E61,"新品首批发货",F61-E61&lt;=60,"新品期补货空运",F61-E61&gt;60,"老品应急空运"),"海运，不进行分析")</f>
        <v>新品期补货空运</v>
      </c>
      <c r="E61" s="2">
        <v>46110</v>
      </c>
      <c r="F61" s="2">
        <f>_xlfn.XLOOKUP(J61,数据!E:E,数据!C:C)</f>
        <v>46132</v>
      </c>
      <c r="G61" s="4">
        <v>235</v>
      </c>
      <c r="H61" s="4">
        <f t="shared" si="2"/>
        <v>23.5</v>
      </c>
      <c r="I61" s="4">
        <f>_xlfn.XLOOKUP(J61,数据!E:E,数据!S:S)*(H61/_xlfn.XLOOKUP(J61,数据!E:E,数据!X:X))</f>
        <v>1888.04452403606</v>
      </c>
      <c r="J61" t="s">
        <v>2109</v>
      </c>
      <c r="K61" t="s">
        <v>56</v>
      </c>
      <c r="L61" t="s">
        <v>2374</v>
      </c>
      <c r="M61" t="s">
        <v>2809</v>
      </c>
      <c r="N61" t="s">
        <v>2376</v>
      </c>
      <c r="O61" t="s">
        <v>2400</v>
      </c>
      <c r="P61" t="s">
        <v>2378</v>
      </c>
      <c r="Q61" t="s">
        <v>2379</v>
      </c>
      <c r="R61" t="s">
        <v>2810</v>
      </c>
      <c r="S61" t="s">
        <v>2380</v>
      </c>
      <c r="T61" s="3" t="s">
        <v>2811</v>
      </c>
      <c r="U61" t="s">
        <v>2812</v>
      </c>
      <c r="V61" t="s">
        <v>2813</v>
      </c>
      <c r="W61" t="s">
        <v>2384</v>
      </c>
      <c r="X61" t="s">
        <v>2403</v>
      </c>
      <c r="Y61" t="s">
        <v>2814</v>
      </c>
      <c r="Z61" t="s">
        <v>2387</v>
      </c>
      <c r="AA61" t="s">
        <v>2811</v>
      </c>
      <c r="AB61" t="s">
        <v>2815</v>
      </c>
      <c r="AC61" t="s">
        <v>2816</v>
      </c>
      <c r="AD61" t="s">
        <v>2817</v>
      </c>
      <c r="AH61" t="s">
        <v>2651</v>
      </c>
      <c r="AI61" t="s">
        <v>2433</v>
      </c>
      <c r="AJ61" t="s">
        <v>2393</v>
      </c>
      <c r="AK61" t="s">
        <v>2394</v>
      </c>
      <c r="AL61" t="s">
        <v>2395</v>
      </c>
      <c r="AM61" t="s">
        <v>2396</v>
      </c>
      <c r="AN61" t="s">
        <v>2397</v>
      </c>
      <c r="AO61" t="s">
        <v>2393</v>
      </c>
      <c r="AP61">
        <v>100</v>
      </c>
      <c r="AQ61">
        <v>100</v>
      </c>
      <c r="AR61">
        <v>100</v>
      </c>
      <c r="AS61" t="s">
        <v>2839</v>
      </c>
      <c r="AT61">
        <v>0</v>
      </c>
      <c r="AU61">
        <v>0</v>
      </c>
      <c r="AV61">
        <v>0</v>
      </c>
    </row>
    <row r="62" spans="1:48">
      <c r="A62" s="1">
        <f>_xlfn.XLOOKUP(J62,数据!E:E,数据!A:A)</f>
        <v>4</v>
      </c>
      <c r="B62" s="1">
        <f>_xlfn.XLOOKUP(J62,数据!E:E,数据!B:B)</f>
        <v>17</v>
      </c>
      <c r="C62" s="1" t="str">
        <f>_xlfn.XLOOKUP(J62,数据!E:E,数据!J:J)</f>
        <v>空派</v>
      </c>
      <c r="D62" s="1" t="str" cm="1">
        <f t="array" ref="D62">IF(OR(C62="红单",C62="空派"),_xlfn.IFS(E62="未开售","新品首批发货",F62&lt;E62,"新品首批发货",F62-E62&lt;=60,"新品期补货空运",F62-E62&gt;60,"老品应急空运"),"海运，不进行分析")</f>
        <v>新品期补货空运</v>
      </c>
      <c r="E62" s="2">
        <v>46114</v>
      </c>
      <c r="F62" s="2">
        <f>_xlfn.XLOOKUP(J62,数据!E:E,数据!C:C)</f>
        <v>46132</v>
      </c>
      <c r="G62" s="4">
        <v>238</v>
      </c>
      <c r="H62" s="4">
        <f t="shared" si="2"/>
        <v>21.42</v>
      </c>
      <c r="I62" s="4">
        <f>_xlfn.XLOOKUP(J62,数据!E:E,数据!S:S)*(H62/_xlfn.XLOOKUP(J62,数据!E:E,数据!X:X))</f>
        <v>1720.93249807882</v>
      </c>
      <c r="J62" t="s">
        <v>2109</v>
      </c>
      <c r="K62" t="s">
        <v>56</v>
      </c>
      <c r="L62" t="s">
        <v>2374</v>
      </c>
      <c r="M62" t="s">
        <v>2809</v>
      </c>
      <c r="N62" t="s">
        <v>2376</v>
      </c>
      <c r="O62" t="s">
        <v>2400</v>
      </c>
      <c r="P62" t="s">
        <v>2378</v>
      </c>
      <c r="Q62" t="s">
        <v>2379</v>
      </c>
      <c r="R62" t="s">
        <v>2810</v>
      </c>
      <c r="S62" t="s">
        <v>2380</v>
      </c>
      <c r="T62" s="3" t="s">
        <v>2811</v>
      </c>
      <c r="U62" t="s">
        <v>2812</v>
      </c>
      <c r="V62" t="s">
        <v>2813</v>
      </c>
      <c r="W62" t="s">
        <v>2384</v>
      </c>
      <c r="X62" t="s">
        <v>2403</v>
      </c>
      <c r="Y62" t="s">
        <v>2814</v>
      </c>
      <c r="Z62" t="s">
        <v>2387</v>
      </c>
      <c r="AA62" t="s">
        <v>2811</v>
      </c>
      <c r="AB62" t="s">
        <v>2815</v>
      </c>
      <c r="AC62" t="s">
        <v>2816</v>
      </c>
      <c r="AD62" t="s">
        <v>2817</v>
      </c>
      <c r="AH62" t="s">
        <v>2651</v>
      </c>
      <c r="AI62" t="s">
        <v>2433</v>
      </c>
      <c r="AJ62" t="s">
        <v>2840</v>
      </c>
      <c r="AK62" t="s">
        <v>2841</v>
      </c>
      <c r="AL62" t="s">
        <v>2842</v>
      </c>
      <c r="AM62" t="s">
        <v>2396</v>
      </c>
      <c r="AN62" t="s">
        <v>2843</v>
      </c>
      <c r="AO62" t="s">
        <v>2840</v>
      </c>
      <c r="AP62">
        <v>90</v>
      </c>
      <c r="AQ62">
        <v>90</v>
      </c>
      <c r="AR62">
        <v>90</v>
      </c>
      <c r="AS62" t="s">
        <v>2844</v>
      </c>
      <c r="AT62">
        <v>0</v>
      </c>
      <c r="AU62">
        <v>0</v>
      </c>
      <c r="AV62">
        <v>0</v>
      </c>
    </row>
    <row r="63" spans="1:48">
      <c r="A63" s="1">
        <f>_xlfn.XLOOKUP(J63,数据!E:E,数据!A:A)</f>
        <v>4</v>
      </c>
      <c r="B63" s="1">
        <f>_xlfn.XLOOKUP(J63,数据!E:E,数据!B:B)</f>
        <v>17</v>
      </c>
      <c r="C63" s="1" t="str">
        <f>_xlfn.XLOOKUP(J63,数据!E:E,数据!J:J)</f>
        <v>空派</v>
      </c>
      <c r="D63" s="1" t="str" cm="1">
        <f t="array" ref="D63">IF(OR(C63="红单",C63="空派"),_xlfn.IFS(E63="未开售","新品首批发货",F63&lt;E63,"新品首批发货",F63-E63&lt;=60,"新品期补货空运",F63-E63&gt;60,"老品应急空运"),"海运，不进行分析")</f>
        <v>老品应急空运</v>
      </c>
      <c r="E63" s="2">
        <v>46036</v>
      </c>
      <c r="F63" s="2">
        <f>_xlfn.XLOOKUP(J63,数据!E:E,数据!C:C)</f>
        <v>46132</v>
      </c>
      <c r="G63" s="4">
        <v>120</v>
      </c>
      <c r="H63" s="4">
        <f t="shared" si="2"/>
        <v>6</v>
      </c>
      <c r="I63" s="4">
        <f>_xlfn.XLOOKUP(J63,数据!E:E,数据!S:S)*(H63/_xlfn.XLOOKUP(J63,数据!E:E,数据!X:X))</f>
        <v>505.539185690751</v>
      </c>
      <c r="J63" t="s">
        <v>2108</v>
      </c>
      <c r="K63" t="s">
        <v>78</v>
      </c>
      <c r="L63" t="s">
        <v>2374</v>
      </c>
      <c r="M63" t="s">
        <v>2845</v>
      </c>
      <c r="N63" t="s">
        <v>2376</v>
      </c>
      <c r="O63" t="s">
        <v>2400</v>
      </c>
      <c r="P63" t="s">
        <v>2378</v>
      </c>
      <c r="Q63" t="s">
        <v>2379</v>
      </c>
      <c r="R63" t="s">
        <v>2846</v>
      </c>
      <c r="S63" t="s">
        <v>2380</v>
      </c>
      <c r="T63" s="3" t="s">
        <v>2847</v>
      </c>
      <c r="U63" t="s">
        <v>2848</v>
      </c>
      <c r="V63" t="s">
        <v>2849</v>
      </c>
      <c r="W63" t="s">
        <v>2384</v>
      </c>
      <c r="X63" t="s">
        <v>2385</v>
      </c>
      <c r="Y63" t="s">
        <v>2850</v>
      </c>
      <c r="Z63" t="s">
        <v>2387</v>
      </c>
      <c r="AA63" t="s">
        <v>2847</v>
      </c>
      <c r="AB63" t="s">
        <v>2851</v>
      </c>
      <c r="AC63" t="s">
        <v>2852</v>
      </c>
      <c r="AD63" t="s">
        <v>2817</v>
      </c>
      <c r="AH63" t="s">
        <v>2651</v>
      </c>
      <c r="AI63" t="s">
        <v>2433</v>
      </c>
      <c r="AJ63" t="s">
        <v>2853</v>
      </c>
      <c r="AK63" t="s">
        <v>2854</v>
      </c>
      <c r="AL63" t="s">
        <v>2855</v>
      </c>
      <c r="AM63" t="s">
        <v>2856</v>
      </c>
      <c r="AN63" t="s">
        <v>2857</v>
      </c>
      <c r="AO63" t="s">
        <v>2853</v>
      </c>
      <c r="AP63">
        <v>50</v>
      </c>
      <c r="AQ63">
        <v>50</v>
      </c>
      <c r="AR63">
        <v>50</v>
      </c>
      <c r="AS63" t="s">
        <v>2828</v>
      </c>
      <c r="AT63">
        <v>0</v>
      </c>
      <c r="AU63">
        <v>0</v>
      </c>
      <c r="AV63">
        <v>0</v>
      </c>
    </row>
    <row r="64" spans="1:48">
      <c r="A64" s="1">
        <f>_xlfn.XLOOKUP(J64,数据!E:E,数据!A:A)</f>
        <v>4</v>
      </c>
      <c r="B64" s="1">
        <f>_xlfn.XLOOKUP(J64,数据!E:E,数据!B:B)</f>
        <v>17</v>
      </c>
      <c r="C64" s="1" t="str">
        <f>_xlfn.XLOOKUP(J64,数据!E:E,数据!J:J)</f>
        <v>空派</v>
      </c>
      <c r="D64" s="1" t="str" cm="1">
        <f t="array" ref="D64">IF(OR(C64="红单",C64="空派"),_xlfn.IFS(E64="未开售","新品首批发货",F64&lt;E64,"新品首批发货",F64-E64&lt;=60,"新品期补货空运",F64-E64&gt;60,"老品应急空运"),"海运，不进行分析")</f>
        <v>老品应急空运</v>
      </c>
      <c r="E64" s="2">
        <v>46005</v>
      </c>
      <c r="F64" s="2">
        <f>_xlfn.XLOOKUP(J64,数据!E:E,数据!C:C)</f>
        <v>46132</v>
      </c>
      <c r="G64" s="4">
        <v>133</v>
      </c>
      <c r="H64" s="4">
        <f t="shared" si="2"/>
        <v>6.65</v>
      </c>
      <c r="I64" s="4">
        <f>_xlfn.XLOOKUP(J64,数据!E:E,数据!S:S)*(H64/_xlfn.XLOOKUP(J64,数据!E:E,数据!X:X))</f>
        <v>560.305930807249</v>
      </c>
      <c r="J64" t="s">
        <v>2108</v>
      </c>
      <c r="K64" t="s">
        <v>78</v>
      </c>
      <c r="L64" t="s">
        <v>2374</v>
      </c>
      <c r="M64" t="s">
        <v>2845</v>
      </c>
      <c r="N64" t="s">
        <v>2376</v>
      </c>
      <c r="O64" t="s">
        <v>2400</v>
      </c>
      <c r="P64" t="s">
        <v>2378</v>
      </c>
      <c r="Q64" t="s">
        <v>2379</v>
      </c>
      <c r="R64" t="s">
        <v>2846</v>
      </c>
      <c r="S64" t="s">
        <v>2380</v>
      </c>
      <c r="T64" s="3" t="s">
        <v>2847</v>
      </c>
      <c r="U64" t="s">
        <v>2848</v>
      </c>
      <c r="V64" t="s">
        <v>2849</v>
      </c>
      <c r="W64" t="s">
        <v>2384</v>
      </c>
      <c r="X64" t="s">
        <v>2385</v>
      </c>
      <c r="Y64" t="s">
        <v>2850</v>
      </c>
      <c r="Z64" t="s">
        <v>2387</v>
      </c>
      <c r="AA64" t="s">
        <v>2847</v>
      </c>
      <c r="AB64" t="s">
        <v>2851</v>
      </c>
      <c r="AC64" t="s">
        <v>2852</v>
      </c>
      <c r="AD64" t="s">
        <v>2817</v>
      </c>
      <c r="AH64" t="s">
        <v>2651</v>
      </c>
      <c r="AI64" t="s">
        <v>2433</v>
      </c>
      <c r="AJ64" t="s">
        <v>2858</v>
      </c>
      <c r="AK64" t="s">
        <v>2859</v>
      </c>
      <c r="AL64" t="s">
        <v>2860</v>
      </c>
      <c r="AM64" t="s">
        <v>2860</v>
      </c>
      <c r="AN64" t="s">
        <v>2861</v>
      </c>
      <c r="AO64" t="s">
        <v>2858</v>
      </c>
      <c r="AP64">
        <v>50</v>
      </c>
      <c r="AQ64">
        <v>50</v>
      </c>
      <c r="AR64">
        <v>50</v>
      </c>
      <c r="AS64" t="s">
        <v>2828</v>
      </c>
      <c r="AT64">
        <v>0</v>
      </c>
      <c r="AU64">
        <v>0</v>
      </c>
      <c r="AV64">
        <v>0</v>
      </c>
    </row>
    <row r="65" spans="1:48">
      <c r="A65" s="1">
        <f>_xlfn.XLOOKUP(J65,数据!E:E,数据!A:A)</f>
        <v>4</v>
      </c>
      <c r="B65" s="1">
        <f>_xlfn.XLOOKUP(J65,数据!E:E,数据!B:B)</f>
        <v>17</v>
      </c>
      <c r="C65" s="1" t="str">
        <f>_xlfn.XLOOKUP(J65,数据!E:E,数据!J:J)</f>
        <v>空派</v>
      </c>
      <c r="D65" s="1" t="str" cm="1">
        <f t="array" ref="D65">IF(OR(C65="红单",C65="空派"),_xlfn.IFS(E65="未开售","新品首批发货",F65&lt;E65,"新品首批发货",F65-E65&lt;=60,"新品期补货空运",F65-E65&gt;60,"老品应急空运"),"海运，不进行分析")</f>
        <v>老品应急空运</v>
      </c>
      <c r="E65" s="2">
        <v>45293</v>
      </c>
      <c r="F65" s="2">
        <f>_xlfn.XLOOKUP(J65,数据!E:E,数据!C:C)</f>
        <v>46132</v>
      </c>
      <c r="G65" s="4">
        <v>85</v>
      </c>
      <c r="H65" s="4">
        <f t="shared" ref="H65:H76" si="3">G65*AP65/1000</f>
        <v>1.7</v>
      </c>
      <c r="I65" s="4">
        <f>_xlfn.XLOOKUP(J65,数据!E:E,数据!S:S)*(H65/_xlfn.XLOOKUP(J65,数据!E:E,数据!X:X))</f>
        <v>143.236102612379</v>
      </c>
      <c r="J65" t="s">
        <v>2108</v>
      </c>
      <c r="K65" t="s">
        <v>78</v>
      </c>
      <c r="L65" t="s">
        <v>2374</v>
      </c>
      <c r="M65" t="s">
        <v>2845</v>
      </c>
      <c r="N65" t="s">
        <v>2376</v>
      </c>
      <c r="O65" t="s">
        <v>2400</v>
      </c>
      <c r="P65" t="s">
        <v>2378</v>
      </c>
      <c r="Q65" t="s">
        <v>2379</v>
      </c>
      <c r="R65" t="s">
        <v>2846</v>
      </c>
      <c r="S65" t="s">
        <v>2380</v>
      </c>
      <c r="T65" s="3" t="s">
        <v>2847</v>
      </c>
      <c r="U65" t="s">
        <v>2848</v>
      </c>
      <c r="V65" t="s">
        <v>2849</v>
      </c>
      <c r="W65" t="s">
        <v>2384</v>
      </c>
      <c r="X65" t="s">
        <v>2385</v>
      </c>
      <c r="Y65" t="s">
        <v>2850</v>
      </c>
      <c r="Z65" t="s">
        <v>2387</v>
      </c>
      <c r="AA65" t="s">
        <v>2847</v>
      </c>
      <c r="AB65" t="s">
        <v>2851</v>
      </c>
      <c r="AC65" t="s">
        <v>2852</v>
      </c>
      <c r="AD65" t="s">
        <v>2817</v>
      </c>
      <c r="AH65" t="s">
        <v>2651</v>
      </c>
      <c r="AI65" t="s">
        <v>2433</v>
      </c>
      <c r="AJ65" t="s">
        <v>2862</v>
      </c>
      <c r="AK65" t="s">
        <v>2863</v>
      </c>
      <c r="AL65" t="s">
        <v>2864</v>
      </c>
      <c r="AM65" t="s">
        <v>2865</v>
      </c>
      <c r="AN65" t="s">
        <v>2866</v>
      </c>
      <c r="AO65" t="s">
        <v>2862</v>
      </c>
      <c r="AP65">
        <v>20</v>
      </c>
      <c r="AQ65">
        <v>20</v>
      </c>
      <c r="AR65">
        <v>20</v>
      </c>
      <c r="AS65" t="s">
        <v>2823</v>
      </c>
      <c r="AT65">
        <v>0</v>
      </c>
      <c r="AU65">
        <v>0</v>
      </c>
      <c r="AV65">
        <v>0</v>
      </c>
    </row>
    <row r="66" spans="1:48">
      <c r="A66" s="1">
        <f>_xlfn.XLOOKUP(J66,数据!E:E,数据!A:A)</f>
        <v>4</v>
      </c>
      <c r="B66" s="1">
        <f>_xlfn.XLOOKUP(J66,数据!E:E,数据!B:B)</f>
        <v>17</v>
      </c>
      <c r="C66" s="1" t="str">
        <f>_xlfn.XLOOKUP(J66,数据!E:E,数据!J:J)</f>
        <v>空派</v>
      </c>
      <c r="D66" s="1" t="str" cm="1">
        <f t="array" ref="D66">IF(OR(C66="红单",C66="空派"),_xlfn.IFS(E66="未开售","新品首批发货",F66&lt;E66,"新品首批发货",F66-E66&lt;=60,"新品期补货空运",F66-E66&gt;60,"老品应急空运"),"海运，不进行分析")</f>
        <v>新品首批发货</v>
      </c>
      <c r="E66" s="2" t="s">
        <v>2423</v>
      </c>
      <c r="F66" s="2">
        <f>_xlfn.XLOOKUP(J66,数据!E:E,数据!C:C)</f>
        <v>46132</v>
      </c>
      <c r="G66" s="4">
        <v>99</v>
      </c>
      <c r="H66" s="4">
        <f t="shared" si="3"/>
        <v>10.89</v>
      </c>
      <c r="I66" s="4">
        <f>_xlfn.XLOOKUP(J66,数据!E:E,数据!S:S)*(H66/_xlfn.XLOOKUP(J66,数据!E:E,数据!X:X))</f>
        <v>917.553622028713</v>
      </c>
      <c r="J66" t="s">
        <v>2108</v>
      </c>
      <c r="K66" t="s">
        <v>78</v>
      </c>
      <c r="L66" t="s">
        <v>2374</v>
      </c>
      <c r="M66" t="s">
        <v>2845</v>
      </c>
      <c r="N66" t="s">
        <v>2376</v>
      </c>
      <c r="O66" t="s">
        <v>2400</v>
      </c>
      <c r="P66" t="s">
        <v>2378</v>
      </c>
      <c r="Q66" t="s">
        <v>2379</v>
      </c>
      <c r="R66" t="s">
        <v>2846</v>
      </c>
      <c r="S66" t="s">
        <v>2380</v>
      </c>
      <c r="T66" s="3" t="s">
        <v>2847</v>
      </c>
      <c r="U66" t="s">
        <v>2848</v>
      </c>
      <c r="V66" t="s">
        <v>2849</v>
      </c>
      <c r="W66" t="s">
        <v>2384</v>
      </c>
      <c r="X66" t="s">
        <v>2385</v>
      </c>
      <c r="Y66" t="s">
        <v>2850</v>
      </c>
      <c r="Z66" t="s">
        <v>2387</v>
      </c>
      <c r="AA66" t="s">
        <v>2847</v>
      </c>
      <c r="AB66" t="s">
        <v>2851</v>
      </c>
      <c r="AC66" t="s">
        <v>2852</v>
      </c>
      <c r="AD66" t="s">
        <v>2817</v>
      </c>
      <c r="AH66" t="s">
        <v>2651</v>
      </c>
      <c r="AI66" t="s">
        <v>2433</v>
      </c>
      <c r="AJ66" t="s">
        <v>2867</v>
      </c>
      <c r="AK66" t="s">
        <v>2868</v>
      </c>
      <c r="AL66" t="s">
        <v>2869</v>
      </c>
      <c r="AM66" t="s">
        <v>2869</v>
      </c>
      <c r="AN66" t="s">
        <v>2870</v>
      </c>
      <c r="AO66" t="s">
        <v>2867</v>
      </c>
      <c r="AP66">
        <v>110</v>
      </c>
      <c r="AQ66">
        <v>110</v>
      </c>
      <c r="AR66">
        <v>110</v>
      </c>
      <c r="AS66" t="s">
        <v>2871</v>
      </c>
      <c r="AT66">
        <v>0</v>
      </c>
      <c r="AU66">
        <v>0</v>
      </c>
      <c r="AV66">
        <v>0</v>
      </c>
    </row>
    <row r="67" spans="1:48">
      <c r="A67" s="1">
        <f>_xlfn.XLOOKUP(J67,数据!E:E,数据!A:A)</f>
        <v>4</v>
      </c>
      <c r="B67" s="1">
        <f>_xlfn.XLOOKUP(J67,数据!E:E,数据!B:B)</f>
        <v>17</v>
      </c>
      <c r="C67" s="1" t="str">
        <f>_xlfn.XLOOKUP(J67,数据!E:E,数据!J:J)</f>
        <v>空派</v>
      </c>
      <c r="D67" s="1" t="str" cm="1">
        <f t="array" ref="D67">IF(OR(C67="红单",C67="空派"),_xlfn.IFS(E67="未开售","新品首批发货",F67&lt;E67,"新品首批发货",F67-E67&lt;=60,"新品期补货空运",F67-E67&gt;60,"老品应急空运"),"海运，不进行分析")</f>
        <v>新品首批发货</v>
      </c>
      <c r="E67" s="2" t="s">
        <v>2423</v>
      </c>
      <c r="F67" s="2">
        <f>_xlfn.XLOOKUP(J67,数据!E:E,数据!C:C)</f>
        <v>46132</v>
      </c>
      <c r="G67" s="4">
        <v>115</v>
      </c>
      <c r="H67" s="4">
        <f t="shared" si="3"/>
        <v>17.25</v>
      </c>
      <c r="I67" s="4">
        <f>_xlfn.XLOOKUP(J67,数据!E:E,数据!S:S)*(H67/_xlfn.XLOOKUP(J67,数据!E:E,数据!X:X))</f>
        <v>1453.42515886091</v>
      </c>
      <c r="J67" t="s">
        <v>2108</v>
      </c>
      <c r="K67" t="s">
        <v>78</v>
      </c>
      <c r="L67" t="s">
        <v>2374</v>
      </c>
      <c r="M67" t="s">
        <v>2845</v>
      </c>
      <c r="N67" t="s">
        <v>2376</v>
      </c>
      <c r="O67" t="s">
        <v>2400</v>
      </c>
      <c r="P67" t="s">
        <v>2378</v>
      </c>
      <c r="Q67" t="s">
        <v>2379</v>
      </c>
      <c r="R67" t="s">
        <v>2846</v>
      </c>
      <c r="S67" t="s">
        <v>2380</v>
      </c>
      <c r="T67" s="3" t="s">
        <v>2847</v>
      </c>
      <c r="U67" t="s">
        <v>2848</v>
      </c>
      <c r="V67" t="s">
        <v>2849</v>
      </c>
      <c r="W67" t="s">
        <v>2384</v>
      </c>
      <c r="X67" t="s">
        <v>2385</v>
      </c>
      <c r="Y67" t="s">
        <v>2850</v>
      </c>
      <c r="Z67" t="s">
        <v>2387</v>
      </c>
      <c r="AA67" t="s">
        <v>2847</v>
      </c>
      <c r="AB67" t="s">
        <v>2851</v>
      </c>
      <c r="AC67" t="s">
        <v>2852</v>
      </c>
      <c r="AD67" t="s">
        <v>2817</v>
      </c>
      <c r="AH67" t="s">
        <v>2651</v>
      </c>
      <c r="AI67" t="s">
        <v>2433</v>
      </c>
      <c r="AJ67" t="s">
        <v>2872</v>
      </c>
      <c r="AK67" t="s">
        <v>2873</v>
      </c>
      <c r="AL67" t="s">
        <v>2874</v>
      </c>
      <c r="AM67" t="s">
        <v>2856</v>
      </c>
      <c r="AN67" t="s">
        <v>2875</v>
      </c>
      <c r="AO67" t="s">
        <v>2872</v>
      </c>
      <c r="AP67">
        <v>150</v>
      </c>
      <c r="AQ67">
        <v>150</v>
      </c>
      <c r="AR67">
        <v>149</v>
      </c>
      <c r="AS67" t="s">
        <v>2876</v>
      </c>
      <c r="AT67">
        <v>0</v>
      </c>
      <c r="AU67">
        <v>-1</v>
      </c>
      <c r="AV67">
        <v>1</v>
      </c>
    </row>
    <row r="68" spans="1:48">
      <c r="A68" s="1">
        <f>_xlfn.XLOOKUP(J68,数据!E:E,数据!A:A)</f>
        <v>4</v>
      </c>
      <c r="B68" s="1">
        <f>_xlfn.XLOOKUP(J68,数据!E:E,数据!B:B)</f>
        <v>17</v>
      </c>
      <c r="C68" s="1" t="str">
        <f>_xlfn.XLOOKUP(J68,数据!E:E,数据!J:J)</f>
        <v>空派</v>
      </c>
      <c r="D68" s="1" t="str" cm="1">
        <f t="array" ref="D68">IF(OR(C68="红单",C68="空派"),_xlfn.IFS(E68="未开售","新品首批发货",F68&lt;E68,"新品首批发货",F68-E68&lt;=60,"新品期补货空运",F68-E68&gt;60,"老品应急空运"),"海运，不进行分析")</f>
        <v>新品期补货空运</v>
      </c>
      <c r="E68" s="2">
        <v>46107</v>
      </c>
      <c r="F68" s="2">
        <f>_xlfn.XLOOKUP(J68,数据!E:E,数据!C:C)</f>
        <v>46132</v>
      </c>
      <c r="G68" s="4">
        <v>116</v>
      </c>
      <c r="H68" s="4">
        <f t="shared" si="3"/>
        <v>6.96</v>
      </c>
      <c r="I68" s="4">
        <f>_xlfn.XLOOKUP(J68,数据!E:E,数据!S:S)*(H68/_xlfn.XLOOKUP(J68,数据!E:E,数据!X:X))</f>
        <v>593.966333808845</v>
      </c>
      <c r="J68" t="s">
        <v>2107</v>
      </c>
      <c r="K68" t="s">
        <v>37</v>
      </c>
      <c r="L68" t="s">
        <v>2374</v>
      </c>
      <c r="M68" t="s">
        <v>2877</v>
      </c>
      <c r="N68" t="s">
        <v>2376</v>
      </c>
      <c r="O68" t="s">
        <v>2400</v>
      </c>
      <c r="P68" t="s">
        <v>2378</v>
      </c>
      <c r="Q68" t="s">
        <v>2379</v>
      </c>
      <c r="R68" t="s">
        <v>2878</v>
      </c>
      <c r="S68" t="s">
        <v>2380</v>
      </c>
      <c r="T68" s="3" t="s">
        <v>2879</v>
      </c>
      <c r="U68" t="s">
        <v>2880</v>
      </c>
      <c r="V68" t="s">
        <v>2881</v>
      </c>
      <c r="W68" t="s">
        <v>2384</v>
      </c>
      <c r="X68" t="s">
        <v>2403</v>
      </c>
      <c r="Y68" t="s">
        <v>2882</v>
      </c>
      <c r="Z68" t="s">
        <v>2405</v>
      </c>
      <c r="AA68" t="s">
        <v>2879</v>
      </c>
      <c r="AB68" t="s">
        <v>2815</v>
      </c>
      <c r="AC68" t="s">
        <v>2883</v>
      </c>
      <c r="AD68" t="s">
        <v>2817</v>
      </c>
      <c r="AH68" t="s">
        <v>2651</v>
      </c>
      <c r="AI68" t="s">
        <v>2433</v>
      </c>
      <c r="AJ68" t="s">
        <v>2884</v>
      </c>
      <c r="AK68" t="s">
        <v>2885</v>
      </c>
      <c r="AL68" t="s">
        <v>2886</v>
      </c>
      <c r="AM68" t="s">
        <v>2887</v>
      </c>
      <c r="AN68" t="s">
        <v>2888</v>
      </c>
      <c r="AO68" t="s">
        <v>2884</v>
      </c>
      <c r="AP68">
        <v>60</v>
      </c>
      <c r="AQ68">
        <v>60</v>
      </c>
      <c r="AR68">
        <v>60</v>
      </c>
      <c r="AS68" t="s">
        <v>2889</v>
      </c>
      <c r="AT68">
        <v>0</v>
      </c>
      <c r="AU68">
        <v>0</v>
      </c>
      <c r="AV68">
        <v>0</v>
      </c>
    </row>
    <row r="69" spans="1:48">
      <c r="A69" s="1">
        <f>_xlfn.XLOOKUP(J69,数据!E:E,数据!A:A)</f>
        <v>4</v>
      </c>
      <c r="B69" s="1">
        <f>_xlfn.XLOOKUP(J69,数据!E:E,数据!B:B)</f>
        <v>17</v>
      </c>
      <c r="C69" s="1" t="str">
        <f>_xlfn.XLOOKUP(J69,数据!E:E,数据!J:J)</f>
        <v>空派</v>
      </c>
      <c r="D69" s="1" t="str" cm="1">
        <f t="array" ref="D69">IF(OR(C69="红单",C69="空派"),_xlfn.IFS(E69="未开售","新品首批发货",F69&lt;E69,"新品首批发货",F69-E69&lt;=60,"新品期补货空运",F69-E69&gt;60,"老品应急空运"),"海运，不进行分析")</f>
        <v>新品首批发货</v>
      </c>
      <c r="E69" s="2" t="s">
        <v>2423</v>
      </c>
      <c r="F69" s="2">
        <f>_xlfn.XLOOKUP(J69,数据!E:E,数据!C:C)</f>
        <v>46132</v>
      </c>
      <c r="G69" s="4">
        <v>90</v>
      </c>
      <c r="H69" s="4">
        <f t="shared" si="3"/>
        <v>11.7</v>
      </c>
      <c r="I69" s="4">
        <f>_xlfn.XLOOKUP(J69,数据!E:E,数据!S:S)*(H69/_xlfn.XLOOKUP(J69,数据!E:E,数据!X:X))</f>
        <v>998.477888730385</v>
      </c>
      <c r="J69" t="s">
        <v>2107</v>
      </c>
      <c r="K69" t="s">
        <v>37</v>
      </c>
      <c r="L69" t="s">
        <v>2374</v>
      </c>
      <c r="M69" t="s">
        <v>2877</v>
      </c>
      <c r="N69" t="s">
        <v>2376</v>
      </c>
      <c r="O69" t="s">
        <v>2400</v>
      </c>
      <c r="P69" t="s">
        <v>2378</v>
      </c>
      <c r="Q69" t="s">
        <v>2379</v>
      </c>
      <c r="R69" t="s">
        <v>2878</v>
      </c>
      <c r="S69" t="s">
        <v>2380</v>
      </c>
      <c r="T69" s="3" t="s">
        <v>2879</v>
      </c>
      <c r="U69" t="s">
        <v>2880</v>
      </c>
      <c r="V69" t="s">
        <v>2881</v>
      </c>
      <c r="W69" t="s">
        <v>2384</v>
      </c>
      <c r="X69" t="s">
        <v>2403</v>
      </c>
      <c r="Y69" t="s">
        <v>2882</v>
      </c>
      <c r="Z69" t="s">
        <v>2405</v>
      </c>
      <c r="AA69" t="s">
        <v>2879</v>
      </c>
      <c r="AB69" t="s">
        <v>2815</v>
      </c>
      <c r="AC69" t="s">
        <v>2883</v>
      </c>
      <c r="AD69" t="s">
        <v>2817</v>
      </c>
      <c r="AH69" t="s">
        <v>2651</v>
      </c>
      <c r="AI69" t="s">
        <v>2433</v>
      </c>
      <c r="AJ69" t="s">
        <v>2890</v>
      </c>
      <c r="AK69" t="s">
        <v>2891</v>
      </c>
      <c r="AL69" t="s">
        <v>2892</v>
      </c>
      <c r="AM69" t="s">
        <v>2893</v>
      </c>
      <c r="AN69" t="s">
        <v>2894</v>
      </c>
      <c r="AO69" t="s">
        <v>2890</v>
      </c>
      <c r="AP69">
        <v>130</v>
      </c>
      <c r="AQ69">
        <v>130</v>
      </c>
      <c r="AR69">
        <v>130</v>
      </c>
      <c r="AS69" t="s">
        <v>2895</v>
      </c>
      <c r="AT69">
        <v>0</v>
      </c>
      <c r="AU69">
        <v>0</v>
      </c>
      <c r="AV69">
        <v>0</v>
      </c>
    </row>
    <row r="70" spans="1:48">
      <c r="A70" s="1">
        <f>_xlfn.XLOOKUP(J70,数据!E:E,数据!A:A)</f>
        <v>4</v>
      </c>
      <c r="B70" s="1">
        <f>_xlfn.XLOOKUP(J70,数据!E:E,数据!B:B)</f>
        <v>17</v>
      </c>
      <c r="C70" s="1" t="str">
        <f>_xlfn.XLOOKUP(J70,数据!E:E,数据!J:J)</f>
        <v>空派</v>
      </c>
      <c r="D70" s="1" t="str" cm="1">
        <f t="array" ref="D70">IF(OR(C70="红单",C70="空派"),_xlfn.IFS(E70="未开售","新品首批发货",F70&lt;E70,"新品首批发货",F70-E70&lt;=60,"新品期补货空运",F70-E70&gt;60,"老品应急空运"),"海运，不进行分析")</f>
        <v>新品首批发货</v>
      </c>
      <c r="E70" s="2" t="s">
        <v>2423</v>
      </c>
      <c r="F70" s="2">
        <f>_xlfn.XLOOKUP(J70,数据!E:E,数据!C:C)</f>
        <v>46132</v>
      </c>
      <c r="G70" s="4">
        <v>90</v>
      </c>
      <c r="H70" s="4">
        <f t="shared" si="3"/>
        <v>11.7</v>
      </c>
      <c r="I70" s="4">
        <f>_xlfn.XLOOKUP(J70,数据!E:E,数据!S:S)*(H70/_xlfn.XLOOKUP(J70,数据!E:E,数据!X:X))</f>
        <v>998.477888730385</v>
      </c>
      <c r="J70" t="s">
        <v>2107</v>
      </c>
      <c r="K70" t="s">
        <v>37</v>
      </c>
      <c r="L70" t="s">
        <v>2374</v>
      </c>
      <c r="M70" t="s">
        <v>2877</v>
      </c>
      <c r="N70" t="s">
        <v>2376</v>
      </c>
      <c r="O70" t="s">
        <v>2400</v>
      </c>
      <c r="P70" t="s">
        <v>2378</v>
      </c>
      <c r="Q70" t="s">
        <v>2379</v>
      </c>
      <c r="R70" t="s">
        <v>2878</v>
      </c>
      <c r="S70" t="s">
        <v>2380</v>
      </c>
      <c r="T70" s="3" t="s">
        <v>2879</v>
      </c>
      <c r="U70" t="s">
        <v>2880</v>
      </c>
      <c r="V70" t="s">
        <v>2881</v>
      </c>
      <c r="W70" t="s">
        <v>2384</v>
      </c>
      <c r="X70" t="s">
        <v>2403</v>
      </c>
      <c r="Y70" t="s">
        <v>2882</v>
      </c>
      <c r="Z70" t="s">
        <v>2405</v>
      </c>
      <c r="AA70" t="s">
        <v>2879</v>
      </c>
      <c r="AB70" t="s">
        <v>2815</v>
      </c>
      <c r="AC70" t="s">
        <v>2883</v>
      </c>
      <c r="AD70" t="s">
        <v>2817</v>
      </c>
      <c r="AH70" t="s">
        <v>2651</v>
      </c>
      <c r="AI70" t="s">
        <v>2433</v>
      </c>
      <c r="AJ70" t="s">
        <v>2896</v>
      </c>
      <c r="AK70" t="s">
        <v>2897</v>
      </c>
      <c r="AL70" t="s">
        <v>2898</v>
      </c>
      <c r="AM70" t="s">
        <v>2893</v>
      </c>
      <c r="AN70" t="s">
        <v>2899</v>
      </c>
      <c r="AO70" t="s">
        <v>2896</v>
      </c>
      <c r="AP70">
        <v>130</v>
      </c>
      <c r="AQ70">
        <v>130</v>
      </c>
      <c r="AR70">
        <v>130</v>
      </c>
      <c r="AS70" t="s">
        <v>2895</v>
      </c>
      <c r="AT70">
        <v>0</v>
      </c>
      <c r="AU70">
        <v>0</v>
      </c>
      <c r="AV70">
        <v>0</v>
      </c>
    </row>
    <row r="71" spans="1:48">
      <c r="A71" s="1">
        <f>_xlfn.XLOOKUP(J71,数据!E:E,数据!A:A)</f>
        <v>4</v>
      </c>
      <c r="B71" s="1">
        <f>_xlfn.XLOOKUP(J71,数据!E:E,数据!B:B)</f>
        <v>17</v>
      </c>
      <c r="C71" s="1" t="str">
        <f>_xlfn.XLOOKUP(J71,数据!E:E,数据!J:J)</f>
        <v>空派</v>
      </c>
      <c r="D71" s="1" t="str" cm="1">
        <f t="array" ref="D71">IF(OR(C71="红单",C71="空派"),_xlfn.IFS(E71="未开售","新品首批发货",F71&lt;E71,"新品首批发货",F71-E71&lt;=60,"新品期补货空运",F71-E71&gt;60,"老品应急空运"),"海运，不进行分析")</f>
        <v>新品首批发货</v>
      </c>
      <c r="E71" s="2" t="s">
        <v>2423</v>
      </c>
      <c r="F71" s="2">
        <f>_xlfn.XLOOKUP(J71,数据!E:E,数据!C:C)</f>
        <v>46132</v>
      </c>
      <c r="G71" s="4">
        <v>90</v>
      </c>
      <c r="H71" s="4">
        <f t="shared" si="3"/>
        <v>11.7</v>
      </c>
      <c r="I71" s="4">
        <f>_xlfn.XLOOKUP(J71,数据!E:E,数据!S:S)*(H71/_xlfn.XLOOKUP(J71,数据!E:E,数据!X:X))</f>
        <v>998.477888730385</v>
      </c>
      <c r="J71" t="s">
        <v>2107</v>
      </c>
      <c r="K71" t="s">
        <v>37</v>
      </c>
      <c r="L71" t="s">
        <v>2374</v>
      </c>
      <c r="M71" t="s">
        <v>2877</v>
      </c>
      <c r="N71" t="s">
        <v>2376</v>
      </c>
      <c r="O71" t="s">
        <v>2400</v>
      </c>
      <c r="P71" t="s">
        <v>2378</v>
      </c>
      <c r="Q71" t="s">
        <v>2379</v>
      </c>
      <c r="R71" t="s">
        <v>2878</v>
      </c>
      <c r="S71" t="s">
        <v>2380</v>
      </c>
      <c r="T71" s="3" t="s">
        <v>2879</v>
      </c>
      <c r="U71" t="s">
        <v>2880</v>
      </c>
      <c r="V71" t="s">
        <v>2881</v>
      </c>
      <c r="W71" t="s">
        <v>2384</v>
      </c>
      <c r="X71" t="s">
        <v>2403</v>
      </c>
      <c r="Y71" t="s">
        <v>2882</v>
      </c>
      <c r="Z71" t="s">
        <v>2405</v>
      </c>
      <c r="AA71" t="s">
        <v>2879</v>
      </c>
      <c r="AB71" t="s">
        <v>2815</v>
      </c>
      <c r="AC71" t="s">
        <v>2883</v>
      </c>
      <c r="AD71" t="s">
        <v>2817</v>
      </c>
      <c r="AH71" t="s">
        <v>2651</v>
      </c>
      <c r="AI71" t="s">
        <v>2433</v>
      </c>
      <c r="AJ71" t="s">
        <v>2900</v>
      </c>
      <c r="AK71" t="s">
        <v>2901</v>
      </c>
      <c r="AL71" t="s">
        <v>2902</v>
      </c>
      <c r="AM71" t="s">
        <v>2893</v>
      </c>
      <c r="AN71" t="s">
        <v>2903</v>
      </c>
      <c r="AO71" t="s">
        <v>2900</v>
      </c>
      <c r="AP71">
        <v>130</v>
      </c>
      <c r="AQ71">
        <v>130</v>
      </c>
      <c r="AR71">
        <v>130</v>
      </c>
      <c r="AS71" t="s">
        <v>2895</v>
      </c>
      <c r="AT71">
        <v>0</v>
      </c>
      <c r="AU71">
        <v>0</v>
      </c>
      <c r="AV71">
        <v>0</v>
      </c>
    </row>
    <row r="72" spans="1:48">
      <c r="A72" s="1">
        <f>_xlfn.XLOOKUP(J72,数据!E:E,数据!A:A)</f>
        <v>4</v>
      </c>
      <c r="B72" s="1">
        <f>_xlfn.XLOOKUP(J72,数据!E:E,数据!B:B)</f>
        <v>17</v>
      </c>
      <c r="C72" s="1" t="str">
        <f>_xlfn.XLOOKUP(J72,数据!E:E,数据!J:J)</f>
        <v>空派</v>
      </c>
      <c r="D72" s="1" t="str" cm="1">
        <f t="array" ref="D72">IF(OR(C72="红单",C72="空派"),_xlfn.IFS(E72="未开售","新品首批发货",F72&lt;E72,"新品首批发货",F72-E72&lt;=60,"新品期补货空运",F72-E72&gt;60,"老品应急空运"),"海运，不进行分析")</f>
        <v>新品期补货空运</v>
      </c>
      <c r="E72" s="2">
        <v>46106</v>
      </c>
      <c r="F72" s="2">
        <f>_xlfn.XLOOKUP(J72,数据!E:E,数据!C:C)</f>
        <v>46132</v>
      </c>
      <c r="G72" s="4">
        <v>108</v>
      </c>
      <c r="H72" s="4">
        <f t="shared" si="3"/>
        <v>10.8</v>
      </c>
      <c r="I72" s="4">
        <f>_xlfn.XLOOKUP(J72,数据!E:E,数据!S:S)*(H72/_xlfn.XLOOKUP(J72,数据!E:E,数据!X:X))</f>
        <v>890.610403968817</v>
      </c>
      <c r="J72" t="s">
        <v>2106</v>
      </c>
      <c r="K72" t="s">
        <v>31</v>
      </c>
      <c r="L72" t="s">
        <v>2374</v>
      </c>
      <c r="M72" t="s">
        <v>2904</v>
      </c>
      <c r="N72" t="s">
        <v>2376</v>
      </c>
      <c r="O72" t="s">
        <v>2400</v>
      </c>
      <c r="P72" t="s">
        <v>2378</v>
      </c>
      <c r="Q72" t="s">
        <v>2379</v>
      </c>
      <c r="R72" t="s">
        <v>2905</v>
      </c>
      <c r="S72" t="s">
        <v>2380</v>
      </c>
      <c r="T72" s="3" t="s">
        <v>2906</v>
      </c>
      <c r="U72" t="s">
        <v>2907</v>
      </c>
      <c r="V72" t="s">
        <v>2908</v>
      </c>
      <c r="W72" t="s">
        <v>2384</v>
      </c>
      <c r="X72" t="s">
        <v>2385</v>
      </c>
      <c r="Y72" t="s">
        <v>2909</v>
      </c>
      <c r="Z72" t="s">
        <v>2405</v>
      </c>
      <c r="AA72" t="s">
        <v>2906</v>
      </c>
      <c r="AB72" t="s">
        <v>2910</v>
      </c>
      <c r="AC72" t="s">
        <v>2911</v>
      </c>
      <c r="AD72" t="s">
        <v>2817</v>
      </c>
      <c r="AH72" t="s">
        <v>2651</v>
      </c>
      <c r="AI72" t="s">
        <v>2433</v>
      </c>
      <c r="AJ72" t="s">
        <v>2599</v>
      </c>
      <c r="AK72" t="s">
        <v>2600</v>
      </c>
      <c r="AL72" t="s">
        <v>2601</v>
      </c>
      <c r="AM72" t="s">
        <v>2601</v>
      </c>
      <c r="AN72" t="s">
        <v>2602</v>
      </c>
      <c r="AO72" t="s">
        <v>2599</v>
      </c>
      <c r="AP72">
        <v>100</v>
      </c>
      <c r="AQ72">
        <v>100</v>
      </c>
      <c r="AR72">
        <v>99</v>
      </c>
      <c r="AS72" t="s">
        <v>2912</v>
      </c>
      <c r="AT72">
        <v>0</v>
      </c>
      <c r="AU72">
        <v>-1</v>
      </c>
      <c r="AV72">
        <v>1</v>
      </c>
    </row>
    <row r="73" spans="1:48">
      <c r="A73" s="1">
        <f>_xlfn.XLOOKUP(J73,数据!E:E,数据!A:A)</f>
        <v>4</v>
      </c>
      <c r="B73" s="1">
        <f>_xlfn.XLOOKUP(J73,数据!E:E,数据!B:B)</f>
        <v>17</v>
      </c>
      <c r="C73" s="1" t="str">
        <f>_xlfn.XLOOKUP(J73,数据!E:E,数据!J:J)</f>
        <v>空派</v>
      </c>
      <c r="D73" s="1" t="str" cm="1">
        <f t="array" ref="D73">IF(OR(C73="红单",C73="空派"),_xlfn.IFS(E73="未开售","新品首批发货",F73&lt;E73,"新品首批发货",F73-E73&lt;=60,"新品期补货空运",F73-E73&gt;60,"老品应急空运"),"海运，不进行分析")</f>
        <v>新品首批发货</v>
      </c>
      <c r="E73" s="2" t="s">
        <v>2423</v>
      </c>
      <c r="F73" s="2">
        <f>_xlfn.XLOOKUP(J73,数据!E:E,数据!C:C)</f>
        <v>46132</v>
      </c>
      <c r="G73" s="4">
        <v>143</v>
      </c>
      <c r="H73" s="4">
        <f t="shared" si="3"/>
        <v>14.3</v>
      </c>
      <c r="I73" s="4">
        <f>_xlfn.XLOOKUP(J73,数据!E:E,数据!S:S)*(H73/_xlfn.XLOOKUP(J73,数据!E:E,数据!X:X))</f>
        <v>1179.23414599575</v>
      </c>
      <c r="J73" t="s">
        <v>2106</v>
      </c>
      <c r="K73" t="s">
        <v>31</v>
      </c>
      <c r="L73" t="s">
        <v>2374</v>
      </c>
      <c r="M73" t="s">
        <v>2904</v>
      </c>
      <c r="N73" t="s">
        <v>2376</v>
      </c>
      <c r="O73" t="s">
        <v>2400</v>
      </c>
      <c r="P73" t="s">
        <v>2378</v>
      </c>
      <c r="Q73" t="s">
        <v>2379</v>
      </c>
      <c r="R73" t="s">
        <v>2905</v>
      </c>
      <c r="S73" t="s">
        <v>2380</v>
      </c>
      <c r="T73" s="3" t="s">
        <v>2906</v>
      </c>
      <c r="U73" t="s">
        <v>2907</v>
      </c>
      <c r="V73" t="s">
        <v>2908</v>
      </c>
      <c r="W73" t="s">
        <v>2384</v>
      </c>
      <c r="X73" t="s">
        <v>2385</v>
      </c>
      <c r="Y73" t="s">
        <v>2909</v>
      </c>
      <c r="Z73" t="s">
        <v>2405</v>
      </c>
      <c r="AA73" t="s">
        <v>2906</v>
      </c>
      <c r="AB73" t="s">
        <v>2910</v>
      </c>
      <c r="AC73" t="s">
        <v>2911</v>
      </c>
      <c r="AD73" t="s">
        <v>2817</v>
      </c>
      <c r="AH73" t="s">
        <v>2651</v>
      </c>
      <c r="AI73" t="s">
        <v>2433</v>
      </c>
      <c r="AJ73" t="s">
        <v>2913</v>
      </c>
      <c r="AK73" t="s">
        <v>2914</v>
      </c>
      <c r="AL73" t="s">
        <v>2915</v>
      </c>
      <c r="AM73" t="s">
        <v>2787</v>
      </c>
      <c r="AN73" t="s">
        <v>2916</v>
      </c>
      <c r="AO73" t="s">
        <v>2913</v>
      </c>
      <c r="AP73">
        <v>100</v>
      </c>
      <c r="AQ73">
        <v>100</v>
      </c>
      <c r="AR73">
        <v>100</v>
      </c>
      <c r="AS73" t="s">
        <v>2839</v>
      </c>
      <c r="AT73">
        <v>0</v>
      </c>
      <c r="AU73">
        <v>0</v>
      </c>
      <c r="AV73">
        <v>0</v>
      </c>
    </row>
    <row r="74" spans="1:48">
      <c r="A74" s="1">
        <f>_xlfn.XLOOKUP(J74,数据!E:E,数据!A:A)</f>
        <v>4</v>
      </c>
      <c r="B74" s="1">
        <f>_xlfn.XLOOKUP(J74,数据!E:E,数据!B:B)</f>
        <v>17</v>
      </c>
      <c r="C74" s="1" t="str">
        <f>_xlfn.XLOOKUP(J74,数据!E:E,数据!J:J)</f>
        <v>空派</v>
      </c>
      <c r="D74" s="1" t="str" cm="1">
        <f t="array" ref="D74">IF(OR(C74="红单",C74="空派"),_xlfn.IFS(E74="未开售","新品首批发货",F74&lt;E74,"新品首批发货",F74-E74&lt;=60,"新品期补货空运",F74-E74&gt;60,"老品应急空运"),"海运，不进行分析")</f>
        <v>新品首批发货</v>
      </c>
      <c r="E74" s="2" t="s">
        <v>2423</v>
      </c>
      <c r="F74" s="2">
        <f>_xlfn.XLOOKUP(J74,数据!E:E,数据!C:C)</f>
        <v>46132</v>
      </c>
      <c r="G74" s="4">
        <v>143</v>
      </c>
      <c r="H74" s="4">
        <f t="shared" si="3"/>
        <v>14.3</v>
      </c>
      <c r="I74" s="4">
        <f>_xlfn.XLOOKUP(J74,数据!E:E,数据!S:S)*(H74/_xlfn.XLOOKUP(J74,数据!E:E,数据!X:X))</f>
        <v>1179.23414599575</v>
      </c>
      <c r="J74" t="s">
        <v>2106</v>
      </c>
      <c r="K74" t="s">
        <v>31</v>
      </c>
      <c r="L74" t="s">
        <v>2374</v>
      </c>
      <c r="M74" t="s">
        <v>2904</v>
      </c>
      <c r="N74" t="s">
        <v>2376</v>
      </c>
      <c r="O74" t="s">
        <v>2400</v>
      </c>
      <c r="P74" t="s">
        <v>2378</v>
      </c>
      <c r="Q74" t="s">
        <v>2379</v>
      </c>
      <c r="R74" t="s">
        <v>2905</v>
      </c>
      <c r="S74" t="s">
        <v>2380</v>
      </c>
      <c r="T74" s="3" t="s">
        <v>2906</v>
      </c>
      <c r="U74" t="s">
        <v>2907</v>
      </c>
      <c r="V74" t="s">
        <v>2908</v>
      </c>
      <c r="W74" t="s">
        <v>2384</v>
      </c>
      <c r="X74" t="s">
        <v>2385</v>
      </c>
      <c r="Y74" t="s">
        <v>2909</v>
      </c>
      <c r="Z74" t="s">
        <v>2405</v>
      </c>
      <c r="AA74" t="s">
        <v>2906</v>
      </c>
      <c r="AB74" t="s">
        <v>2910</v>
      </c>
      <c r="AC74" t="s">
        <v>2911</v>
      </c>
      <c r="AD74" t="s">
        <v>2817</v>
      </c>
      <c r="AH74" t="s">
        <v>2651</v>
      </c>
      <c r="AI74" t="s">
        <v>2433</v>
      </c>
      <c r="AJ74" t="s">
        <v>2917</v>
      </c>
      <c r="AK74" t="s">
        <v>2918</v>
      </c>
      <c r="AL74" t="s">
        <v>2919</v>
      </c>
      <c r="AM74" t="s">
        <v>2787</v>
      </c>
      <c r="AN74" t="s">
        <v>2920</v>
      </c>
      <c r="AO74" t="s">
        <v>2917</v>
      </c>
      <c r="AP74">
        <v>100</v>
      </c>
      <c r="AQ74">
        <v>100</v>
      </c>
      <c r="AR74">
        <v>99</v>
      </c>
      <c r="AS74" t="s">
        <v>2839</v>
      </c>
      <c r="AT74">
        <v>0</v>
      </c>
      <c r="AU74">
        <v>-1</v>
      </c>
      <c r="AV74">
        <v>1</v>
      </c>
    </row>
    <row r="75" spans="1:48">
      <c r="A75" s="1">
        <f>_xlfn.XLOOKUP(J75,数据!E:E,数据!A:A)</f>
        <v>4</v>
      </c>
      <c r="B75" s="1">
        <f>_xlfn.XLOOKUP(J75,数据!E:E,数据!B:B)</f>
        <v>17</v>
      </c>
      <c r="C75" s="1" t="str">
        <f>_xlfn.XLOOKUP(J75,数据!E:E,数据!J:J)</f>
        <v>空派</v>
      </c>
      <c r="D75" s="1" t="str" cm="1">
        <f t="array" ref="D75">IF(OR(C75="红单",C75="空派"),_xlfn.IFS(E75="未开售","新品首批发货",F75&lt;E75,"新品首批发货",F75-E75&lt;=60,"新品期补货空运",F75-E75&gt;60,"老品应急空运"),"海运，不进行分析")</f>
        <v>新品首批发货</v>
      </c>
      <c r="E75" s="2" t="s">
        <v>2423</v>
      </c>
      <c r="F75" s="2">
        <f>_xlfn.XLOOKUP(J75,数据!E:E,数据!C:C)</f>
        <v>46132</v>
      </c>
      <c r="G75" s="4">
        <v>142</v>
      </c>
      <c r="H75" s="4">
        <f t="shared" si="3"/>
        <v>8.52</v>
      </c>
      <c r="I75" s="4">
        <f>_xlfn.XLOOKUP(J75,数据!E:E,数据!S:S)*(H75/_xlfn.XLOOKUP(J75,数据!E:E,数据!X:X))</f>
        <v>702.592652019844</v>
      </c>
      <c r="J75" t="s">
        <v>2106</v>
      </c>
      <c r="K75" t="s">
        <v>31</v>
      </c>
      <c r="L75" t="s">
        <v>2374</v>
      </c>
      <c r="M75" t="s">
        <v>2904</v>
      </c>
      <c r="N75" t="s">
        <v>2376</v>
      </c>
      <c r="O75" t="s">
        <v>2400</v>
      </c>
      <c r="P75" t="s">
        <v>2378</v>
      </c>
      <c r="Q75" t="s">
        <v>2379</v>
      </c>
      <c r="R75" t="s">
        <v>2905</v>
      </c>
      <c r="S75" t="s">
        <v>2380</v>
      </c>
      <c r="T75" s="3" t="s">
        <v>2906</v>
      </c>
      <c r="U75" t="s">
        <v>2907</v>
      </c>
      <c r="V75" t="s">
        <v>2908</v>
      </c>
      <c r="W75" t="s">
        <v>2384</v>
      </c>
      <c r="X75" t="s">
        <v>2385</v>
      </c>
      <c r="Y75" t="s">
        <v>2909</v>
      </c>
      <c r="Z75" t="s">
        <v>2405</v>
      </c>
      <c r="AA75" t="s">
        <v>2906</v>
      </c>
      <c r="AB75" t="s">
        <v>2910</v>
      </c>
      <c r="AC75" t="s">
        <v>2911</v>
      </c>
      <c r="AD75" t="s">
        <v>2817</v>
      </c>
      <c r="AH75" t="s">
        <v>2651</v>
      </c>
      <c r="AI75" t="s">
        <v>2433</v>
      </c>
      <c r="AJ75" t="s">
        <v>2921</v>
      </c>
      <c r="AK75" t="s">
        <v>2922</v>
      </c>
      <c r="AL75" t="s">
        <v>2923</v>
      </c>
      <c r="AM75" t="s">
        <v>2787</v>
      </c>
      <c r="AN75" t="s">
        <v>2924</v>
      </c>
      <c r="AO75" t="s">
        <v>2921</v>
      </c>
      <c r="AP75">
        <v>60</v>
      </c>
      <c r="AQ75">
        <v>60</v>
      </c>
      <c r="AR75">
        <v>60</v>
      </c>
      <c r="AS75" t="s">
        <v>2889</v>
      </c>
      <c r="AT75">
        <v>0</v>
      </c>
      <c r="AU75">
        <v>0</v>
      </c>
      <c r="AV75">
        <v>0</v>
      </c>
    </row>
    <row r="76" spans="1:48">
      <c r="A76" s="1">
        <f>_xlfn.XLOOKUP(J76,数据!E:E,数据!A:A)</f>
        <v>4</v>
      </c>
      <c r="B76" s="1">
        <f>_xlfn.XLOOKUP(J76,数据!E:E,数据!B:B)</f>
        <v>17</v>
      </c>
      <c r="C76" s="1" t="str">
        <f>_xlfn.XLOOKUP(J76,数据!E:E,数据!J:J)</f>
        <v>空派</v>
      </c>
      <c r="D76" s="1" t="str" cm="1">
        <f t="array" ref="D76">IF(OR(C76="红单",C76="空派"),_xlfn.IFS(E76="未开售","新品首批发货",F76&lt;E76,"新品首批发货",F76-E76&lt;=60,"新品期补货空运",F76-E76&gt;60,"老品应急空运"),"海运，不进行分析")</f>
        <v>新品首批发货</v>
      </c>
      <c r="E76" s="2" t="s">
        <v>2423</v>
      </c>
      <c r="F76" s="2">
        <f>_xlfn.XLOOKUP(J76,数据!E:E,数据!C:C)</f>
        <v>46132</v>
      </c>
      <c r="G76" s="4">
        <v>142</v>
      </c>
      <c r="H76" s="4">
        <f t="shared" si="3"/>
        <v>8.52</v>
      </c>
      <c r="I76" s="4">
        <f>_xlfn.XLOOKUP(J76,数据!E:E,数据!S:S)*(H76/_xlfn.XLOOKUP(J76,数据!E:E,数据!X:X))</f>
        <v>702.592652019844</v>
      </c>
      <c r="J76" t="s">
        <v>2106</v>
      </c>
      <c r="K76" t="s">
        <v>31</v>
      </c>
      <c r="L76" t="s">
        <v>2374</v>
      </c>
      <c r="M76" t="s">
        <v>2904</v>
      </c>
      <c r="N76" t="s">
        <v>2376</v>
      </c>
      <c r="O76" t="s">
        <v>2400</v>
      </c>
      <c r="P76" t="s">
        <v>2378</v>
      </c>
      <c r="Q76" t="s">
        <v>2379</v>
      </c>
      <c r="R76" t="s">
        <v>2905</v>
      </c>
      <c r="S76" t="s">
        <v>2380</v>
      </c>
      <c r="T76" s="3" t="s">
        <v>2906</v>
      </c>
      <c r="U76" t="s">
        <v>2907</v>
      </c>
      <c r="V76" t="s">
        <v>2908</v>
      </c>
      <c r="W76" t="s">
        <v>2384</v>
      </c>
      <c r="X76" t="s">
        <v>2385</v>
      </c>
      <c r="Y76" t="s">
        <v>2909</v>
      </c>
      <c r="Z76" t="s">
        <v>2405</v>
      </c>
      <c r="AA76" t="s">
        <v>2906</v>
      </c>
      <c r="AB76" t="s">
        <v>2910</v>
      </c>
      <c r="AC76" t="s">
        <v>2911</v>
      </c>
      <c r="AD76" t="s">
        <v>2817</v>
      </c>
      <c r="AH76" t="s">
        <v>2651</v>
      </c>
      <c r="AI76" t="s">
        <v>2433</v>
      </c>
      <c r="AJ76" t="s">
        <v>2925</v>
      </c>
      <c r="AK76" t="s">
        <v>2926</v>
      </c>
      <c r="AL76" t="s">
        <v>2927</v>
      </c>
      <c r="AM76" t="s">
        <v>2787</v>
      </c>
      <c r="AN76" t="s">
        <v>2928</v>
      </c>
      <c r="AO76" t="s">
        <v>2925</v>
      </c>
      <c r="AP76">
        <v>60</v>
      </c>
      <c r="AQ76">
        <v>60</v>
      </c>
      <c r="AR76">
        <v>60</v>
      </c>
      <c r="AS76" t="s">
        <v>2889</v>
      </c>
      <c r="AT76">
        <v>0</v>
      </c>
      <c r="AU76">
        <v>0</v>
      </c>
      <c r="AV76">
        <v>0</v>
      </c>
    </row>
    <row r="77" spans="1:48">
      <c r="A77" s="1">
        <f>_xlfn.XLOOKUP(J77,数据!E:E,数据!A:A)</f>
        <v>4</v>
      </c>
      <c r="B77" s="1">
        <f>_xlfn.XLOOKUP(J77,数据!E:E,数据!B:B)</f>
        <v>16</v>
      </c>
      <c r="C77" s="1" t="str">
        <f>_xlfn.XLOOKUP(J77,数据!E:E,数据!J:J)</f>
        <v>红单</v>
      </c>
      <c r="D77" s="1" t="str" cm="1">
        <f t="array" ref="D77">IF(OR(C77="红单",C77="空派"),_xlfn.IFS(E77="未开售","新品首批发货",F77&lt;E77,"新品首批发货",F77-E77&lt;=60,"新品期补货空运",F77-E77&gt;60,"老品应急空运"),"海运，不进行分析")</f>
        <v>新品首批发货</v>
      </c>
      <c r="E77" s="2">
        <v>46151</v>
      </c>
      <c r="F77" s="2">
        <f>_xlfn.XLOOKUP(J77,数据!E:E,数据!C:C)</f>
        <v>46129</v>
      </c>
      <c r="G77" s="4">
        <v>75</v>
      </c>
      <c r="H77" s="4">
        <f t="shared" ref="H77:H82" si="4">G77*AP77/1000</f>
        <v>7.5</v>
      </c>
      <c r="I77" s="4">
        <f>_xlfn.XLOOKUP(J77,数据!E:E,数据!S:S)*(H77/_xlfn.XLOOKUP(J77,数据!E:E,数据!X:X))</f>
        <v>719.782489817469</v>
      </c>
      <c r="J77" t="s">
        <v>2095</v>
      </c>
      <c r="K77" t="s">
        <v>59</v>
      </c>
      <c r="L77" t="s">
        <v>2374</v>
      </c>
      <c r="M77" t="s">
        <v>2929</v>
      </c>
      <c r="N77" t="s">
        <v>2376</v>
      </c>
      <c r="O77" t="s">
        <v>2400</v>
      </c>
      <c r="P77" t="s">
        <v>2378</v>
      </c>
      <c r="Q77" t="s">
        <v>2379</v>
      </c>
      <c r="R77" t="s">
        <v>2095</v>
      </c>
      <c r="S77" t="s">
        <v>2380</v>
      </c>
      <c r="T77" s="3" t="s">
        <v>2930</v>
      </c>
      <c r="U77" t="s">
        <v>2931</v>
      </c>
      <c r="V77" t="s">
        <v>2932</v>
      </c>
      <c r="W77" t="s">
        <v>2384</v>
      </c>
      <c r="X77" t="s">
        <v>2403</v>
      </c>
      <c r="Y77" t="s">
        <v>2933</v>
      </c>
      <c r="Z77" t="s">
        <v>2387</v>
      </c>
      <c r="AA77" t="s">
        <v>2930</v>
      </c>
      <c r="AB77" t="s">
        <v>2934</v>
      </c>
      <c r="AC77" t="s">
        <v>2935</v>
      </c>
      <c r="AD77" t="s">
        <v>2936</v>
      </c>
      <c r="AH77" t="s">
        <v>2651</v>
      </c>
      <c r="AI77" t="s">
        <v>2433</v>
      </c>
      <c r="AJ77" t="s">
        <v>2937</v>
      </c>
      <c r="AK77" t="s">
        <v>2938</v>
      </c>
      <c r="AL77" t="s">
        <v>2939</v>
      </c>
      <c r="AM77" t="s">
        <v>2940</v>
      </c>
      <c r="AN77" t="s">
        <v>2941</v>
      </c>
      <c r="AO77" t="s">
        <v>2937</v>
      </c>
      <c r="AP77">
        <v>100</v>
      </c>
      <c r="AQ77">
        <v>100</v>
      </c>
      <c r="AR77">
        <v>179</v>
      </c>
      <c r="AS77" t="s">
        <v>2942</v>
      </c>
      <c r="AT77">
        <v>0</v>
      </c>
      <c r="AU77">
        <v>79</v>
      </c>
      <c r="AV77">
        <v>-79</v>
      </c>
    </row>
    <row r="78" spans="1:48">
      <c r="A78" s="1">
        <f>_xlfn.XLOOKUP(J78,数据!E:E,数据!A:A)</f>
        <v>4</v>
      </c>
      <c r="B78" s="1">
        <f>_xlfn.XLOOKUP(J78,数据!E:E,数据!B:B)</f>
        <v>16</v>
      </c>
      <c r="C78" s="1" t="str">
        <f>_xlfn.XLOOKUP(J78,数据!E:E,数据!J:J)</f>
        <v>红单</v>
      </c>
      <c r="D78" s="1" t="str" cm="1">
        <f t="array" ref="D78">IF(OR(C78="红单",C78="空派"),_xlfn.IFS(E78="未开售","新品首批发货",F78&lt;E78,"新品首批发货",F78-E78&lt;=60,"新品期补货空运",F78-E78&gt;60,"老品应急空运"),"海运，不进行分析")</f>
        <v>新品首批发货</v>
      </c>
      <c r="E78" s="2">
        <v>46152</v>
      </c>
      <c r="F78" s="2">
        <f>_xlfn.XLOOKUP(J78,数据!E:E,数据!C:C)</f>
        <v>46129</v>
      </c>
      <c r="G78" s="4">
        <v>79</v>
      </c>
      <c r="H78" s="4">
        <f t="shared" si="4"/>
        <v>7.9</v>
      </c>
      <c r="I78" s="4">
        <f>_xlfn.XLOOKUP(J78,数据!E:E,数据!S:S)*(H78/_xlfn.XLOOKUP(J78,数据!E:E,数据!X:X))</f>
        <v>758.1708892744</v>
      </c>
      <c r="J78" t="s">
        <v>2095</v>
      </c>
      <c r="K78" t="s">
        <v>59</v>
      </c>
      <c r="L78" t="s">
        <v>2374</v>
      </c>
      <c r="M78" t="s">
        <v>2929</v>
      </c>
      <c r="N78" t="s">
        <v>2376</v>
      </c>
      <c r="O78" t="s">
        <v>2400</v>
      </c>
      <c r="P78" t="s">
        <v>2378</v>
      </c>
      <c r="Q78" t="s">
        <v>2379</v>
      </c>
      <c r="R78" t="s">
        <v>2095</v>
      </c>
      <c r="S78" t="s">
        <v>2380</v>
      </c>
      <c r="T78" s="3" t="s">
        <v>2930</v>
      </c>
      <c r="U78" t="s">
        <v>2931</v>
      </c>
      <c r="V78" t="s">
        <v>2932</v>
      </c>
      <c r="W78" t="s">
        <v>2384</v>
      </c>
      <c r="X78" t="s">
        <v>2403</v>
      </c>
      <c r="Y78" t="s">
        <v>2933</v>
      </c>
      <c r="Z78" t="s">
        <v>2387</v>
      </c>
      <c r="AA78" t="s">
        <v>2930</v>
      </c>
      <c r="AB78" t="s">
        <v>2934</v>
      </c>
      <c r="AC78" t="s">
        <v>2935</v>
      </c>
      <c r="AD78" t="s">
        <v>2936</v>
      </c>
      <c r="AH78" t="s">
        <v>2651</v>
      </c>
      <c r="AI78" t="s">
        <v>2433</v>
      </c>
      <c r="AJ78" t="s">
        <v>2943</v>
      </c>
      <c r="AK78" t="s">
        <v>2944</v>
      </c>
      <c r="AL78" t="s">
        <v>2945</v>
      </c>
      <c r="AM78" t="s">
        <v>2940</v>
      </c>
      <c r="AN78" t="s">
        <v>2946</v>
      </c>
      <c r="AO78" t="s">
        <v>2943</v>
      </c>
      <c r="AP78">
        <v>100</v>
      </c>
      <c r="AQ78">
        <v>100</v>
      </c>
      <c r="AR78">
        <v>100</v>
      </c>
      <c r="AS78" t="s">
        <v>2947</v>
      </c>
      <c r="AT78">
        <v>0</v>
      </c>
      <c r="AU78">
        <v>0</v>
      </c>
      <c r="AV78">
        <v>0</v>
      </c>
    </row>
    <row r="79" spans="1:48">
      <c r="A79" s="1">
        <f>_xlfn.XLOOKUP(J79,数据!E:E,数据!A:A)</f>
        <v>4</v>
      </c>
      <c r="B79" s="1">
        <f>_xlfn.XLOOKUP(J79,数据!E:E,数据!B:B)</f>
        <v>16</v>
      </c>
      <c r="C79" s="1" t="str">
        <f>_xlfn.XLOOKUP(J79,数据!E:E,数据!J:J)</f>
        <v>红单</v>
      </c>
      <c r="D79" s="1" t="str" cm="1">
        <f t="array" ref="D79">IF(OR(C79="红单",C79="空派"),_xlfn.IFS(E79="未开售","新品首批发货",F79&lt;E79,"新品首批发货",F79-E79&lt;=60,"新品期补货空运",F79-E79&gt;60,"老品应急空运"),"海运，不进行分析")</f>
        <v>新品首批发货</v>
      </c>
      <c r="E79" s="2">
        <v>46153</v>
      </c>
      <c r="F79" s="2">
        <f>_xlfn.XLOOKUP(J79,数据!E:E,数据!C:C)</f>
        <v>46129</v>
      </c>
      <c r="G79" s="4">
        <v>83</v>
      </c>
      <c r="H79" s="4">
        <f t="shared" si="4"/>
        <v>10.79</v>
      </c>
      <c r="I79" s="4">
        <f>_xlfn.XLOOKUP(J79,数据!E:E,数据!S:S)*(H79/_xlfn.XLOOKUP(J79,数据!E:E,数据!X:X))</f>
        <v>1035.52707535073</v>
      </c>
      <c r="J79" t="s">
        <v>2095</v>
      </c>
      <c r="K79" t="s">
        <v>59</v>
      </c>
      <c r="L79" t="s">
        <v>2374</v>
      </c>
      <c r="M79" t="s">
        <v>2929</v>
      </c>
      <c r="N79" t="s">
        <v>2376</v>
      </c>
      <c r="O79" t="s">
        <v>2400</v>
      </c>
      <c r="P79" t="s">
        <v>2378</v>
      </c>
      <c r="Q79" t="s">
        <v>2379</v>
      </c>
      <c r="R79" t="s">
        <v>2095</v>
      </c>
      <c r="S79" t="s">
        <v>2380</v>
      </c>
      <c r="T79" s="3" t="s">
        <v>2930</v>
      </c>
      <c r="U79" t="s">
        <v>2931</v>
      </c>
      <c r="V79" t="s">
        <v>2932</v>
      </c>
      <c r="W79" t="s">
        <v>2384</v>
      </c>
      <c r="X79" t="s">
        <v>2403</v>
      </c>
      <c r="Y79" t="s">
        <v>2933</v>
      </c>
      <c r="Z79" t="s">
        <v>2387</v>
      </c>
      <c r="AA79" t="s">
        <v>2930</v>
      </c>
      <c r="AB79" t="s">
        <v>2934</v>
      </c>
      <c r="AC79" t="s">
        <v>2935</v>
      </c>
      <c r="AD79" t="s">
        <v>2936</v>
      </c>
      <c r="AH79" t="s">
        <v>2651</v>
      </c>
      <c r="AI79" t="s">
        <v>2433</v>
      </c>
      <c r="AJ79" t="s">
        <v>2948</v>
      </c>
      <c r="AK79" t="s">
        <v>2949</v>
      </c>
      <c r="AL79" t="s">
        <v>2950</v>
      </c>
      <c r="AM79" t="s">
        <v>2940</v>
      </c>
      <c r="AN79" t="s">
        <v>2951</v>
      </c>
      <c r="AO79" t="s">
        <v>2948</v>
      </c>
      <c r="AP79">
        <v>130</v>
      </c>
      <c r="AQ79">
        <v>130</v>
      </c>
      <c r="AR79">
        <v>130</v>
      </c>
      <c r="AS79" t="s">
        <v>2952</v>
      </c>
      <c r="AT79">
        <v>0</v>
      </c>
      <c r="AU79">
        <v>0</v>
      </c>
      <c r="AV79">
        <v>0</v>
      </c>
    </row>
    <row r="80" spans="1:48">
      <c r="A80" s="1">
        <f>_xlfn.XLOOKUP(J80,数据!E:E,数据!A:A)</f>
        <v>4</v>
      </c>
      <c r="B80" s="1">
        <f>_xlfn.XLOOKUP(J80,数据!E:E,数据!B:B)</f>
        <v>16</v>
      </c>
      <c r="C80" s="1" t="str">
        <f>_xlfn.XLOOKUP(J80,数据!E:E,数据!J:J)</f>
        <v>红单</v>
      </c>
      <c r="D80" s="1" t="str" cm="1">
        <f t="array" ref="D80">IF(OR(C80="红单",C80="空派"),_xlfn.IFS(E80="未开售","新品首批发货",F80&lt;E80,"新品首批发货",F80-E80&lt;=60,"新品期补货空运",F80-E80&gt;60,"老品应急空运"),"海运，不进行分析")</f>
        <v>新品期补货空运</v>
      </c>
      <c r="E80" s="2">
        <v>46081</v>
      </c>
      <c r="F80" s="2">
        <f>_xlfn.XLOOKUP(J80,数据!E:E,数据!C:C)</f>
        <v>46129</v>
      </c>
      <c r="G80" s="4">
        <v>326</v>
      </c>
      <c r="H80" s="4">
        <f t="shared" si="4"/>
        <v>0.326</v>
      </c>
      <c r="I80" s="4">
        <f>_xlfn.XLOOKUP(J80,数据!E:E,数据!S:S)*(H80/_xlfn.XLOOKUP(J80,数据!E:E,数据!X:X))</f>
        <v>31.2865455573993</v>
      </c>
      <c r="J80" t="s">
        <v>2095</v>
      </c>
      <c r="K80" t="s">
        <v>59</v>
      </c>
      <c r="L80" t="s">
        <v>2374</v>
      </c>
      <c r="M80" t="s">
        <v>2929</v>
      </c>
      <c r="N80" t="s">
        <v>2376</v>
      </c>
      <c r="O80" t="s">
        <v>2400</v>
      </c>
      <c r="P80" t="s">
        <v>2378</v>
      </c>
      <c r="Q80" t="s">
        <v>2379</v>
      </c>
      <c r="R80" t="s">
        <v>2095</v>
      </c>
      <c r="S80" t="s">
        <v>2380</v>
      </c>
      <c r="T80" s="3" t="s">
        <v>2930</v>
      </c>
      <c r="U80" t="s">
        <v>2931</v>
      </c>
      <c r="V80" t="s">
        <v>2932</v>
      </c>
      <c r="W80" t="s">
        <v>2384</v>
      </c>
      <c r="X80" t="s">
        <v>2403</v>
      </c>
      <c r="Y80" t="s">
        <v>2933</v>
      </c>
      <c r="Z80" t="s">
        <v>2387</v>
      </c>
      <c r="AA80" t="s">
        <v>2930</v>
      </c>
      <c r="AB80" t="s">
        <v>2934</v>
      </c>
      <c r="AC80" t="s">
        <v>2935</v>
      </c>
      <c r="AD80" t="s">
        <v>2936</v>
      </c>
      <c r="AH80" t="s">
        <v>2651</v>
      </c>
      <c r="AI80" t="s">
        <v>2433</v>
      </c>
      <c r="AJ80" t="s">
        <v>2953</v>
      </c>
      <c r="AK80" t="s">
        <v>2954</v>
      </c>
      <c r="AL80" t="s">
        <v>2955</v>
      </c>
      <c r="AM80" t="s">
        <v>2955</v>
      </c>
      <c r="AN80" t="s">
        <v>2956</v>
      </c>
      <c r="AO80" t="s">
        <v>2953</v>
      </c>
      <c r="AP80">
        <v>1</v>
      </c>
      <c r="AQ80">
        <v>1</v>
      </c>
      <c r="AR80">
        <v>1</v>
      </c>
      <c r="AS80" t="s">
        <v>2957</v>
      </c>
      <c r="AT80">
        <v>0</v>
      </c>
      <c r="AU80">
        <v>0</v>
      </c>
      <c r="AV80">
        <v>0</v>
      </c>
    </row>
    <row r="81" spans="1:48">
      <c r="A81" s="1">
        <f>_xlfn.XLOOKUP(J81,数据!E:E,数据!A:A)</f>
        <v>4</v>
      </c>
      <c r="B81" s="1">
        <f>_xlfn.XLOOKUP(J81,数据!E:E,数据!B:B)</f>
        <v>16</v>
      </c>
      <c r="C81" s="1" t="str">
        <f>_xlfn.XLOOKUP(J81,数据!E:E,数据!J:J)</f>
        <v>红单</v>
      </c>
      <c r="D81" s="1" t="str" cm="1">
        <f t="array" ref="D81">IF(OR(C81="红单",C81="空派"),_xlfn.IFS(E81="未开售","新品首批发货",F81&lt;E81,"新品首批发货",F81-E81&lt;=60,"新品期补货空运",F81-E81&gt;60,"老品应急空运"),"海运，不进行分析")</f>
        <v>新品期补货空运</v>
      </c>
      <c r="E81" s="2">
        <v>46115</v>
      </c>
      <c r="F81" s="2">
        <f>_xlfn.XLOOKUP(J81,数据!E:E,数据!C:C)</f>
        <v>46129</v>
      </c>
      <c r="G81" s="4">
        <v>120</v>
      </c>
      <c r="H81" s="4">
        <f t="shared" si="4"/>
        <v>36</v>
      </c>
      <c r="I81" s="4">
        <f>_xlfn.XLOOKUP(J81,数据!E:E,数据!S:S)*(H81/_xlfn.XLOOKUP(J81,数据!E:E,数据!X:X))</f>
        <v>3223.04066519423</v>
      </c>
      <c r="J81" t="s">
        <v>2094</v>
      </c>
      <c r="K81" t="s">
        <v>46</v>
      </c>
      <c r="L81" t="s">
        <v>2374</v>
      </c>
      <c r="M81" t="s">
        <v>2958</v>
      </c>
      <c r="N81" t="s">
        <v>2376</v>
      </c>
      <c r="O81" t="s">
        <v>2400</v>
      </c>
      <c r="P81" t="s">
        <v>2378</v>
      </c>
      <c r="Q81" t="s">
        <v>2379</v>
      </c>
      <c r="R81" t="s">
        <v>2094</v>
      </c>
      <c r="S81" t="s">
        <v>2511</v>
      </c>
      <c r="T81" s="3" t="s">
        <v>2930</v>
      </c>
      <c r="U81" t="s">
        <v>2959</v>
      </c>
      <c r="V81" t="s">
        <v>2960</v>
      </c>
      <c r="W81" t="s">
        <v>2961</v>
      </c>
      <c r="X81" t="s">
        <v>2385</v>
      </c>
      <c r="Y81" t="s">
        <v>2962</v>
      </c>
      <c r="Z81" t="s">
        <v>2405</v>
      </c>
      <c r="AA81" t="s">
        <v>2930</v>
      </c>
      <c r="AB81" t="s">
        <v>2963</v>
      </c>
      <c r="AC81" t="s">
        <v>2964</v>
      </c>
      <c r="AD81" t="s">
        <v>2936</v>
      </c>
      <c r="AH81" t="s">
        <v>2651</v>
      </c>
      <c r="AI81" t="s">
        <v>2433</v>
      </c>
      <c r="AJ81" t="s">
        <v>2965</v>
      </c>
      <c r="AK81" t="s">
        <v>2966</v>
      </c>
      <c r="AL81" t="s">
        <v>2967</v>
      </c>
      <c r="AM81" t="s">
        <v>2967</v>
      </c>
      <c r="AN81" t="s">
        <v>2968</v>
      </c>
      <c r="AO81" t="s">
        <v>2965</v>
      </c>
      <c r="AP81">
        <v>300</v>
      </c>
      <c r="AQ81">
        <v>300</v>
      </c>
      <c r="AR81">
        <v>299</v>
      </c>
      <c r="AS81" t="s">
        <v>2969</v>
      </c>
      <c r="AT81">
        <v>0</v>
      </c>
      <c r="AU81">
        <v>-1</v>
      </c>
      <c r="AV81">
        <v>1</v>
      </c>
    </row>
    <row r="82" spans="1:48">
      <c r="A82" s="1">
        <f>_xlfn.XLOOKUP(J82,数据!E:E,数据!A:A)</f>
        <v>4</v>
      </c>
      <c r="B82" s="1">
        <f>_xlfn.XLOOKUP(J82,数据!E:E,数据!B:B)</f>
        <v>16</v>
      </c>
      <c r="C82" s="1" t="str">
        <f>_xlfn.XLOOKUP(J82,数据!E:E,数据!J:J)</f>
        <v>红单</v>
      </c>
      <c r="D82" s="1" t="str" cm="1">
        <f t="array" ref="D82">IF(OR(C82="红单",C82="空派"),_xlfn.IFS(E82="未开售","新品首批发货",F82&lt;E82,"新品首批发货",F82-E82&lt;=60,"新品期补货空运",F82-E82&gt;60,"老品应急空运"),"海运，不进行分析")</f>
        <v>新品期补货空运</v>
      </c>
      <c r="E82" s="2">
        <v>46125</v>
      </c>
      <c r="F82" s="2">
        <f>_xlfn.XLOOKUP(J82,数据!E:E,数据!C:C)</f>
        <v>46129</v>
      </c>
      <c r="G82" s="4">
        <v>71</v>
      </c>
      <c r="H82" s="4">
        <f t="shared" si="4"/>
        <v>2.485</v>
      </c>
      <c r="I82" s="4">
        <f>_xlfn.XLOOKUP(J82,数据!E:E,数据!S:S)*(H82/_xlfn.XLOOKUP(J82,数据!E:E,数据!X:X))</f>
        <v>222.479334805768</v>
      </c>
      <c r="J82" t="s">
        <v>2094</v>
      </c>
      <c r="K82" t="s">
        <v>46</v>
      </c>
      <c r="L82" t="s">
        <v>2374</v>
      </c>
      <c r="M82" t="s">
        <v>2958</v>
      </c>
      <c r="N82" t="s">
        <v>2376</v>
      </c>
      <c r="O82" t="s">
        <v>2400</v>
      </c>
      <c r="P82" t="s">
        <v>2378</v>
      </c>
      <c r="Q82" t="s">
        <v>2379</v>
      </c>
      <c r="R82" t="s">
        <v>2094</v>
      </c>
      <c r="S82" t="s">
        <v>2511</v>
      </c>
      <c r="T82" s="3" t="s">
        <v>2930</v>
      </c>
      <c r="U82" t="s">
        <v>2959</v>
      </c>
      <c r="V82" t="s">
        <v>2960</v>
      </c>
      <c r="W82" t="s">
        <v>2961</v>
      </c>
      <c r="X82" t="s">
        <v>2385</v>
      </c>
      <c r="Y82" t="s">
        <v>2962</v>
      </c>
      <c r="Z82" t="s">
        <v>2405</v>
      </c>
      <c r="AA82" t="s">
        <v>2930</v>
      </c>
      <c r="AB82" t="s">
        <v>2963</v>
      </c>
      <c r="AC82" t="s">
        <v>2964</v>
      </c>
      <c r="AD82" t="s">
        <v>2936</v>
      </c>
      <c r="AH82" t="s">
        <v>2651</v>
      </c>
      <c r="AI82" t="s">
        <v>2433</v>
      </c>
      <c r="AJ82" t="s">
        <v>2970</v>
      </c>
      <c r="AK82" t="s">
        <v>2971</v>
      </c>
      <c r="AL82" t="s">
        <v>2972</v>
      </c>
      <c r="AM82" t="s">
        <v>2972</v>
      </c>
      <c r="AN82" t="s">
        <v>2973</v>
      </c>
      <c r="AO82" t="s">
        <v>2970</v>
      </c>
      <c r="AP82">
        <v>35</v>
      </c>
      <c r="AQ82">
        <v>35</v>
      </c>
      <c r="AR82">
        <v>33</v>
      </c>
      <c r="AS82" t="s">
        <v>2974</v>
      </c>
      <c r="AT82">
        <v>0</v>
      </c>
      <c r="AU82">
        <v>-2</v>
      </c>
      <c r="AV82">
        <v>2</v>
      </c>
    </row>
    <row r="83" spans="1:48">
      <c r="A83" s="1">
        <f>_xlfn.XLOOKUP(J83,数据!E:E,数据!A:A)</f>
        <v>4</v>
      </c>
      <c r="B83" s="1">
        <f>_xlfn.XLOOKUP(J83,数据!E:E,数据!B:B)</f>
        <v>16</v>
      </c>
      <c r="C83" s="1" t="str">
        <f>_xlfn.XLOOKUP(J83,数据!E:E,数据!J:J)</f>
        <v>空派</v>
      </c>
      <c r="D83" s="1" t="str" cm="1">
        <f t="array" ref="D83">IF(OR(C83="红单",C83="空派"),_xlfn.IFS(E83="未开售","新品首批发货",F83&lt;E83,"新品首批发货",F83-E83&lt;=60,"新品期补货空运",F83-E83&gt;60,"老品应急空运"),"海运，不进行分析")</f>
        <v>老品应急空运</v>
      </c>
      <c r="E83" s="2">
        <v>44409</v>
      </c>
      <c r="F83" s="2">
        <f>_xlfn.XLOOKUP(J83,数据!E:E,数据!C:C)</f>
        <v>46128</v>
      </c>
      <c r="G83" s="4">
        <v>120</v>
      </c>
      <c r="H83" s="4">
        <f>G83*AP83/1000</f>
        <v>10.8</v>
      </c>
      <c r="I83" s="4">
        <f>_xlfn.XLOOKUP(J83,数据!E:E,数据!S:S)*(H83/_xlfn.XLOOKUP(J83,数据!E:E,数据!X:X))</f>
        <v>896.325000000002</v>
      </c>
      <c r="J83" t="s">
        <v>1995</v>
      </c>
      <c r="K83" t="s">
        <v>31</v>
      </c>
      <c r="L83" t="s">
        <v>2374</v>
      </c>
      <c r="M83" t="s">
        <v>2975</v>
      </c>
      <c r="N83" t="s">
        <v>2376</v>
      </c>
      <c r="O83" t="s">
        <v>2400</v>
      </c>
      <c r="P83" t="s">
        <v>2378</v>
      </c>
      <c r="Q83" t="s">
        <v>2379</v>
      </c>
      <c r="R83" t="s">
        <v>2976</v>
      </c>
      <c r="S83" t="s">
        <v>2511</v>
      </c>
      <c r="T83" s="3" t="s">
        <v>2977</v>
      </c>
      <c r="U83" t="s">
        <v>2978</v>
      </c>
      <c r="V83" t="s">
        <v>2979</v>
      </c>
      <c r="W83" t="s">
        <v>2980</v>
      </c>
      <c r="X83" t="s">
        <v>2403</v>
      </c>
      <c r="Y83" t="s">
        <v>2981</v>
      </c>
      <c r="Z83" t="s">
        <v>2405</v>
      </c>
      <c r="AA83" t="s">
        <v>2977</v>
      </c>
      <c r="AB83" t="s">
        <v>2982</v>
      </c>
      <c r="AC83" t="s">
        <v>2983</v>
      </c>
      <c r="AD83" t="s">
        <v>2984</v>
      </c>
      <c r="AH83" t="s">
        <v>2651</v>
      </c>
      <c r="AI83" t="s">
        <v>2433</v>
      </c>
      <c r="AJ83" t="s">
        <v>2639</v>
      </c>
      <c r="AK83" t="s">
        <v>2640</v>
      </c>
      <c r="AL83" t="s">
        <v>2641</v>
      </c>
      <c r="AM83" t="s">
        <v>2641</v>
      </c>
      <c r="AN83" t="s">
        <v>2642</v>
      </c>
      <c r="AO83" t="s">
        <v>2639</v>
      </c>
      <c r="AP83">
        <v>90</v>
      </c>
      <c r="AQ83">
        <v>90</v>
      </c>
      <c r="AR83">
        <v>90</v>
      </c>
      <c r="AS83" t="s">
        <v>2985</v>
      </c>
      <c r="AT83">
        <v>0</v>
      </c>
      <c r="AU83">
        <v>0</v>
      </c>
      <c r="AV83">
        <v>0</v>
      </c>
    </row>
    <row r="84" spans="1:48">
      <c r="A84" s="1">
        <f>_xlfn.XLOOKUP(J84,数据!E:E,数据!A:A)</f>
        <v>4</v>
      </c>
      <c r="B84" s="1">
        <f>_xlfn.XLOOKUP(J84,数据!E:E,数据!B:B)</f>
        <v>16</v>
      </c>
      <c r="C84" s="1" t="str">
        <f>_xlfn.XLOOKUP(J84,数据!E:E,数据!J:J)</f>
        <v>空派</v>
      </c>
      <c r="D84" s="1" t="str" cm="1">
        <f t="array" ref="D84">IF(OR(C84="红单",C84="空派"),_xlfn.IFS(E84="未开售","新品首批发货",F84&lt;E84,"新品首批发货",F84-E84&lt;=60,"新品期补货空运",F84-E84&gt;60,"老品应急空运"),"海运，不进行分析")</f>
        <v>新品期补货空运</v>
      </c>
      <c r="E84" s="2">
        <v>46105</v>
      </c>
      <c r="F84" s="2">
        <f>_xlfn.XLOOKUP(J84,数据!E:E,数据!C:C)</f>
        <v>46128</v>
      </c>
      <c r="G84" s="4">
        <v>140</v>
      </c>
      <c r="H84" s="4">
        <f>G84*AP84/1000</f>
        <v>8.4</v>
      </c>
      <c r="I84" s="4">
        <f>_xlfn.XLOOKUP(J84,数据!E:E,数据!S:S)*(H84/_xlfn.XLOOKUP(J84,数据!E:E,数据!X:X))</f>
        <v>697.141666666668</v>
      </c>
      <c r="J84" t="s">
        <v>1995</v>
      </c>
      <c r="K84" t="s">
        <v>31</v>
      </c>
      <c r="L84" t="s">
        <v>2374</v>
      </c>
      <c r="M84" t="s">
        <v>2975</v>
      </c>
      <c r="N84" t="s">
        <v>2376</v>
      </c>
      <c r="O84" t="s">
        <v>2400</v>
      </c>
      <c r="P84" t="s">
        <v>2378</v>
      </c>
      <c r="Q84" t="s">
        <v>2379</v>
      </c>
      <c r="R84" t="s">
        <v>2976</v>
      </c>
      <c r="S84" t="s">
        <v>2511</v>
      </c>
      <c r="T84" s="3" t="s">
        <v>2977</v>
      </c>
      <c r="U84" t="s">
        <v>2978</v>
      </c>
      <c r="V84" t="s">
        <v>2979</v>
      </c>
      <c r="W84" t="s">
        <v>2980</v>
      </c>
      <c r="X84" t="s">
        <v>2403</v>
      </c>
      <c r="Y84" t="s">
        <v>2981</v>
      </c>
      <c r="Z84" t="s">
        <v>2405</v>
      </c>
      <c r="AA84" t="s">
        <v>2977</v>
      </c>
      <c r="AB84" t="s">
        <v>2982</v>
      </c>
      <c r="AC84" t="s">
        <v>2983</v>
      </c>
      <c r="AD84" t="s">
        <v>2984</v>
      </c>
      <c r="AH84" t="s">
        <v>2651</v>
      </c>
      <c r="AI84" t="s">
        <v>2433</v>
      </c>
      <c r="AJ84" t="s">
        <v>2986</v>
      </c>
      <c r="AK84" t="s">
        <v>2987</v>
      </c>
      <c r="AL84" t="s">
        <v>2988</v>
      </c>
      <c r="AM84" t="s">
        <v>2989</v>
      </c>
      <c r="AN84" t="s">
        <v>2990</v>
      </c>
      <c r="AO84" t="s">
        <v>2986</v>
      </c>
      <c r="AP84">
        <v>60</v>
      </c>
      <c r="AQ84">
        <v>60</v>
      </c>
      <c r="AR84">
        <v>60</v>
      </c>
      <c r="AS84" t="s">
        <v>2991</v>
      </c>
      <c r="AT84">
        <v>0</v>
      </c>
      <c r="AU84">
        <v>0</v>
      </c>
      <c r="AV84">
        <v>0</v>
      </c>
    </row>
    <row r="85" spans="1:48">
      <c r="A85" s="1">
        <f>_xlfn.XLOOKUP(J85,数据!E:E,数据!A:A)</f>
        <v>4</v>
      </c>
      <c r="B85" s="1">
        <f>_xlfn.XLOOKUP(J85,数据!E:E,数据!B:B)</f>
        <v>16</v>
      </c>
      <c r="C85" s="1" t="str">
        <f>_xlfn.XLOOKUP(J85,数据!E:E,数据!J:J)</f>
        <v>空派</v>
      </c>
      <c r="D85" s="1" t="str" cm="1">
        <f t="array" ref="D85">IF(OR(C85="红单",C85="空派"),_xlfn.IFS(E85="未开售","新品首批发货",F85&lt;E85,"新品首批发货",F85-E85&lt;=60,"新品期补货空运",F85-E85&gt;60,"老品应急空运"),"海运，不进行分析")</f>
        <v>新品首批发货</v>
      </c>
      <c r="E85" s="2">
        <v>46154</v>
      </c>
      <c r="F85" s="2">
        <f>_xlfn.XLOOKUP(J85,数据!E:E,数据!C:C)</f>
        <v>46128</v>
      </c>
      <c r="G85" s="4">
        <v>90</v>
      </c>
      <c r="H85" s="4">
        <f>G85*AP85/1000</f>
        <v>12.6</v>
      </c>
      <c r="I85" s="4">
        <f>_xlfn.XLOOKUP(J85,数据!E:E,数据!S:S)*(H85/_xlfn.XLOOKUP(J85,数据!E:E,数据!X:X))</f>
        <v>1066.76038514443</v>
      </c>
      <c r="J85" t="s">
        <v>1996</v>
      </c>
      <c r="K85" t="s">
        <v>37</v>
      </c>
      <c r="L85" t="s">
        <v>2374</v>
      </c>
      <c r="M85" t="s">
        <v>2992</v>
      </c>
      <c r="N85" t="s">
        <v>2376</v>
      </c>
      <c r="O85" t="s">
        <v>2377</v>
      </c>
      <c r="P85" t="s">
        <v>2378</v>
      </c>
      <c r="Q85" t="s">
        <v>2379</v>
      </c>
      <c r="R85" t="s">
        <v>2993</v>
      </c>
      <c r="S85" t="s">
        <v>2511</v>
      </c>
      <c r="T85" s="3" t="s">
        <v>2977</v>
      </c>
      <c r="U85" t="s">
        <v>2978</v>
      </c>
      <c r="V85" t="s">
        <v>2979</v>
      </c>
      <c r="W85" t="s">
        <v>2994</v>
      </c>
      <c r="X85" t="s">
        <v>2385</v>
      </c>
      <c r="Y85" t="s">
        <v>2995</v>
      </c>
      <c r="Z85" t="s">
        <v>2405</v>
      </c>
      <c r="AA85" t="s">
        <v>2977</v>
      </c>
      <c r="AB85" t="s">
        <v>2996</v>
      </c>
      <c r="AC85" t="s">
        <v>2997</v>
      </c>
      <c r="AD85" t="s">
        <v>2984</v>
      </c>
      <c r="AH85" t="s">
        <v>2651</v>
      </c>
      <c r="AI85" t="s">
        <v>2433</v>
      </c>
      <c r="AJ85" t="s">
        <v>2998</v>
      </c>
      <c r="AK85" t="s">
        <v>2999</v>
      </c>
      <c r="AL85" t="s">
        <v>3000</v>
      </c>
      <c r="AM85" t="s">
        <v>3001</v>
      </c>
      <c r="AN85" t="s">
        <v>3002</v>
      </c>
      <c r="AO85" t="s">
        <v>2998</v>
      </c>
      <c r="AP85">
        <v>140</v>
      </c>
      <c r="AQ85">
        <v>140</v>
      </c>
      <c r="AR85">
        <v>139</v>
      </c>
      <c r="AS85" t="s">
        <v>3003</v>
      </c>
      <c r="AT85">
        <v>0</v>
      </c>
      <c r="AU85">
        <v>-1</v>
      </c>
      <c r="AV85">
        <v>1</v>
      </c>
    </row>
    <row r="86" spans="1:48">
      <c r="A86" s="1">
        <f>_xlfn.XLOOKUP(J86,数据!E:E,数据!A:A)</f>
        <v>4</v>
      </c>
      <c r="B86" s="1">
        <f>_xlfn.XLOOKUP(J86,数据!E:E,数据!B:B)</f>
        <v>16</v>
      </c>
      <c r="C86" s="1" t="str">
        <f>_xlfn.XLOOKUP(J86,数据!E:E,数据!J:J)</f>
        <v>空派</v>
      </c>
      <c r="D86" s="1" t="str" cm="1">
        <f t="array" ref="D86">IF(OR(C86="红单",C86="空派"),_xlfn.IFS(E86="未开售","新品首批发货",F86&lt;E86,"新品首批发货",F86-E86&lt;=60,"新品期补货空运",F86-E86&gt;60,"老品应急空运"),"海运，不进行分析")</f>
        <v>新品首批发货</v>
      </c>
      <c r="E86" s="2">
        <v>46150</v>
      </c>
      <c r="F86" s="2">
        <f>_xlfn.XLOOKUP(J86,数据!E:E,数据!C:C)</f>
        <v>46128</v>
      </c>
      <c r="G86" s="4">
        <v>90</v>
      </c>
      <c r="H86" s="4">
        <f>G86*AP86/1000</f>
        <v>12.6</v>
      </c>
      <c r="I86" s="4">
        <f>_xlfn.XLOOKUP(J86,数据!E:E,数据!S:S)*(H86/_xlfn.XLOOKUP(J86,数据!E:E,数据!X:X))</f>
        <v>1066.76038514443</v>
      </c>
      <c r="J86" t="s">
        <v>1996</v>
      </c>
      <c r="K86" t="s">
        <v>37</v>
      </c>
      <c r="L86" t="s">
        <v>2374</v>
      </c>
      <c r="M86" t="s">
        <v>2992</v>
      </c>
      <c r="N86" t="s">
        <v>2376</v>
      </c>
      <c r="O86" t="s">
        <v>2377</v>
      </c>
      <c r="P86" t="s">
        <v>2378</v>
      </c>
      <c r="Q86" t="s">
        <v>2379</v>
      </c>
      <c r="R86" t="s">
        <v>2993</v>
      </c>
      <c r="S86" t="s">
        <v>2511</v>
      </c>
      <c r="T86" s="3" t="s">
        <v>2977</v>
      </c>
      <c r="U86" t="s">
        <v>2978</v>
      </c>
      <c r="V86" t="s">
        <v>2979</v>
      </c>
      <c r="W86" t="s">
        <v>2994</v>
      </c>
      <c r="X86" t="s">
        <v>2385</v>
      </c>
      <c r="Y86" t="s">
        <v>2995</v>
      </c>
      <c r="Z86" t="s">
        <v>2405</v>
      </c>
      <c r="AA86" t="s">
        <v>2977</v>
      </c>
      <c r="AB86" t="s">
        <v>2996</v>
      </c>
      <c r="AC86" t="s">
        <v>2997</v>
      </c>
      <c r="AD86" t="s">
        <v>2984</v>
      </c>
      <c r="AH86" t="s">
        <v>2651</v>
      </c>
      <c r="AI86" t="s">
        <v>2433</v>
      </c>
      <c r="AJ86" t="s">
        <v>3004</v>
      </c>
      <c r="AK86" t="s">
        <v>3005</v>
      </c>
      <c r="AL86" t="s">
        <v>3006</v>
      </c>
      <c r="AM86" t="s">
        <v>3001</v>
      </c>
      <c r="AN86" t="s">
        <v>3007</v>
      </c>
      <c r="AO86" t="s">
        <v>3004</v>
      </c>
      <c r="AP86">
        <v>140</v>
      </c>
      <c r="AQ86">
        <v>140</v>
      </c>
      <c r="AR86">
        <v>141</v>
      </c>
      <c r="AS86" t="s">
        <v>3008</v>
      </c>
      <c r="AT86">
        <v>0</v>
      </c>
      <c r="AU86">
        <v>1</v>
      </c>
      <c r="AV86">
        <v>-1</v>
      </c>
    </row>
    <row r="87" spans="1:48">
      <c r="A87" s="1">
        <f>_xlfn.XLOOKUP(J87,数据!E:E,数据!A:A)</f>
        <v>4</v>
      </c>
      <c r="B87" s="1">
        <f>_xlfn.XLOOKUP(J87,数据!E:E,数据!B:B)</f>
        <v>16</v>
      </c>
      <c r="C87" s="1" t="str">
        <f>_xlfn.XLOOKUP(J87,数据!E:E,数据!J:J)</f>
        <v>空派</v>
      </c>
      <c r="D87" s="1" t="str" cm="1">
        <f t="array" ref="D87">IF(OR(C87="红单",C87="空派"),_xlfn.IFS(E87="未开售","新品首批发货",F87&lt;E87,"新品首批发货",F87-E87&lt;=60,"新品期补货空运",F87-E87&gt;60,"老品应急空运"),"海运，不进行分析")</f>
        <v>新品首批发货</v>
      </c>
      <c r="E87" s="2" t="s">
        <v>2423</v>
      </c>
      <c r="F87" s="2">
        <f>_xlfn.XLOOKUP(J87,数据!E:E,数据!C:C)</f>
        <v>46128</v>
      </c>
      <c r="G87" s="4">
        <v>90</v>
      </c>
      <c r="H87" s="4">
        <f>G87*AP87/1000</f>
        <v>12.6</v>
      </c>
      <c r="I87" s="4">
        <f>_xlfn.XLOOKUP(J87,数据!E:E,数据!S:S)*(H87/_xlfn.XLOOKUP(J87,数据!E:E,数据!X:X))</f>
        <v>1066.76038514443</v>
      </c>
      <c r="J87" t="s">
        <v>1996</v>
      </c>
      <c r="K87" t="s">
        <v>37</v>
      </c>
      <c r="L87" t="s">
        <v>2374</v>
      </c>
      <c r="M87" t="s">
        <v>2992</v>
      </c>
      <c r="N87" t="s">
        <v>2376</v>
      </c>
      <c r="O87" t="s">
        <v>2377</v>
      </c>
      <c r="P87" t="s">
        <v>2378</v>
      </c>
      <c r="Q87" t="s">
        <v>2379</v>
      </c>
      <c r="R87" t="s">
        <v>2993</v>
      </c>
      <c r="S87" t="s">
        <v>2511</v>
      </c>
      <c r="T87" s="3" t="s">
        <v>2977</v>
      </c>
      <c r="U87" t="s">
        <v>2978</v>
      </c>
      <c r="V87" t="s">
        <v>2979</v>
      </c>
      <c r="W87" t="s">
        <v>2994</v>
      </c>
      <c r="X87" t="s">
        <v>2385</v>
      </c>
      <c r="Y87" t="s">
        <v>2995</v>
      </c>
      <c r="Z87" t="s">
        <v>2405</v>
      </c>
      <c r="AA87" t="s">
        <v>2977</v>
      </c>
      <c r="AB87" t="s">
        <v>2996</v>
      </c>
      <c r="AC87" t="s">
        <v>2997</v>
      </c>
      <c r="AD87" t="s">
        <v>2984</v>
      </c>
      <c r="AH87" t="s">
        <v>2651</v>
      </c>
      <c r="AI87" t="s">
        <v>2433</v>
      </c>
      <c r="AJ87" t="s">
        <v>3009</v>
      </c>
      <c r="AK87" t="s">
        <v>3010</v>
      </c>
      <c r="AL87" t="s">
        <v>3011</v>
      </c>
      <c r="AM87" t="s">
        <v>3011</v>
      </c>
      <c r="AN87" t="s">
        <v>3012</v>
      </c>
      <c r="AO87" t="s">
        <v>3009</v>
      </c>
      <c r="AP87">
        <v>140</v>
      </c>
      <c r="AQ87">
        <v>140</v>
      </c>
      <c r="AR87">
        <v>140</v>
      </c>
      <c r="AS87" t="s">
        <v>3013</v>
      </c>
      <c r="AT87">
        <v>0</v>
      </c>
      <c r="AU87">
        <v>0</v>
      </c>
      <c r="AV87">
        <v>0</v>
      </c>
    </row>
    <row r="88" spans="1:48">
      <c r="A88" s="1">
        <f>_xlfn.XLOOKUP(J88,数据!E:E,数据!A:A)</f>
        <v>4</v>
      </c>
      <c r="B88" s="1">
        <f>_xlfn.XLOOKUP(J88,数据!E:E,数据!B:B)</f>
        <v>16</v>
      </c>
      <c r="C88" s="1" t="str">
        <f>_xlfn.XLOOKUP(J88,数据!E:E,数据!J:J)</f>
        <v>空派</v>
      </c>
      <c r="D88" s="1" t="str" cm="1">
        <f t="array" ref="D88">IF(OR(C88="红单",C88="空派"),_xlfn.IFS(E88="未开售","新品首批发货",F88&lt;E88,"新品首批发货",F88-E88&lt;=60,"新品期补货空运",F88-E88&gt;60,"老品应急空运"),"海运，不进行分析")</f>
        <v>新品首批发货</v>
      </c>
      <c r="E88" s="2">
        <v>46152</v>
      </c>
      <c r="F88" s="2">
        <f>_xlfn.XLOOKUP(J88,数据!E:E,数据!C:C)</f>
        <v>46128</v>
      </c>
      <c r="G88" s="4">
        <v>119</v>
      </c>
      <c r="H88" s="4">
        <f>G88*AP88/1000</f>
        <v>13.09</v>
      </c>
      <c r="I88" s="4">
        <f>_xlfn.XLOOKUP(J88,数据!E:E,数据!S:S)*(H88/_xlfn.XLOOKUP(J88,数据!E:E,数据!X:X))</f>
        <v>1108.24551123338</v>
      </c>
      <c r="J88" t="s">
        <v>1996</v>
      </c>
      <c r="K88" t="s">
        <v>37</v>
      </c>
      <c r="L88" t="s">
        <v>2374</v>
      </c>
      <c r="M88" t="s">
        <v>2992</v>
      </c>
      <c r="N88" t="s">
        <v>2376</v>
      </c>
      <c r="O88" t="s">
        <v>2377</v>
      </c>
      <c r="P88" t="s">
        <v>2378</v>
      </c>
      <c r="Q88" t="s">
        <v>2379</v>
      </c>
      <c r="R88" t="s">
        <v>2993</v>
      </c>
      <c r="S88" t="s">
        <v>2511</v>
      </c>
      <c r="T88" s="3" t="s">
        <v>2977</v>
      </c>
      <c r="U88" t="s">
        <v>2978</v>
      </c>
      <c r="V88" t="s">
        <v>2979</v>
      </c>
      <c r="W88" t="s">
        <v>2994</v>
      </c>
      <c r="X88" t="s">
        <v>2385</v>
      </c>
      <c r="Y88" t="s">
        <v>2995</v>
      </c>
      <c r="Z88" t="s">
        <v>2405</v>
      </c>
      <c r="AA88" t="s">
        <v>2977</v>
      </c>
      <c r="AB88" t="s">
        <v>2996</v>
      </c>
      <c r="AC88" t="s">
        <v>2997</v>
      </c>
      <c r="AD88" t="s">
        <v>2984</v>
      </c>
      <c r="AH88" t="s">
        <v>2651</v>
      </c>
      <c r="AI88" t="s">
        <v>2433</v>
      </c>
      <c r="AJ88" t="s">
        <v>3014</v>
      </c>
      <c r="AK88" t="s">
        <v>3015</v>
      </c>
      <c r="AL88" t="s">
        <v>3016</v>
      </c>
      <c r="AM88" t="s">
        <v>3016</v>
      </c>
      <c r="AN88" t="s">
        <v>3017</v>
      </c>
      <c r="AO88" t="s">
        <v>3014</v>
      </c>
      <c r="AP88">
        <v>110</v>
      </c>
      <c r="AQ88">
        <v>110</v>
      </c>
      <c r="AR88">
        <v>110</v>
      </c>
      <c r="AS88" t="s">
        <v>3018</v>
      </c>
      <c r="AT88">
        <v>0</v>
      </c>
      <c r="AU88">
        <v>0</v>
      </c>
      <c r="AV88">
        <v>0</v>
      </c>
    </row>
    <row r="89" spans="1:48">
      <c r="A89" s="1">
        <f>_xlfn.XLOOKUP(J89,数据!E:E,数据!A:A)</f>
        <v>4</v>
      </c>
      <c r="B89" s="1">
        <f>_xlfn.XLOOKUP(J89,数据!E:E,数据!B:B)</f>
        <v>16</v>
      </c>
      <c r="C89" s="1" t="str">
        <f>_xlfn.XLOOKUP(J89,数据!E:E,数据!J:J)</f>
        <v>空派</v>
      </c>
      <c r="D89" s="1" t="str" cm="1">
        <f t="array" ref="D89">IF(OR(C89="红单",C89="空派"),_xlfn.IFS(E89="未开售","新品首批发货",F89&lt;E89,"新品首批发货",F89-E89&lt;=60,"新品期补货空运",F89-E89&gt;60,"老品应急空运"),"海运，不进行分析")</f>
        <v>老品应急空运</v>
      </c>
      <c r="E89" s="2">
        <v>45001</v>
      </c>
      <c r="F89" s="2">
        <f>_xlfn.XLOOKUP(J89,数据!E:E,数据!C:C)</f>
        <v>46128</v>
      </c>
      <c r="G89" s="4">
        <v>270</v>
      </c>
      <c r="H89" s="4">
        <f>G89*AP89/1000</f>
        <v>2.7</v>
      </c>
      <c r="I89" s="4">
        <f>_xlfn.XLOOKUP(J89,数据!E:E,数据!S:S)*(H89/_xlfn.XLOOKUP(J89,数据!E:E,数据!X:X))</f>
        <v>202.652018443587</v>
      </c>
      <c r="J89" t="s">
        <v>1994</v>
      </c>
      <c r="K89" t="s">
        <v>56</v>
      </c>
      <c r="L89" t="s">
        <v>2374</v>
      </c>
      <c r="M89" t="s">
        <v>3019</v>
      </c>
      <c r="N89" t="s">
        <v>2376</v>
      </c>
      <c r="O89" t="s">
        <v>2400</v>
      </c>
      <c r="P89" t="s">
        <v>2378</v>
      </c>
      <c r="Q89" t="s">
        <v>2379</v>
      </c>
      <c r="R89" t="s">
        <v>3020</v>
      </c>
      <c r="S89" t="s">
        <v>2511</v>
      </c>
      <c r="T89" s="3" t="s">
        <v>2977</v>
      </c>
      <c r="U89" t="s">
        <v>3021</v>
      </c>
      <c r="V89" t="s">
        <v>3022</v>
      </c>
      <c r="W89" t="s">
        <v>3023</v>
      </c>
      <c r="X89" t="s">
        <v>2403</v>
      </c>
      <c r="Y89" t="s">
        <v>3024</v>
      </c>
      <c r="Z89" t="s">
        <v>2387</v>
      </c>
      <c r="AA89" t="s">
        <v>2977</v>
      </c>
      <c r="AB89" t="s">
        <v>3025</v>
      </c>
      <c r="AC89" t="s">
        <v>3026</v>
      </c>
      <c r="AD89" t="s">
        <v>2984</v>
      </c>
      <c r="AH89" t="s">
        <v>3027</v>
      </c>
      <c r="AI89" t="s">
        <v>2651</v>
      </c>
      <c r="AJ89" t="s">
        <v>3028</v>
      </c>
      <c r="AK89" t="s">
        <v>3029</v>
      </c>
      <c r="AL89" t="s">
        <v>3030</v>
      </c>
      <c r="AM89" t="s">
        <v>3031</v>
      </c>
      <c r="AN89" t="s">
        <v>3032</v>
      </c>
      <c r="AO89" t="s">
        <v>3028</v>
      </c>
      <c r="AP89">
        <v>10</v>
      </c>
      <c r="AQ89">
        <v>10</v>
      </c>
      <c r="AR89">
        <v>10</v>
      </c>
      <c r="AS89" t="s">
        <v>3033</v>
      </c>
      <c r="AT89">
        <v>0</v>
      </c>
      <c r="AU89">
        <v>0</v>
      </c>
      <c r="AV89">
        <v>0</v>
      </c>
    </row>
    <row r="90" spans="1:48">
      <c r="A90" s="1">
        <f>_xlfn.XLOOKUP(J90,数据!E:E,数据!A:A)</f>
        <v>4</v>
      </c>
      <c r="B90" s="1">
        <f>_xlfn.XLOOKUP(J90,数据!E:E,数据!B:B)</f>
        <v>16</v>
      </c>
      <c r="C90" s="1" t="str">
        <f>_xlfn.XLOOKUP(J90,数据!E:E,数据!J:J)</f>
        <v>空派</v>
      </c>
      <c r="D90" s="1" t="str" cm="1">
        <f t="array" ref="D90">IF(OR(C90="红单",C90="空派"),_xlfn.IFS(E90="未开售","新品首批发货",F90&lt;E90,"新品首批发货",F90-E90&lt;=60,"新品期补货空运",F90-E90&gt;60,"老品应急空运"),"海运，不进行分析")</f>
        <v>新品期补货空运</v>
      </c>
      <c r="E90" s="2">
        <v>46113</v>
      </c>
      <c r="F90" s="2">
        <f>_xlfn.XLOOKUP(J90,数据!E:E,数据!C:C)</f>
        <v>46128</v>
      </c>
      <c r="G90" s="4">
        <v>384.8</v>
      </c>
      <c r="H90" s="4">
        <f>G90*AP90/1000</f>
        <v>18.8552</v>
      </c>
      <c r="I90" s="4">
        <f>_xlfn.XLOOKUP(J90,数据!E:E,数据!S:S)*(H90/_xlfn.XLOOKUP(J90,数据!E:E,数据!X:X))</f>
        <v>1415.20160672501</v>
      </c>
      <c r="J90" t="s">
        <v>1994</v>
      </c>
      <c r="K90" t="s">
        <v>56</v>
      </c>
      <c r="L90" t="s">
        <v>2374</v>
      </c>
      <c r="M90" t="s">
        <v>3019</v>
      </c>
      <c r="N90" t="s">
        <v>2376</v>
      </c>
      <c r="O90" t="s">
        <v>2400</v>
      </c>
      <c r="P90" t="s">
        <v>2378</v>
      </c>
      <c r="Q90" t="s">
        <v>2379</v>
      </c>
      <c r="R90" t="s">
        <v>3020</v>
      </c>
      <c r="S90" t="s">
        <v>2511</v>
      </c>
      <c r="T90" s="3" t="s">
        <v>2977</v>
      </c>
      <c r="U90" t="s">
        <v>3021</v>
      </c>
      <c r="V90" t="s">
        <v>3022</v>
      </c>
      <c r="W90" t="s">
        <v>3023</v>
      </c>
      <c r="X90" t="s">
        <v>2403</v>
      </c>
      <c r="Y90" t="s">
        <v>3024</v>
      </c>
      <c r="Z90" t="s">
        <v>2387</v>
      </c>
      <c r="AA90" t="s">
        <v>2977</v>
      </c>
      <c r="AB90" t="s">
        <v>3025</v>
      </c>
      <c r="AC90" t="s">
        <v>3026</v>
      </c>
      <c r="AD90" t="s">
        <v>2984</v>
      </c>
      <c r="AH90" t="s">
        <v>3027</v>
      </c>
      <c r="AI90" t="s">
        <v>2651</v>
      </c>
      <c r="AJ90" t="s">
        <v>2571</v>
      </c>
      <c r="AK90" t="s">
        <v>2572</v>
      </c>
      <c r="AL90" t="s">
        <v>2573</v>
      </c>
      <c r="AM90" t="s">
        <v>2573</v>
      </c>
      <c r="AN90" t="s">
        <v>2574</v>
      </c>
      <c r="AO90" t="s">
        <v>2571</v>
      </c>
      <c r="AP90">
        <v>49</v>
      </c>
      <c r="AQ90">
        <v>49</v>
      </c>
      <c r="AR90">
        <v>49</v>
      </c>
      <c r="AS90" t="s">
        <v>3034</v>
      </c>
      <c r="AT90">
        <v>0</v>
      </c>
      <c r="AU90">
        <v>0</v>
      </c>
      <c r="AV90">
        <v>0</v>
      </c>
    </row>
    <row r="91" spans="1:48">
      <c r="A91" s="1">
        <f>_xlfn.XLOOKUP(J91,数据!E:E,数据!A:A)</f>
        <v>4</v>
      </c>
      <c r="B91" s="1">
        <f>_xlfn.XLOOKUP(J91,数据!E:E,数据!B:B)</f>
        <v>16</v>
      </c>
      <c r="C91" s="1" t="str">
        <f>_xlfn.XLOOKUP(J91,数据!E:E,数据!J:J)</f>
        <v>空派</v>
      </c>
      <c r="D91" s="1" t="str" cm="1">
        <f t="array" ref="D91">IF(OR(C91="红单",C91="空派"),_xlfn.IFS(E91="未开售","新品首批发货",F91&lt;E91,"新品首批发货",F91-E91&lt;=60,"新品期补货空运",F91-E91&gt;60,"老品应急空运"),"海运，不进行分析")</f>
        <v>新品期补货空运</v>
      </c>
      <c r="E91" s="2">
        <v>46108</v>
      </c>
      <c r="F91" s="2">
        <f>_xlfn.XLOOKUP(J91,数据!E:E,数据!C:C)</f>
        <v>46128</v>
      </c>
      <c r="G91" s="4">
        <v>243</v>
      </c>
      <c r="H91" s="4">
        <f>G91*AP91/1000</f>
        <v>6.075</v>
      </c>
      <c r="I91" s="4">
        <f>_xlfn.XLOOKUP(J91,数据!E:E,数据!S:S)*(H91/_xlfn.XLOOKUP(J91,数据!E:E,数据!X:X))</f>
        <v>455.967041498072</v>
      </c>
      <c r="J91" t="s">
        <v>1994</v>
      </c>
      <c r="K91" t="s">
        <v>56</v>
      </c>
      <c r="L91" t="s">
        <v>2374</v>
      </c>
      <c r="M91" t="s">
        <v>3019</v>
      </c>
      <c r="N91" t="s">
        <v>2376</v>
      </c>
      <c r="O91" t="s">
        <v>2400</v>
      </c>
      <c r="P91" t="s">
        <v>2378</v>
      </c>
      <c r="Q91" t="s">
        <v>2379</v>
      </c>
      <c r="R91" t="s">
        <v>3020</v>
      </c>
      <c r="S91" t="s">
        <v>2511</v>
      </c>
      <c r="T91" s="3" t="s">
        <v>2977</v>
      </c>
      <c r="U91" t="s">
        <v>3021</v>
      </c>
      <c r="V91" t="s">
        <v>3022</v>
      </c>
      <c r="W91" t="s">
        <v>3023</v>
      </c>
      <c r="X91" t="s">
        <v>2403</v>
      </c>
      <c r="Y91" t="s">
        <v>3024</v>
      </c>
      <c r="Z91" t="s">
        <v>2387</v>
      </c>
      <c r="AA91" t="s">
        <v>2977</v>
      </c>
      <c r="AB91" t="s">
        <v>3025</v>
      </c>
      <c r="AC91" t="s">
        <v>3026</v>
      </c>
      <c r="AD91" t="s">
        <v>2984</v>
      </c>
      <c r="AH91" t="s">
        <v>3027</v>
      </c>
      <c r="AI91" t="s">
        <v>2651</v>
      </c>
      <c r="AJ91" t="s">
        <v>3035</v>
      </c>
      <c r="AK91" t="s">
        <v>3036</v>
      </c>
      <c r="AL91" t="s">
        <v>3037</v>
      </c>
      <c r="AM91" t="s">
        <v>2396</v>
      </c>
      <c r="AN91" t="s">
        <v>3038</v>
      </c>
      <c r="AO91" t="s">
        <v>3035</v>
      </c>
      <c r="AP91">
        <v>25</v>
      </c>
      <c r="AQ91">
        <v>25</v>
      </c>
      <c r="AR91">
        <v>25</v>
      </c>
      <c r="AS91" t="s">
        <v>3039</v>
      </c>
      <c r="AT91">
        <v>0</v>
      </c>
      <c r="AU91">
        <v>0</v>
      </c>
      <c r="AV91">
        <v>0</v>
      </c>
    </row>
    <row r="92" spans="1:48">
      <c r="A92" s="1">
        <f>_xlfn.XLOOKUP(J92,数据!E:E,数据!A:A)</f>
        <v>4</v>
      </c>
      <c r="B92" s="1">
        <f>_xlfn.XLOOKUP(J92,数据!E:E,数据!B:B)</f>
        <v>16</v>
      </c>
      <c r="C92" s="1" t="str">
        <f>_xlfn.XLOOKUP(J92,数据!E:E,数据!J:J)</f>
        <v>红单</v>
      </c>
      <c r="D92" s="1" t="str" cm="1">
        <f t="array" ref="D92">IF(OR(C92="红单",C92="空派"),_xlfn.IFS(E92="未开售","新品首批发货",F92&lt;E92,"新品首批发货",F92-E92&lt;=60,"新品期补货空运",F92-E92&gt;60,"老品应急空运"),"海运，不进行分析")</f>
        <v>新品首批发货</v>
      </c>
      <c r="E92" s="2" t="s">
        <v>2423</v>
      </c>
      <c r="F92" s="2">
        <f>_xlfn.XLOOKUP(J92,数据!E:E,数据!C:C)</f>
        <v>46128</v>
      </c>
      <c r="G92" s="4">
        <v>96</v>
      </c>
      <c r="H92" s="4">
        <f>G92*AP92/1000</f>
        <v>14.4</v>
      </c>
      <c r="I92" s="4">
        <f>_xlfn.XLOOKUP(J92,数据!E:E,数据!S:S)*(H92/_xlfn.XLOOKUP(J92,数据!E:E,数据!X:X))</f>
        <v>1299.69588377724</v>
      </c>
      <c r="J92" t="s">
        <v>1993</v>
      </c>
      <c r="K92" t="s">
        <v>37</v>
      </c>
      <c r="L92" t="s">
        <v>2374</v>
      </c>
      <c r="M92" t="s">
        <v>3040</v>
      </c>
      <c r="N92" t="s">
        <v>2376</v>
      </c>
      <c r="O92" t="s">
        <v>2400</v>
      </c>
      <c r="P92" t="s">
        <v>2378</v>
      </c>
      <c r="Q92" t="s">
        <v>2379</v>
      </c>
      <c r="R92" t="s">
        <v>3041</v>
      </c>
      <c r="S92" t="s">
        <v>3042</v>
      </c>
      <c r="T92" s="3" t="s">
        <v>3043</v>
      </c>
      <c r="U92" t="s">
        <v>2978</v>
      </c>
      <c r="V92" t="s">
        <v>2384</v>
      </c>
      <c r="W92" t="s">
        <v>2384</v>
      </c>
      <c r="X92" t="s">
        <v>2385</v>
      </c>
      <c r="Y92" t="s">
        <v>3044</v>
      </c>
      <c r="Z92" t="s">
        <v>2405</v>
      </c>
      <c r="AA92" t="s">
        <v>3043</v>
      </c>
      <c r="AB92" t="s">
        <v>3045</v>
      </c>
      <c r="AC92" t="s">
        <v>3046</v>
      </c>
      <c r="AD92" t="s">
        <v>3047</v>
      </c>
      <c r="AH92" t="s">
        <v>2651</v>
      </c>
      <c r="AI92" t="s">
        <v>2433</v>
      </c>
      <c r="AJ92" t="s">
        <v>3048</v>
      </c>
      <c r="AK92" t="s">
        <v>3049</v>
      </c>
      <c r="AL92" t="s">
        <v>3050</v>
      </c>
      <c r="AM92" t="s">
        <v>2800</v>
      </c>
      <c r="AN92" t="s">
        <v>3051</v>
      </c>
      <c r="AO92" t="s">
        <v>3048</v>
      </c>
      <c r="AP92">
        <v>150</v>
      </c>
      <c r="AQ92">
        <v>150</v>
      </c>
      <c r="AR92">
        <v>0</v>
      </c>
      <c r="AT92">
        <v>0</v>
      </c>
      <c r="AU92">
        <v>-150</v>
      </c>
      <c r="AV92">
        <v>150</v>
      </c>
    </row>
    <row r="93" spans="1:48">
      <c r="A93" s="1">
        <f>_xlfn.XLOOKUP(J93,数据!E:E,数据!A:A)</f>
        <v>4</v>
      </c>
      <c r="B93" s="1">
        <f>_xlfn.XLOOKUP(J93,数据!E:E,数据!B:B)</f>
        <v>16</v>
      </c>
      <c r="C93" s="1" t="str">
        <f>_xlfn.XLOOKUP(J93,数据!E:E,数据!J:J)</f>
        <v>红单</v>
      </c>
      <c r="D93" s="1" t="str" cm="1">
        <f t="array" ref="D93">IF(OR(C93="红单",C93="空派"),_xlfn.IFS(E93="未开售","新品首批发货",F93&lt;E93,"新品首批发货",F93-E93&lt;=60,"新品期补货空运",F93-E93&gt;60,"老品应急空运"),"海运，不进行分析")</f>
        <v>新品首批发货</v>
      </c>
      <c r="E93" s="2" t="s">
        <v>2423</v>
      </c>
      <c r="F93" s="2">
        <f>_xlfn.XLOOKUP(J93,数据!E:E,数据!C:C)</f>
        <v>46128</v>
      </c>
      <c r="G93" s="4">
        <v>96</v>
      </c>
      <c r="H93" s="4">
        <f>G93*AP93/1000</f>
        <v>14.4</v>
      </c>
      <c r="I93" s="4">
        <f>_xlfn.XLOOKUP(J93,数据!E:E,数据!S:S)*(H93/_xlfn.XLOOKUP(J93,数据!E:E,数据!X:X))</f>
        <v>1299.69588377724</v>
      </c>
      <c r="J93" t="s">
        <v>1993</v>
      </c>
      <c r="K93" t="s">
        <v>37</v>
      </c>
      <c r="L93" t="s">
        <v>2374</v>
      </c>
      <c r="M93" t="s">
        <v>3040</v>
      </c>
      <c r="N93" t="s">
        <v>2376</v>
      </c>
      <c r="O93" t="s">
        <v>2400</v>
      </c>
      <c r="P93" t="s">
        <v>2378</v>
      </c>
      <c r="Q93" t="s">
        <v>2379</v>
      </c>
      <c r="R93" t="s">
        <v>3041</v>
      </c>
      <c r="S93" t="s">
        <v>3042</v>
      </c>
      <c r="T93" s="3" t="s">
        <v>3043</v>
      </c>
      <c r="U93" t="s">
        <v>2978</v>
      </c>
      <c r="V93" t="s">
        <v>2384</v>
      </c>
      <c r="W93" t="s">
        <v>2384</v>
      </c>
      <c r="X93" t="s">
        <v>2385</v>
      </c>
      <c r="Y93" t="s">
        <v>3044</v>
      </c>
      <c r="Z93" t="s">
        <v>2405</v>
      </c>
      <c r="AA93" t="s">
        <v>3043</v>
      </c>
      <c r="AB93" t="s">
        <v>3045</v>
      </c>
      <c r="AC93" t="s">
        <v>3046</v>
      </c>
      <c r="AD93" t="s">
        <v>3047</v>
      </c>
      <c r="AH93" t="s">
        <v>2651</v>
      </c>
      <c r="AI93" t="s">
        <v>2433</v>
      </c>
      <c r="AJ93" t="s">
        <v>3052</v>
      </c>
      <c r="AK93" t="s">
        <v>3053</v>
      </c>
      <c r="AL93" t="s">
        <v>3054</v>
      </c>
      <c r="AM93" t="s">
        <v>2800</v>
      </c>
      <c r="AN93" t="s">
        <v>3055</v>
      </c>
      <c r="AO93" t="s">
        <v>3052</v>
      </c>
      <c r="AP93">
        <v>150</v>
      </c>
      <c r="AQ93">
        <v>150</v>
      </c>
      <c r="AR93">
        <v>0</v>
      </c>
      <c r="AT93">
        <v>0</v>
      </c>
      <c r="AU93">
        <v>-150</v>
      </c>
      <c r="AV93">
        <v>150</v>
      </c>
    </row>
    <row r="94" spans="1:48">
      <c r="A94" s="1">
        <f>_xlfn.XLOOKUP(J94,数据!E:E,数据!A:A)</f>
        <v>4</v>
      </c>
      <c r="B94" s="1">
        <f>_xlfn.XLOOKUP(J94,数据!E:E,数据!B:B)</f>
        <v>16</v>
      </c>
      <c r="C94" s="1" t="str">
        <f>_xlfn.XLOOKUP(J94,数据!E:E,数据!J:J)</f>
        <v>红单</v>
      </c>
      <c r="D94" s="1" t="str" cm="1">
        <f t="array" ref="D94">IF(OR(C94="红单",C94="空派"),_xlfn.IFS(E94="未开售","新品首批发货",F94&lt;E94,"新品首批发货",F94-E94&lt;=60,"新品期补货空运",F94-E94&gt;60,"老品应急空运"),"海运，不进行分析")</f>
        <v>新品首批发货</v>
      </c>
      <c r="E94" s="2" t="s">
        <v>2423</v>
      </c>
      <c r="F94" s="2">
        <f>_xlfn.XLOOKUP(J94,数据!E:E,数据!C:C)</f>
        <v>46128</v>
      </c>
      <c r="G94" s="4">
        <v>96</v>
      </c>
      <c r="H94" s="4">
        <f>G94*AP94/1000</f>
        <v>14.4</v>
      </c>
      <c r="I94" s="4">
        <f>_xlfn.XLOOKUP(J94,数据!E:E,数据!S:S)*(H94/_xlfn.XLOOKUP(J94,数据!E:E,数据!X:X))</f>
        <v>1299.69588377724</v>
      </c>
      <c r="J94" t="s">
        <v>1993</v>
      </c>
      <c r="K94" t="s">
        <v>37</v>
      </c>
      <c r="L94" t="s">
        <v>2374</v>
      </c>
      <c r="M94" t="s">
        <v>3040</v>
      </c>
      <c r="N94" t="s">
        <v>2376</v>
      </c>
      <c r="O94" t="s">
        <v>2400</v>
      </c>
      <c r="P94" t="s">
        <v>2378</v>
      </c>
      <c r="Q94" t="s">
        <v>2379</v>
      </c>
      <c r="R94" t="s">
        <v>3041</v>
      </c>
      <c r="S94" t="s">
        <v>3042</v>
      </c>
      <c r="T94" s="3" t="s">
        <v>3043</v>
      </c>
      <c r="U94" t="s">
        <v>2978</v>
      </c>
      <c r="V94" t="s">
        <v>2384</v>
      </c>
      <c r="W94" t="s">
        <v>2384</v>
      </c>
      <c r="X94" t="s">
        <v>2385</v>
      </c>
      <c r="Y94" t="s">
        <v>3044</v>
      </c>
      <c r="Z94" t="s">
        <v>2405</v>
      </c>
      <c r="AA94" t="s">
        <v>3043</v>
      </c>
      <c r="AB94" t="s">
        <v>3045</v>
      </c>
      <c r="AC94" t="s">
        <v>3046</v>
      </c>
      <c r="AD94" t="s">
        <v>3047</v>
      </c>
      <c r="AH94" t="s">
        <v>2651</v>
      </c>
      <c r="AI94" t="s">
        <v>2433</v>
      </c>
      <c r="AJ94" t="s">
        <v>3056</v>
      </c>
      <c r="AK94" t="s">
        <v>3057</v>
      </c>
      <c r="AL94" t="s">
        <v>3058</v>
      </c>
      <c r="AM94" t="s">
        <v>2800</v>
      </c>
      <c r="AN94" t="s">
        <v>3059</v>
      </c>
      <c r="AO94" t="s">
        <v>3056</v>
      </c>
      <c r="AP94">
        <v>150</v>
      </c>
      <c r="AQ94">
        <v>150</v>
      </c>
      <c r="AR94">
        <v>0</v>
      </c>
      <c r="AT94">
        <v>0</v>
      </c>
      <c r="AU94">
        <v>-150</v>
      </c>
      <c r="AV94">
        <v>150</v>
      </c>
    </row>
    <row r="95" spans="1:48">
      <c r="A95" s="1">
        <f>_xlfn.XLOOKUP(J95,数据!E:E,数据!A:A)</f>
        <v>4</v>
      </c>
      <c r="B95" s="1">
        <f>_xlfn.XLOOKUP(J95,数据!E:E,数据!B:B)</f>
        <v>16</v>
      </c>
      <c r="C95" s="1" t="str">
        <f>_xlfn.XLOOKUP(J95,数据!E:E,数据!J:J)</f>
        <v>红单</v>
      </c>
      <c r="D95" s="1" t="str" cm="1">
        <f t="array" ref="D95">IF(OR(C95="红单",C95="空派"),_xlfn.IFS(E95="未开售","新品首批发货",F95&lt;E95,"新品首批发货",F95-E95&lt;=60,"新品期补货空运",F95-E95&gt;60,"老品应急空运"),"海运，不进行分析")</f>
        <v>新品首批发货</v>
      </c>
      <c r="E95" s="2" t="s">
        <v>2423</v>
      </c>
      <c r="F95" s="2">
        <f>_xlfn.XLOOKUP(J95,数据!E:E,数据!C:C)</f>
        <v>46128</v>
      </c>
      <c r="G95" s="4">
        <v>96</v>
      </c>
      <c r="H95" s="4">
        <f>G95*AP95/1000</f>
        <v>14.4</v>
      </c>
      <c r="I95" s="4">
        <f>_xlfn.XLOOKUP(J95,数据!E:E,数据!S:S)*(H95/_xlfn.XLOOKUP(J95,数据!E:E,数据!X:X))</f>
        <v>1299.69588377724</v>
      </c>
      <c r="J95" t="s">
        <v>1993</v>
      </c>
      <c r="K95" t="s">
        <v>37</v>
      </c>
      <c r="L95" t="s">
        <v>2374</v>
      </c>
      <c r="M95" t="s">
        <v>3040</v>
      </c>
      <c r="N95" t="s">
        <v>2376</v>
      </c>
      <c r="O95" t="s">
        <v>2400</v>
      </c>
      <c r="P95" t="s">
        <v>2378</v>
      </c>
      <c r="Q95" t="s">
        <v>2379</v>
      </c>
      <c r="R95" t="s">
        <v>3041</v>
      </c>
      <c r="S95" t="s">
        <v>3042</v>
      </c>
      <c r="T95" s="3" t="s">
        <v>3043</v>
      </c>
      <c r="U95" t="s">
        <v>2978</v>
      </c>
      <c r="V95" t="s">
        <v>2384</v>
      </c>
      <c r="W95" t="s">
        <v>2384</v>
      </c>
      <c r="X95" t="s">
        <v>2385</v>
      </c>
      <c r="Y95" t="s">
        <v>3044</v>
      </c>
      <c r="Z95" t="s">
        <v>2405</v>
      </c>
      <c r="AA95" t="s">
        <v>3043</v>
      </c>
      <c r="AB95" t="s">
        <v>3045</v>
      </c>
      <c r="AC95" t="s">
        <v>3046</v>
      </c>
      <c r="AD95" t="s">
        <v>3047</v>
      </c>
      <c r="AH95" t="s">
        <v>2651</v>
      </c>
      <c r="AI95" t="s">
        <v>2433</v>
      </c>
      <c r="AJ95" t="s">
        <v>3060</v>
      </c>
      <c r="AK95" t="s">
        <v>3061</v>
      </c>
      <c r="AL95" t="s">
        <v>3062</v>
      </c>
      <c r="AM95" t="s">
        <v>2800</v>
      </c>
      <c r="AN95" t="s">
        <v>3063</v>
      </c>
      <c r="AO95" t="s">
        <v>3060</v>
      </c>
      <c r="AP95">
        <v>150</v>
      </c>
      <c r="AQ95">
        <v>150</v>
      </c>
      <c r="AR95">
        <v>0</v>
      </c>
      <c r="AT95">
        <v>0</v>
      </c>
      <c r="AU95">
        <v>-150</v>
      </c>
      <c r="AV95">
        <v>150</v>
      </c>
    </row>
    <row r="96" spans="1:48">
      <c r="A96" s="1">
        <f>_xlfn.XLOOKUP(J96,数据!E:E,数据!A:A)</f>
        <v>4</v>
      </c>
      <c r="B96" s="1">
        <f>_xlfn.XLOOKUP(J96,数据!E:E,数据!B:B)</f>
        <v>16</v>
      </c>
      <c r="C96" s="1" t="str">
        <f>_xlfn.XLOOKUP(J96,数据!E:E,数据!J:J)</f>
        <v>红单</v>
      </c>
      <c r="D96" s="1" t="str" cm="1">
        <f t="array" ref="D96">IF(OR(C96="红单",C96="空派"),_xlfn.IFS(E96="未开售","新品首批发货",F96&lt;E96,"新品首批发货",F96-E96&lt;=60,"新品期补货空运",F96-E96&gt;60,"老品应急空运"),"海运，不进行分析")</f>
        <v>新品首批发货</v>
      </c>
      <c r="E96" s="2" t="s">
        <v>2423</v>
      </c>
      <c r="F96" s="2">
        <f>_xlfn.XLOOKUP(J96,数据!E:E,数据!C:C)</f>
        <v>46128</v>
      </c>
      <c r="G96" s="4">
        <v>96</v>
      </c>
      <c r="H96" s="4">
        <f>G96*AP96/1000</f>
        <v>9.6</v>
      </c>
      <c r="I96" s="4">
        <f>_xlfn.XLOOKUP(J96,数据!E:E,数据!S:S)*(H96/_xlfn.XLOOKUP(J96,数据!E:E,数据!X:X))</f>
        <v>866.46392251816</v>
      </c>
      <c r="J96" t="s">
        <v>1993</v>
      </c>
      <c r="K96" t="s">
        <v>37</v>
      </c>
      <c r="L96" t="s">
        <v>2374</v>
      </c>
      <c r="M96" t="s">
        <v>3040</v>
      </c>
      <c r="N96" t="s">
        <v>2376</v>
      </c>
      <c r="O96" t="s">
        <v>2400</v>
      </c>
      <c r="P96" t="s">
        <v>2378</v>
      </c>
      <c r="Q96" t="s">
        <v>2379</v>
      </c>
      <c r="R96" t="s">
        <v>3041</v>
      </c>
      <c r="S96" t="s">
        <v>3042</v>
      </c>
      <c r="T96" s="3" t="s">
        <v>3043</v>
      </c>
      <c r="U96" t="s">
        <v>2978</v>
      </c>
      <c r="V96" t="s">
        <v>2384</v>
      </c>
      <c r="W96" t="s">
        <v>2384</v>
      </c>
      <c r="X96" t="s">
        <v>2385</v>
      </c>
      <c r="Y96" t="s">
        <v>3044</v>
      </c>
      <c r="Z96" t="s">
        <v>2405</v>
      </c>
      <c r="AA96" t="s">
        <v>3043</v>
      </c>
      <c r="AB96" t="s">
        <v>3045</v>
      </c>
      <c r="AC96" t="s">
        <v>3046</v>
      </c>
      <c r="AD96" t="s">
        <v>3047</v>
      </c>
      <c r="AH96" t="s">
        <v>2651</v>
      </c>
      <c r="AI96" t="s">
        <v>2433</v>
      </c>
      <c r="AJ96" t="s">
        <v>3064</v>
      </c>
      <c r="AK96" t="s">
        <v>3065</v>
      </c>
      <c r="AL96" t="s">
        <v>3066</v>
      </c>
      <c r="AM96" t="s">
        <v>3067</v>
      </c>
      <c r="AN96" t="s">
        <v>3068</v>
      </c>
      <c r="AO96" t="s">
        <v>3064</v>
      </c>
      <c r="AP96">
        <v>100</v>
      </c>
      <c r="AQ96">
        <v>100</v>
      </c>
      <c r="AR96">
        <v>0</v>
      </c>
      <c r="AT96">
        <v>0</v>
      </c>
      <c r="AU96">
        <v>-100</v>
      </c>
      <c r="AV96">
        <v>100</v>
      </c>
    </row>
    <row r="97" spans="1:48">
      <c r="A97" s="1">
        <f>_xlfn.XLOOKUP(J97,数据!E:E,数据!A:A)</f>
        <v>4</v>
      </c>
      <c r="B97" s="1">
        <f>_xlfn.XLOOKUP(J97,数据!E:E,数据!B:B)</f>
        <v>16</v>
      </c>
      <c r="C97" s="1" t="str">
        <f>_xlfn.XLOOKUP(J97,数据!E:E,数据!J:J)</f>
        <v>红单</v>
      </c>
      <c r="D97" s="1" t="str" cm="1">
        <f t="array" ref="D97">IF(OR(C97="红单",C97="空派"),_xlfn.IFS(E97="未开售","新品首批发货",F97&lt;E97,"新品首批发货",F97-E97&lt;=60,"新品期补货空运",F97-E97&gt;60,"老品应急空运"),"海运，不进行分析")</f>
        <v>新品首批发货</v>
      </c>
      <c r="E97" s="2" t="s">
        <v>2423</v>
      </c>
      <c r="F97" s="2">
        <f>_xlfn.XLOOKUP(J97,数据!E:E,数据!C:C)</f>
        <v>46128</v>
      </c>
      <c r="G97" s="4">
        <v>96</v>
      </c>
      <c r="H97" s="4">
        <f>G97*AP97/1000</f>
        <v>9.6</v>
      </c>
      <c r="I97" s="4">
        <f>_xlfn.XLOOKUP(J97,数据!E:E,数据!S:S)*(H97/_xlfn.XLOOKUP(J97,数据!E:E,数据!X:X))</f>
        <v>866.46392251816</v>
      </c>
      <c r="J97" t="s">
        <v>1993</v>
      </c>
      <c r="K97" t="s">
        <v>37</v>
      </c>
      <c r="L97" t="s">
        <v>2374</v>
      </c>
      <c r="M97" t="s">
        <v>3040</v>
      </c>
      <c r="N97" t="s">
        <v>2376</v>
      </c>
      <c r="O97" t="s">
        <v>2400</v>
      </c>
      <c r="P97" t="s">
        <v>2378</v>
      </c>
      <c r="Q97" t="s">
        <v>2379</v>
      </c>
      <c r="R97" t="s">
        <v>3041</v>
      </c>
      <c r="S97" t="s">
        <v>3042</v>
      </c>
      <c r="T97" s="3" t="s">
        <v>3043</v>
      </c>
      <c r="U97" t="s">
        <v>2978</v>
      </c>
      <c r="V97" t="s">
        <v>2384</v>
      </c>
      <c r="W97" t="s">
        <v>2384</v>
      </c>
      <c r="X97" t="s">
        <v>2385</v>
      </c>
      <c r="Y97" t="s">
        <v>3044</v>
      </c>
      <c r="Z97" t="s">
        <v>2405</v>
      </c>
      <c r="AA97" t="s">
        <v>3043</v>
      </c>
      <c r="AB97" t="s">
        <v>3045</v>
      </c>
      <c r="AC97" t="s">
        <v>3046</v>
      </c>
      <c r="AD97" t="s">
        <v>3047</v>
      </c>
      <c r="AH97" t="s">
        <v>2651</v>
      </c>
      <c r="AI97" t="s">
        <v>2433</v>
      </c>
      <c r="AJ97" t="s">
        <v>3069</v>
      </c>
      <c r="AK97" t="s">
        <v>3070</v>
      </c>
      <c r="AL97" t="s">
        <v>3071</v>
      </c>
      <c r="AM97" t="s">
        <v>3067</v>
      </c>
      <c r="AN97" t="s">
        <v>3072</v>
      </c>
      <c r="AO97" t="s">
        <v>3069</v>
      </c>
      <c r="AP97">
        <v>100</v>
      </c>
      <c r="AQ97">
        <v>100</v>
      </c>
      <c r="AR97">
        <v>0</v>
      </c>
      <c r="AT97">
        <v>0</v>
      </c>
      <c r="AU97">
        <v>-100</v>
      </c>
      <c r="AV97">
        <v>100</v>
      </c>
    </row>
    <row r="98" spans="1:48">
      <c r="A98" s="1">
        <f>_xlfn.XLOOKUP(J98,数据!E:E,数据!A:A)</f>
        <v>4</v>
      </c>
      <c r="B98" s="1">
        <f>_xlfn.XLOOKUP(J98,数据!E:E,数据!B:B)</f>
        <v>16</v>
      </c>
      <c r="C98" s="1" t="str">
        <f>_xlfn.XLOOKUP(J98,数据!E:E,数据!J:J)</f>
        <v>红单</v>
      </c>
      <c r="D98" s="1" t="str" cm="1">
        <f t="array" ref="D98">IF(OR(C98="红单",C98="空派"),_xlfn.IFS(E98="未开售","新品首批发货",F98&lt;E98,"新品首批发货",F98-E98&lt;=60,"新品期补货空运",F98-E98&gt;60,"老品应急空运"),"海运，不进行分析")</f>
        <v>新品期补货空运</v>
      </c>
      <c r="E98" s="2">
        <v>46107</v>
      </c>
      <c r="F98" s="2">
        <f>_xlfn.XLOOKUP(J98,数据!E:E,数据!C:C)</f>
        <v>46128</v>
      </c>
      <c r="G98" s="4">
        <v>116</v>
      </c>
      <c r="H98" s="4">
        <f>G98*AP98/1000</f>
        <v>5.8</v>
      </c>
      <c r="I98" s="4">
        <f>_xlfn.XLOOKUP(J98,数据!E:E,数据!S:S)*(H98/_xlfn.XLOOKUP(J98,数据!E:E,数据!X:X))</f>
        <v>523.488619854721</v>
      </c>
      <c r="J98" t="s">
        <v>1993</v>
      </c>
      <c r="K98" t="s">
        <v>37</v>
      </c>
      <c r="L98" t="s">
        <v>2374</v>
      </c>
      <c r="M98" t="s">
        <v>3040</v>
      </c>
      <c r="N98" t="s">
        <v>2376</v>
      </c>
      <c r="O98" t="s">
        <v>2400</v>
      </c>
      <c r="P98" t="s">
        <v>2378</v>
      </c>
      <c r="Q98" t="s">
        <v>2379</v>
      </c>
      <c r="R98" t="s">
        <v>3041</v>
      </c>
      <c r="S98" t="s">
        <v>3042</v>
      </c>
      <c r="T98" s="3" t="s">
        <v>3043</v>
      </c>
      <c r="U98" t="s">
        <v>2978</v>
      </c>
      <c r="V98" t="s">
        <v>2384</v>
      </c>
      <c r="W98" t="s">
        <v>2384</v>
      </c>
      <c r="X98" t="s">
        <v>2385</v>
      </c>
      <c r="Y98" t="s">
        <v>3044</v>
      </c>
      <c r="Z98" t="s">
        <v>2405</v>
      </c>
      <c r="AA98" t="s">
        <v>3043</v>
      </c>
      <c r="AB98" t="s">
        <v>3045</v>
      </c>
      <c r="AC98" t="s">
        <v>3046</v>
      </c>
      <c r="AD98" t="s">
        <v>3047</v>
      </c>
      <c r="AH98" t="s">
        <v>2651</v>
      </c>
      <c r="AI98" t="s">
        <v>2433</v>
      </c>
      <c r="AJ98" t="s">
        <v>2884</v>
      </c>
      <c r="AK98" t="s">
        <v>2885</v>
      </c>
      <c r="AL98" t="s">
        <v>2886</v>
      </c>
      <c r="AM98" t="s">
        <v>2887</v>
      </c>
      <c r="AN98" t="s">
        <v>2888</v>
      </c>
      <c r="AO98" t="s">
        <v>2884</v>
      </c>
      <c r="AP98">
        <v>50</v>
      </c>
      <c r="AQ98">
        <v>50</v>
      </c>
      <c r="AR98">
        <v>0</v>
      </c>
      <c r="AT98">
        <v>0</v>
      </c>
      <c r="AU98">
        <v>-50</v>
      </c>
      <c r="AV98">
        <v>50</v>
      </c>
    </row>
    <row r="99" spans="1:48">
      <c r="A99" s="1">
        <f>_xlfn.XLOOKUP(J99,数据!E:E,数据!A:A)</f>
        <v>4</v>
      </c>
      <c r="B99" s="1">
        <f>_xlfn.XLOOKUP(J99,数据!E:E,数据!B:B)</f>
        <v>16</v>
      </c>
      <c r="C99" s="1" t="str">
        <f>_xlfn.XLOOKUP(J99,数据!E:E,数据!J:J)</f>
        <v>空派</v>
      </c>
      <c r="D99" s="1" t="str" cm="1">
        <f t="array" ref="D99">IF(OR(C99="红单",C99="空派"),_xlfn.IFS(E99="未开售","新品首批发货",F99&lt;E99,"新品首批发货",F99-E99&lt;=60,"新品期补货空运",F99-E99&gt;60,"老品应急空运"),"海运，不进行分析")</f>
        <v>老品应急空运</v>
      </c>
      <c r="E99" s="2">
        <v>46021</v>
      </c>
      <c r="F99" s="2">
        <f>_xlfn.XLOOKUP(J99,数据!E:E,数据!C:C)</f>
        <v>46127</v>
      </c>
      <c r="G99" s="4">
        <v>230.8</v>
      </c>
      <c r="H99" s="4">
        <f t="shared" ref="H99:H109" si="5">G99*AP99/1000</f>
        <v>11.54</v>
      </c>
      <c r="I99" s="4">
        <f>_xlfn.XLOOKUP(J99,数据!E:E,数据!S:S)*(H99/_xlfn.XLOOKUP(J99,数据!E:E,数据!X:X))</f>
        <v>876.775987727314</v>
      </c>
      <c r="J99" t="s">
        <v>1992</v>
      </c>
      <c r="K99" t="s">
        <v>56</v>
      </c>
      <c r="L99" t="s">
        <v>2374</v>
      </c>
      <c r="M99" t="s">
        <v>3073</v>
      </c>
      <c r="N99" t="s">
        <v>2376</v>
      </c>
      <c r="O99" t="s">
        <v>2400</v>
      </c>
      <c r="P99" t="s">
        <v>2378</v>
      </c>
      <c r="Q99" t="s">
        <v>2379</v>
      </c>
      <c r="R99" t="s">
        <v>3074</v>
      </c>
      <c r="S99" t="s">
        <v>2511</v>
      </c>
      <c r="T99" s="3" t="s">
        <v>3075</v>
      </c>
      <c r="U99" t="s">
        <v>3076</v>
      </c>
      <c r="V99" t="s">
        <v>3077</v>
      </c>
      <c r="W99" t="s">
        <v>3078</v>
      </c>
      <c r="X99" t="s">
        <v>2385</v>
      </c>
      <c r="Y99" t="s">
        <v>3079</v>
      </c>
      <c r="Z99" t="s">
        <v>2387</v>
      </c>
      <c r="AA99" t="s">
        <v>3075</v>
      </c>
      <c r="AB99" t="s">
        <v>3080</v>
      </c>
      <c r="AC99" t="s">
        <v>3081</v>
      </c>
      <c r="AD99" t="s">
        <v>3082</v>
      </c>
      <c r="AH99" t="s">
        <v>3027</v>
      </c>
      <c r="AI99" t="s">
        <v>2651</v>
      </c>
      <c r="AJ99" t="s">
        <v>3083</v>
      </c>
      <c r="AK99" t="s">
        <v>3084</v>
      </c>
      <c r="AL99" t="s">
        <v>3085</v>
      </c>
      <c r="AM99" t="s">
        <v>2396</v>
      </c>
      <c r="AN99" t="s">
        <v>3086</v>
      </c>
      <c r="AO99" t="s">
        <v>3083</v>
      </c>
      <c r="AP99">
        <v>50</v>
      </c>
      <c r="AQ99">
        <v>50</v>
      </c>
      <c r="AR99">
        <v>50</v>
      </c>
      <c r="AS99" t="s">
        <v>3087</v>
      </c>
      <c r="AT99">
        <v>0</v>
      </c>
      <c r="AU99">
        <v>0</v>
      </c>
      <c r="AV99">
        <v>0</v>
      </c>
    </row>
    <row r="100" spans="1:48">
      <c r="A100" s="1">
        <f>_xlfn.XLOOKUP(J100,数据!E:E,数据!A:A)</f>
        <v>4</v>
      </c>
      <c r="B100" s="1">
        <f>_xlfn.XLOOKUP(J100,数据!E:E,数据!B:B)</f>
        <v>16</v>
      </c>
      <c r="C100" s="1" t="str">
        <f>_xlfn.XLOOKUP(J100,数据!E:E,数据!J:J)</f>
        <v>空派</v>
      </c>
      <c r="D100" s="1" t="str" cm="1">
        <f t="array" ref="D100">IF(OR(C100="红单",C100="空派"),_xlfn.IFS(E100="未开售","新品首批发货",F100&lt;E100,"新品首批发货",F100-E100&lt;=60,"新品期补货空运",F100-E100&gt;60,"老品应急空运"),"海运，不进行分析")</f>
        <v>老品应急空运</v>
      </c>
      <c r="E100" s="2">
        <v>46029</v>
      </c>
      <c r="F100" s="2">
        <f>_xlfn.XLOOKUP(J100,数据!E:E,数据!C:C)</f>
        <v>46127</v>
      </c>
      <c r="G100" s="4">
        <v>162</v>
      </c>
      <c r="H100" s="4">
        <f t="shared" si="5"/>
        <v>4.86</v>
      </c>
      <c r="I100" s="4">
        <f>_xlfn.XLOOKUP(J100,数据!E:E,数据!S:S)*(H100/_xlfn.XLOOKUP(J100,数据!E:E,数据!X:X))</f>
        <v>369.248812855697</v>
      </c>
      <c r="J100" t="s">
        <v>1992</v>
      </c>
      <c r="K100" t="s">
        <v>56</v>
      </c>
      <c r="L100" t="s">
        <v>2374</v>
      </c>
      <c r="M100" t="s">
        <v>3073</v>
      </c>
      <c r="N100" t="s">
        <v>2376</v>
      </c>
      <c r="O100" t="s">
        <v>2400</v>
      </c>
      <c r="P100" t="s">
        <v>2378</v>
      </c>
      <c r="Q100" t="s">
        <v>2379</v>
      </c>
      <c r="R100" t="s">
        <v>3074</v>
      </c>
      <c r="S100" t="s">
        <v>2511</v>
      </c>
      <c r="T100" s="3" t="s">
        <v>3075</v>
      </c>
      <c r="U100" t="s">
        <v>3076</v>
      </c>
      <c r="V100" t="s">
        <v>3077</v>
      </c>
      <c r="W100" t="s">
        <v>3078</v>
      </c>
      <c r="X100" t="s">
        <v>2385</v>
      </c>
      <c r="Y100" t="s">
        <v>3079</v>
      </c>
      <c r="Z100" t="s">
        <v>2387</v>
      </c>
      <c r="AA100" t="s">
        <v>3075</v>
      </c>
      <c r="AB100" t="s">
        <v>3080</v>
      </c>
      <c r="AC100" t="s">
        <v>3081</v>
      </c>
      <c r="AD100" t="s">
        <v>3082</v>
      </c>
      <c r="AH100" t="s">
        <v>3027</v>
      </c>
      <c r="AI100" t="s">
        <v>2651</v>
      </c>
      <c r="AJ100" t="s">
        <v>3088</v>
      </c>
      <c r="AK100" t="s">
        <v>3089</v>
      </c>
      <c r="AL100" t="s">
        <v>3090</v>
      </c>
      <c r="AM100" t="s">
        <v>3091</v>
      </c>
      <c r="AN100" t="s">
        <v>3092</v>
      </c>
      <c r="AO100" t="s">
        <v>3088</v>
      </c>
      <c r="AP100">
        <v>30</v>
      </c>
      <c r="AQ100">
        <v>30</v>
      </c>
      <c r="AR100">
        <v>30</v>
      </c>
      <c r="AS100" t="s">
        <v>3093</v>
      </c>
      <c r="AT100">
        <v>0</v>
      </c>
      <c r="AU100">
        <v>0</v>
      </c>
      <c r="AV100">
        <v>0</v>
      </c>
    </row>
    <row r="101" spans="1:48">
      <c r="A101" s="1">
        <f>_xlfn.XLOOKUP(J101,数据!E:E,数据!A:A)</f>
        <v>4</v>
      </c>
      <c r="B101" s="1">
        <f>_xlfn.XLOOKUP(J101,数据!E:E,数据!B:B)</f>
        <v>16</v>
      </c>
      <c r="C101" s="1" t="str">
        <f>_xlfn.XLOOKUP(J101,数据!E:E,数据!J:J)</f>
        <v>空派</v>
      </c>
      <c r="D101" s="1" t="str" cm="1">
        <f t="array" ref="D101">IF(OR(C101="红单",C101="空派"),_xlfn.IFS(E101="未开售","新品首批发货",F101&lt;E101,"新品首批发货",F101-E101&lt;=60,"新品期补货空运",F101-E101&gt;60,"老品应急空运"),"海运，不进行分析")</f>
        <v>新品期补货空运</v>
      </c>
      <c r="E101" s="2">
        <v>46108</v>
      </c>
      <c r="F101" s="2">
        <f>_xlfn.XLOOKUP(J101,数据!E:E,数据!C:C)</f>
        <v>46127</v>
      </c>
      <c r="G101" s="4">
        <v>243</v>
      </c>
      <c r="H101" s="4">
        <f t="shared" si="5"/>
        <v>12.15</v>
      </c>
      <c r="I101" s="4">
        <f>_xlfn.XLOOKUP(J101,数据!E:E,数据!S:S)*(H101/_xlfn.XLOOKUP(J101,数据!E:E,数据!X:X))</f>
        <v>923.122032139243</v>
      </c>
      <c r="J101" t="s">
        <v>1992</v>
      </c>
      <c r="K101" t="s">
        <v>56</v>
      </c>
      <c r="L101" t="s">
        <v>2374</v>
      </c>
      <c r="M101" t="s">
        <v>3073</v>
      </c>
      <c r="N101" t="s">
        <v>2376</v>
      </c>
      <c r="O101" t="s">
        <v>2400</v>
      </c>
      <c r="P101" t="s">
        <v>2378</v>
      </c>
      <c r="Q101" t="s">
        <v>2379</v>
      </c>
      <c r="R101" t="s">
        <v>3074</v>
      </c>
      <c r="S101" t="s">
        <v>2511</v>
      </c>
      <c r="T101" s="3" t="s">
        <v>3075</v>
      </c>
      <c r="U101" t="s">
        <v>3076</v>
      </c>
      <c r="V101" t="s">
        <v>3077</v>
      </c>
      <c r="W101" t="s">
        <v>3078</v>
      </c>
      <c r="X101" t="s">
        <v>2385</v>
      </c>
      <c r="Y101" t="s">
        <v>3079</v>
      </c>
      <c r="Z101" t="s">
        <v>2387</v>
      </c>
      <c r="AA101" t="s">
        <v>3075</v>
      </c>
      <c r="AB101" t="s">
        <v>3080</v>
      </c>
      <c r="AC101" t="s">
        <v>3081</v>
      </c>
      <c r="AD101" t="s">
        <v>3082</v>
      </c>
      <c r="AH101" t="s">
        <v>3027</v>
      </c>
      <c r="AI101" t="s">
        <v>2651</v>
      </c>
      <c r="AJ101" t="s">
        <v>3035</v>
      </c>
      <c r="AK101" t="s">
        <v>3036</v>
      </c>
      <c r="AL101" t="s">
        <v>3037</v>
      </c>
      <c r="AM101" t="s">
        <v>2396</v>
      </c>
      <c r="AN101" t="s">
        <v>3038</v>
      </c>
      <c r="AO101" t="s">
        <v>3035</v>
      </c>
      <c r="AP101">
        <v>50</v>
      </c>
      <c r="AQ101">
        <v>50</v>
      </c>
      <c r="AR101">
        <v>50</v>
      </c>
      <c r="AS101" t="s">
        <v>3087</v>
      </c>
      <c r="AT101">
        <v>0</v>
      </c>
      <c r="AU101">
        <v>0</v>
      </c>
      <c r="AV101">
        <v>0</v>
      </c>
    </row>
    <row r="102" spans="1:48">
      <c r="A102" s="1">
        <f>_xlfn.XLOOKUP(J102,数据!E:E,数据!A:A)</f>
        <v>4</v>
      </c>
      <c r="B102" s="1">
        <f>_xlfn.XLOOKUP(J102,数据!E:E,数据!B:B)</f>
        <v>16</v>
      </c>
      <c r="C102" s="1" t="str">
        <f>_xlfn.XLOOKUP(J102,数据!E:E,数据!J:J)</f>
        <v>空派</v>
      </c>
      <c r="D102" s="1" t="str" cm="1">
        <f t="array" ref="D102">IF(OR(C102="红单",C102="空派"),_xlfn.IFS(E102="未开售","新品首批发货",F102&lt;E102,"新品首批发货",F102-E102&lt;=60,"新品期补货空运",F102-E102&gt;60,"老品应急空运"),"海运，不进行分析")</f>
        <v>新品期补货空运</v>
      </c>
      <c r="E102" s="2">
        <v>46113</v>
      </c>
      <c r="F102" s="2">
        <f>_xlfn.XLOOKUP(J102,数据!E:E,数据!C:C)</f>
        <v>46127</v>
      </c>
      <c r="G102" s="4">
        <v>384.8</v>
      </c>
      <c r="H102" s="4">
        <f t="shared" si="5"/>
        <v>18.4704</v>
      </c>
      <c r="I102" s="4">
        <f>_xlfn.XLOOKUP(J102,数据!E:E,数据!S:S)*(H102/_xlfn.XLOOKUP(J102,数据!E:E,数据!X:X))</f>
        <v>1403.32783394442</v>
      </c>
      <c r="J102" t="s">
        <v>1992</v>
      </c>
      <c r="K102" t="s">
        <v>56</v>
      </c>
      <c r="L102" t="s">
        <v>2374</v>
      </c>
      <c r="M102" t="s">
        <v>3073</v>
      </c>
      <c r="N102" t="s">
        <v>2376</v>
      </c>
      <c r="O102" t="s">
        <v>2400</v>
      </c>
      <c r="P102" t="s">
        <v>2378</v>
      </c>
      <c r="Q102" t="s">
        <v>2379</v>
      </c>
      <c r="R102" t="s">
        <v>3074</v>
      </c>
      <c r="S102" t="s">
        <v>2511</v>
      </c>
      <c r="T102" s="3" t="s">
        <v>3075</v>
      </c>
      <c r="U102" t="s">
        <v>3076</v>
      </c>
      <c r="V102" t="s">
        <v>3077</v>
      </c>
      <c r="W102" t="s">
        <v>3078</v>
      </c>
      <c r="X102" t="s">
        <v>2385</v>
      </c>
      <c r="Y102" t="s">
        <v>3079</v>
      </c>
      <c r="Z102" t="s">
        <v>2387</v>
      </c>
      <c r="AA102" t="s">
        <v>3075</v>
      </c>
      <c r="AB102" t="s">
        <v>3080</v>
      </c>
      <c r="AC102" t="s">
        <v>3081</v>
      </c>
      <c r="AD102" t="s">
        <v>3082</v>
      </c>
      <c r="AH102" t="s">
        <v>3027</v>
      </c>
      <c r="AI102" t="s">
        <v>2651</v>
      </c>
      <c r="AJ102" t="s">
        <v>2571</v>
      </c>
      <c r="AK102" t="s">
        <v>2572</v>
      </c>
      <c r="AL102" t="s">
        <v>2573</v>
      </c>
      <c r="AM102" t="s">
        <v>2573</v>
      </c>
      <c r="AN102" t="s">
        <v>2574</v>
      </c>
      <c r="AO102" t="s">
        <v>2571</v>
      </c>
      <c r="AP102">
        <v>48</v>
      </c>
      <c r="AQ102">
        <v>48</v>
      </c>
      <c r="AR102">
        <v>47</v>
      </c>
      <c r="AS102" t="s">
        <v>3094</v>
      </c>
      <c r="AT102">
        <v>0</v>
      </c>
      <c r="AU102">
        <v>-1</v>
      </c>
      <c r="AV102">
        <v>1</v>
      </c>
    </row>
    <row r="103" spans="1:48">
      <c r="A103" s="1">
        <f>_xlfn.XLOOKUP(J103,数据!E:E,数据!A:A)</f>
        <v>4</v>
      </c>
      <c r="B103" s="1">
        <f>_xlfn.XLOOKUP(J103,数据!E:E,数据!B:B)</f>
        <v>16</v>
      </c>
      <c r="C103" s="1" t="str">
        <f>_xlfn.XLOOKUP(J103,数据!E:E,数据!J:J)</f>
        <v>空派</v>
      </c>
      <c r="D103" s="1" t="str" cm="1">
        <f t="array" ref="D103">IF(OR(C103="红单",C103="空派"),_xlfn.IFS(E103="未开售","新品首批发货",F103&lt;E103,"新品首批发货",F103-E103&lt;=60,"新品期补货空运",F103-E103&gt;60,"老品应急空运"),"海运，不进行分析")</f>
        <v>新品首批发货</v>
      </c>
      <c r="E103" s="2">
        <v>46144</v>
      </c>
      <c r="F103" s="2">
        <f>_xlfn.XLOOKUP(J103,数据!E:E,数据!C:C)</f>
        <v>46127</v>
      </c>
      <c r="G103" s="4">
        <v>504</v>
      </c>
      <c r="H103" s="4">
        <f t="shared" si="5"/>
        <v>35.28</v>
      </c>
      <c r="I103" s="4">
        <f>_xlfn.XLOOKUP(J103,数据!E:E,数据!S:S)*(H103/_xlfn.XLOOKUP(J103,数据!E:E,数据!X:X))</f>
        <v>2725.37662899263</v>
      </c>
      <c r="J103" t="s">
        <v>1991</v>
      </c>
      <c r="K103" t="s">
        <v>31</v>
      </c>
      <c r="L103" t="s">
        <v>2374</v>
      </c>
      <c r="M103" t="s">
        <v>3095</v>
      </c>
      <c r="N103" t="s">
        <v>2376</v>
      </c>
      <c r="O103" t="s">
        <v>2400</v>
      </c>
      <c r="P103" t="s">
        <v>2378</v>
      </c>
      <c r="Q103" t="s">
        <v>2379</v>
      </c>
      <c r="R103" t="s">
        <v>3096</v>
      </c>
      <c r="S103" t="s">
        <v>2511</v>
      </c>
      <c r="T103" s="3" t="s">
        <v>3097</v>
      </c>
      <c r="U103" t="s">
        <v>3098</v>
      </c>
      <c r="V103" t="s">
        <v>3099</v>
      </c>
      <c r="W103" t="s">
        <v>3100</v>
      </c>
      <c r="X103" t="s">
        <v>2403</v>
      </c>
      <c r="Y103" t="s">
        <v>3101</v>
      </c>
      <c r="Z103" t="s">
        <v>2405</v>
      </c>
      <c r="AA103" t="s">
        <v>3097</v>
      </c>
      <c r="AB103" t="s">
        <v>3102</v>
      </c>
      <c r="AC103" t="s">
        <v>3103</v>
      </c>
      <c r="AD103" t="s">
        <v>3082</v>
      </c>
      <c r="AH103" t="s">
        <v>3027</v>
      </c>
      <c r="AI103" t="s">
        <v>2651</v>
      </c>
      <c r="AJ103" t="s">
        <v>3104</v>
      </c>
      <c r="AK103" t="s">
        <v>3105</v>
      </c>
      <c r="AL103" t="s">
        <v>3106</v>
      </c>
      <c r="AM103" t="s">
        <v>3107</v>
      </c>
      <c r="AN103" t="s">
        <v>3108</v>
      </c>
      <c r="AO103" t="s">
        <v>3104</v>
      </c>
      <c r="AP103">
        <v>70</v>
      </c>
      <c r="AQ103">
        <v>70</v>
      </c>
      <c r="AR103">
        <v>70</v>
      </c>
      <c r="AS103" t="s">
        <v>3109</v>
      </c>
      <c r="AT103">
        <v>0</v>
      </c>
      <c r="AU103">
        <v>0</v>
      </c>
      <c r="AV103">
        <v>0</v>
      </c>
    </row>
    <row r="104" spans="1:48">
      <c r="A104" s="1">
        <f>_xlfn.XLOOKUP(J104,数据!E:E,数据!A:A)</f>
        <v>4</v>
      </c>
      <c r="B104" s="1">
        <f>_xlfn.XLOOKUP(J104,数据!E:E,数据!B:B)</f>
        <v>16</v>
      </c>
      <c r="C104" s="1" t="str">
        <f>_xlfn.XLOOKUP(J104,数据!E:E,数据!J:J)</f>
        <v>空派</v>
      </c>
      <c r="D104" s="1" t="str" cm="1">
        <f t="array" ref="D104">IF(OR(C104="红单",C104="空派"),_xlfn.IFS(E104="未开售","新品首批发货",F104&lt;E104,"新品首批发货",F104-E104&lt;=60,"新品期补货空运",F104-E104&gt;60,"老品应急空运"),"海运，不进行分析")</f>
        <v>新品首批发货</v>
      </c>
      <c r="E104" s="2">
        <v>46149</v>
      </c>
      <c r="F104" s="2">
        <f>_xlfn.XLOOKUP(J104,数据!E:E,数据!C:C)</f>
        <v>46127</v>
      </c>
      <c r="G104" s="4">
        <v>114</v>
      </c>
      <c r="H104" s="4">
        <f t="shared" si="5"/>
        <v>9.12</v>
      </c>
      <c r="I104" s="4">
        <f>_xlfn.XLOOKUP(J104,数据!E:E,数据!S:S)*(H104/_xlfn.XLOOKUP(J104,数据!E:E,数据!X:X))</f>
        <v>704.519128583129</v>
      </c>
      <c r="J104" t="s">
        <v>1991</v>
      </c>
      <c r="K104" t="s">
        <v>31</v>
      </c>
      <c r="L104" t="s">
        <v>2374</v>
      </c>
      <c r="M104" t="s">
        <v>3095</v>
      </c>
      <c r="N104" t="s">
        <v>2376</v>
      </c>
      <c r="O104" t="s">
        <v>2400</v>
      </c>
      <c r="P104" t="s">
        <v>2378</v>
      </c>
      <c r="Q104" t="s">
        <v>2379</v>
      </c>
      <c r="R104" t="s">
        <v>3096</v>
      </c>
      <c r="S104" t="s">
        <v>2511</v>
      </c>
      <c r="T104" s="3" t="s">
        <v>3097</v>
      </c>
      <c r="U104" t="s">
        <v>3098</v>
      </c>
      <c r="V104" t="s">
        <v>3099</v>
      </c>
      <c r="W104" t="s">
        <v>3100</v>
      </c>
      <c r="X104" t="s">
        <v>2403</v>
      </c>
      <c r="Y104" t="s">
        <v>3101</v>
      </c>
      <c r="Z104" t="s">
        <v>2405</v>
      </c>
      <c r="AA104" t="s">
        <v>3097</v>
      </c>
      <c r="AB104" t="s">
        <v>3102</v>
      </c>
      <c r="AC104" t="s">
        <v>3103</v>
      </c>
      <c r="AD104" t="s">
        <v>3082</v>
      </c>
      <c r="AH104" t="s">
        <v>3027</v>
      </c>
      <c r="AI104" t="s">
        <v>2651</v>
      </c>
      <c r="AJ104" t="s">
        <v>3110</v>
      </c>
      <c r="AK104" t="s">
        <v>3111</v>
      </c>
      <c r="AL104" t="s">
        <v>3112</v>
      </c>
      <c r="AM104" t="s">
        <v>3113</v>
      </c>
      <c r="AN104" t="s">
        <v>3114</v>
      </c>
      <c r="AO104" t="s">
        <v>3110</v>
      </c>
      <c r="AP104">
        <v>80</v>
      </c>
      <c r="AQ104">
        <v>80</v>
      </c>
      <c r="AR104">
        <v>80</v>
      </c>
      <c r="AS104" t="s">
        <v>3115</v>
      </c>
      <c r="AT104">
        <v>0</v>
      </c>
      <c r="AU104">
        <v>0</v>
      </c>
      <c r="AV104">
        <v>0</v>
      </c>
    </row>
    <row r="105" spans="1:48">
      <c r="A105" s="1">
        <f>_xlfn.XLOOKUP(J105,数据!E:E,数据!A:A)</f>
        <v>4</v>
      </c>
      <c r="B105" s="1">
        <f>_xlfn.XLOOKUP(J105,数据!E:E,数据!B:B)</f>
        <v>16</v>
      </c>
      <c r="C105" s="1" t="str">
        <f>_xlfn.XLOOKUP(J105,数据!E:E,数据!J:J)</f>
        <v>空派</v>
      </c>
      <c r="D105" s="1" t="str" cm="1">
        <f t="array" ref="D105">IF(OR(C105="红单",C105="空派"),_xlfn.IFS(E105="未开售","新品首批发货",F105&lt;E105,"新品首批发货",F105-E105&lt;=60,"新品期补货空运",F105-E105&gt;60,"老品应急空运"),"海运，不进行分析")</f>
        <v>新品首批发货</v>
      </c>
      <c r="E105" s="2">
        <v>46150</v>
      </c>
      <c r="F105" s="2">
        <f>_xlfn.XLOOKUP(J105,数据!E:E,数据!C:C)</f>
        <v>46127</v>
      </c>
      <c r="G105" s="4">
        <v>114</v>
      </c>
      <c r="H105" s="4">
        <f t="shared" si="5"/>
        <v>9.12</v>
      </c>
      <c r="I105" s="4">
        <f>_xlfn.XLOOKUP(J105,数据!E:E,数据!S:S)*(H105/_xlfn.XLOOKUP(J105,数据!E:E,数据!X:X))</f>
        <v>704.519128583129</v>
      </c>
      <c r="J105" t="s">
        <v>1991</v>
      </c>
      <c r="K105" t="s">
        <v>31</v>
      </c>
      <c r="L105" t="s">
        <v>2374</v>
      </c>
      <c r="M105" t="s">
        <v>3095</v>
      </c>
      <c r="N105" t="s">
        <v>2376</v>
      </c>
      <c r="O105" t="s">
        <v>2400</v>
      </c>
      <c r="P105" t="s">
        <v>2378</v>
      </c>
      <c r="Q105" t="s">
        <v>2379</v>
      </c>
      <c r="R105" t="s">
        <v>3096</v>
      </c>
      <c r="S105" t="s">
        <v>2511</v>
      </c>
      <c r="T105" s="3" t="s">
        <v>3097</v>
      </c>
      <c r="U105" t="s">
        <v>3098</v>
      </c>
      <c r="V105" t="s">
        <v>3099</v>
      </c>
      <c r="W105" t="s">
        <v>3100</v>
      </c>
      <c r="X105" t="s">
        <v>2403</v>
      </c>
      <c r="Y105" t="s">
        <v>3101</v>
      </c>
      <c r="Z105" t="s">
        <v>2405</v>
      </c>
      <c r="AA105" t="s">
        <v>3097</v>
      </c>
      <c r="AB105" t="s">
        <v>3102</v>
      </c>
      <c r="AC105" t="s">
        <v>3103</v>
      </c>
      <c r="AD105" t="s">
        <v>3082</v>
      </c>
      <c r="AH105" t="s">
        <v>3027</v>
      </c>
      <c r="AI105" t="s">
        <v>2651</v>
      </c>
      <c r="AJ105" t="s">
        <v>3116</v>
      </c>
      <c r="AK105" t="s">
        <v>3117</v>
      </c>
      <c r="AL105" t="s">
        <v>3118</v>
      </c>
      <c r="AM105" t="s">
        <v>3113</v>
      </c>
      <c r="AN105" t="s">
        <v>3119</v>
      </c>
      <c r="AO105" t="s">
        <v>3116</v>
      </c>
      <c r="AP105">
        <v>80</v>
      </c>
      <c r="AQ105">
        <v>80</v>
      </c>
      <c r="AR105">
        <v>80</v>
      </c>
      <c r="AS105" t="s">
        <v>3120</v>
      </c>
      <c r="AT105">
        <v>0</v>
      </c>
      <c r="AU105">
        <v>0</v>
      </c>
      <c r="AV105">
        <v>0</v>
      </c>
    </row>
    <row r="106" spans="1:48">
      <c r="A106" s="1">
        <f>_xlfn.XLOOKUP(J106,数据!E:E,数据!A:A)</f>
        <v>4</v>
      </c>
      <c r="B106" s="1">
        <f>_xlfn.XLOOKUP(J106,数据!E:E,数据!B:B)</f>
        <v>16</v>
      </c>
      <c r="C106" s="1" t="str">
        <f>_xlfn.XLOOKUP(J106,数据!E:E,数据!J:J)</f>
        <v>空派</v>
      </c>
      <c r="D106" s="1" t="str" cm="1">
        <f t="array" ref="D106">IF(OR(C106="红单",C106="空派"),_xlfn.IFS(E106="未开售","新品首批发货",F106&lt;E106,"新品首批发货",F106-E106&lt;=60,"新品期补货空运",F106-E106&gt;60,"老品应急空运"),"海运，不进行分析")</f>
        <v>新品首批发货</v>
      </c>
      <c r="E106" s="2">
        <v>46133</v>
      </c>
      <c r="F106" s="2">
        <f>_xlfn.XLOOKUP(J106,数据!E:E,数据!C:C)</f>
        <v>46127</v>
      </c>
      <c r="G106" s="4">
        <v>251</v>
      </c>
      <c r="H106" s="4">
        <f t="shared" si="5"/>
        <v>7.53</v>
      </c>
      <c r="I106" s="4">
        <f>_xlfn.XLOOKUP(J106,数据!E:E,数据!S:S)*(H106/_xlfn.XLOOKUP(J106,数据!E:E,数据!X:X))</f>
        <v>581.691780507781</v>
      </c>
      <c r="J106" t="s">
        <v>1991</v>
      </c>
      <c r="K106" t="s">
        <v>31</v>
      </c>
      <c r="L106" t="s">
        <v>2374</v>
      </c>
      <c r="M106" t="s">
        <v>3095</v>
      </c>
      <c r="N106" t="s">
        <v>2376</v>
      </c>
      <c r="O106" t="s">
        <v>2400</v>
      </c>
      <c r="P106" t="s">
        <v>2378</v>
      </c>
      <c r="Q106" t="s">
        <v>2379</v>
      </c>
      <c r="R106" t="s">
        <v>3096</v>
      </c>
      <c r="S106" t="s">
        <v>2511</v>
      </c>
      <c r="T106" s="3" t="s">
        <v>3097</v>
      </c>
      <c r="U106" t="s">
        <v>3098</v>
      </c>
      <c r="V106" t="s">
        <v>3099</v>
      </c>
      <c r="W106" t="s">
        <v>3100</v>
      </c>
      <c r="X106" t="s">
        <v>2403</v>
      </c>
      <c r="Y106" t="s">
        <v>3101</v>
      </c>
      <c r="Z106" t="s">
        <v>2405</v>
      </c>
      <c r="AA106" t="s">
        <v>3097</v>
      </c>
      <c r="AB106" t="s">
        <v>3102</v>
      </c>
      <c r="AC106" t="s">
        <v>3103</v>
      </c>
      <c r="AD106" t="s">
        <v>3082</v>
      </c>
      <c r="AH106" t="s">
        <v>3027</v>
      </c>
      <c r="AI106" t="s">
        <v>2651</v>
      </c>
      <c r="AJ106" t="s">
        <v>3121</v>
      </c>
      <c r="AK106" t="s">
        <v>3122</v>
      </c>
      <c r="AL106" t="s">
        <v>3123</v>
      </c>
      <c r="AM106" t="s">
        <v>3123</v>
      </c>
      <c r="AN106" t="s">
        <v>3124</v>
      </c>
      <c r="AO106" t="s">
        <v>3121</v>
      </c>
      <c r="AP106">
        <v>30</v>
      </c>
      <c r="AQ106">
        <v>30</v>
      </c>
      <c r="AR106">
        <v>30</v>
      </c>
      <c r="AS106" t="s">
        <v>3125</v>
      </c>
      <c r="AT106">
        <v>0</v>
      </c>
      <c r="AU106">
        <v>0</v>
      </c>
      <c r="AV106">
        <v>0</v>
      </c>
    </row>
    <row r="107" spans="1:48">
      <c r="A107" s="1">
        <f>_xlfn.XLOOKUP(J107,数据!E:E,数据!A:A)</f>
        <v>4</v>
      </c>
      <c r="B107" s="1">
        <f>_xlfn.XLOOKUP(J107,数据!E:E,数据!B:B)</f>
        <v>16</v>
      </c>
      <c r="C107" s="1" t="str">
        <f>_xlfn.XLOOKUP(J107,数据!E:E,数据!J:J)</f>
        <v>空派</v>
      </c>
      <c r="D107" s="1" t="str" cm="1">
        <f t="array" ref="D107">IF(OR(C107="红单",C107="空派"),_xlfn.IFS(E107="未开售","新品首批发货",F107&lt;E107,"新品首批发货",F107-E107&lt;=60,"新品期补货空运",F107-E107&gt;60,"老品应急空运"),"海运，不进行分析")</f>
        <v>老品应急空运</v>
      </c>
      <c r="E107" s="2">
        <v>46015</v>
      </c>
      <c r="F107" s="2">
        <f>_xlfn.XLOOKUP(J107,数据!E:E,数据!C:C)</f>
        <v>46127</v>
      </c>
      <c r="G107" s="4">
        <v>105</v>
      </c>
      <c r="H107" s="4">
        <f t="shared" si="5"/>
        <v>10.29</v>
      </c>
      <c r="I107" s="4">
        <f>_xlfn.XLOOKUP(J107,数据!E:E,数据!S:S)*(H107/_xlfn.XLOOKUP(J107,数据!E:E,数据!X:X))</f>
        <v>867.969837160753</v>
      </c>
      <c r="J107" t="s">
        <v>1990</v>
      </c>
      <c r="K107" t="s">
        <v>78</v>
      </c>
      <c r="L107" t="s">
        <v>2374</v>
      </c>
      <c r="M107" t="s">
        <v>3126</v>
      </c>
      <c r="N107" t="s">
        <v>2376</v>
      </c>
      <c r="O107" t="s">
        <v>2400</v>
      </c>
      <c r="P107" t="s">
        <v>2378</v>
      </c>
      <c r="Q107" t="s">
        <v>2379</v>
      </c>
      <c r="R107" t="s">
        <v>3127</v>
      </c>
      <c r="S107" t="s">
        <v>2511</v>
      </c>
      <c r="T107" s="3" t="s">
        <v>3128</v>
      </c>
      <c r="U107" t="s">
        <v>3129</v>
      </c>
      <c r="V107" t="s">
        <v>3130</v>
      </c>
      <c r="W107" t="s">
        <v>3131</v>
      </c>
      <c r="X107" t="s">
        <v>2385</v>
      </c>
      <c r="Y107" t="s">
        <v>3132</v>
      </c>
      <c r="Z107" t="s">
        <v>2387</v>
      </c>
      <c r="AA107" t="s">
        <v>3128</v>
      </c>
      <c r="AB107" t="s">
        <v>3133</v>
      </c>
      <c r="AC107" t="s">
        <v>3134</v>
      </c>
      <c r="AD107" t="s">
        <v>3082</v>
      </c>
      <c r="AH107" t="s">
        <v>3027</v>
      </c>
      <c r="AI107" t="s">
        <v>2651</v>
      </c>
      <c r="AJ107" t="s">
        <v>3135</v>
      </c>
      <c r="AK107" t="s">
        <v>3136</v>
      </c>
      <c r="AL107" t="s">
        <v>3137</v>
      </c>
      <c r="AM107" t="s">
        <v>3138</v>
      </c>
      <c r="AN107" t="s">
        <v>3139</v>
      </c>
      <c r="AO107" t="s">
        <v>3135</v>
      </c>
      <c r="AP107">
        <v>98</v>
      </c>
      <c r="AQ107">
        <v>98</v>
      </c>
      <c r="AR107">
        <v>96</v>
      </c>
      <c r="AS107" t="s">
        <v>3140</v>
      </c>
      <c r="AT107">
        <v>0</v>
      </c>
      <c r="AU107">
        <v>-2</v>
      </c>
      <c r="AV107">
        <v>2</v>
      </c>
    </row>
    <row r="108" spans="1:48">
      <c r="A108" s="1">
        <f>_xlfn.XLOOKUP(J108,数据!E:E,数据!A:A)</f>
        <v>4</v>
      </c>
      <c r="B108" s="1">
        <f>_xlfn.XLOOKUP(J108,数据!E:E,数据!B:B)</f>
        <v>16</v>
      </c>
      <c r="C108" s="1" t="str">
        <f>_xlfn.XLOOKUP(J108,数据!E:E,数据!J:J)</f>
        <v>空派</v>
      </c>
      <c r="D108" s="1" t="str" cm="1">
        <f t="array" ref="D108">IF(OR(C108="红单",C108="空派"),_xlfn.IFS(E108="未开售","新品首批发货",F108&lt;E108,"新品首批发货",F108-E108&lt;=60,"新品期补货空运",F108-E108&gt;60,"老品应急空运"),"海运，不进行分析")</f>
        <v>新品首批发货</v>
      </c>
      <c r="E108" s="2">
        <v>46142</v>
      </c>
      <c r="F108" s="2">
        <f>_xlfn.XLOOKUP(J108,数据!E:E,数据!C:C)</f>
        <v>46127</v>
      </c>
      <c r="G108" s="4">
        <v>104</v>
      </c>
      <c r="H108" s="4">
        <f t="shared" si="5"/>
        <v>10.4</v>
      </c>
      <c r="I108" s="4">
        <f>_xlfn.XLOOKUP(J108,数据!E:E,数据!S:S)*(H108/_xlfn.XLOOKUP(J108,数据!E:E,数据!X:X))</f>
        <v>877.24842628492</v>
      </c>
      <c r="J108" t="s">
        <v>1990</v>
      </c>
      <c r="K108" t="s">
        <v>78</v>
      </c>
      <c r="L108" t="s">
        <v>2374</v>
      </c>
      <c r="M108" t="s">
        <v>3126</v>
      </c>
      <c r="N108" t="s">
        <v>2376</v>
      </c>
      <c r="O108" t="s">
        <v>2400</v>
      </c>
      <c r="P108" t="s">
        <v>2378</v>
      </c>
      <c r="Q108" t="s">
        <v>2379</v>
      </c>
      <c r="R108" t="s">
        <v>3127</v>
      </c>
      <c r="S108" t="s">
        <v>2511</v>
      </c>
      <c r="T108" s="3" t="s">
        <v>3128</v>
      </c>
      <c r="U108" t="s">
        <v>3129</v>
      </c>
      <c r="V108" t="s">
        <v>3130</v>
      </c>
      <c r="W108" t="s">
        <v>3131</v>
      </c>
      <c r="X108" t="s">
        <v>2385</v>
      </c>
      <c r="Y108" t="s">
        <v>3132</v>
      </c>
      <c r="Z108" t="s">
        <v>2387</v>
      </c>
      <c r="AA108" t="s">
        <v>3128</v>
      </c>
      <c r="AB108" t="s">
        <v>3133</v>
      </c>
      <c r="AC108" t="s">
        <v>3134</v>
      </c>
      <c r="AD108" t="s">
        <v>3082</v>
      </c>
      <c r="AH108" t="s">
        <v>3027</v>
      </c>
      <c r="AI108" t="s">
        <v>2651</v>
      </c>
      <c r="AJ108" t="s">
        <v>3141</v>
      </c>
      <c r="AK108" t="s">
        <v>3142</v>
      </c>
      <c r="AL108" t="s">
        <v>3143</v>
      </c>
      <c r="AM108" t="s">
        <v>3143</v>
      </c>
      <c r="AN108" t="s">
        <v>3144</v>
      </c>
      <c r="AO108" t="s">
        <v>3141</v>
      </c>
      <c r="AP108">
        <v>100</v>
      </c>
      <c r="AQ108">
        <v>100</v>
      </c>
      <c r="AR108">
        <v>99</v>
      </c>
      <c r="AS108" t="s">
        <v>3145</v>
      </c>
      <c r="AT108">
        <v>0</v>
      </c>
      <c r="AU108">
        <v>-1</v>
      </c>
      <c r="AV108">
        <v>1</v>
      </c>
    </row>
    <row r="109" spans="1:48">
      <c r="A109" s="1">
        <f>_xlfn.XLOOKUP(J109,数据!E:E,数据!A:A)</f>
        <v>4</v>
      </c>
      <c r="B109" s="1">
        <f>_xlfn.XLOOKUP(J109,数据!E:E,数据!B:B)</f>
        <v>16</v>
      </c>
      <c r="C109" s="1" t="str">
        <f>_xlfn.XLOOKUP(J109,数据!E:E,数据!J:J)</f>
        <v>空派</v>
      </c>
      <c r="D109" s="1" t="str" cm="1">
        <f t="array" ref="D109">IF(OR(C109="红单",C109="空派"),_xlfn.IFS(E109="未开售","新品首批发货",F109&lt;E109,"新品首批发货",F109-E109&lt;=60,"新品期补货空运",F109-E109&gt;60,"老品应急空运"),"海运，不进行分析")</f>
        <v>新品首批发货</v>
      </c>
      <c r="E109" s="2">
        <v>46147</v>
      </c>
      <c r="F109" s="2">
        <f>_xlfn.XLOOKUP(J109,数据!E:E,数据!C:C)</f>
        <v>46127</v>
      </c>
      <c r="G109" s="4">
        <v>107</v>
      </c>
      <c r="H109" s="4">
        <f t="shared" si="5"/>
        <v>12.84</v>
      </c>
      <c r="I109" s="4">
        <f>_xlfn.XLOOKUP(J109,数据!E:E,数据!S:S)*(H109/_xlfn.XLOOKUP(J109,数据!E:E,数据!X:X))</f>
        <v>1083.064403221</v>
      </c>
      <c r="J109" t="s">
        <v>1990</v>
      </c>
      <c r="K109" t="s">
        <v>78</v>
      </c>
      <c r="L109" t="s">
        <v>2374</v>
      </c>
      <c r="M109" t="s">
        <v>3126</v>
      </c>
      <c r="N109" t="s">
        <v>2376</v>
      </c>
      <c r="O109" t="s">
        <v>2400</v>
      </c>
      <c r="P109" t="s">
        <v>2378</v>
      </c>
      <c r="Q109" t="s">
        <v>2379</v>
      </c>
      <c r="R109" t="s">
        <v>3127</v>
      </c>
      <c r="S109" t="s">
        <v>2511</v>
      </c>
      <c r="T109" s="3" t="s">
        <v>3128</v>
      </c>
      <c r="U109" t="s">
        <v>3129</v>
      </c>
      <c r="V109" t="s">
        <v>3130</v>
      </c>
      <c r="W109" t="s">
        <v>3131</v>
      </c>
      <c r="X109" t="s">
        <v>2385</v>
      </c>
      <c r="Y109" t="s">
        <v>3132</v>
      </c>
      <c r="Z109" t="s">
        <v>2387</v>
      </c>
      <c r="AA109" t="s">
        <v>3128</v>
      </c>
      <c r="AB109" t="s">
        <v>3133</v>
      </c>
      <c r="AC109" t="s">
        <v>3134</v>
      </c>
      <c r="AD109" t="s">
        <v>3082</v>
      </c>
      <c r="AH109" t="s">
        <v>3027</v>
      </c>
      <c r="AI109" t="s">
        <v>2651</v>
      </c>
      <c r="AJ109" t="s">
        <v>3146</v>
      </c>
      <c r="AK109" t="s">
        <v>3147</v>
      </c>
      <c r="AL109" t="s">
        <v>3148</v>
      </c>
      <c r="AM109" t="s">
        <v>2455</v>
      </c>
      <c r="AN109" t="s">
        <v>3149</v>
      </c>
      <c r="AO109" t="s">
        <v>3146</v>
      </c>
      <c r="AP109">
        <v>120</v>
      </c>
      <c r="AQ109">
        <v>120</v>
      </c>
      <c r="AR109">
        <v>120</v>
      </c>
      <c r="AS109" t="s">
        <v>3150</v>
      </c>
      <c r="AT109">
        <v>0</v>
      </c>
      <c r="AU109">
        <v>0</v>
      </c>
      <c r="AV109">
        <v>0</v>
      </c>
    </row>
    <row r="110" spans="1:48">
      <c r="A110" s="1">
        <f>_xlfn.XLOOKUP(J110,数据!E:E,数据!A:A)</f>
        <v>4</v>
      </c>
      <c r="B110" s="1">
        <f>_xlfn.XLOOKUP(J110,数据!E:E,数据!B:B)</f>
        <v>16</v>
      </c>
      <c r="C110" s="1" t="str">
        <f>_xlfn.XLOOKUP(J110,数据!E:E,数据!J:J)</f>
        <v>空派</v>
      </c>
      <c r="D110" s="1" t="str" cm="1">
        <f t="array" ref="D110">IF(OR(C110="红单",C110="空派"),_xlfn.IFS(E110="未开售","新品首批发货",F110&lt;E110,"新品首批发货",F110-E110&lt;=60,"新品期补货空运",F110-E110&gt;60,"老品应急空运"),"海运，不进行分析")</f>
        <v>新品期补货空运</v>
      </c>
      <c r="E110" s="2">
        <v>46110</v>
      </c>
      <c r="F110" s="2">
        <f>_xlfn.XLOOKUP(J110,数据!E:E,数据!C:C)</f>
        <v>46126</v>
      </c>
      <c r="G110" s="4">
        <v>140</v>
      </c>
      <c r="H110" s="4">
        <f>G110*AP110/1000</f>
        <v>9.8</v>
      </c>
      <c r="I110" s="4">
        <f>_xlfn.XLOOKUP(J110,数据!E:E,数据!S:S)*(H110/_xlfn.XLOOKUP(J110,数据!E:E,数据!X:X))</f>
        <v>777.628886253582</v>
      </c>
      <c r="J110" t="s">
        <v>1985</v>
      </c>
      <c r="K110" t="s">
        <v>31</v>
      </c>
      <c r="L110" t="s">
        <v>2374</v>
      </c>
      <c r="M110" t="s">
        <v>3151</v>
      </c>
      <c r="N110" t="s">
        <v>2376</v>
      </c>
      <c r="O110" t="s">
        <v>2400</v>
      </c>
      <c r="P110" t="s">
        <v>2378</v>
      </c>
      <c r="Q110" t="s">
        <v>2379</v>
      </c>
      <c r="R110" t="s">
        <v>3152</v>
      </c>
      <c r="S110" t="s">
        <v>2511</v>
      </c>
      <c r="T110" s="3" t="s">
        <v>3153</v>
      </c>
      <c r="U110" t="s">
        <v>3154</v>
      </c>
      <c r="V110" t="s">
        <v>3155</v>
      </c>
      <c r="W110" t="s">
        <v>3156</v>
      </c>
      <c r="X110" t="s">
        <v>2385</v>
      </c>
      <c r="Y110" t="s">
        <v>3157</v>
      </c>
      <c r="Z110" t="s">
        <v>2405</v>
      </c>
      <c r="AA110" t="s">
        <v>3153</v>
      </c>
      <c r="AB110" t="s">
        <v>3158</v>
      </c>
      <c r="AC110" t="s">
        <v>3159</v>
      </c>
      <c r="AD110" t="s">
        <v>3160</v>
      </c>
      <c r="AH110" t="s">
        <v>3027</v>
      </c>
      <c r="AI110" t="s">
        <v>2651</v>
      </c>
      <c r="AJ110" t="s">
        <v>3161</v>
      </c>
      <c r="AK110" t="s">
        <v>3162</v>
      </c>
      <c r="AL110" t="s">
        <v>3163</v>
      </c>
      <c r="AM110" t="s">
        <v>2607</v>
      </c>
      <c r="AN110" t="s">
        <v>3164</v>
      </c>
      <c r="AO110" t="s">
        <v>3161</v>
      </c>
      <c r="AP110">
        <v>70</v>
      </c>
      <c r="AQ110">
        <v>70</v>
      </c>
      <c r="AR110">
        <v>70</v>
      </c>
      <c r="AS110" t="s">
        <v>3165</v>
      </c>
      <c r="AT110">
        <v>0</v>
      </c>
      <c r="AU110">
        <v>0</v>
      </c>
      <c r="AV110">
        <v>0</v>
      </c>
    </row>
    <row r="111" spans="1:48">
      <c r="A111" s="1">
        <f>_xlfn.XLOOKUP(J111,数据!E:E,数据!A:A)</f>
        <v>4</v>
      </c>
      <c r="B111" s="1">
        <f>_xlfn.XLOOKUP(J111,数据!E:E,数据!B:B)</f>
        <v>16</v>
      </c>
      <c r="C111" s="1" t="str">
        <f>_xlfn.XLOOKUP(J111,数据!E:E,数据!J:J)</f>
        <v>空派</v>
      </c>
      <c r="D111" s="1" t="str" cm="1">
        <f t="array" ref="D111">IF(OR(C111="红单",C111="空派"),_xlfn.IFS(E111="未开售","新品首批发货",F111&lt;E111,"新品首批发货",F111-E111&lt;=60,"新品期补货空运",F111-E111&gt;60,"老品应急空运"),"海运，不进行分析")</f>
        <v>老品应急空运</v>
      </c>
      <c r="E111" s="2">
        <v>46033</v>
      </c>
      <c r="F111" s="2">
        <f>_xlfn.XLOOKUP(J111,数据!E:E,数据!C:C)</f>
        <v>46126</v>
      </c>
      <c r="G111" s="4">
        <v>148</v>
      </c>
      <c r="H111" s="4">
        <f>G111*AP111/1000</f>
        <v>3.7</v>
      </c>
      <c r="I111" s="4">
        <f>_xlfn.XLOOKUP(J111,数据!E:E,数据!S:S)*(H111/_xlfn.XLOOKUP(J111,数据!E:E,数据!X:X))</f>
        <v>293.594579503904</v>
      </c>
      <c r="J111" t="s">
        <v>1985</v>
      </c>
      <c r="K111" t="s">
        <v>31</v>
      </c>
      <c r="L111" t="s">
        <v>2374</v>
      </c>
      <c r="M111" t="s">
        <v>3151</v>
      </c>
      <c r="N111" t="s">
        <v>2376</v>
      </c>
      <c r="O111" t="s">
        <v>2400</v>
      </c>
      <c r="P111" t="s">
        <v>2378</v>
      </c>
      <c r="Q111" t="s">
        <v>2379</v>
      </c>
      <c r="R111" t="s">
        <v>3152</v>
      </c>
      <c r="S111" t="s">
        <v>2511</v>
      </c>
      <c r="T111" s="3" t="s">
        <v>3153</v>
      </c>
      <c r="U111" t="s">
        <v>3154</v>
      </c>
      <c r="V111" t="s">
        <v>3155</v>
      </c>
      <c r="W111" t="s">
        <v>3156</v>
      </c>
      <c r="X111" t="s">
        <v>2385</v>
      </c>
      <c r="Y111" t="s">
        <v>3157</v>
      </c>
      <c r="Z111" t="s">
        <v>2405</v>
      </c>
      <c r="AA111" t="s">
        <v>3153</v>
      </c>
      <c r="AB111" t="s">
        <v>3158</v>
      </c>
      <c r="AC111" t="s">
        <v>3159</v>
      </c>
      <c r="AD111" t="s">
        <v>3160</v>
      </c>
      <c r="AH111" t="s">
        <v>3027</v>
      </c>
      <c r="AI111" t="s">
        <v>2651</v>
      </c>
      <c r="AJ111" t="s">
        <v>3166</v>
      </c>
      <c r="AK111" t="s">
        <v>3167</v>
      </c>
      <c r="AL111" t="s">
        <v>3168</v>
      </c>
      <c r="AM111" t="s">
        <v>2787</v>
      </c>
      <c r="AN111" t="s">
        <v>3169</v>
      </c>
      <c r="AO111" t="s">
        <v>3166</v>
      </c>
      <c r="AP111">
        <v>25</v>
      </c>
      <c r="AQ111">
        <v>25</v>
      </c>
      <c r="AR111">
        <v>25</v>
      </c>
      <c r="AS111" t="s">
        <v>3170</v>
      </c>
      <c r="AT111">
        <v>0</v>
      </c>
      <c r="AU111">
        <v>0</v>
      </c>
      <c r="AV111">
        <v>0</v>
      </c>
    </row>
    <row r="112" spans="1:48">
      <c r="A112" s="1">
        <f>_xlfn.XLOOKUP(J112,数据!E:E,数据!A:A)</f>
        <v>4</v>
      </c>
      <c r="B112" s="1">
        <f>_xlfn.XLOOKUP(J112,数据!E:E,数据!B:B)</f>
        <v>16</v>
      </c>
      <c r="C112" s="1" t="str">
        <f>_xlfn.XLOOKUP(J112,数据!E:E,数据!J:J)</f>
        <v>空派</v>
      </c>
      <c r="D112" s="1" t="str" cm="1">
        <f t="array" ref="D112">IF(OR(C112="红单",C112="空派"),_xlfn.IFS(E112="未开售","新品首批发货",F112&lt;E112,"新品首批发货",F112-E112&lt;=60,"新品期补货空运",F112-E112&gt;60,"老品应急空运"),"海运，不进行分析")</f>
        <v>新品期补货空运</v>
      </c>
      <c r="E112" s="2">
        <v>46098</v>
      </c>
      <c r="F112" s="2">
        <f>_xlfn.XLOOKUP(J112,数据!E:E,数据!C:C)</f>
        <v>46126</v>
      </c>
      <c r="G112" s="4">
        <v>340</v>
      </c>
      <c r="H112" s="4">
        <f>G112*AP112/1000</f>
        <v>12.92</v>
      </c>
      <c r="I112" s="4">
        <f>_xlfn.XLOOKUP(J112,数据!E:E,数据!S:S)*(H112/_xlfn.XLOOKUP(J112,数据!E:E,数据!X:X))</f>
        <v>1025.20053167309</v>
      </c>
      <c r="J112" t="s">
        <v>1985</v>
      </c>
      <c r="K112" t="s">
        <v>31</v>
      </c>
      <c r="L112" t="s">
        <v>2374</v>
      </c>
      <c r="M112" t="s">
        <v>3151</v>
      </c>
      <c r="N112" t="s">
        <v>2376</v>
      </c>
      <c r="O112" t="s">
        <v>2400</v>
      </c>
      <c r="P112" t="s">
        <v>2378</v>
      </c>
      <c r="Q112" t="s">
        <v>2379</v>
      </c>
      <c r="R112" t="s">
        <v>3152</v>
      </c>
      <c r="S112" t="s">
        <v>2511</v>
      </c>
      <c r="T112" s="3" t="s">
        <v>3153</v>
      </c>
      <c r="U112" t="s">
        <v>3154</v>
      </c>
      <c r="V112" t="s">
        <v>3155</v>
      </c>
      <c r="W112" t="s">
        <v>3156</v>
      </c>
      <c r="X112" t="s">
        <v>2385</v>
      </c>
      <c r="Y112" t="s">
        <v>3157</v>
      </c>
      <c r="Z112" t="s">
        <v>2405</v>
      </c>
      <c r="AA112" t="s">
        <v>3153</v>
      </c>
      <c r="AB112" t="s">
        <v>3158</v>
      </c>
      <c r="AC112" t="s">
        <v>3159</v>
      </c>
      <c r="AD112" t="s">
        <v>3160</v>
      </c>
      <c r="AH112" t="s">
        <v>3027</v>
      </c>
      <c r="AI112" t="s">
        <v>2651</v>
      </c>
      <c r="AJ112" t="s">
        <v>2778</v>
      </c>
      <c r="AK112" t="s">
        <v>2779</v>
      </c>
      <c r="AL112" t="s">
        <v>2780</v>
      </c>
      <c r="AM112" t="s">
        <v>2781</v>
      </c>
      <c r="AN112" t="s">
        <v>2782</v>
      </c>
      <c r="AO112" t="s">
        <v>2778</v>
      </c>
      <c r="AP112">
        <v>38</v>
      </c>
      <c r="AQ112">
        <v>38</v>
      </c>
      <c r="AR112">
        <v>37</v>
      </c>
      <c r="AS112" t="s">
        <v>3171</v>
      </c>
      <c r="AT112">
        <v>0</v>
      </c>
      <c r="AU112">
        <v>-1</v>
      </c>
      <c r="AV112">
        <v>1</v>
      </c>
    </row>
    <row r="113" spans="1:48">
      <c r="A113" s="1">
        <f>_xlfn.XLOOKUP(J113,数据!E:E,数据!A:A)</f>
        <v>4</v>
      </c>
      <c r="B113" s="1">
        <f>_xlfn.XLOOKUP(J113,数据!E:E,数据!B:B)</f>
        <v>16</v>
      </c>
      <c r="C113" s="1" t="str">
        <f>_xlfn.XLOOKUP(J113,数据!E:E,数据!J:J)</f>
        <v>空派</v>
      </c>
      <c r="D113" s="1" t="str" cm="1">
        <f t="array" ref="D113">IF(OR(C113="红单",C113="空派"),_xlfn.IFS(E113="未开售","新品首批发货",F113&lt;E113,"新品首批发货",F113-E113&lt;=60,"新品期补货空运",F113-E113&gt;60,"老品应急空运"),"海运，不进行分析")</f>
        <v>新品期补货空运</v>
      </c>
      <c r="E113" s="2">
        <v>46109</v>
      </c>
      <c r="F113" s="2">
        <f>_xlfn.XLOOKUP(J113,数据!E:E,数据!C:C)</f>
        <v>46126</v>
      </c>
      <c r="G113" s="4">
        <v>140</v>
      </c>
      <c r="H113" s="4">
        <f>G113*AP113/1000</f>
        <v>7</v>
      </c>
      <c r="I113" s="4">
        <f>_xlfn.XLOOKUP(J113,数据!E:E,数据!S:S)*(H113/_xlfn.XLOOKUP(J113,数据!E:E,数据!X:X))</f>
        <v>555.449204466845</v>
      </c>
      <c r="J113" t="s">
        <v>1985</v>
      </c>
      <c r="K113" t="s">
        <v>31</v>
      </c>
      <c r="L113" t="s">
        <v>2374</v>
      </c>
      <c r="M113" t="s">
        <v>3151</v>
      </c>
      <c r="N113" t="s">
        <v>2376</v>
      </c>
      <c r="O113" t="s">
        <v>2400</v>
      </c>
      <c r="P113" t="s">
        <v>2378</v>
      </c>
      <c r="Q113" t="s">
        <v>2379</v>
      </c>
      <c r="R113" t="s">
        <v>3152</v>
      </c>
      <c r="S113" t="s">
        <v>2511</v>
      </c>
      <c r="T113" s="3" t="s">
        <v>3153</v>
      </c>
      <c r="U113" t="s">
        <v>3154</v>
      </c>
      <c r="V113" t="s">
        <v>3155</v>
      </c>
      <c r="W113" t="s">
        <v>3156</v>
      </c>
      <c r="X113" t="s">
        <v>2385</v>
      </c>
      <c r="Y113" t="s">
        <v>3157</v>
      </c>
      <c r="Z113" t="s">
        <v>2405</v>
      </c>
      <c r="AA113" t="s">
        <v>3153</v>
      </c>
      <c r="AB113" t="s">
        <v>3158</v>
      </c>
      <c r="AC113" t="s">
        <v>3159</v>
      </c>
      <c r="AD113" t="s">
        <v>3160</v>
      </c>
      <c r="AH113" t="s">
        <v>3027</v>
      </c>
      <c r="AI113" t="s">
        <v>2651</v>
      </c>
      <c r="AJ113" t="s">
        <v>3172</v>
      </c>
      <c r="AK113" t="s">
        <v>3173</v>
      </c>
      <c r="AL113" t="s">
        <v>3174</v>
      </c>
      <c r="AM113" t="s">
        <v>2607</v>
      </c>
      <c r="AN113" t="s">
        <v>3175</v>
      </c>
      <c r="AO113" t="s">
        <v>3172</v>
      </c>
      <c r="AP113">
        <v>50</v>
      </c>
      <c r="AQ113">
        <v>50</v>
      </c>
      <c r="AR113">
        <v>50</v>
      </c>
      <c r="AS113" t="s">
        <v>3176</v>
      </c>
      <c r="AT113">
        <v>0</v>
      </c>
      <c r="AU113">
        <v>0</v>
      </c>
      <c r="AV113">
        <v>0</v>
      </c>
    </row>
    <row r="114" spans="1:48">
      <c r="A114" s="1">
        <f>_xlfn.XLOOKUP(J114,数据!E:E,数据!A:A)</f>
        <v>4</v>
      </c>
      <c r="B114" s="1">
        <f>_xlfn.XLOOKUP(J114,数据!E:E,数据!B:B)</f>
        <v>16</v>
      </c>
      <c r="C114" s="1" t="str">
        <f>_xlfn.XLOOKUP(J114,数据!E:E,数据!J:J)</f>
        <v>空派</v>
      </c>
      <c r="D114" s="1" t="str" cm="1">
        <f t="array" ref="D114">IF(OR(C114="红单",C114="空派"),_xlfn.IFS(E114="未开售","新品首批发货",F114&lt;E114,"新品首批发货",F114-E114&lt;=60,"新品期补货空运",F114-E114&gt;60,"老品应急空运"),"海运，不进行分析")</f>
        <v>老品应急空运</v>
      </c>
      <c r="E114" s="2">
        <v>46023</v>
      </c>
      <c r="F114" s="2">
        <f>_xlfn.XLOOKUP(J114,数据!E:E,数据!C:C)</f>
        <v>46126</v>
      </c>
      <c r="G114" s="4">
        <v>144</v>
      </c>
      <c r="H114" s="4">
        <f>G114*AP114/1000</f>
        <v>7.056</v>
      </c>
      <c r="I114" s="4">
        <f>_xlfn.XLOOKUP(J114,数据!E:E,数据!S:S)*(H114/_xlfn.XLOOKUP(J114,数据!E:E,数据!X:X))</f>
        <v>559.892798102579</v>
      </c>
      <c r="J114" t="s">
        <v>1985</v>
      </c>
      <c r="K114" t="s">
        <v>31</v>
      </c>
      <c r="L114" t="s">
        <v>2374</v>
      </c>
      <c r="M114" t="s">
        <v>3151</v>
      </c>
      <c r="N114" t="s">
        <v>2376</v>
      </c>
      <c r="O114" t="s">
        <v>2400</v>
      </c>
      <c r="P114" t="s">
        <v>2378</v>
      </c>
      <c r="Q114" t="s">
        <v>2379</v>
      </c>
      <c r="R114" t="s">
        <v>3152</v>
      </c>
      <c r="S114" t="s">
        <v>2511</v>
      </c>
      <c r="T114" s="3" t="s">
        <v>3153</v>
      </c>
      <c r="U114" t="s">
        <v>3154</v>
      </c>
      <c r="V114" t="s">
        <v>3155</v>
      </c>
      <c r="W114" t="s">
        <v>3156</v>
      </c>
      <c r="X114" t="s">
        <v>2385</v>
      </c>
      <c r="Y114" t="s">
        <v>3157</v>
      </c>
      <c r="Z114" t="s">
        <v>2405</v>
      </c>
      <c r="AA114" t="s">
        <v>3153</v>
      </c>
      <c r="AB114" t="s">
        <v>3158</v>
      </c>
      <c r="AC114" t="s">
        <v>3159</v>
      </c>
      <c r="AD114" t="s">
        <v>3160</v>
      </c>
      <c r="AH114" t="s">
        <v>3027</v>
      </c>
      <c r="AI114" t="s">
        <v>2651</v>
      </c>
      <c r="AJ114" t="s">
        <v>2604</v>
      </c>
      <c r="AK114" t="s">
        <v>2605</v>
      </c>
      <c r="AL114" t="s">
        <v>2606</v>
      </c>
      <c r="AM114" t="s">
        <v>2607</v>
      </c>
      <c r="AN114" t="s">
        <v>2608</v>
      </c>
      <c r="AO114" t="s">
        <v>2604</v>
      </c>
      <c r="AP114">
        <v>49</v>
      </c>
      <c r="AQ114">
        <v>49</v>
      </c>
      <c r="AR114">
        <v>49</v>
      </c>
      <c r="AS114" t="s">
        <v>3177</v>
      </c>
      <c r="AT114">
        <v>0</v>
      </c>
      <c r="AU114">
        <v>0</v>
      </c>
      <c r="AV114">
        <v>0</v>
      </c>
    </row>
    <row r="115" spans="1:48">
      <c r="A115" s="1">
        <f>_xlfn.XLOOKUP(J115,数据!E:E,数据!A:A)</f>
        <v>4</v>
      </c>
      <c r="B115" s="1">
        <f>_xlfn.XLOOKUP(J115,数据!E:E,数据!B:B)</f>
        <v>16</v>
      </c>
      <c r="C115" s="1" t="str">
        <f>_xlfn.XLOOKUP(J115,数据!E:E,数据!J:J)</f>
        <v>空派</v>
      </c>
      <c r="D115" s="1" t="str" cm="1">
        <f t="array" ref="D115">IF(OR(C115="红单",C115="空派"),_xlfn.IFS(E115="未开售","新品首批发货",F115&lt;E115,"新品首批发货",F115-E115&lt;=60,"新品期补货空运",F115-E115&gt;60,"老品应急空运"),"海运，不进行分析")</f>
        <v>新品首批发货</v>
      </c>
      <c r="E115" s="2">
        <v>46145</v>
      </c>
      <c r="F115" s="2">
        <f>_xlfn.XLOOKUP(J115,数据!E:E,数据!C:C)</f>
        <v>46126</v>
      </c>
      <c r="G115" s="4">
        <v>97</v>
      </c>
      <c r="H115" s="4">
        <f>G115*AP115/1000</f>
        <v>7.76</v>
      </c>
      <c r="I115" s="4">
        <f>_xlfn.XLOOKUP(J115,数据!E:E,数据!S:S)*(H115/_xlfn.XLOOKUP(J115,数据!E:E,数据!X:X))</f>
        <v>642.739198995474</v>
      </c>
      <c r="J115" t="s">
        <v>1986</v>
      </c>
      <c r="K115" t="s">
        <v>54</v>
      </c>
      <c r="L115" t="s">
        <v>2374</v>
      </c>
      <c r="M115" t="s">
        <v>3178</v>
      </c>
      <c r="N115" t="s">
        <v>2376</v>
      </c>
      <c r="O115" t="s">
        <v>2400</v>
      </c>
      <c r="P115" t="s">
        <v>2378</v>
      </c>
      <c r="Q115" t="s">
        <v>2379</v>
      </c>
      <c r="R115" t="s">
        <v>3179</v>
      </c>
      <c r="S115" t="s">
        <v>2511</v>
      </c>
      <c r="T115" s="3" t="s">
        <v>3180</v>
      </c>
      <c r="U115" t="s">
        <v>3181</v>
      </c>
      <c r="V115" t="s">
        <v>3182</v>
      </c>
      <c r="W115" t="s">
        <v>3183</v>
      </c>
      <c r="X115" t="s">
        <v>2385</v>
      </c>
      <c r="Y115" t="s">
        <v>3184</v>
      </c>
      <c r="Z115" t="s">
        <v>2387</v>
      </c>
      <c r="AA115" t="s">
        <v>3180</v>
      </c>
      <c r="AB115" t="s">
        <v>3185</v>
      </c>
      <c r="AC115" t="s">
        <v>3186</v>
      </c>
      <c r="AD115" t="s">
        <v>3160</v>
      </c>
      <c r="AH115" t="s">
        <v>3027</v>
      </c>
      <c r="AI115" t="s">
        <v>2651</v>
      </c>
      <c r="AJ115" t="s">
        <v>3187</v>
      </c>
      <c r="AK115" t="s">
        <v>3188</v>
      </c>
      <c r="AL115" t="s">
        <v>3189</v>
      </c>
      <c r="AM115" t="s">
        <v>2545</v>
      </c>
      <c r="AN115" t="s">
        <v>3190</v>
      </c>
      <c r="AO115" t="s">
        <v>3187</v>
      </c>
      <c r="AP115">
        <v>80</v>
      </c>
      <c r="AQ115">
        <v>80</v>
      </c>
      <c r="AR115">
        <v>80</v>
      </c>
      <c r="AS115" t="s">
        <v>3191</v>
      </c>
      <c r="AT115">
        <v>0</v>
      </c>
      <c r="AU115">
        <v>0</v>
      </c>
      <c r="AV115">
        <v>0</v>
      </c>
    </row>
    <row r="116" spans="1:48">
      <c r="A116" s="1">
        <f>_xlfn.XLOOKUP(J116,数据!E:E,数据!A:A)</f>
        <v>4</v>
      </c>
      <c r="B116" s="1">
        <f>_xlfn.XLOOKUP(J116,数据!E:E,数据!B:B)</f>
        <v>16</v>
      </c>
      <c r="C116" s="1" t="str">
        <f>_xlfn.XLOOKUP(J116,数据!E:E,数据!J:J)</f>
        <v>空派</v>
      </c>
      <c r="D116" s="1" t="str" cm="1">
        <f t="array" ref="D116">IF(OR(C116="红单",C116="空派"),_xlfn.IFS(E116="未开售","新品首批发货",F116&lt;E116,"新品首批发货",F116-E116&lt;=60,"新品期补货空运",F116-E116&gt;60,"老品应急空运"),"海运，不进行分析")</f>
        <v>新品首批发货</v>
      </c>
      <c r="E116" s="2">
        <v>46153</v>
      </c>
      <c r="F116" s="2">
        <f>_xlfn.XLOOKUP(J116,数据!E:E,数据!C:C)</f>
        <v>46126</v>
      </c>
      <c r="G116" s="4">
        <v>98</v>
      </c>
      <c r="H116" s="4">
        <f>G116*AP116/1000</f>
        <v>9.8</v>
      </c>
      <c r="I116" s="4">
        <f>_xlfn.XLOOKUP(J116,数据!E:E,数据!S:S)*(H116/_xlfn.XLOOKUP(J116,数据!E:E,数据!X:X))</f>
        <v>811.706720380883</v>
      </c>
      <c r="J116" t="s">
        <v>1986</v>
      </c>
      <c r="K116" t="s">
        <v>54</v>
      </c>
      <c r="L116" t="s">
        <v>2374</v>
      </c>
      <c r="M116" t="s">
        <v>3178</v>
      </c>
      <c r="N116" t="s">
        <v>2376</v>
      </c>
      <c r="O116" t="s">
        <v>2400</v>
      </c>
      <c r="P116" t="s">
        <v>2378</v>
      </c>
      <c r="Q116" t="s">
        <v>2379</v>
      </c>
      <c r="R116" t="s">
        <v>3179</v>
      </c>
      <c r="S116" t="s">
        <v>2511</v>
      </c>
      <c r="T116" s="3" t="s">
        <v>3180</v>
      </c>
      <c r="U116" t="s">
        <v>3181</v>
      </c>
      <c r="V116" t="s">
        <v>3182</v>
      </c>
      <c r="W116" t="s">
        <v>3183</v>
      </c>
      <c r="X116" t="s">
        <v>2385</v>
      </c>
      <c r="Y116" t="s">
        <v>3184</v>
      </c>
      <c r="Z116" t="s">
        <v>2387</v>
      </c>
      <c r="AA116" t="s">
        <v>3180</v>
      </c>
      <c r="AB116" t="s">
        <v>3185</v>
      </c>
      <c r="AC116" t="s">
        <v>3186</v>
      </c>
      <c r="AD116" t="s">
        <v>3160</v>
      </c>
      <c r="AH116" t="s">
        <v>3027</v>
      </c>
      <c r="AI116" t="s">
        <v>2651</v>
      </c>
      <c r="AJ116" t="s">
        <v>3192</v>
      </c>
      <c r="AK116" t="s">
        <v>3193</v>
      </c>
      <c r="AL116" t="s">
        <v>3194</v>
      </c>
      <c r="AM116" t="s">
        <v>2545</v>
      </c>
      <c r="AN116" t="s">
        <v>3195</v>
      </c>
      <c r="AO116" t="s">
        <v>3192</v>
      </c>
      <c r="AP116">
        <v>100</v>
      </c>
      <c r="AQ116">
        <v>100</v>
      </c>
      <c r="AR116">
        <v>100</v>
      </c>
      <c r="AS116" t="s">
        <v>3196</v>
      </c>
      <c r="AT116">
        <v>0</v>
      </c>
      <c r="AU116">
        <v>0</v>
      </c>
      <c r="AV116">
        <v>0</v>
      </c>
    </row>
    <row r="117" spans="1:48">
      <c r="A117" s="1">
        <f>_xlfn.XLOOKUP(J117,数据!E:E,数据!A:A)</f>
        <v>4</v>
      </c>
      <c r="B117" s="1">
        <f>_xlfn.XLOOKUP(J117,数据!E:E,数据!B:B)</f>
        <v>16</v>
      </c>
      <c r="C117" s="1" t="str">
        <f>_xlfn.XLOOKUP(J117,数据!E:E,数据!J:J)</f>
        <v>空派</v>
      </c>
      <c r="D117" s="1" t="str" cm="1">
        <f t="array" ref="D117">IF(OR(C117="红单",C117="空派"),_xlfn.IFS(E117="未开售","新品首批发货",F117&lt;E117,"新品首批发货",F117-E117&lt;=60,"新品期补货空运",F117-E117&gt;60,"老品应急空运"),"海运，不进行分析")</f>
        <v>新品首批发货</v>
      </c>
      <c r="E117" s="2">
        <v>46151</v>
      </c>
      <c r="F117" s="2">
        <f>_xlfn.XLOOKUP(J117,数据!E:E,数据!C:C)</f>
        <v>46126</v>
      </c>
      <c r="G117" s="4">
        <v>98</v>
      </c>
      <c r="H117" s="4">
        <f>G117*AP117/1000</f>
        <v>9.8</v>
      </c>
      <c r="I117" s="4">
        <f>_xlfn.XLOOKUP(J117,数据!E:E,数据!S:S)*(H117/_xlfn.XLOOKUP(J117,数据!E:E,数据!X:X))</f>
        <v>811.706720380883</v>
      </c>
      <c r="J117" t="s">
        <v>1986</v>
      </c>
      <c r="K117" t="s">
        <v>54</v>
      </c>
      <c r="L117" t="s">
        <v>2374</v>
      </c>
      <c r="M117" t="s">
        <v>3178</v>
      </c>
      <c r="N117" t="s">
        <v>2376</v>
      </c>
      <c r="O117" t="s">
        <v>2400</v>
      </c>
      <c r="P117" t="s">
        <v>2378</v>
      </c>
      <c r="Q117" t="s">
        <v>2379</v>
      </c>
      <c r="R117" t="s">
        <v>3179</v>
      </c>
      <c r="S117" t="s">
        <v>2511</v>
      </c>
      <c r="T117" s="3" t="s">
        <v>3180</v>
      </c>
      <c r="U117" t="s">
        <v>3181</v>
      </c>
      <c r="V117" t="s">
        <v>3182</v>
      </c>
      <c r="W117" t="s">
        <v>3183</v>
      </c>
      <c r="X117" t="s">
        <v>2385</v>
      </c>
      <c r="Y117" t="s">
        <v>3184</v>
      </c>
      <c r="Z117" t="s">
        <v>2387</v>
      </c>
      <c r="AA117" t="s">
        <v>3180</v>
      </c>
      <c r="AB117" t="s">
        <v>3185</v>
      </c>
      <c r="AC117" t="s">
        <v>3186</v>
      </c>
      <c r="AD117" t="s">
        <v>3160</v>
      </c>
      <c r="AH117" t="s">
        <v>3027</v>
      </c>
      <c r="AI117" t="s">
        <v>2651</v>
      </c>
      <c r="AJ117" t="s">
        <v>3197</v>
      </c>
      <c r="AK117" t="s">
        <v>3198</v>
      </c>
      <c r="AL117" t="s">
        <v>3199</v>
      </c>
      <c r="AM117" t="s">
        <v>2545</v>
      </c>
      <c r="AN117" t="s">
        <v>3200</v>
      </c>
      <c r="AO117" t="s">
        <v>3197</v>
      </c>
      <c r="AP117">
        <v>100</v>
      </c>
      <c r="AQ117">
        <v>100</v>
      </c>
      <c r="AR117">
        <v>100</v>
      </c>
      <c r="AS117" t="s">
        <v>3201</v>
      </c>
      <c r="AT117">
        <v>0</v>
      </c>
      <c r="AU117">
        <v>0</v>
      </c>
      <c r="AV117">
        <v>0</v>
      </c>
    </row>
    <row r="118" spans="1:48">
      <c r="A118" s="1">
        <f>_xlfn.XLOOKUP(J118,数据!E:E,数据!A:A)</f>
        <v>4</v>
      </c>
      <c r="B118" s="1">
        <f>_xlfn.XLOOKUP(J118,数据!E:E,数据!B:B)</f>
        <v>16</v>
      </c>
      <c r="C118" s="1" t="str">
        <f>_xlfn.XLOOKUP(J118,数据!E:E,数据!J:J)</f>
        <v>空派</v>
      </c>
      <c r="D118" s="1" t="str" cm="1">
        <f t="array" ref="D118">IF(OR(C118="红单",C118="空派"),_xlfn.IFS(E118="未开售","新品首批发货",F118&lt;E118,"新品首批发货",F118-E118&lt;=60,"新品期补货空运",F118-E118&gt;60,"老品应急空运"),"海运，不进行分析")</f>
        <v>新品首批发货</v>
      </c>
      <c r="E118" s="2">
        <v>46151</v>
      </c>
      <c r="F118" s="2">
        <f>_xlfn.XLOOKUP(J118,数据!E:E,数据!C:C)</f>
        <v>46126</v>
      </c>
      <c r="G118" s="4">
        <v>98</v>
      </c>
      <c r="H118" s="4">
        <f>G118*AP118/1000</f>
        <v>9.8</v>
      </c>
      <c r="I118" s="4">
        <f>_xlfn.XLOOKUP(J118,数据!E:E,数据!S:S)*(H118/_xlfn.XLOOKUP(J118,数据!E:E,数据!X:X))</f>
        <v>811.706720380883</v>
      </c>
      <c r="J118" t="s">
        <v>1986</v>
      </c>
      <c r="K118" t="s">
        <v>54</v>
      </c>
      <c r="L118" t="s">
        <v>2374</v>
      </c>
      <c r="M118" t="s">
        <v>3178</v>
      </c>
      <c r="N118" t="s">
        <v>2376</v>
      </c>
      <c r="O118" t="s">
        <v>2400</v>
      </c>
      <c r="P118" t="s">
        <v>2378</v>
      </c>
      <c r="Q118" t="s">
        <v>2379</v>
      </c>
      <c r="R118" t="s">
        <v>3179</v>
      </c>
      <c r="S118" t="s">
        <v>2511</v>
      </c>
      <c r="T118" s="3" t="s">
        <v>3180</v>
      </c>
      <c r="U118" t="s">
        <v>3181</v>
      </c>
      <c r="V118" t="s">
        <v>3182</v>
      </c>
      <c r="W118" t="s">
        <v>3183</v>
      </c>
      <c r="X118" t="s">
        <v>2385</v>
      </c>
      <c r="Y118" t="s">
        <v>3184</v>
      </c>
      <c r="Z118" t="s">
        <v>2387</v>
      </c>
      <c r="AA118" t="s">
        <v>3180</v>
      </c>
      <c r="AB118" t="s">
        <v>3185</v>
      </c>
      <c r="AC118" t="s">
        <v>3186</v>
      </c>
      <c r="AD118" t="s">
        <v>3160</v>
      </c>
      <c r="AH118" t="s">
        <v>3027</v>
      </c>
      <c r="AI118" t="s">
        <v>2651</v>
      </c>
      <c r="AJ118" t="s">
        <v>3202</v>
      </c>
      <c r="AK118" t="s">
        <v>3203</v>
      </c>
      <c r="AL118" t="s">
        <v>3204</v>
      </c>
      <c r="AM118" t="s">
        <v>2545</v>
      </c>
      <c r="AN118" t="s">
        <v>3205</v>
      </c>
      <c r="AO118" t="s">
        <v>3202</v>
      </c>
      <c r="AP118">
        <v>100</v>
      </c>
      <c r="AQ118">
        <v>100</v>
      </c>
      <c r="AR118">
        <v>100</v>
      </c>
      <c r="AS118" t="s">
        <v>3206</v>
      </c>
      <c r="AT118">
        <v>0</v>
      </c>
      <c r="AU118">
        <v>0</v>
      </c>
      <c r="AV118">
        <v>0</v>
      </c>
    </row>
    <row r="119" spans="1:48">
      <c r="A119" s="1">
        <f>_xlfn.XLOOKUP(J119,数据!E:E,数据!A:A)</f>
        <v>4</v>
      </c>
      <c r="B119" s="1">
        <f>_xlfn.XLOOKUP(J119,数据!E:E,数据!B:B)</f>
        <v>16</v>
      </c>
      <c r="C119" s="1" t="str">
        <f>_xlfn.XLOOKUP(J119,数据!E:E,数据!J:J)</f>
        <v>空派</v>
      </c>
      <c r="D119" s="1" t="str" cm="1">
        <f t="array" ref="D119">IF(OR(C119="红单",C119="空派"),_xlfn.IFS(E119="未开售","新品首批发货",F119&lt;E119,"新品首批发货",F119-E119&lt;=60,"新品期补货空运",F119-E119&gt;60,"老品应急空运"),"海运，不进行分析")</f>
        <v>新品首批发货</v>
      </c>
      <c r="E119" s="2">
        <v>46149</v>
      </c>
      <c r="F119" s="2">
        <f>_xlfn.XLOOKUP(J119,数据!E:E,数据!C:C)</f>
        <v>46126</v>
      </c>
      <c r="G119" s="4">
        <v>98</v>
      </c>
      <c r="H119" s="4">
        <f>G119*AP119/1000</f>
        <v>9.8</v>
      </c>
      <c r="I119" s="4">
        <f>_xlfn.XLOOKUP(J119,数据!E:E,数据!S:S)*(H119/_xlfn.XLOOKUP(J119,数据!E:E,数据!X:X))</f>
        <v>811.706720380883</v>
      </c>
      <c r="J119" t="s">
        <v>1986</v>
      </c>
      <c r="K119" t="s">
        <v>54</v>
      </c>
      <c r="L119" t="s">
        <v>2374</v>
      </c>
      <c r="M119" t="s">
        <v>3178</v>
      </c>
      <c r="N119" t="s">
        <v>2376</v>
      </c>
      <c r="O119" t="s">
        <v>2400</v>
      </c>
      <c r="P119" t="s">
        <v>2378</v>
      </c>
      <c r="Q119" t="s">
        <v>2379</v>
      </c>
      <c r="R119" t="s">
        <v>3179</v>
      </c>
      <c r="S119" t="s">
        <v>2511</v>
      </c>
      <c r="T119" s="3" t="s">
        <v>3180</v>
      </c>
      <c r="U119" t="s">
        <v>3181</v>
      </c>
      <c r="V119" t="s">
        <v>3182</v>
      </c>
      <c r="W119" t="s">
        <v>3183</v>
      </c>
      <c r="X119" t="s">
        <v>2385</v>
      </c>
      <c r="Y119" t="s">
        <v>3184</v>
      </c>
      <c r="Z119" t="s">
        <v>2387</v>
      </c>
      <c r="AA119" t="s">
        <v>3180</v>
      </c>
      <c r="AB119" t="s">
        <v>3185</v>
      </c>
      <c r="AC119" t="s">
        <v>3186</v>
      </c>
      <c r="AD119" t="s">
        <v>3160</v>
      </c>
      <c r="AH119" t="s">
        <v>3027</v>
      </c>
      <c r="AI119" t="s">
        <v>2651</v>
      </c>
      <c r="AJ119" t="s">
        <v>3207</v>
      </c>
      <c r="AK119" t="s">
        <v>3208</v>
      </c>
      <c r="AL119" t="s">
        <v>3209</v>
      </c>
      <c r="AM119" t="s">
        <v>2545</v>
      </c>
      <c r="AN119" t="s">
        <v>3210</v>
      </c>
      <c r="AO119" t="s">
        <v>3207</v>
      </c>
      <c r="AP119">
        <v>100</v>
      </c>
      <c r="AQ119">
        <v>100</v>
      </c>
      <c r="AR119">
        <v>100</v>
      </c>
      <c r="AS119" t="s">
        <v>3206</v>
      </c>
      <c r="AT119">
        <v>0</v>
      </c>
      <c r="AU119">
        <v>0</v>
      </c>
      <c r="AV119">
        <v>0</v>
      </c>
    </row>
    <row r="120" spans="1:48">
      <c r="A120" s="1">
        <f>_xlfn.XLOOKUP(J120,数据!E:E,数据!A:A)</f>
        <v>4</v>
      </c>
      <c r="B120" s="1">
        <f>_xlfn.XLOOKUP(J120,数据!E:E,数据!B:B)</f>
        <v>16</v>
      </c>
      <c r="C120" s="1" t="str">
        <f>_xlfn.XLOOKUP(J120,数据!E:E,数据!J:J)</f>
        <v>空派</v>
      </c>
      <c r="D120" s="1" t="str" cm="1">
        <f t="array" ref="D120">IF(OR(C120="红单",C120="空派"),_xlfn.IFS(E120="未开售","新品首批发货",F120&lt;E120,"新品首批发货",F120-E120&lt;=60,"新品期补货空运",F120-E120&gt;60,"老品应急空运"),"海运，不进行分析")</f>
        <v>新品首批发货</v>
      </c>
      <c r="E120" s="2">
        <v>46142</v>
      </c>
      <c r="F120" s="2">
        <f>_xlfn.XLOOKUP(J120,数据!E:E,数据!C:C)</f>
        <v>46126</v>
      </c>
      <c r="G120" s="4">
        <v>148</v>
      </c>
      <c r="H120" s="4">
        <f>G120*AP120/1000</f>
        <v>11.84</v>
      </c>
      <c r="I120" s="4">
        <f>_xlfn.XLOOKUP(J120,数据!E:E,数据!S:S)*(H120/_xlfn.XLOOKUP(J120,数据!E:E,数据!X:X))</f>
        <v>980.674241766291</v>
      </c>
      <c r="J120" t="s">
        <v>1986</v>
      </c>
      <c r="K120" t="s">
        <v>54</v>
      </c>
      <c r="L120" t="s">
        <v>2374</v>
      </c>
      <c r="M120" t="s">
        <v>3178</v>
      </c>
      <c r="N120" t="s">
        <v>2376</v>
      </c>
      <c r="O120" t="s">
        <v>2400</v>
      </c>
      <c r="P120" t="s">
        <v>2378</v>
      </c>
      <c r="Q120" t="s">
        <v>2379</v>
      </c>
      <c r="R120" t="s">
        <v>3179</v>
      </c>
      <c r="S120" t="s">
        <v>2511</v>
      </c>
      <c r="T120" s="3" t="s">
        <v>3180</v>
      </c>
      <c r="U120" t="s">
        <v>3181</v>
      </c>
      <c r="V120" t="s">
        <v>3182</v>
      </c>
      <c r="W120" t="s">
        <v>3183</v>
      </c>
      <c r="X120" t="s">
        <v>2385</v>
      </c>
      <c r="Y120" t="s">
        <v>3184</v>
      </c>
      <c r="Z120" t="s">
        <v>2387</v>
      </c>
      <c r="AA120" t="s">
        <v>3180</v>
      </c>
      <c r="AB120" t="s">
        <v>3185</v>
      </c>
      <c r="AC120" t="s">
        <v>3186</v>
      </c>
      <c r="AD120" t="s">
        <v>3160</v>
      </c>
      <c r="AH120" t="s">
        <v>3027</v>
      </c>
      <c r="AI120" t="s">
        <v>2651</v>
      </c>
      <c r="AJ120" t="s">
        <v>3211</v>
      </c>
      <c r="AK120" t="s">
        <v>3212</v>
      </c>
      <c r="AL120" t="s">
        <v>3213</v>
      </c>
      <c r="AM120" t="s">
        <v>3213</v>
      </c>
      <c r="AN120" t="s">
        <v>3214</v>
      </c>
      <c r="AO120" t="s">
        <v>3211</v>
      </c>
      <c r="AP120">
        <v>80</v>
      </c>
      <c r="AQ120">
        <v>80</v>
      </c>
      <c r="AR120">
        <v>80</v>
      </c>
      <c r="AS120" t="s">
        <v>3215</v>
      </c>
      <c r="AT120">
        <v>0</v>
      </c>
      <c r="AU120">
        <v>0</v>
      </c>
      <c r="AV120">
        <v>0</v>
      </c>
    </row>
    <row r="121" spans="1:48">
      <c r="A121" s="1">
        <f>_xlfn.XLOOKUP(J121,数据!E:E,数据!A:A)</f>
        <v>4</v>
      </c>
      <c r="B121" s="1">
        <f>_xlfn.XLOOKUP(J121,数据!E:E,数据!B:B)</f>
        <v>16</v>
      </c>
      <c r="C121" s="1" t="str">
        <f>_xlfn.XLOOKUP(J121,数据!E:E,数据!J:J)</f>
        <v>空派</v>
      </c>
      <c r="D121" s="1" t="str" cm="1">
        <f t="array" ref="D121">IF(OR(C121="红单",C121="空派"),_xlfn.IFS(E121="未开售","新品首批发货",F121&lt;E121,"新品首批发货",F121-E121&lt;=60,"新品期补货空运",F121-E121&gt;60,"老品应急空运"),"海运，不进行分析")</f>
        <v>新品期补货空运</v>
      </c>
      <c r="E121" s="2">
        <v>46082</v>
      </c>
      <c r="F121" s="2">
        <f>_xlfn.XLOOKUP(J121,数据!E:E,数据!C:C)</f>
        <v>46126</v>
      </c>
      <c r="G121" s="4">
        <v>114</v>
      </c>
      <c r="H121" s="4">
        <f>G121*AP121/1000</f>
        <v>0.114</v>
      </c>
      <c r="I121" s="4">
        <f>_xlfn.XLOOKUP(J121,数据!E:E,数据!S:S)*(H121/_xlfn.XLOOKUP(J121,数据!E:E,数据!X:X))</f>
        <v>9.44230266565516</v>
      </c>
      <c r="J121" t="s">
        <v>1986</v>
      </c>
      <c r="K121" t="s">
        <v>54</v>
      </c>
      <c r="L121" t="s">
        <v>2374</v>
      </c>
      <c r="M121" t="s">
        <v>3178</v>
      </c>
      <c r="N121" t="s">
        <v>2376</v>
      </c>
      <c r="O121" t="s">
        <v>2400</v>
      </c>
      <c r="P121" t="s">
        <v>2378</v>
      </c>
      <c r="Q121" t="s">
        <v>2379</v>
      </c>
      <c r="R121" t="s">
        <v>3179</v>
      </c>
      <c r="S121" t="s">
        <v>2511</v>
      </c>
      <c r="T121" s="3" t="s">
        <v>3180</v>
      </c>
      <c r="U121" t="s">
        <v>3181</v>
      </c>
      <c r="V121" t="s">
        <v>3182</v>
      </c>
      <c r="W121" t="s">
        <v>3183</v>
      </c>
      <c r="X121" t="s">
        <v>2385</v>
      </c>
      <c r="Y121" t="s">
        <v>3184</v>
      </c>
      <c r="Z121" t="s">
        <v>2387</v>
      </c>
      <c r="AA121" t="s">
        <v>3180</v>
      </c>
      <c r="AB121" t="s">
        <v>3185</v>
      </c>
      <c r="AC121" t="s">
        <v>3186</v>
      </c>
      <c r="AD121" t="s">
        <v>3160</v>
      </c>
      <c r="AH121" t="s">
        <v>3027</v>
      </c>
      <c r="AI121" t="s">
        <v>2651</v>
      </c>
      <c r="AJ121" t="s">
        <v>3216</v>
      </c>
      <c r="AK121" t="s">
        <v>3217</v>
      </c>
      <c r="AL121" t="s">
        <v>3218</v>
      </c>
      <c r="AM121" t="s">
        <v>3219</v>
      </c>
      <c r="AN121" t="s">
        <v>3220</v>
      </c>
      <c r="AO121" t="s">
        <v>3216</v>
      </c>
      <c r="AP121">
        <v>1</v>
      </c>
      <c r="AQ121">
        <v>1</v>
      </c>
      <c r="AR121">
        <v>1</v>
      </c>
      <c r="AS121" t="s">
        <v>3221</v>
      </c>
      <c r="AT121">
        <v>0</v>
      </c>
      <c r="AU121">
        <v>0</v>
      </c>
      <c r="AV121">
        <v>0</v>
      </c>
    </row>
    <row r="122" spans="1:48">
      <c r="A122" s="1">
        <f>_xlfn.XLOOKUP(J122,数据!E:E,数据!A:A)</f>
        <v>4</v>
      </c>
      <c r="B122" s="1">
        <f>_xlfn.XLOOKUP(J122,数据!E:E,数据!B:B)</f>
        <v>16</v>
      </c>
      <c r="C122" s="1" t="str">
        <f>_xlfn.XLOOKUP(J122,数据!E:E,数据!J:J)</f>
        <v>空派</v>
      </c>
      <c r="D122" s="1" t="str" cm="1">
        <f t="array" ref="D122">IF(OR(C122="红单",C122="空派"),_xlfn.IFS(E122="未开售","新品首批发货",F122&lt;E122,"新品首批发货",F122-E122&lt;=60,"新品期补货空运",F122-E122&gt;60,"老品应急空运"),"海运，不进行分析")</f>
        <v>新品首批发货</v>
      </c>
      <c r="E122" s="2">
        <v>46149</v>
      </c>
      <c r="F122" s="2">
        <f>_xlfn.XLOOKUP(J122,数据!E:E,数据!C:C)</f>
        <v>46126</v>
      </c>
      <c r="G122" s="4">
        <v>98</v>
      </c>
      <c r="H122" s="4">
        <f>G122*AP122/1000</f>
        <v>7.84</v>
      </c>
      <c r="I122" s="4">
        <f>_xlfn.XLOOKUP(J122,数据!E:E,数据!S:S)*(H122/_xlfn.XLOOKUP(J122,数据!E:E,数据!X:X))</f>
        <v>649.365376304706</v>
      </c>
      <c r="J122" t="s">
        <v>1986</v>
      </c>
      <c r="K122" t="s">
        <v>54</v>
      </c>
      <c r="L122" t="s">
        <v>2374</v>
      </c>
      <c r="M122" t="s">
        <v>3178</v>
      </c>
      <c r="N122" t="s">
        <v>2376</v>
      </c>
      <c r="O122" t="s">
        <v>2400</v>
      </c>
      <c r="P122" t="s">
        <v>2378</v>
      </c>
      <c r="Q122" t="s">
        <v>2379</v>
      </c>
      <c r="R122" t="s">
        <v>3179</v>
      </c>
      <c r="S122" t="s">
        <v>2511</v>
      </c>
      <c r="T122" s="3" t="s">
        <v>3180</v>
      </c>
      <c r="U122" t="s">
        <v>3181</v>
      </c>
      <c r="V122" t="s">
        <v>3182</v>
      </c>
      <c r="W122" t="s">
        <v>3183</v>
      </c>
      <c r="X122" t="s">
        <v>2385</v>
      </c>
      <c r="Y122" t="s">
        <v>3184</v>
      </c>
      <c r="Z122" t="s">
        <v>2387</v>
      </c>
      <c r="AA122" t="s">
        <v>3180</v>
      </c>
      <c r="AB122" t="s">
        <v>3185</v>
      </c>
      <c r="AC122" t="s">
        <v>3186</v>
      </c>
      <c r="AD122" t="s">
        <v>3160</v>
      </c>
      <c r="AH122" t="s">
        <v>3027</v>
      </c>
      <c r="AI122" t="s">
        <v>2651</v>
      </c>
      <c r="AJ122" t="s">
        <v>3222</v>
      </c>
      <c r="AK122" t="s">
        <v>3223</v>
      </c>
      <c r="AL122" t="s">
        <v>3224</v>
      </c>
      <c r="AM122" t="s">
        <v>2545</v>
      </c>
      <c r="AN122" t="s">
        <v>3225</v>
      </c>
      <c r="AO122" t="s">
        <v>3222</v>
      </c>
      <c r="AP122">
        <v>80</v>
      </c>
      <c r="AQ122">
        <v>80</v>
      </c>
      <c r="AR122">
        <v>79</v>
      </c>
      <c r="AS122" t="s">
        <v>3226</v>
      </c>
      <c r="AT122">
        <v>0</v>
      </c>
      <c r="AU122">
        <v>-1</v>
      </c>
      <c r="AV122">
        <v>1</v>
      </c>
    </row>
    <row r="123" spans="1:48">
      <c r="A123" s="1">
        <f>_xlfn.XLOOKUP(J123,数据!E:E,数据!A:A)</f>
        <v>4</v>
      </c>
      <c r="B123" s="1">
        <f>_xlfn.XLOOKUP(J123,数据!E:E,数据!B:B)</f>
        <v>16</v>
      </c>
      <c r="C123" s="1" t="str">
        <f>_xlfn.XLOOKUP(J123,数据!E:E,数据!J:J)</f>
        <v>空派</v>
      </c>
      <c r="D123" s="1" t="str" cm="1">
        <f t="array" ref="D123">IF(OR(C123="红单",C123="空派"),_xlfn.IFS(E123="未开售","新品首批发货",F123&lt;E123,"新品首批发货",F123-E123&lt;=60,"新品期补货空运",F123-E123&gt;60,"老品应急空运"),"海运，不进行分析")</f>
        <v>新品首批发货</v>
      </c>
      <c r="E123" s="2">
        <v>46145</v>
      </c>
      <c r="F123" s="2">
        <f>_xlfn.XLOOKUP(J123,数据!E:E,数据!C:C)</f>
        <v>46126</v>
      </c>
      <c r="G123" s="4">
        <v>97</v>
      </c>
      <c r="H123" s="4">
        <f>G123*AP123/1000</f>
        <v>9.7</v>
      </c>
      <c r="I123" s="4">
        <f>_xlfn.XLOOKUP(J123,数据!E:E,数据!S:S)*(H123/_xlfn.XLOOKUP(J123,数据!E:E,数据!X:X))</f>
        <v>803.423998744343</v>
      </c>
      <c r="J123" t="s">
        <v>1986</v>
      </c>
      <c r="K123" t="s">
        <v>54</v>
      </c>
      <c r="L123" t="s">
        <v>2374</v>
      </c>
      <c r="M123" t="s">
        <v>3178</v>
      </c>
      <c r="N123" t="s">
        <v>2376</v>
      </c>
      <c r="O123" t="s">
        <v>2400</v>
      </c>
      <c r="P123" t="s">
        <v>2378</v>
      </c>
      <c r="Q123" t="s">
        <v>2379</v>
      </c>
      <c r="R123" t="s">
        <v>3179</v>
      </c>
      <c r="S123" t="s">
        <v>2511</v>
      </c>
      <c r="T123" s="3" t="s">
        <v>3180</v>
      </c>
      <c r="U123" t="s">
        <v>3181</v>
      </c>
      <c r="V123" t="s">
        <v>3182</v>
      </c>
      <c r="W123" t="s">
        <v>3183</v>
      </c>
      <c r="X123" t="s">
        <v>2385</v>
      </c>
      <c r="Y123" t="s">
        <v>3184</v>
      </c>
      <c r="Z123" t="s">
        <v>2387</v>
      </c>
      <c r="AA123" t="s">
        <v>3180</v>
      </c>
      <c r="AB123" t="s">
        <v>3185</v>
      </c>
      <c r="AC123" t="s">
        <v>3186</v>
      </c>
      <c r="AD123" t="s">
        <v>3160</v>
      </c>
      <c r="AH123" t="s">
        <v>3027</v>
      </c>
      <c r="AI123" t="s">
        <v>2651</v>
      </c>
      <c r="AJ123" t="s">
        <v>3227</v>
      </c>
      <c r="AK123" t="s">
        <v>3228</v>
      </c>
      <c r="AL123" t="s">
        <v>3229</v>
      </c>
      <c r="AM123" t="s">
        <v>2545</v>
      </c>
      <c r="AN123" t="s">
        <v>3230</v>
      </c>
      <c r="AO123" t="s">
        <v>3227</v>
      </c>
      <c r="AP123">
        <v>100</v>
      </c>
      <c r="AQ123">
        <v>100</v>
      </c>
      <c r="AR123">
        <v>101</v>
      </c>
      <c r="AS123" t="s">
        <v>3231</v>
      </c>
      <c r="AT123">
        <v>0</v>
      </c>
      <c r="AU123">
        <v>1</v>
      </c>
      <c r="AV123">
        <v>-1</v>
      </c>
    </row>
    <row r="124" spans="1:48">
      <c r="A124" s="1">
        <f>_xlfn.XLOOKUP(J124,数据!E:E,数据!A:A)</f>
        <v>4</v>
      </c>
      <c r="B124" s="1">
        <f>_xlfn.XLOOKUP(J124,数据!E:E,数据!B:B)</f>
        <v>16</v>
      </c>
      <c r="C124" s="1" t="str">
        <f>_xlfn.XLOOKUP(J124,数据!E:E,数据!J:J)</f>
        <v>红单</v>
      </c>
      <c r="D124" s="1" t="str" cm="1">
        <f t="array" ref="D124">IF(OR(C124="红单",C124="空派"),_xlfn.IFS(E124="未开售","新品首批发货",F124&lt;E124,"新品首批发货",F124-E124&lt;=60,"新品期补货空运",F124-E124&gt;60,"老品应急空运"),"海运，不进行分析")</f>
        <v>老品应急空运</v>
      </c>
      <c r="E124" s="2">
        <v>44458</v>
      </c>
      <c r="F124" s="2">
        <f>_xlfn.XLOOKUP(J124,数据!E:E,数据!C:C)</f>
        <v>46125</v>
      </c>
      <c r="G124" s="4">
        <v>117</v>
      </c>
      <c r="H124" s="4">
        <f>G124*AP124/1000</f>
        <v>2.34</v>
      </c>
      <c r="I124" s="4">
        <f>_xlfn.XLOOKUP(J124,数据!E:E,数据!S:S)*(H124/_xlfn.XLOOKUP(J124,数据!E:E,数据!X:X))</f>
        <v>259.558501809409</v>
      </c>
      <c r="J124" t="s">
        <v>1984</v>
      </c>
      <c r="K124" t="s">
        <v>39</v>
      </c>
      <c r="L124" t="s">
        <v>2374</v>
      </c>
      <c r="M124" t="s">
        <v>3232</v>
      </c>
      <c r="N124" t="s">
        <v>2376</v>
      </c>
      <c r="O124" t="s">
        <v>2400</v>
      </c>
      <c r="P124" t="s">
        <v>2378</v>
      </c>
      <c r="Q124" t="s">
        <v>2379</v>
      </c>
      <c r="R124" t="s">
        <v>1984</v>
      </c>
      <c r="S124" t="s">
        <v>2511</v>
      </c>
      <c r="T124" s="3" t="s">
        <v>3233</v>
      </c>
      <c r="U124" t="s">
        <v>3234</v>
      </c>
      <c r="V124" t="s">
        <v>3235</v>
      </c>
      <c r="W124" t="s">
        <v>3236</v>
      </c>
      <c r="X124" t="s">
        <v>2385</v>
      </c>
      <c r="Y124" t="s">
        <v>3237</v>
      </c>
      <c r="Z124" t="s">
        <v>2387</v>
      </c>
      <c r="AA124" t="s">
        <v>3233</v>
      </c>
      <c r="AB124" t="s">
        <v>3238</v>
      </c>
      <c r="AC124" t="s">
        <v>3239</v>
      </c>
      <c r="AD124" t="s">
        <v>3160</v>
      </c>
      <c r="AH124" t="s">
        <v>3027</v>
      </c>
      <c r="AI124" t="s">
        <v>2651</v>
      </c>
      <c r="AJ124" t="s">
        <v>3240</v>
      </c>
      <c r="AK124" t="s">
        <v>3241</v>
      </c>
      <c r="AL124" t="s">
        <v>3242</v>
      </c>
      <c r="AM124" t="s">
        <v>3242</v>
      </c>
      <c r="AN124" t="s">
        <v>3243</v>
      </c>
      <c r="AO124" t="s">
        <v>3240</v>
      </c>
      <c r="AP124">
        <v>20</v>
      </c>
      <c r="AQ124">
        <v>20</v>
      </c>
      <c r="AR124">
        <v>20</v>
      </c>
      <c r="AS124" t="s">
        <v>3244</v>
      </c>
      <c r="AT124">
        <v>0</v>
      </c>
      <c r="AU124">
        <v>0</v>
      </c>
      <c r="AV124">
        <v>0</v>
      </c>
    </row>
    <row r="125" spans="1:48">
      <c r="A125" s="1">
        <f>_xlfn.XLOOKUP(J125,数据!E:E,数据!A:A)</f>
        <v>4</v>
      </c>
      <c r="B125" s="1">
        <f>_xlfn.XLOOKUP(J125,数据!E:E,数据!B:B)</f>
        <v>16</v>
      </c>
      <c r="C125" s="1" t="str">
        <f>_xlfn.XLOOKUP(J125,数据!E:E,数据!J:J)</f>
        <v>红单</v>
      </c>
      <c r="D125" s="1" t="str" cm="1">
        <f t="array" ref="D125">IF(OR(C125="红单",C125="空派"),_xlfn.IFS(E125="未开售","新品首批发货",F125&lt;E125,"新品首批发货",F125-E125&lt;=60,"新品期补货空运",F125-E125&gt;60,"老品应急空运"),"海运，不进行分析")</f>
        <v>老品应急空运</v>
      </c>
      <c r="E125" s="2">
        <v>46054</v>
      </c>
      <c r="F125" s="2">
        <f>_xlfn.XLOOKUP(J125,数据!E:E,数据!C:C)</f>
        <v>46125</v>
      </c>
      <c r="G125" s="4">
        <v>132</v>
      </c>
      <c r="H125" s="4">
        <f>G125*AP125/1000</f>
        <v>5.28</v>
      </c>
      <c r="I125" s="4">
        <f>_xlfn.XLOOKUP(J125,数据!E:E,数据!S:S)*(H125/_xlfn.XLOOKUP(J125,数据!E:E,数据!X:X))</f>
        <v>585.67046562123</v>
      </c>
      <c r="J125" t="s">
        <v>1984</v>
      </c>
      <c r="K125" t="s">
        <v>39</v>
      </c>
      <c r="L125" t="s">
        <v>2374</v>
      </c>
      <c r="M125" t="s">
        <v>3232</v>
      </c>
      <c r="N125" t="s">
        <v>2376</v>
      </c>
      <c r="O125" t="s">
        <v>2400</v>
      </c>
      <c r="P125" t="s">
        <v>2378</v>
      </c>
      <c r="Q125" t="s">
        <v>2379</v>
      </c>
      <c r="R125" t="s">
        <v>1984</v>
      </c>
      <c r="S125" t="s">
        <v>2511</v>
      </c>
      <c r="T125" s="3" t="s">
        <v>3233</v>
      </c>
      <c r="U125" t="s">
        <v>3234</v>
      </c>
      <c r="V125" t="s">
        <v>3235</v>
      </c>
      <c r="W125" t="s">
        <v>3236</v>
      </c>
      <c r="X125" t="s">
        <v>2385</v>
      </c>
      <c r="Y125" t="s">
        <v>3237</v>
      </c>
      <c r="Z125" t="s">
        <v>2387</v>
      </c>
      <c r="AA125" t="s">
        <v>3233</v>
      </c>
      <c r="AB125" t="s">
        <v>3238</v>
      </c>
      <c r="AC125" t="s">
        <v>3239</v>
      </c>
      <c r="AD125" t="s">
        <v>3160</v>
      </c>
      <c r="AH125" t="s">
        <v>3027</v>
      </c>
      <c r="AI125" t="s">
        <v>2651</v>
      </c>
      <c r="AJ125" t="s">
        <v>3245</v>
      </c>
      <c r="AK125" t="s">
        <v>3246</v>
      </c>
      <c r="AL125" t="s">
        <v>3247</v>
      </c>
      <c r="AM125" t="s">
        <v>3248</v>
      </c>
      <c r="AN125" t="s">
        <v>3249</v>
      </c>
      <c r="AO125" t="s">
        <v>3245</v>
      </c>
      <c r="AP125">
        <v>40</v>
      </c>
      <c r="AQ125">
        <v>40</v>
      </c>
      <c r="AR125">
        <v>39</v>
      </c>
      <c r="AS125" t="s">
        <v>3250</v>
      </c>
      <c r="AT125">
        <v>0</v>
      </c>
      <c r="AU125">
        <v>-1</v>
      </c>
      <c r="AV125">
        <v>1</v>
      </c>
    </row>
    <row r="126" spans="1:48">
      <c r="A126" s="1">
        <f>_xlfn.XLOOKUP(J126,数据!E:E,数据!A:A)</f>
        <v>4</v>
      </c>
      <c r="B126" s="1">
        <f>_xlfn.XLOOKUP(J126,数据!E:E,数据!B:B)</f>
        <v>16</v>
      </c>
      <c r="C126" s="1" t="str">
        <f>_xlfn.XLOOKUP(J126,数据!E:E,数据!J:J)</f>
        <v>红单</v>
      </c>
      <c r="D126" s="1" t="str" cm="1">
        <f t="array" ref="D126">IF(OR(C126="红单",C126="空派"),_xlfn.IFS(E126="未开售","新品首批发货",F126&lt;E126,"新品首批发货",F126-E126&lt;=60,"新品期补货空运",F126-E126&gt;60,"老品应急空运"),"海运，不进行分析")</f>
        <v>老品应急空运</v>
      </c>
      <c r="E126" s="2">
        <v>44663</v>
      </c>
      <c r="F126" s="2">
        <f>_xlfn.XLOOKUP(J126,数据!E:E,数据!C:C)</f>
        <v>46125</v>
      </c>
      <c r="G126" s="4">
        <v>250</v>
      </c>
      <c r="H126" s="4">
        <f>G126*AP126/1000</f>
        <v>0.25</v>
      </c>
      <c r="I126" s="4">
        <f>_xlfn.XLOOKUP(J126,数据!E:E,数据!S:S)*(H126/_xlfn.XLOOKUP(J126,数据!E:E,数据!X:X))</f>
        <v>27.7306091676719</v>
      </c>
      <c r="J126" t="s">
        <v>1984</v>
      </c>
      <c r="K126" t="s">
        <v>39</v>
      </c>
      <c r="L126" t="s">
        <v>2374</v>
      </c>
      <c r="M126" t="s">
        <v>3232</v>
      </c>
      <c r="N126" t="s">
        <v>2376</v>
      </c>
      <c r="O126" t="s">
        <v>2400</v>
      </c>
      <c r="P126" t="s">
        <v>2378</v>
      </c>
      <c r="Q126" t="s">
        <v>2379</v>
      </c>
      <c r="R126" t="s">
        <v>1984</v>
      </c>
      <c r="S126" t="s">
        <v>2511</v>
      </c>
      <c r="T126" s="3" t="s">
        <v>3233</v>
      </c>
      <c r="U126" t="s">
        <v>3234</v>
      </c>
      <c r="V126" t="s">
        <v>3235</v>
      </c>
      <c r="W126" t="s">
        <v>3236</v>
      </c>
      <c r="X126" t="s">
        <v>2385</v>
      </c>
      <c r="Y126" t="s">
        <v>3237</v>
      </c>
      <c r="Z126" t="s">
        <v>2387</v>
      </c>
      <c r="AA126" t="s">
        <v>3233</v>
      </c>
      <c r="AB126" t="s">
        <v>3238</v>
      </c>
      <c r="AC126" t="s">
        <v>3239</v>
      </c>
      <c r="AD126" t="s">
        <v>3160</v>
      </c>
      <c r="AH126" t="s">
        <v>3027</v>
      </c>
      <c r="AI126" t="s">
        <v>2651</v>
      </c>
      <c r="AJ126" t="s">
        <v>3251</v>
      </c>
      <c r="AK126" t="s">
        <v>3252</v>
      </c>
      <c r="AL126" t="s">
        <v>3253</v>
      </c>
      <c r="AM126" t="s">
        <v>3253</v>
      </c>
      <c r="AN126" t="s">
        <v>3254</v>
      </c>
      <c r="AO126" t="s">
        <v>3251</v>
      </c>
      <c r="AP126">
        <v>1</v>
      </c>
      <c r="AQ126">
        <v>1</v>
      </c>
      <c r="AR126">
        <v>1</v>
      </c>
      <c r="AS126" t="s">
        <v>3255</v>
      </c>
      <c r="AT126">
        <v>0</v>
      </c>
      <c r="AU126">
        <v>0</v>
      </c>
      <c r="AV126">
        <v>0</v>
      </c>
    </row>
    <row r="127" spans="1:48">
      <c r="A127" s="1">
        <f>_xlfn.XLOOKUP(J127,数据!E:E,数据!A:A)</f>
        <v>4</v>
      </c>
      <c r="B127" s="1">
        <f>_xlfn.XLOOKUP(J127,数据!E:E,数据!B:B)</f>
        <v>16</v>
      </c>
      <c r="C127" s="1" t="str">
        <f>_xlfn.XLOOKUP(J127,数据!E:E,数据!J:J)</f>
        <v>红单</v>
      </c>
      <c r="D127" s="1" t="str" cm="1">
        <f t="array" ref="D127">IF(OR(C127="红单",C127="空派"),_xlfn.IFS(E127="未开售","新品首批发货",F127&lt;E127,"新品首批发货",F127-E127&lt;=60,"新品期补货空运",F127-E127&gt;60,"老品应急空运"),"海运，不进行分析")</f>
        <v>新品首批发货</v>
      </c>
      <c r="E127" s="2">
        <v>46128</v>
      </c>
      <c r="F127" s="2">
        <f>_xlfn.XLOOKUP(J127,数据!E:E,数据!C:C)</f>
        <v>46125</v>
      </c>
      <c r="G127" s="4">
        <v>140</v>
      </c>
      <c r="H127" s="4">
        <f>G127*AP127/1000</f>
        <v>0.42</v>
      </c>
      <c r="I127" s="4">
        <f>_xlfn.XLOOKUP(J127,数据!E:E,数据!S:S)*(H127/_xlfn.XLOOKUP(J127,数据!E:E,数据!X:X))</f>
        <v>46.5874234016888</v>
      </c>
      <c r="J127" t="s">
        <v>1984</v>
      </c>
      <c r="K127" t="s">
        <v>39</v>
      </c>
      <c r="L127" t="s">
        <v>2374</v>
      </c>
      <c r="M127" t="s">
        <v>3232</v>
      </c>
      <c r="N127" t="s">
        <v>2376</v>
      </c>
      <c r="O127" t="s">
        <v>2400</v>
      </c>
      <c r="P127" t="s">
        <v>2378</v>
      </c>
      <c r="Q127" t="s">
        <v>2379</v>
      </c>
      <c r="R127" t="s">
        <v>1984</v>
      </c>
      <c r="S127" t="s">
        <v>2511</v>
      </c>
      <c r="T127" s="3" t="s">
        <v>3233</v>
      </c>
      <c r="U127" t="s">
        <v>3234</v>
      </c>
      <c r="V127" t="s">
        <v>3235</v>
      </c>
      <c r="W127" t="s">
        <v>3236</v>
      </c>
      <c r="X127" t="s">
        <v>2385</v>
      </c>
      <c r="Y127" t="s">
        <v>3237</v>
      </c>
      <c r="Z127" t="s">
        <v>2387</v>
      </c>
      <c r="AA127" t="s">
        <v>3233</v>
      </c>
      <c r="AB127" t="s">
        <v>3238</v>
      </c>
      <c r="AC127" t="s">
        <v>3239</v>
      </c>
      <c r="AD127" t="s">
        <v>3160</v>
      </c>
      <c r="AH127" t="s">
        <v>3027</v>
      </c>
      <c r="AI127" t="s">
        <v>2651</v>
      </c>
      <c r="AJ127" t="s">
        <v>3256</v>
      </c>
      <c r="AK127" t="s">
        <v>3257</v>
      </c>
      <c r="AL127" t="s">
        <v>3258</v>
      </c>
      <c r="AM127" t="s">
        <v>3259</v>
      </c>
      <c r="AN127" t="s">
        <v>3260</v>
      </c>
      <c r="AO127" t="s">
        <v>3256</v>
      </c>
      <c r="AP127">
        <v>3</v>
      </c>
      <c r="AQ127">
        <v>3</v>
      </c>
      <c r="AR127">
        <v>3</v>
      </c>
      <c r="AS127" t="s">
        <v>3261</v>
      </c>
      <c r="AT127">
        <v>0</v>
      </c>
      <c r="AU127">
        <v>0</v>
      </c>
      <c r="AV127">
        <v>0</v>
      </c>
    </row>
    <row r="128" spans="1:48">
      <c r="A128" s="1">
        <f>_xlfn.XLOOKUP(J128,数据!E:E,数据!A:A)</f>
        <v>4</v>
      </c>
      <c r="B128" s="1">
        <f>_xlfn.XLOOKUP(J128,数据!E:E,数据!B:B)</f>
        <v>16</v>
      </c>
      <c r="C128" s="1" t="str">
        <f>_xlfn.XLOOKUP(J128,数据!E:E,数据!J:J)</f>
        <v>红单</v>
      </c>
      <c r="D128" s="1" t="str" cm="1">
        <f t="array" ref="D128">IF(OR(C128="红单",C128="空派"),_xlfn.IFS(E128="未开售","新品首批发货",F128&lt;E128,"新品首批发货",F128-E128&lt;=60,"新品期补货空运",F128-E128&gt;60,"老品应急空运"),"海运，不进行分析")</f>
        <v>新品首批发货</v>
      </c>
      <c r="E128" s="2">
        <v>46149</v>
      </c>
      <c r="F128" s="2">
        <f>_xlfn.XLOOKUP(J128,数据!E:E,数据!C:C)</f>
        <v>46125</v>
      </c>
      <c r="G128" s="4">
        <v>95</v>
      </c>
      <c r="H128" s="4">
        <f>G128*AP128/1000</f>
        <v>7.6</v>
      </c>
      <c r="I128" s="4">
        <f>_xlfn.XLOOKUP(J128,数据!E:E,数据!S:S)*(H128/_xlfn.XLOOKUP(J128,数据!E:E,数据!X:X))</f>
        <v>740.105882352941</v>
      </c>
      <c r="J128" t="s">
        <v>1983</v>
      </c>
      <c r="K128" t="s">
        <v>37</v>
      </c>
      <c r="L128" t="s">
        <v>2374</v>
      </c>
      <c r="M128" t="s">
        <v>3262</v>
      </c>
      <c r="N128" t="s">
        <v>2376</v>
      </c>
      <c r="O128" t="s">
        <v>2400</v>
      </c>
      <c r="P128" t="s">
        <v>2378</v>
      </c>
      <c r="Q128" t="s">
        <v>2379</v>
      </c>
      <c r="R128" t="s">
        <v>1983</v>
      </c>
      <c r="S128" t="s">
        <v>2511</v>
      </c>
      <c r="T128" s="3" t="s">
        <v>3233</v>
      </c>
      <c r="U128" t="s">
        <v>3263</v>
      </c>
      <c r="V128" t="s">
        <v>3264</v>
      </c>
      <c r="W128" t="s">
        <v>3265</v>
      </c>
      <c r="X128" t="s">
        <v>2385</v>
      </c>
      <c r="Y128" t="s">
        <v>3266</v>
      </c>
      <c r="Z128" t="s">
        <v>2405</v>
      </c>
      <c r="AA128" t="s">
        <v>3233</v>
      </c>
      <c r="AB128" t="s">
        <v>3267</v>
      </c>
      <c r="AC128" t="s">
        <v>3268</v>
      </c>
      <c r="AD128" t="s">
        <v>3160</v>
      </c>
      <c r="AH128" t="s">
        <v>3027</v>
      </c>
      <c r="AI128" t="s">
        <v>2651</v>
      </c>
      <c r="AJ128" t="s">
        <v>3269</v>
      </c>
      <c r="AK128" t="s">
        <v>3270</v>
      </c>
      <c r="AL128" t="s">
        <v>3271</v>
      </c>
      <c r="AM128" t="s">
        <v>3271</v>
      </c>
      <c r="AN128" t="s">
        <v>3272</v>
      </c>
      <c r="AO128" t="s">
        <v>3269</v>
      </c>
      <c r="AP128">
        <v>80</v>
      </c>
      <c r="AQ128">
        <v>80</v>
      </c>
      <c r="AR128">
        <v>80</v>
      </c>
      <c r="AS128" t="s">
        <v>3273</v>
      </c>
      <c r="AT128">
        <v>0</v>
      </c>
      <c r="AU128">
        <v>0</v>
      </c>
      <c r="AV128">
        <v>0</v>
      </c>
    </row>
    <row r="129" spans="1:48">
      <c r="A129" s="1">
        <f>_xlfn.XLOOKUP(J129,数据!E:E,数据!A:A)</f>
        <v>4</v>
      </c>
      <c r="B129" s="1">
        <f>_xlfn.XLOOKUP(J129,数据!E:E,数据!B:B)</f>
        <v>16</v>
      </c>
      <c r="C129" s="1" t="str">
        <f>_xlfn.XLOOKUP(J129,数据!E:E,数据!J:J)</f>
        <v>红单</v>
      </c>
      <c r="D129" s="1" t="str" cm="1">
        <f t="array" ref="D129">IF(OR(C129="红单",C129="空派"),_xlfn.IFS(E129="未开售","新品首批发货",F129&lt;E129,"新品首批发货",F129-E129&lt;=60,"新品期补货空运",F129-E129&gt;60,"老品应急空运"),"海运，不进行分析")</f>
        <v>新品首批发货</v>
      </c>
      <c r="E129" s="2">
        <v>46150</v>
      </c>
      <c r="F129" s="2">
        <f>_xlfn.XLOOKUP(J129,数据!E:E,数据!C:C)</f>
        <v>46125</v>
      </c>
      <c r="G129" s="4">
        <v>96</v>
      </c>
      <c r="H129" s="4">
        <f>G129*AP129/1000</f>
        <v>10.08</v>
      </c>
      <c r="I129" s="4">
        <f>_xlfn.XLOOKUP(J129,数据!E:E,数据!S:S)*(H129/_xlfn.XLOOKUP(J129,数据!E:E,数据!X:X))</f>
        <v>981.614117647059</v>
      </c>
      <c r="J129" t="s">
        <v>1983</v>
      </c>
      <c r="K129" t="s">
        <v>37</v>
      </c>
      <c r="L129" t="s">
        <v>2374</v>
      </c>
      <c r="M129" t="s">
        <v>3262</v>
      </c>
      <c r="N129" t="s">
        <v>2376</v>
      </c>
      <c r="O129" t="s">
        <v>2400</v>
      </c>
      <c r="P129" t="s">
        <v>2378</v>
      </c>
      <c r="Q129" t="s">
        <v>2379</v>
      </c>
      <c r="R129" t="s">
        <v>1983</v>
      </c>
      <c r="S129" t="s">
        <v>2511</v>
      </c>
      <c r="T129" s="3" t="s">
        <v>3233</v>
      </c>
      <c r="U129" t="s">
        <v>3263</v>
      </c>
      <c r="V129" t="s">
        <v>3264</v>
      </c>
      <c r="W129" t="s">
        <v>3265</v>
      </c>
      <c r="X129" t="s">
        <v>2385</v>
      </c>
      <c r="Y129" t="s">
        <v>3266</v>
      </c>
      <c r="Z129" t="s">
        <v>2405</v>
      </c>
      <c r="AA129" t="s">
        <v>3233</v>
      </c>
      <c r="AB129" t="s">
        <v>3267</v>
      </c>
      <c r="AC129" t="s">
        <v>3268</v>
      </c>
      <c r="AD129" t="s">
        <v>3160</v>
      </c>
      <c r="AH129" t="s">
        <v>3027</v>
      </c>
      <c r="AI129" t="s">
        <v>2651</v>
      </c>
      <c r="AJ129" t="s">
        <v>3274</v>
      </c>
      <c r="AK129" t="s">
        <v>3275</v>
      </c>
      <c r="AL129" t="s">
        <v>3276</v>
      </c>
      <c r="AM129" t="s">
        <v>3067</v>
      </c>
      <c r="AN129" t="s">
        <v>3277</v>
      </c>
      <c r="AO129" t="s">
        <v>3274</v>
      </c>
      <c r="AP129">
        <v>105</v>
      </c>
      <c r="AQ129">
        <v>105</v>
      </c>
      <c r="AR129">
        <v>104</v>
      </c>
      <c r="AS129" t="s">
        <v>3278</v>
      </c>
      <c r="AT129">
        <v>0</v>
      </c>
      <c r="AU129">
        <v>-1</v>
      </c>
      <c r="AV129">
        <v>1</v>
      </c>
    </row>
    <row r="130" spans="1:48">
      <c r="A130" s="1">
        <f>_xlfn.XLOOKUP(J130,数据!E:E,数据!A:A)</f>
        <v>4</v>
      </c>
      <c r="B130" s="1">
        <f>_xlfn.XLOOKUP(J130,数据!E:E,数据!B:B)</f>
        <v>15</v>
      </c>
      <c r="C130" s="1" t="str">
        <f>_xlfn.XLOOKUP(J130,数据!E:E,数据!J:J)</f>
        <v>红单</v>
      </c>
      <c r="D130" s="1" t="str" cm="1">
        <f t="array" ref="D130">IF(OR(C130="红单",C130="空派"),_xlfn.IFS(E130="未开售","新品首批发货",F130&lt;E130,"新品首批发货",F130-E130&lt;=60,"新品期补货空运",F130-E130&gt;60,"老品应急空运"),"海运，不进行分析")</f>
        <v>新品期补货空运</v>
      </c>
      <c r="E130" s="2">
        <v>46104</v>
      </c>
      <c r="F130" s="2">
        <f>_xlfn.XLOOKUP(J130,数据!E:E,数据!C:C)</f>
        <v>46122</v>
      </c>
      <c r="G130" s="4">
        <v>158</v>
      </c>
      <c r="H130" s="4">
        <f t="shared" ref="H130:H136" si="6">G130*AP130/1000</f>
        <v>15.8</v>
      </c>
      <c r="I130" s="4">
        <f>_xlfn.XLOOKUP(J130,数据!E:E,数据!S:S)*(H130/_xlfn.XLOOKUP(J130,数据!E:E,数据!X:X))</f>
        <v>1253.35648535565</v>
      </c>
      <c r="J130" t="s">
        <v>1981</v>
      </c>
      <c r="K130" t="s">
        <v>56</v>
      </c>
      <c r="L130" t="s">
        <v>2374</v>
      </c>
      <c r="M130" t="s">
        <v>3279</v>
      </c>
      <c r="N130" t="s">
        <v>2376</v>
      </c>
      <c r="O130" t="s">
        <v>2377</v>
      </c>
      <c r="P130" t="s">
        <v>2378</v>
      </c>
      <c r="Q130" t="s">
        <v>2379</v>
      </c>
      <c r="R130" t="s">
        <v>1981</v>
      </c>
      <c r="S130" t="s">
        <v>2511</v>
      </c>
      <c r="T130" s="3" t="s">
        <v>3280</v>
      </c>
      <c r="U130" t="s">
        <v>3281</v>
      </c>
      <c r="V130" t="s">
        <v>3282</v>
      </c>
      <c r="W130" t="s">
        <v>3283</v>
      </c>
      <c r="X130" t="s">
        <v>2385</v>
      </c>
      <c r="Y130" t="s">
        <v>3284</v>
      </c>
      <c r="Z130" t="s">
        <v>2387</v>
      </c>
      <c r="AA130" t="s">
        <v>3280</v>
      </c>
      <c r="AB130" t="s">
        <v>3285</v>
      </c>
      <c r="AC130" t="s">
        <v>3286</v>
      </c>
      <c r="AD130" t="s">
        <v>3287</v>
      </c>
      <c r="AH130" t="s">
        <v>3027</v>
      </c>
      <c r="AI130" t="s">
        <v>2651</v>
      </c>
      <c r="AJ130" t="s">
        <v>3288</v>
      </c>
      <c r="AK130" t="s">
        <v>3289</v>
      </c>
      <c r="AL130" t="s">
        <v>3290</v>
      </c>
      <c r="AM130" t="s">
        <v>3290</v>
      </c>
      <c r="AN130" t="s">
        <v>3291</v>
      </c>
      <c r="AO130" t="s">
        <v>3288</v>
      </c>
      <c r="AP130">
        <v>100</v>
      </c>
      <c r="AQ130">
        <v>100</v>
      </c>
      <c r="AR130">
        <v>87</v>
      </c>
      <c r="AS130" t="s">
        <v>3292</v>
      </c>
      <c r="AT130">
        <v>0</v>
      </c>
      <c r="AU130">
        <v>-13</v>
      </c>
      <c r="AV130">
        <v>13</v>
      </c>
    </row>
    <row r="131" spans="1:48">
      <c r="A131" s="1">
        <f>_xlfn.XLOOKUP(J131,数据!E:E,数据!A:A)</f>
        <v>4</v>
      </c>
      <c r="B131" s="1">
        <f>_xlfn.XLOOKUP(J131,数据!E:E,数据!B:B)</f>
        <v>15</v>
      </c>
      <c r="C131" s="1" t="str">
        <f>_xlfn.XLOOKUP(J131,数据!E:E,数据!J:J)</f>
        <v>红单</v>
      </c>
      <c r="D131" s="1" t="str" cm="1">
        <f t="array" ref="D131">IF(OR(C131="红单",C131="空派"),_xlfn.IFS(E131="未开售","新品首批发货",F131&lt;E131,"新品首批发货",F131-E131&lt;=60,"新品期补货空运",F131-E131&gt;60,"老品应急空运"),"海运，不进行分析")</f>
        <v>老品应急空运</v>
      </c>
      <c r="E131" s="2">
        <v>46029</v>
      </c>
      <c r="F131" s="2">
        <f>_xlfn.XLOOKUP(J131,数据!E:E,数据!C:C)</f>
        <v>46122</v>
      </c>
      <c r="G131" s="4">
        <v>162</v>
      </c>
      <c r="H131" s="4">
        <f t="shared" si="6"/>
        <v>8.1</v>
      </c>
      <c r="I131" s="4">
        <f>_xlfn.XLOOKUP(J131,数据!E:E,数据!S:S)*(H131/_xlfn.XLOOKUP(J131,数据!E:E,数据!X:X))</f>
        <v>642.543514644351</v>
      </c>
      <c r="J131" t="s">
        <v>1981</v>
      </c>
      <c r="K131" t="s">
        <v>56</v>
      </c>
      <c r="L131" t="s">
        <v>2374</v>
      </c>
      <c r="M131" t="s">
        <v>3279</v>
      </c>
      <c r="N131" t="s">
        <v>2376</v>
      </c>
      <c r="O131" t="s">
        <v>2377</v>
      </c>
      <c r="P131" t="s">
        <v>2378</v>
      </c>
      <c r="Q131" t="s">
        <v>2379</v>
      </c>
      <c r="R131" t="s">
        <v>1981</v>
      </c>
      <c r="S131" t="s">
        <v>2511</v>
      </c>
      <c r="T131" s="3" t="s">
        <v>3280</v>
      </c>
      <c r="U131" t="s">
        <v>3281</v>
      </c>
      <c r="V131" t="s">
        <v>3282</v>
      </c>
      <c r="W131" t="s">
        <v>3283</v>
      </c>
      <c r="X131" t="s">
        <v>2385</v>
      </c>
      <c r="Y131" t="s">
        <v>3284</v>
      </c>
      <c r="Z131" t="s">
        <v>2387</v>
      </c>
      <c r="AA131" t="s">
        <v>3280</v>
      </c>
      <c r="AB131" t="s">
        <v>3285</v>
      </c>
      <c r="AC131" t="s">
        <v>3286</v>
      </c>
      <c r="AD131" t="s">
        <v>3287</v>
      </c>
      <c r="AH131" t="s">
        <v>3027</v>
      </c>
      <c r="AI131" t="s">
        <v>2651</v>
      </c>
      <c r="AJ131" t="s">
        <v>3088</v>
      </c>
      <c r="AK131" t="s">
        <v>3089</v>
      </c>
      <c r="AL131" t="s">
        <v>3090</v>
      </c>
      <c r="AM131" t="s">
        <v>3091</v>
      </c>
      <c r="AN131" t="s">
        <v>3092</v>
      </c>
      <c r="AO131" t="s">
        <v>3088</v>
      </c>
      <c r="AP131">
        <v>50</v>
      </c>
      <c r="AQ131">
        <v>50</v>
      </c>
      <c r="AR131">
        <v>50</v>
      </c>
      <c r="AS131" t="s">
        <v>3293</v>
      </c>
      <c r="AT131">
        <v>0</v>
      </c>
      <c r="AU131">
        <v>0</v>
      </c>
      <c r="AV131">
        <v>0</v>
      </c>
    </row>
    <row r="132" spans="1:48">
      <c r="A132" s="1">
        <f>_xlfn.XLOOKUP(J132,数据!E:E,数据!A:A)</f>
        <v>4</v>
      </c>
      <c r="B132" s="1">
        <f>_xlfn.XLOOKUP(J132,数据!E:E,数据!B:B)</f>
        <v>15</v>
      </c>
      <c r="C132" s="1" t="str">
        <f>_xlfn.XLOOKUP(J132,数据!E:E,数据!J:J)</f>
        <v>红单</v>
      </c>
      <c r="D132" s="1" t="str" cm="1">
        <f t="array" ref="D132">IF(OR(C132="红单",C132="空派"),_xlfn.IFS(E132="未开售","新品首批发货",F132&lt;E132,"新品首批发货",F132-E132&lt;=60,"新品期补货空运",F132-E132&gt;60,"老品应急空运"),"海运，不进行分析")</f>
        <v>新品首批发货</v>
      </c>
      <c r="E132" s="2">
        <v>46141</v>
      </c>
      <c r="F132" s="2">
        <f>_xlfn.XLOOKUP(J132,数据!E:E,数据!C:C)</f>
        <v>46122</v>
      </c>
      <c r="G132" s="4">
        <v>424</v>
      </c>
      <c r="H132" s="4">
        <f t="shared" si="6"/>
        <v>38.16</v>
      </c>
      <c r="I132" s="4">
        <f>_xlfn.XLOOKUP(J132,数据!E:E,数据!S:S)*(H132/_xlfn.XLOOKUP(J132,数据!E:E,数据!X:X))</f>
        <v>2688.58</v>
      </c>
      <c r="J132" t="s">
        <v>1982</v>
      </c>
      <c r="K132" t="s">
        <v>78</v>
      </c>
      <c r="L132" t="s">
        <v>2374</v>
      </c>
      <c r="M132" t="s">
        <v>3294</v>
      </c>
      <c r="N132" t="s">
        <v>2376</v>
      </c>
      <c r="O132" t="s">
        <v>2377</v>
      </c>
      <c r="P132" t="s">
        <v>2378</v>
      </c>
      <c r="Q132" t="s">
        <v>2379</v>
      </c>
      <c r="R132" t="s">
        <v>1982</v>
      </c>
      <c r="S132" t="s">
        <v>2511</v>
      </c>
      <c r="T132" s="3" t="s">
        <v>3295</v>
      </c>
      <c r="U132" t="s">
        <v>3296</v>
      </c>
      <c r="V132" t="s">
        <v>3297</v>
      </c>
      <c r="W132" t="s">
        <v>3298</v>
      </c>
      <c r="X132" t="s">
        <v>2403</v>
      </c>
      <c r="Y132" t="s">
        <v>3299</v>
      </c>
      <c r="Z132" t="s">
        <v>2387</v>
      </c>
      <c r="AA132" t="s">
        <v>3295</v>
      </c>
      <c r="AB132" t="s">
        <v>3300</v>
      </c>
      <c r="AC132" t="s">
        <v>3301</v>
      </c>
      <c r="AD132" t="s">
        <v>2651</v>
      </c>
      <c r="AH132" t="s">
        <v>3027</v>
      </c>
      <c r="AI132" t="s">
        <v>2651</v>
      </c>
      <c r="AJ132" t="s">
        <v>3302</v>
      </c>
      <c r="AK132" t="s">
        <v>3303</v>
      </c>
      <c r="AL132" t="s">
        <v>3304</v>
      </c>
      <c r="AM132" t="s">
        <v>3304</v>
      </c>
      <c r="AN132" t="s">
        <v>3305</v>
      </c>
      <c r="AO132" t="s">
        <v>3302</v>
      </c>
      <c r="AP132">
        <v>90</v>
      </c>
      <c r="AQ132">
        <v>90</v>
      </c>
      <c r="AR132">
        <v>90</v>
      </c>
      <c r="AS132" t="s">
        <v>3306</v>
      </c>
      <c r="AT132">
        <v>0</v>
      </c>
      <c r="AU132">
        <v>0</v>
      </c>
      <c r="AV132">
        <v>0</v>
      </c>
    </row>
    <row r="133" spans="1:48">
      <c r="A133" s="1">
        <f>_xlfn.XLOOKUP(J133,数据!E:E,数据!A:A)</f>
        <v>4</v>
      </c>
      <c r="B133" s="1">
        <f>_xlfn.XLOOKUP(J133,数据!E:E,数据!B:B)</f>
        <v>15</v>
      </c>
      <c r="C133" s="1" t="str">
        <f>_xlfn.XLOOKUP(J133,数据!E:E,数据!J:J)</f>
        <v>红单</v>
      </c>
      <c r="D133" s="1" t="str" cm="1">
        <f t="array" ref="D133">IF(OR(C133="红单",C133="空派"),_xlfn.IFS(E133="未开售","新品首批发货",F133&lt;E133,"新品首批发货",F133-E133&lt;=60,"新品期补货空运",F133-E133&gt;60,"老品应急空运"),"海运，不进行分析")</f>
        <v>新品首批发货</v>
      </c>
      <c r="E133" s="2">
        <v>46141</v>
      </c>
      <c r="F133" s="2">
        <f>_xlfn.XLOOKUP(J133,数据!E:E,数据!C:C)</f>
        <v>46122</v>
      </c>
      <c r="G133" s="4">
        <v>155</v>
      </c>
      <c r="H133" s="4">
        <f t="shared" si="6"/>
        <v>13.95</v>
      </c>
      <c r="I133" s="4">
        <f>_xlfn.XLOOKUP(J133,数据!E:E,数据!S:S)*(H133/_xlfn.XLOOKUP(J133,数据!E:E,数据!X:X))</f>
        <v>1093.89011722913</v>
      </c>
      <c r="J133" t="s">
        <v>1979</v>
      </c>
      <c r="K133" t="s">
        <v>37</v>
      </c>
      <c r="L133" t="s">
        <v>2374</v>
      </c>
      <c r="M133" t="s">
        <v>3307</v>
      </c>
      <c r="N133" t="s">
        <v>2376</v>
      </c>
      <c r="O133" t="s">
        <v>2400</v>
      </c>
      <c r="P133" t="s">
        <v>2378</v>
      </c>
      <c r="Q133" t="s">
        <v>2379</v>
      </c>
      <c r="R133" t="s">
        <v>1979</v>
      </c>
      <c r="S133" t="s">
        <v>2511</v>
      </c>
      <c r="T133" s="3" t="s">
        <v>3308</v>
      </c>
      <c r="U133" t="s">
        <v>3309</v>
      </c>
      <c r="V133" t="s">
        <v>3310</v>
      </c>
      <c r="W133" t="s">
        <v>3311</v>
      </c>
      <c r="X133" t="s">
        <v>2403</v>
      </c>
      <c r="Y133" t="s">
        <v>3312</v>
      </c>
      <c r="Z133" t="s">
        <v>2405</v>
      </c>
      <c r="AA133" t="s">
        <v>3308</v>
      </c>
      <c r="AB133" t="s">
        <v>3313</v>
      </c>
      <c r="AC133" t="s">
        <v>3314</v>
      </c>
      <c r="AD133" t="s">
        <v>3287</v>
      </c>
      <c r="AH133" t="s">
        <v>3027</v>
      </c>
      <c r="AI133" t="s">
        <v>2651</v>
      </c>
      <c r="AJ133" t="s">
        <v>3315</v>
      </c>
      <c r="AK133" t="s">
        <v>3316</v>
      </c>
      <c r="AL133" t="s">
        <v>3317</v>
      </c>
      <c r="AM133" t="s">
        <v>3317</v>
      </c>
      <c r="AN133" t="s">
        <v>3318</v>
      </c>
      <c r="AO133" t="s">
        <v>3315</v>
      </c>
      <c r="AP133">
        <v>90</v>
      </c>
      <c r="AQ133">
        <v>90</v>
      </c>
      <c r="AR133">
        <v>90</v>
      </c>
      <c r="AS133" t="s">
        <v>3319</v>
      </c>
      <c r="AT133">
        <v>0</v>
      </c>
      <c r="AU133">
        <v>0</v>
      </c>
      <c r="AV133">
        <v>0</v>
      </c>
    </row>
    <row r="134" spans="1:48">
      <c r="A134" s="1">
        <f>_xlfn.XLOOKUP(J134,数据!E:E,数据!A:A)</f>
        <v>4</v>
      </c>
      <c r="B134" s="1">
        <f>_xlfn.XLOOKUP(J134,数据!E:E,数据!B:B)</f>
        <v>15</v>
      </c>
      <c r="C134" s="1" t="str">
        <f>_xlfn.XLOOKUP(J134,数据!E:E,数据!J:J)</f>
        <v>红单</v>
      </c>
      <c r="D134" s="1" t="str" cm="1">
        <f t="array" ref="D134">IF(OR(C134="红单",C134="空派"),_xlfn.IFS(E134="未开售","新品首批发货",F134&lt;E134,"新品首批发货",F134-E134&lt;=60,"新品期补货空运",F134-E134&gt;60,"老品应急空运"),"海运，不进行分析")</f>
        <v>新品期补货空运</v>
      </c>
      <c r="E134" s="2">
        <v>46080</v>
      </c>
      <c r="F134" s="2">
        <f>_xlfn.XLOOKUP(J134,数据!E:E,数据!C:C)</f>
        <v>46122</v>
      </c>
      <c r="G134" s="4">
        <v>125</v>
      </c>
      <c r="H134" s="4">
        <f t="shared" si="6"/>
        <v>0.125</v>
      </c>
      <c r="I134" s="4">
        <f>_xlfn.XLOOKUP(J134,数据!E:E,数据!S:S)*(H134/_xlfn.XLOOKUP(J134,数据!E:E,数据!X:X))</f>
        <v>9.80188277087034</v>
      </c>
      <c r="J134" t="s">
        <v>1979</v>
      </c>
      <c r="K134" t="s">
        <v>37</v>
      </c>
      <c r="L134" t="s">
        <v>2374</v>
      </c>
      <c r="M134" t="s">
        <v>3307</v>
      </c>
      <c r="N134" t="s">
        <v>2376</v>
      </c>
      <c r="O134" t="s">
        <v>2400</v>
      </c>
      <c r="P134" t="s">
        <v>2378</v>
      </c>
      <c r="Q134" t="s">
        <v>2379</v>
      </c>
      <c r="R134" t="s">
        <v>1979</v>
      </c>
      <c r="S134" t="s">
        <v>2511</v>
      </c>
      <c r="T134" s="3" t="s">
        <v>3308</v>
      </c>
      <c r="U134" t="s">
        <v>3309</v>
      </c>
      <c r="V134" t="s">
        <v>3310</v>
      </c>
      <c r="W134" t="s">
        <v>3311</v>
      </c>
      <c r="X134" t="s">
        <v>2403</v>
      </c>
      <c r="Y134" t="s">
        <v>3312</v>
      </c>
      <c r="Z134" t="s">
        <v>2405</v>
      </c>
      <c r="AA134" t="s">
        <v>3308</v>
      </c>
      <c r="AB134" t="s">
        <v>3313</v>
      </c>
      <c r="AC134" t="s">
        <v>3314</v>
      </c>
      <c r="AD134" t="s">
        <v>3287</v>
      </c>
      <c r="AH134" t="s">
        <v>3027</v>
      </c>
      <c r="AI134" t="s">
        <v>2651</v>
      </c>
      <c r="AJ134" t="s">
        <v>3320</v>
      </c>
      <c r="AK134" t="s">
        <v>3321</v>
      </c>
      <c r="AL134" t="s">
        <v>3322</v>
      </c>
      <c r="AM134" t="s">
        <v>3001</v>
      </c>
      <c r="AN134" t="s">
        <v>3323</v>
      </c>
      <c r="AO134" t="s">
        <v>3320</v>
      </c>
      <c r="AP134">
        <v>1</v>
      </c>
      <c r="AQ134">
        <v>1</v>
      </c>
      <c r="AR134">
        <v>1</v>
      </c>
      <c r="AS134" t="s">
        <v>3324</v>
      </c>
      <c r="AT134">
        <v>0</v>
      </c>
      <c r="AU134">
        <v>0</v>
      </c>
      <c r="AV134">
        <v>0</v>
      </c>
    </row>
    <row r="135" spans="1:48">
      <c r="A135" s="1">
        <f>_xlfn.XLOOKUP(J135,数据!E:E,数据!A:A)</f>
        <v>4</v>
      </c>
      <c r="B135" s="1">
        <f>_xlfn.XLOOKUP(J135,数据!E:E,数据!B:B)</f>
        <v>15</v>
      </c>
      <c r="C135" s="1" t="str">
        <f>_xlfn.XLOOKUP(J135,数据!E:E,数据!J:J)</f>
        <v>红单</v>
      </c>
      <c r="D135" s="1" t="str" cm="1">
        <f t="array" ref="D135">IF(OR(C135="红单",C135="空派"),_xlfn.IFS(E135="未开售","新品首批发货",F135&lt;E135,"新品首批发货",F135-E135&lt;=60,"新品期补货空运",F135-E135&gt;60,"老品应急空运"),"海运，不进行分析")</f>
        <v>新品期补货空运</v>
      </c>
      <c r="E135" s="2">
        <v>46106</v>
      </c>
      <c r="F135" s="2">
        <f>_xlfn.XLOOKUP(J135,数据!E:E,数据!C:C)</f>
        <v>46122</v>
      </c>
      <c r="G135" s="4">
        <v>140</v>
      </c>
      <c r="H135" s="4">
        <f t="shared" si="6"/>
        <v>7</v>
      </c>
      <c r="I135" s="4">
        <f>_xlfn.XLOOKUP(J135,数据!E:E,数据!S:S)*(H135/_xlfn.XLOOKUP(J135,数据!E:E,数据!X:X))</f>
        <v>545.694848084544</v>
      </c>
      <c r="J135" t="s">
        <v>1980</v>
      </c>
      <c r="K135" t="s">
        <v>31</v>
      </c>
      <c r="L135" t="s">
        <v>2374</v>
      </c>
      <c r="M135" t="s">
        <v>3325</v>
      </c>
      <c r="N135" t="s">
        <v>2376</v>
      </c>
      <c r="O135" t="s">
        <v>2400</v>
      </c>
      <c r="P135" t="s">
        <v>2378</v>
      </c>
      <c r="Q135" t="s">
        <v>2379</v>
      </c>
      <c r="R135" t="s">
        <v>1980</v>
      </c>
      <c r="S135" t="s">
        <v>2511</v>
      </c>
      <c r="T135" s="3" t="s">
        <v>3308</v>
      </c>
      <c r="U135" t="s">
        <v>3309</v>
      </c>
      <c r="V135" t="s">
        <v>3326</v>
      </c>
      <c r="W135" t="s">
        <v>3327</v>
      </c>
      <c r="X135" t="s">
        <v>2385</v>
      </c>
      <c r="Y135" t="s">
        <v>3328</v>
      </c>
      <c r="Z135" t="s">
        <v>2405</v>
      </c>
      <c r="AA135" t="s">
        <v>3308</v>
      </c>
      <c r="AB135" t="s">
        <v>3329</v>
      </c>
      <c r="AC135" t="s">
        <v>3330</v>
      </c>
      <c r="AD135" t="s">
        <v>3287</v>
      </c>
      <c r="AH135" t="s">
        <v>3027</v>
      </c>
      <c r="AI135" t="s">
        <v>2651</v>
      </c>
      <c r="AJ135" t="s">
        <v>3331</v>
      </c>
      <c r="AK135" t="s">
        <v>3332</v>
      </c>
      <c r="AL135" t="s">
        <v>3333</v>
      </c>
      <c r="AM135" t="s">
        <v>2607</v>
      </c>
      <c r="AN135" t="s">
        <v>3334</v>
      </c>
      <c r="AO135" t="s">
        <v>3331</v>
      </c>
      <c r="AP135">
        <v>50</v>
      </c>
      <c r="AQ135">
        <v>50</v>
      </c>
      <c r="AR135">
        <v>50</v>
      </c>
      <c r="AS135" t="s">
        <v>3335</v>
      </c>
      <c r="AT135">
        <v>0</v>
      </c>
      <c r="AU135">
        <v>0</v>
      </c>
      <c r="AV135">
        <v>0</v>
      </c>
    </row>
    <row r="136" spans="1:48">
      <c r="A136" s="1">
        <f>_xlfn.XLOOKUP(J136,数据!E:E,数据!A:A)</f>
        <v>4</v>
      </c>
      <c r="B136" s="1">
        <f>_xlfn.XLOOKUP(J136,数据!E:E,数据!B:B)</f>
        <v>15</v>
      </c>
      <c r="C136" s="1" t="str">
        <f>_xlfn.XLOOKUP(J136,数据!E:E,数据!J:J)</f>
        <v>红单</v>
      </c>
      <c r="D136" s="1" t="str" cm="1">
        <f t="array" ref="D136">IF(OR(C136="红单",C136="空派"),_xlfn.IFS(E136="未开售","新品首批发货",F136&lt;E136,"新品首批发货",F136-E136&lt;=60,"新品期补货空运",F136-E136&gt;60,"老品应急空运"),"海运，不进行分析")</f>
        <v>老品应急空运</v>
      </c>
      <c r="E136" s="2">
        <v>46033</v>
      </c>
      <c r="F136" s="2">
        <f>_xlfn.XLOOKUP(J136,数据!E:E,数据!C:C)</f>
        <v>46122</v>
      </c>
      <c r="G136" s="4">
        <v>148</v>
      </c>
      <c r="H136" s="4">
        <f t="shared" si="6"/>
        <v>8.14</v>
      </c>
      <c r="I136" s="4">
        <f>_xlfn.XLOOKUP(J136,数据!E:E,数据!S:S)*(H136/_xlfn.XLOOKUP(J136,数据!E:E,数据!X:X))</f>
        <v>634.565151915456</v>
      </c>
      <c r="J136" t="s">
        <v>1980</v>
      </c>
      <c r="K136" t="s">
        <v>31</v>
      </c>
      <c r="L136" t="s">
        <v>2374</v>
      </c>
      <c r="M136" t="s">
        <v>3325</v>
      </c>
      <c r="N136" t="s">
        <v>2376</v>
      </c>
      <c r="O136" t="s">
        <v>2400</v>
      </c>
      <c r="P136" t="s">
        <v>2378</v>
      </c>
      <c r="Q136" t="s">
        <v>2379</v>
      </c>
      <c r="R136" t="s">
        <v>1980</v>
      </c>
      <c r="S136" t="s">
        <v>2511</v>
      </c>
      <c r="T136" s="3" t="s">
        <v>3308</v>
      </c>
      <c r="U136" t="s">
        <v>3309</v>
      </c>
      <c r="V136" t="s">
        <v>3326</v>
      </c>
      <c r="W136" t="s">
        <v>3327</v>
      </c>
      <c r="X136" t="s">
        <v>2385</v>
      </c>
      <c r="Y136" t="s">
        <v>3328</v>
      </c>
      <c r="Z136" t="s">
        <v>2405</v>
      </c>
      <c r="AA136" t="s">
        <v>3308</v>
      </c>
      <c r="AB136" t="s">
        <v>3329</v>
      </c>
      <c r="AC136" t="s">
        <v>3330</v>
      </c>
      <c r="AD136" t="s">
        <v>3287</v>
      </c>
      <c r="AH136" t="s">
        <v>3027</v>
      </c>
      <c r="AI136" t="s">
        <v>2651</v>
      </c>
      <c r="AJ136" t="s">
        <v>3166</v>
      </c>
      <c r="AK136" t="s">
        <v>3167</v>
      </c>
      <c r="AL136" t="s">
        <v>3168</v>
      </c>
      <c r="AM136" t="s">
        <v>2787</v>
      </c>
      <c r="AN136" t="s">
        <v>3169</v>
      </c>
      <c r="AO136" t="s">
        <v>3166</v>
      </c>
      <c r="AP136">
        <v>55</v>
      </c>
      <c r="AQ136">
        <v>55</v>
      </c>
      <c r="AR136">
        <v>50</v>
      </c>
      <c r="AS136" t="s">
        <v>3336</v>
      </c>
      <c r="AT136">
        <v>0</v>
      </c>
      <c r="AU136">
        <v>-5</v>
      </c>
      <c r="AV136">
        <v>5</v>
      </c>
    </row>
    <row r="137" spans="1:48">
      <c r="A137" s="1">
        <f>_xlfn.XLOOKUP(J137,数据!E:E,数据!A:A)</f>
        <v>4</v>
      </c>
      <c r="B137" s="1">
        <f>_xlfn.XLOOKUP(J137,数据!E:E,数据!B:B)</f>
        <v>15</v>
      </c>
      <c r="C137" s="1" t="str">
        <f>_xlfn.XLOOKUP(J137,数据!E:E,数据!J:J)</f>
        <v>红单</v>
      </c>
      <c r="D137" s="1" t="str" cm="1">
        <f t="array" ref="D137">IF(OR(C137="红单",C137="空派"),_xlfn.IFS(E137="未开售","新品首批发货",F137&lt;E137,"新品首批发货",F137-E137&lt;=60,"新品期补货空运",F137-E137&gt;60,"老品应急空运"),"海运，不进行分析")</f>
        <v>新品期补货空运</v>
      </c>
      <c r="E137" s="2">
        <v>46094</v>
      </c>
      <c r="F137" s="2">
        <f>_xlfn.XLOOKUP(J137,数据!E:E,数据!C:C)</f>
        <v>46120</v>
      </c>
      <c r="G137" s="4">
        <v>97</v>
      </c>
      <c r="H137" s="4">
        <f t="shared" ref="H137:H159" si="7">G137*AP137/1000</f>
        <v>3.88</v>
      </c>
      <c r="I137" s="4">
        <f>_xlfn.XLOOKUP(J137,数据!E:E,数据!S:S)*(H137/_xlfn.XLOOKUP(J137,数据!E:E,数据!X:X))</f>
        <v>329.326050224514</v>
      </c>
      <c r="J137" t="s">
        <v>1895</v>
      </c>
      <c r="K137" t="s">
        <v>31</v>
      </c>
      <c r="L137" t="s">
        <v>2374</v>
      </c>
      <c r="M137" t="s">
        <v>3337</v>
      </c>
      <c r="N137" t="s">
        <v>2376</v>
      </c>
      <c r="O137" t="s">
        <v>2400</v>
      </c>
      <c r="P137" t="s">
        <v>2378</v>
      </c>
      <c r="Q137" t="s">
        <v>2379</v>
      </c>
      <c r="R137" t="s">
        <v>3338</v>
      </c>
      <c r="S137" t="s">
        <v>2511</v>
      </c>
      <c r="T137" s="3" t="s">
        <v>3339</v>
      </c>
      <c r="U137" t="s">
        <v>3340</v>
      </c>
      <c r="V137" t="s">
        <v>3341</v>
      </c>
      <c r="W137" t="s">
        <v>3342</v>
      </c>
      <c r="X137" t="s">
        <v>2385</v>
      </c>
      <c r="Y137" t="s">
        <v>3343</v>
      </c>
      <c r="Z137" t="s">
        <v>2405</v>
      </c>
      <c r="AA137" t="s">
        <v>3339</v>
      </c>
      <c r="AB137" t="s">
        <v>3344</v>
      </c>
      <c r="AC137" t="s">
        <v>3345</v>
      </c>
      <c r="AD137" t="s">
        <v>3287</v>
      </c>
      <c r="AH137" t="s">
        <v>3346</v>
      </c>
      <c r="AI137" t="s">
        <v>3027</v>
      </c>
      <c r="AJ137" t="s">
        <v>3347</v>
      </c>
      <c r="AK137" t="s">
        <v>3348</v>
      </c>
      <c r="AL137" t="s">
        <v>3349</v>
      </c>
      <c r="AM137" t="s">
        <v>3349</v>
      </c>
      <c r="AN137" t="s">
        <v>3350</v>
      </c>
      <c r="AO137" t="s">
        <v>3347</v>
      </c>
      <c r="AP137">
        <v>40</v>
      </c>
      <c r="AQ137">
        <v>40</v>
      </c>
      <c r="AR137">
        <v>40</v>
      </c>
      <c r="AS137" t="s">
        <v>3351</v>
      </c>
      <c r="AT137">
        <v>0</v>
      </c>
      <c r="AU137">
        <v>0</v>
      </c>
      <c r="AV137">
        <v>0</v>
      </c>
    </row>
    <row r="138" spans="1:48">
      <c r="A138" s="1">
        <f>_xlfn.XLOOKUP(J138,数据!E:E,数据!A:A)</f>
        <v>4</v>
      </c>
      <c r="B138" s="1">
        <f>_xlfn.XLOOKUP(J138,数据!E:E,数据!B:B)</f>
        <v>15</v>
      </c>
      <c r="C138" s="1" t="str">
        <f>_xlfn.XLOOKUP(J138,数据!E:E,数据!J:J)</f>
        <v>红单</v>
      </c>
      <c r="D138" s="1" t="str" cm="1">
        <f t="array" ref="D138">IF(OR(C138="红单",C138="空派"),_xlfn.IFS(E138="未开售","新品首批发货",F138&lt;E138,"新品首批发货",F138-E138&lt;=60,"新品期补货空运",F138-E138&gt;60,"老品应急空运"),"海运，不进行分析")</f>
        <v>老品应急空运</v>
      </c>
      <c r="E138" s="2">
        <v>46029</v>
      </c>
      <c r="F138" s="2">
        <f>_xlfn.XLOOKUP(J138,数据!E:E,数据!C:C)</f>
        <v>46120</v>
      </c>
      <c r="G138" s="4">
        <v>502</v>
      </c>
      <c r="H138" s="4">
        <f t="shared" si="7"/>
        <v>24.598</v>
      </c>
      <c r="I138" s="4">
        <f>_xlfn.XLOOKUP(J138,数据!E:E,数据!S:S)*(H138/_xlfn.XLOOKUP(J138,数据!E:E,数据!X:X))</f>
        <v>2087.82530500582</v>
      </c>
      <c r="J138" t="s">
        <v>1895</v>
      </c>
      <c r="K138" t="s">
        <v>31</v>
      </c>
      <c r="L138" t="s">
        <v>2374</v>
      </c>
      <c r="M138" t="s">
        <v>3337</v>
      </c>
      <c r="N138" t="s">
        <v>2376</v>
      </c>
      <c r="O138" t="s">
        <v>2400</v>
      </c>
      <c r="P138" t="s">
        <v>2378</v>
      </c>
      <c r="Q138" t="s">
        <v>2379</v>
      </c>
      <c r="R138" t="s">
        <v>3338</v>
      </c>
      <c r="S138" t="s">
        <v>2511</v>
      </c>
      <c r="T138" s="3" t="s">
        <v>3339</v>
      </c>
      <c r="U138" t="s">
        <v>3340</v>
      </c>
      <c r="V138" t="s">
        <v>3341</v>
      </c>
      <c r="W138" t="s">
        <v>3342</v>
      </c>
      <c r="X138" t="s">
        <v>2385</v>
      </c>
      <c r="Y138" t="s">
        <v>3343</v>
      </c>
      <c r="Z138" t="s">
        <v>2405</v>
      </c>
      <c r="AA138" t="s">
        <v>3339</v>
      </c>
      <c r="AB138" t="s">
        <v>3344</v>
      </c>
      <c r="AC138" t="s">
        <v>3345</v>
      </c>
      <c r="AD138" t="s">
        <v>3287</v>
      </c>
      <c r="AH138" t="s">
        <v>3346</v>
      </c>
      <c r="AI138" t="s">
        <v>3027</v>
      </c>
      <c r="AJ138" t="s">
        <v>3352</v>
      </c>
      <c r="AK138" t="s">
        <v>3353</v>
      </c>
      <c r="AL138" t="s">
        <v>3354</v>
      </c>
      <c r="AM138" t="s">
        <v>3107</v>
      </c>
      <c r="AN138" t="s">
        <v>3355</v>
      </c>
      <c r="AO138" t="s">
        <v>3352</v>
      </c>
      <c r="AP138">
        <v>49</v>
      </c>
      <c r="AQ138">
        <v>49</v>
      </c>
      <c r="AR138">
        <v>49</v>
      </c>
      <c r="AS138" t="s">
        <v>3356</v>
      </c>
      <c r="AT138">
        <v>0</v>
      </c>
      <c r="AU138">
        <v>0</v>
      </c>
      <c r="AV138">
        <v>0</v>
      </c>
    </row>
    <row r="139" spans="1:48">
      <c r="A139" s="1">
        <f>_xlfn.XLOOKUP(J139,数据!E:E,数据!A:A)</f>
        <v>4</v>
      </c>
      <c r="B139" s="1">
        <f>_xlfn.XLOOKUP(J139,数据!E:E,数据!B:B)</f>
        <v>15</v>
      </c>
      <c r="C139" s="1" t="str">
        <f>_xlfn.XLOOKUP(J139,数据!E:E,数据!J:J)</f>
        <v>红单</v>
      </c>
      <c r="D139" s="1" t="str" cm="1">
        <f t="array" ref="D139">IF(OR(C139="红单",C139="空派"),_xlfn.IFS(E139="未开售","新品首批发货",F139&lt;E139,"新品首批发货",F139-E139&lt;=60,"新品期补货空运",F139-E139&gt;60,"老品应急空运"),"海运，不进行分析")</f>
        <v>新品首批发货</v>
      </c>
      <c r="E139" s="2">
        <v>46143</v>
      </c>
      <c r="F139" s="2">
        <f>_xlfn.XLOOKUP(J139,数据!E:E,数据!C:C)</f>
        <v>46120</v>
      </c>
      <c r="G139" s="4">
        <v>76</v>
      </c>
      <c r="H139" s="4">
        <f t="shared" si="7"/>
        <v>7.6</v>
      </c>
      <c r="I139" s="4">
        <f>_xlfn.XLOOKUP(J139,数据!E:E,数据!S:S)*(H139/_xlfn.XLOOKUP(J139,数据!E:E,数据!X:X))</f>
        <v>645.071644769666</v>
      </c>
      <c r="J139" t="s">
        <v>1895</v>
      </c>
      <c r="K139" t="s">
        <v>31</v>
      </c>
      <c r="L139" t="s">
        <v>2374</v>
      </c>
      <c r="M139" t="s">
        <v>3337</v>
      </c>
      <c r="N139" t="s">
        <v>2376</v>
      </c>
      <c r="O139" t="s">
        <v>2400</v>
      </c>
      <c r="P139" t="s">
        <v>2378</v>
      </c>
      <c r="Q139" t="s">
        <v>2379</v>
      </c>
      <c r="R139" t="s">
        <v>3338</v>
      </c>
      <c r="S139" t="s">
        <v>2511</v>
      </c>
      <c r="T139" s="3" t="s">
        <v>3339</v>
      </c>
      <c r="U139" t="s">
        <v>3340</v>
      </c>
      <c r="V139" t="s">
        <v>3341</v>
      </c>
      <c r="W139" t="s">
        <v>3342</v>
      </c>
      <c r="X139" t="s">
        <v>2385</v>
      </c>
      <c r="Y139" t="s">
        <v>3343</v>
      </c>
      <c r="Z139" t="s">
        <v>2405</v>
      </c>
      <c r="AA139" t="s">
        <v>3339</v>
      </c>
      <c r="AB139" t="s">
        <v>3344</v>
      </c>
      <c r="AC139" t="s">
        <v>3345</v>
      </c>
      <c r="AD139" t="s">
        <v>3287</v>
      </c>
      <c r="AH139" t="s">
        <v>3346</v>
      </c>
      <c r="AI139" t="s">
        <v>3027</v>
      </c>
      <c r="AJ139" t="s">
        <v>3357</v>
      </c>
      <c r="AK139" t="s">
        <v>3358</v>
      </c>
      <c r="AL139" t="s">
        <v>3359</v>
      </c>
      <c r="AM139" t="s">
        <v>3359</v>
      </c>
      <c r="AN139" t="s">
        <v>3360</v>
      </c>
      <c r="AO139" t="s">
        <v>3357</v>
      </c>
      <c r="AP139">
        <v>100</v>
      </c>
      <c r="AQ139">
        <v>100</v>
      </c>
      <c r="AR139">
        <v>82</v>
      </c>
      <c r="AS139" t="s">
        <v>3361</v>
      </c>
      <c r="AT139">
        <v>0</v>
      </c>
      <c r="AU139">
        <v>-18</v>
      </c>
      <c r="AV139">
        <v>18</v>
      </c>
    </row>
    <row r="140" spans="1:48">
      <c r="A140" s="1">
        <f>_xlfn.XLOOKUP(J140,数据!E:E,数据!A:A)</f>
        <v>4</v>
      </c>
      <c r="B140" s="1">
        <f>_xlfn.XLOOKUP(J140,数据!E:E,数据!B:B)</f>
        <v>15</v>
      </c>
      <c r="C140" s="1" t="str">
        <f>_xlfn.XLOOKUP(J140,数据!E:E,数据!J:J)</f>
        <v>空派</v>
      </c>
      <c r="D140" s="1" t="str" cm="1">
        <f t="array" ref="D140">IF(OR(C140="红单",C140="空派"),_xlfn.IFS(E140="未开售","新品首批发货",F140&lt;E140,"新品首批发货",F140-E140&lt;=60,"新品期补货空运",F140-E140&gt;60,"老品应急空运"),"海运，不进行分析")</f>
        <v>新品首批发货</v>
      </c>
      <c r="E140" s="2">
        <v>46148</v>
      </c>
      <c r="F140" s="2">
        <f>_xlfn.XLOOKUP(J140,数据!E:E,数据!C:C)</f>
        <v>46120</v>
      </c>
      <c r="G140" s="4">
        <v>403</v>
      </c>
      <c r="H140" s="4">
        <f t="shared" si="7"/>
        <v>36.27</v>
      </c>
      <c r="I140" s="4">
        <f>_xlfn.XLOOKUP(J140,数据!E:E,数据!S:S)*(H140/_xlfn.XLOOKUP(J140,数据!E:E,数据!X:X))</f>
        <v>2496.30882236517</v>
      </c>
      <c r="J140" t="s">
        <v>1900</v>
      </c>
      <c r="K140" t="s">
        <v>51</v>
      </c>
      <c r="L140" t="s">
        <v>2374</v>
      </c>
      <c r="M140" t="s">
        <v>3362</v>
      </c>
      <c r="N140" t="s">
        <v>2376</v>
      </c>
      <c r="O140" t="s">
        <v>2400</v>
      </c>
      <c r="P140" t="s">
        <v>2378</v>
      </c>
      <c r="Q140" t="s">
        <v>2379</v>
      </c>
      <c r="R140" t="s">
        <v>3363</v>
      </c>
      <c r="S140" t="s">
        <v>2511</v>
      </c>
      <c r="T140" s="3" t="s">
        <v>3364</v>
      </c>
      <c r="U140" t="s">
        <v>3340</v>
      </c>
      <c r="V140" t="s">
        <v>3365</v>
      </c>
      <c r="W140" t="s">
        <v>3366</v>
      </c>
      <c r="X140" t="s">
        <v>2403</v>
      </c>
      <c r="Y140" t="s">
        <v>3367</v>
      </c>
      <c r="Z140" t="s">
        <v>2405</v>
      </c>
      <c r="AA140" t="s">
        <v>3364</v>
      </c>
      <c r="AB140" t="s">
        <v>3368</v>
      </c>
      <c r="AC140" t="s">
        <v>3369</v>
      </c>
      <c r="AD140" t="s">
        <v>2651</v>
      </c>
      <c r="AH140" t="s">
        <v>3346</v>
      </c>
      <c r="AI140" t="s">
        <v>3027</v>
      </c>
      <c r="AJ140" t="s">
        <v>3370</v>
      </c>
      <c r="AK140" t="s">
        <v>3371</v>
      </c>
      <c r="AL140" t="s">
        <v>3372</v>
      </c>
      <c r="AM140" t="s">
        <v>3373</v>
      </c>
      <c r="AN140" t="s">
        <v>3374</v>
      </c>
      <c r="AO140" t="s">
        <v>3370</v>
      </c>
      <c r="AP140">
        <v>90</v>
      </c>
      <c r="AQ140">
        <v>90</v>
      </c>
      <c r="AR140">
        <v>90</v>
      </c>
      <c r="AS140" t="s">
        <v>3375</v>
      </c>
      <c r="AT140">
        <v>0</v>
      </c>
      <c r="AU140">
        <v>0</v>
      </c>
      <c r="AV140">
        <v>0</v>
      </c>
    </row>
    <row r="141" spans="1:48">
      <c r="A141" s="1">
        <f>_xlfn.XLOOKUP(J141,数据!E:E,数据!A:A)</f>
        <v>4</v>
      </c>
      <c r="B141" s="1">
        <f>_xlfn.XLOOKUP(J141,数据!E:E,数据!B:B)</f>
        <v>15</v>
      </c>
      <c r="C141" s="1" t="str">
        <f>_xlfn.XLOOKUP(J141,数据!E:E,数据!J:J)</f>
        <v>空派</v>
      </c>
      <c r="D141" s="1" t="str" cm="1">
        <f t="array" ref="D141">IF(OR(C141="红单",C141="空派"),_xlfn.IFS(E141="未开售","新品首批发货",F141&lt;E141,"新品首批发货",F141-E141&lt;=60,"新品期补货空运",F141-E141&gt;60,"老品应急空运"),"海运，不进行分析")</f>
        <v>新品期补货空运</v>
      </c>
      <c r="E141" s="2">
        <v>46088</v>
      </c>
      <c r="F141" s="2">
        <f>_xlfn.XLOOKUP(J141,数据!E:E,数据!C:C)</f>
        <v>46120</v>
      </c>
      <c r="G141" s="4">
        <v>108</v>
      </c>
      <c r="H141" s="4">
        <f t="shared" si="7"/>
        <v>0.108</v>
      </c>
      <c r="I141" s="4">
        <f>_xlfn.XLOOKUP(J141,数据!E:E,数据!S:S)*(H141/_xlfn.XLOOKUP(J141,数据!E:E,数据!X:X))</f>
        <v>7.43317763483424</v>
      </c>
      <c r="J141" t="s">
        <v>1900</v>
      </c>
      <c r="K141" t="s">
        <v>51</v>
      </c>
      <c r="L141" t="s">
        <v>2374</v>
      </c>
      <c r="M141" t="s">
        <v>3362</v>
      </c>
      <c r="N141" t="s">
        <v>2376</v>
      </c>
      <c r="O141" t="s">
        <v>2400</v>
      </c>
      <c r="P141" t="s">
        <v>2378</v>
      </c>
      <c r="Q141" t="s">
        <v>2379</v>
      </c>
      <c r="R141" t="s">
        <v>3363</v>
      </c>
      <c r="S141" t="s">
        <v>2511</v>
      </c>
      <c r="T141" s="3" t="s">
        <v>3364</v>
      </c>
      <c r="U141" t="s">
        <v>3340</v>
      </c>
      <c r="V141" t="s">
        <v>3365</v>
      </c>
      <c r="W141" t="s">
        <v>3366</v>
      </c>
      <c r="X141" t="s">
        <v>2403</v>
      </c>
      <c r="Y141" t="s">
        <v>3367</v>
      </c>
      <c r="Z141" t="s">
        <v>2405</v>
      </c>
      <c r="AA141" t="s">
        <v>3364</v>
      </c>
      <c r="AB141" t="s">
        <v>3368</v>
      </c>
      <c r="AC141" t="s">
        <v>3369</v>
      </c>
      <c r="AD141" t="s">
        <v>2651</v>
      </c>
      <c r="AH141" t="s">
        <v>3346</v>
      </c>
      <c r="AI141" t="s">
        <v>3027</v>
      </c>
      <c r="AJ141" t="s">
        <v>3376</v>
      </c>
      <c r="AK141" t="s">
        <v>3377</v>
      </c>
      <c r="AL141" t="s">
        <v>3378</v>
      </c>
      <c r="AM141" t="s">
        <v>2590</v>
      </c>
      <c r="AN141" t="s">
        <v>3379</v>
      </c>
      <c r="AO141" t="s">
        <v>3376</v>
      </c>
      <c r="AP141">
        <v>1</v>
      </c>
      <c r="AQ141">
        <v>1</v>
      </c>
      <c r="AR141">
        <v>1</v>
      </c>
      <c r="AS141" t="s">
        <v>3380</v>
      </c>
      <c r="AT141">
        <v>0</v>
      </c>
      <c r="AU141">
        <v>0</v>
      </c>
      <c r="AV141">
        <v>0</v>
      </c>
    </row>
    <row r="142" spans="1:48">
      <c r="A142" s="1">
        <f>_xlfn.XLOOKUP(J142,数据!E:E,数据!A:A)</f>
        <v>4</v>
      </c>
      <c r="B142" s="1">
        <f>_xlfn.XLOOKUP(J142,数据!E:E,数据!B:B)</f>
        <v>15</v>
      </c>
      <c r="C142" s="1" t="str">
        <f>_xlfn.XLOOKUP(J142,数据!E:E,数据!J:J)</f>
        <v>空派</v>
      </c>
      <c r="D142" s="1" t="str" cm="1">
        <f t="array" ref="D142">IF(OR(C142="红单",C142="空派"),_xlfn.IFS(E142="未开售","新品首批发货",F142&lt;E142,"新品首批发货",F142-E142&lt;=60,"新品期补货空运",F142-E142&gt;60,"老品应急空运"),"海运，不进行分析")</f>
        <v>新品首批发货</v>
      </c>
      <c r="E142" s="2">
        <v>46141</v>
      </c>
      <c r="F142" s="2">
        <f>_xlfn.XLOOKUP(J142,数据!E:E,数据!C:C)</f>
        <v>46120</v>
      </c>
      <c r="G142" s="4">
        <v>130</v>
      </c>
      <c r="H142" s="4">
        <f t="shared" si="7"/>
        <v>14.3</v>
      </c>
      <c r="I142" s="4">
        <f>_xlfn.XLOOKUP(J142,数据!E:E,数据!S:S)*(H142/_xlfn.XLOOKUP(J142,数据!E:E,数据!X:X))</f>
        <v>1082.32</v>
      </c>
      <c r="J142" t="s">
        <v>1899</v>
      </c>
      <c r="K142" t="s">
        <v>39</v>
      </c>
      <c r="L142" t="s">
        <v>2374</v>
      </c>
      <c r="M142" t="s">
        <v>3381</v>
      </c>
      <c r="N142" t="s">
        <v>2376</v>
      </c>
      <c r="O142" t="s">
        <v>2377</v>
      </c>
      <c r="P142" t="s">
        <v>2378</v>
      </c>
      <c r="Q142" t="s">
        <v>2379</v>
      </c>
      <c r="R142" t="s">
        <v>3382</v>
      </c>
      <c r="S142" t="s">
        <v>2511</v>
      </c>
      <c r="T142" s="3" t="s">
        <v>3383</v>
      </c>
      <c r="U142" t="s">
        <v>3384</v>
      </c>
      <c r="V142" t="s">
        <v>3385</v>
      </c>
      <c r="W142" t="s">
        <v>3386</v>
      </c>
      <c r="X142" t="s">
        <v>2403</v>
      </c>
      <c r="Y142" t="s">
        <v>3387</v>
      </c>
      <c r="Z142" t="s">
        <v>2387</v>
      </c>
      <c r="AA142" t="s">
        <v>3383</v>
      </c>
      <c r="AB142" t="s">
        <v>3388</v>
      </c>
      <c r="AC142" t="s">
        <v>3389</v>
      </c>
      <c r="AD142" t="s">
        <v>2651</v>
      </c>
      <c r="AH142" t="s">
        <v>3346</v>
      </c>
      <c r="AI142" t="s">
        <v>3027</v>
      </c>
      <c r="AJ142" t="s">
        <v>3390</v>
      </c>
      <c r="AK142" t="s">
        <v>3391</v>
      </c>
      <c r="AL142" t="s">
        <v>3392</v>
      </c>
      <c r="AM142" t="s">
        <v>3248</v>
      </c>
      <c r="AN142" t="s">
        <v>3393</v>
      </c>
      <c r="AO142" t="s">
        <v>3390</v>
      </c>
      <c r="AP142">
        <v>110</v>
      </c>
      <c r="AQ142">
        <v>110</v>
      </c>
      <c r="AR142">
        <v>110</v>
      </c>
      <c r="AS142" t="s">
        <v>3394</v>
      </c>
      <c r="AT142">
        <v>0</v>
      </c>
      <c r="AU142">
        <v>0</v>
      </c>
      <c r="AV142">
        <v>0</v>
      </c>
    </row>
    <row r="143" spans="1:48">
      <c r="A143" s="1">
        <f>_xlfn.XLOOKUP(J143,数据!E:E,数据!A:A)</f>
        <v>4</v>
      </c>
      <c r="B143" s="1">
        <f>_xlfn.XLOOKUP(J143,数据!E:E,数据!B:B)</f>
        <v>15</v>
      </c>
      <c r="C143" s="1" t="str">
        <f>_xlfn.XLOOKUP(J143,数据!E:E,数据!J:J)</f>
        <v>空派</v>
      </c>
      <c r="D143" s="1" t="str" cm="1">
        <f t="array" ref="D143">IF(OR(C143="红单",C143="空派"),_xlfn.IFS(E143="未开售","新品首批发货",F143&lt;E143,"新品首批发货",F143-E143&lt;=60,"新品期补货空运",F143-E143&gt;60,"老品应急空运"),"海运，不进行分析")</f>
        <v>新品首批发货</v>
      </c>
      <c r="E143" s="2">
        <v>46144</v>
      </c>
      <c r="F143" s="2">
        <f>_xlfn.XLOOKUP(J143,数据!E:E,数据!C:C)</f>
        <v>46120</v>
      </c>
      <c r="G143" s="4">
        <v>130</v>
      </c>
      <c r="H143" s="4">
        <f t="shared" si="7"/>
        <v>14.3</v>
      </c>
      <c r="I143" s="4">
        <f>_xlfn.XLOOKUP(J143,数据!E:E,数据!S:S)*(H143/_xlfn.XLOOKUP(J143,数据!E:E,数据!X:X))</f>
        <v>1082.32</v>
      </c>
      <c r="J143" t="s">
        <v>1899</v>
      </c>
      <c r="K143" t="s">
        <v>39</v>
      </c>
      <c r="L143" t="s">
        <v>2374</v>
      </c>
      <c r="M143" t="s">
        <v>3381</v>
      </c>
      <c r="N143" t="s">
        <v>2376</v>
      </c>
      <c r="O143" t="s">
        <v>2377</v>
      </c>
      <c r="P143" t="s">
        <v>2378</v>
      </c>
      <c r="Q143" t="s">
        <v>2379</v>
      </c>
      <c r="R143" t="s">
        <v>3382</v>
      </c>
      <c r="S143" t="s">
        <v>2511</v>
      </c>
      <c r="T143" s="3" t="s">
        <v>3383</v>
      </c>
      <c r="U143" t="s">
        <v>3384</v>
      </c>
      <c r="V143" t="s">
        <v>3385</v>
      </c>
      <c r="W143" t="s">
        <v>3386</v>
      </c>
      <c r="X143" t="s">
        <v>2403</v>
      </c>
      <c r="Y143" t="s">
        <v>3387</v>
      </c>
      <c r="Z143" t="s">
        <v>2387</v>
      </c>
      <c r="AA143" t="s">
        <v>3383</v>
      </c>
      <c r="AB143" t="s">
        <v>3388</v>
      </c>
      <c r="AC143" t="s">
        <v>3389</v>
      </c>
      <c r="AD143" t="s">
        <v>2651</v>
      </c>
      <c r="AH143" t="s">
        <v>3346</v>
      </c>
      <c r="AI143" t="s">
        <v>3027</v>
      </c>
      <c r="AJ143" t="s">
        <v>3395</v>
      </c>
      <c r="AK143" t="s">
        <v>3396</v>
      </c>
      <c r="AL143" t="s">
        <v>3397</v>
      </c>
      <c r="AM143" t="s">
        <v>3248</v>
      </c>
      <c r="AN143" t="s">
        <v>3398</v>
      </c>
      <c r="AO143" t="s">
        <v>3395</v>
      </c>
      <c r="AP143">
        <v>110</v>
      </c>
      <c r="AQ143">
        <v>110</v>
      </c>
      <c r="AR143">
        <v>110</v>
      </c>
      <c r="AS143" t="s">
        <v>3399</v>
      </c>
      <c r="AT143">
        <v>0</v>
      </c>
      <c r="AU143">
        <v>0</v>
      </c>
      <c r="AV143">
        <v>0</v>
      </c>
    </row>
    <row r="144" spans="1:48">
      <c r="A144" s="1">
        <f>_xlfn.XLOOKUP(J144,数据!E:E,数据!A:A)</f>
        <v>4</v>
      </c>
      <c r="B144" s="1">
        <f>_xlfn.XLOOKUP(J144,数据!E:E,数据!B:B)</f>
        <v>15</v>
      </c>
      <c r="C144" s="1" t="str">
        <f>_xlfn.XLOOKUP(J144,数据!E:E,数据!J:J)</f>
        <v>空派</v>
      </c>
      <c r="D144" s="1" t="str" cm="1">
        <f t="array" ref="D144">IF(OR(C144="红单",C144="空派"),_xlfn.IFS(E144="未开售","新品首批发货",F144&lt;E144,"新品首批发货",F144-E144&lt;=60,"新品期补货空运",F144-E144&gt;60,"老品应急空运"),"海运，不进行分析")</f>
        <v>老品应急空运</v>
      </c>
      <c r="E144" s="2">
        <v>44746</v>
      </c>
      <c r="F144" s="2">
        <f>_xlfn.XLOOKUP(J144,数据!E:E,数据!C:C)</f>
        <v>46120</v>
      </c>
      <c r="G144" s="4">
        <v>220.7</v>
      </c>
      <c r="H144" s="4">
        <f t="shared" si="7"/>
        <v>6.621</v>
      </c>
      <c r="I144" s="4">
        <f>_xlfn.XLOOKUP(J144,数据!E:E,数据!S:S)*(H144/_xlfn.XLOOKUP(J144,数据!E:E,数据!X:X))</f>
        <v>463.260004641448</v>
      </c>
      <c r="J144" t="s">
        <v>1898</v>
      </c>
      <c r="K144" t="s">
        <v>56</v>
      </c>
      <c r="L144" t="s">
        <v>2374</v>
      </c>
      <c r="M144" t="s">
        <v>3400</v>
      </c>
      <c r="N144" t="s">
        <v>2376</v>
      </c>
      <c r="O144" t="s">
        <v>2400</v>
      </c>
      <c r="P144" t="s">
        <v>2378</v>
      </c>
      <c r="Q144" t="s">
        <v>2379</v>
      </c>
      <c r="R144" t="s">
        <v>3401</v>
      </c>
      <c r="S144" t="s">
        <v>2511</v>
      </c>
      <c r="T144" s="3" t="s">
        <v>3383</v>
      </c>
      <c r="U144" t="s">
        <v>3384</v>
      </c>
      <c r="V144" t="s">
        <v>3402</v>
      </c>
      <c r="W144" t="s">
        <v>3403</v>
      </c>
      <c r="X144" t="s">
        <v>2403</v>
      </c>
      <c r="Y144" t="s">
        <v>3404</v>
      </c>
      <c r="Z144" t="s">
        <v>2387</v>
      </c>
      <c r="AA144" t="s">
        <v>3383</v>
      </c>
      <c r="AB144" t="s">
        <v>3405</v>
      </c>
      <c r="AC144" t="s">
        <v>3406</v>
      </c>
      <c r="AD144" t="s">
        <v>2651</v>
      </c>
      <c r="AH144" t="s">
        <v>3346</v>
      </c>
      <c r="AI144" t="s">
        <v>3027</v>
      </c>
      <c r="AJ144" t="s">
        <v>3407</v>
      </c>
      <c r="AK144" t="s">
        <v>3408</v>
      </c>
      <c r="AL144" t="s">
        <v>3409</v>
      </c>
      <c r="AM144" t="s">
        <v>3409</v>
      </c>
      <c r="AN144" t="s">
        <v>3410</v>
      </c>
      <c r="AO144" t="s">
        <v>3407</v>
      </c>
      <c r="AP144">
        <v>30</v>
      </c>
      <c r="AQ144">
        <v>30</v>
      </c>
      <c r="AR144">
        <v>30</v>
      </c>
      <c r="AS144" t="s">
        <v>3411</v>
      </c>
      <c r="AT144">
        <v>0</v>
      </c>
      <c r="AU144">
        <v>0</v>
      </c>
      <c r="AV144">
        <v>0</v>
      </c>
    </row>
    <row r="145" spans="1:48">
      <c r="A145" s="1">
        <f>_xlfn.XLOOKUP(J145,数据!E:E,数据!A:A)</f>
        <v>4</v>
      </c>
      <c r="B145" s="1">
        <f>_xlfn.XLOOKUP(J145,数据!E:E,数据!B:B)</f>
        <v>15</v>
      </c>
      <c r="C145" s="1" t="str">
        <f>_xlfn.XLOOKUP(J145,数据!E:E,数据!J:J)</f>
        <v>空派</v>
      </c>
      <c r="D145" s="1" t="str" cm="1">
        <f t="array" ref="D145">IF(OR(C145="红单",C145="空派"),_xlfn.IFS(E145="未开售","新品首批发货",F145&lt;E145,"新品首批发货",F145-E145&lt;=60,"新品期补货空运",F145-E145&gt;60,"老品应急空运"),"海运，不进行分析")</f>
        <v>新品首批发货</v>
      </c>
      <c r="E145" s="2">
        <v>46144</v>
      </c>
      <c r="F145" s="2">
        <f>_xlfn.XLOOKUP(J145,数据!E:E,数据!C:C)</f>
        <v>46120</v>
      </c>
      <c r="G145" s="4">
        <v>402</v>
      </c>
      <c r="H145" s="4">
        <f t="shared" si="7"/>
        <v>32.16</v>
      </c>
      <c r="I145" s="4">
        <f>_xlfn.XLOOKUP(J145,数据!E:E,数据!S:S)*(H145/_xlfn.XLOOKUP(J145,数据!E:E,数据!X:X))</f>
        <v>2250.17999535855</v>
      </c>
      <c r="J145" t="s">
        <v>1898</v>
      </c>
      <c r="K145" t="s">
        <v>56</v>
      </c>
      <c r="L145" t="s">
        <v>2374</v>
      </c>
      <c r="M145" t="s">
        <v>3400</v>
      </c>
      <c r="N145" t="s">
        <v>2376</v>
      </c>
      <c r="O145" t="s">
        <v>2400</v>
      </c>
      <c r="P145" t="s">
        <v>2378</v>
      </c>
      <c r="Q145" t="s">
        <v>2379</v>
      </c>
      <c r="R145" t="s">
        <v>3401</v>
      </c>
      <c r="S145" t="s">
        <v>2511</v>
      </c>
      <c r="T145" s="3" t="s">
        <v>3383</v>
      </c>
      <c r="U145" t="s">
        <v>3384</v>
      </c>
      <c r="V145" t="s">
        <v>3402</v>
      </c>
      <c r="W145" t="s">
        <v>3403</v>
      </c>
      <c r="X145" t="s">
        <v>2403</v>
      </c>
      <c r="Y145" t="s">
        <v>3404</v>
      </c>
      <c r="Z145" t="s">
        <v>2387</v>
      </c>
      <c r="AA145" t="s">
        <v>3383</v>
      </c>
      <c r="AB145" t="s">
        <v>3405</v>
      </c>
      <c r="AC145" t="s">
        <v>3406</v>
      </c>
      <c r="AD145" t="s">
        <v>2651</v>
      </c>
      <c r="AH145" t="s">
        <v>3346</v>
      </c>
      <c r="AI145" t="s">
        <v>3027</v>
      </c>
      <c r="AJ145" t="s">
        <v>3412</v>
      </c>
      <c r="AK145" t="s">
        <v>3413</v>
      </c>
      <c r="AL145" t="s">
        <v>3414</v>
      </c>
      <c r="AM145" t="s">
        <v>3414</v>
      </c>
      <c r="AN145" t="s">
        <v>3415</v>
      </c>
      <c r="AO145" t="s">
        <v>3412</v>
      </c>
      <c r="AP145">
        <v>80</v>
      </c>
      <c r="AQ145">
        <v>80</v>
      </c>
      <c r="AR145">
        <v>80</v>
      </c>
      <c r="AS145" t="s">
        <v>3215</v>
      </c>
      <c r="AT145">
        <v>0</v>
      </c>
      <c r="AU145">
        <v>0</v>
      </c>
      <c r="AV145">
        <v>0</v>
      </c>
    </row>
    <row r="146" spans="1:48">
      <c r="A146" s="1">
        <f>_xlfn.XLOOKUP(J146,数据!E:E,数据!A:A)</f>
        <v>4</v>
      </c>
      <c r="B146" s="1">
        <f>_xlfn.XLOOKUP(J146,数据!E:E,数据!B:B)</f>
        <v>15</v>
      </c>
      <c r="C146" s="1" t="str">
        <f>_xlfn.XLOOKUP(J146,数据!E:E,数据!J:J)</f>
        <v>空派</v>
      </c>
      <c r="D146" s="1" t="str" cm="1">
        <f t="array" ref="D146">IF(OR(C146="红单",C146="空派"),_xlfn.IFS(E146="未开售","新品首批发货",F146&lt;E146,"新品首批发货",F146-E146&lt;=60,"新品期补货空运",F146-E146&gt;60,"老品应急空运"),"海运，不进行分析")</f>
        <v>新品首批发货</v>
      </c>
      <c r="E146" s="2">
        <v>46145</v>
      </c>
      <c r="F146" s="2">
        <f>_xlfn.XLOOKUP(J146,数据!E:E,数据!C:C)</f>
        <v>46120</v>
      </c>
      <c r="G146" s="4">
        <v>397</v>
      </c>
      <c r="H146" s="4">
        <f t="shared" si="7"/>
        <v>39.7</v>
      </c>
      <c r="I146" s="4">
        <f>_xlfn.XLOOKUP(J146,数据!E:E,数据!S:S)*(H146/_xlfn.XLOOKUP(J146,数据!E:E,数据!X:X))</f>
        <v>2747.6518455971</v>
      </c>
      <c r="J146" t="s">
        <v>1897</v>
      </c>
      <c r="K146" t="s">
        <v>59</v>
      </c>
      <c r="L146" t="s">
        <v>2374</v>
      </c>
      <c r="M146" t="s">
        <v>3416</v>
      </c>
      <c r="N146" t="s">
        <v>2376</v>
      </c>
      <c r="O146" t="s">
        <v>2400</v>
      </c>
      <c r="P146" t="s">
        <v>2378</v>
      </c>
      <c r="Q146" t="s">
        <v>2379</v>
      </c>
      <c r="R146" t="s">
        <v>3417</v>
      </c>
      <c r="S146" t="s">
        <v>2511</v>
      </c>
      <c r="T146" s="3" t="s">
        <v>3383</v>
      </c>
      <c r="U146" t="s">
        <v>3384</v>
      </c>
      <c r="V146" t="s">
        <v>3418</v>
      </c>
      <c r="W146" t="s">
        <v>3419</v>
      </c>
      <c r="X146" t="s">
        <v>2385</v>
      </c>
      <c r="Y146" t="s">
        <v>3420</v>
      </c>
      <c r="Z146" t="s">
        <v>2387</v>
      </c>
      <c r="AA146" t="s">
        <v>3383</v>
      </c>
      <c r="AB146" t="s">
        <v>2649</v>
      </c>
      <c r="AC146" t="s">
        <v>3421</v>
      </c>
      <c r="AD146" t="s">
        <v>2651</v>
      </c>
      <c r="AH146" t="s">
        <v>3346</v>
      </c>
      <c r="AI146" t="s">
        <v>3027</v>
      </c>
      <c r="AJ146" t="s">
        <v>3422</v>
      </c>
      <c r="AK146" t="s">
        <v>3423</v>
      </c>
      <c r="AL146" t="s">
        <v>3424</v>
      </c>
      <c r="AM146" t="s">
        <v>3425</v>
      </c>
      <c r="AN146" t="s">
        <v>3426</v>
      </c>
      <c r="AO146" t="s">
        <v>3422</v>
      </c>
      <c r="AP146">
        <v>100</v>
      </c>
      <c r="AQ146">
        <v>100</v>
      </c>
      <c r="AR146">
        <v>97</v>
      </c>
      <c r="AS146" t="s">
        <v>3427</v>
      </c>
      <c r="AT146">
        <v>0</v>
      </c>
      <c r="AU146">
        <v>-3</v>
      </c>
      <c r="AV146">
        <v>3</v>
      </c>
    </row>
    <row r="147" spans="1:48">
      <c r="A147" s="1">
        <f>_xlfn.XLOOKUP(J147,数据!E:E,数据!A:A)</f>
        <v>4</v>
      </c>
      <c r="B147" s="1">
        <f>_xlfn.XLOOKUP(J147,数据!E:E,数据!B:B)</f>
        <v>15</v>
      </c>
      <c r="C147" s="1" t="str">
        <f>_xlfn.XLOOKUP(J147,数据!E:E,数据!J:J)</f>
        <v>空派</v>
      </c>
      <c r="D147" s="1" t="str" cm="1">
        <f t="array" ref="D147">IF(OR(C147="红单",C147="空派"),_xlfn.IFS(E147="未开售","新品首批发货",F147&lt;E147,"新品首批发货",F147-E147&lt;=60,"新品期补货空运",F147-E147&gt;60,"老品应急空运"),"海运，不进行分析")</f>
        <v>新品首批发货</v>
      </c>
      <c r="E147" s="2">
        <v>46144</v>
      </c>
      <c r="F147" s="2">
        <f>_xlfn.XLOOKUP(J147,数据!E:E,数据!C:C)</f>
        <v>46120</v>
      </c>
      <c r="G147" s="4">
        <v>360</v>
      </c>
      <c r="H147" s="4">
        <f t="shared" si="7"/>
        <v>43.2</v>
      </c>
      <c r="I147" s="4">
        <f>_xlfn.XLOOKUP(J147,数据!E:E,数据!S:S)*(H147/_xlfn.XLOOKUP(J147,数据!E:E,数据!X:X))</f>
        <v>2989.88815440289</v>
      </c>
      <c r="J147" t="s">
        <v>1897</v>
      </c>
      <c r="K147" t="s">
        <v>59</v>
      </c>
      <c r="L147" t="s">
        <v>2374</v>
      </c>
      <c r="M147" t="s">
        <v>3416</v>
      </c>
      <c r="N147" t="s">
        <v>2376</v>
      </c>
      <c r="O147" t="s">
        <v>2400</v>
      </c>
      <c r="P147" t="s">
        <v>2378</v>
      </c>
      <c r="Q147" t="s">
        <v>2379</v>
      </c>
      <c r="R147" t="s">
        <v>3417</v>
      </c>
      <c r="S147" t="s">
        <v>2511</v>
      </c>
      <c r="T147" s="3" t="s">
        <v>3383</v>
      </c>
      <c r="U147" t="s">
        <v>3384</v>
      </c>
      <c r="V147" t="s">
        <v>3418</v>
      </c>
      <c r="W147" t="s">
        <v>3419</v>
      </c>
      <c r="X147" t="s">
        <v>2385</v>
      </c>
      <c r="Y147" t="s">
        <v>3420</v>
      </c>
      <c r="Z147" t="s">
        <v>2387</v>
      </c>
      <c r="AA147" t="s">
        <v>3383</v>
      </c>
      <c r="AB147" t="s">
        <v>2649</v>
      </c>
      <c r="AC147" t="s">
        <v>3421</v>
      </c>
      <c r="AD147" t="s">
        <v>2651</v>
      </c>
      <c r="AH147" t="s">
        <v>3346</v>
      </c>
      <c r="AI147" t="s">
        <v>3027</v>
      </c>
      <c r="AJ147" t="s">
        <v>3428</v>
      </c>
      <c r="AK147" t="s">
        <v>3429</v>
      </c>
      <c r="AL147" t="s">
        <v>3430</v>
      </c>
      <c r="AM147" t="s">
        <v>3430</v>
      </c>
      <c r="AN147" t="s">
        <v>3431</v>
      </c>
      <c r="AO147" t="s">
        <v>3428</v>
      </c>
      <c r="AP147">
        <v>120</v>
      </c>
      <c r="AQ147">
        <v>120</v>
      </c>
      <c r="AR147">
        <v>120</v>
      </c>
      <c r="AS147" t="s">
        <v>3432</v>
      </c>
      <c r="AT147">
        <v>0</v>
      </c>
      <c r="AU147">
        <v>0</v>
      </c>
      <c r="AV147">
        <v>0</v>
      </c>
    </row>
    <row r="148" spans="1:48">
      <c r="A148" s="1">
        <f>_xlfn.XLOOKUP(J148,数据!E:E,数据!A:A)</f>
        <v>4</v>
      </c>
      <c r="B148" s="1">
        <f>_xlfn.XLOOKUP(J148,数据!E:E,数据!B:B)</f>
        <v>15</v>
      </c>
      <c r="C148" s="1" t="str">
        <f>_xlfn.XLOOKUP(J148,数据!E:E,数据!J:J)</f>
        <v>空派</v>
      </c>
      <c r="D148" s="1" t="str" cm="1">
        <f t="array" ref="D148">IF(OR(C148="红单",C148="空派"),_xlfn.IFS(E148="未开售","新品首批发货",F148&lt;E148,"新品首批发货",F148-E148&lt;=60,"新品期补货空运",F148-E148&gt;60,"老品应急空运"),"海运，不进行分析")</f>
        <v>新品期补货空运</v>
      </c>
      <c r="E148" s="2">
        <v>46115</v>
      </c>
      <c r="F148" s="2">
        <f>_xlfn.XLOOKUP(J148,数据!E:E,数据!C:C)</f>
        <v>46120</v>
      </c>
      <c r="G148" s="4">
        <v>120</v>
      </c>
      <c r="H148" s="4">
        <f t="shared" si="7"/>
        <v>4.44</v>
      </c>
      <c r="I148" s="4">
        <f>_xlfn.XLOOKUP(J148,数据!E:E,数据!S:S)*(H148/_xlfn.XLOOKUP(J148,数据!E:E,数据!X:X))</f>
        <v>363.299041945892</v>
      </c>
      <c r="J148" t="s">
        <v>1896</v>
      </c>
      <c r="K148" t="s">
        <v>46</v>
      </c>
      <c r="L148" t="s">
        <v>2374</v>
      </c>
      <c r="M148" t="s">
        <v>3433</v>
      </c>
      <c r="N148" t="s">
        <v>2376</v>
      </c>
      <c r="O148" t="s">
        <v>2400</v>
      </c>
      <c r="P148" t="s">
        <v>2378</v>
      </c>
      <c r="Q148" t="s">
        <v>2379</v>
      </c>
      <c r="R148" t="s">
        <v>3434</v>
      </c>
      <c r="S148" t="s">
        <v>2511</v>
      </c>
      <c r="T148" s="3" t="s">
        <v>3435</v>
      </c>
      <c r="U148" t="s">
        <v>3340</v>
      </c>
      <c r="V148" t="s">
        <v>3436</v>
      </c>
      <c r="W148" t="s">
        <v>3437</v>
      </c>
      <c r="X148" t="s">
        <v>2385</v>
      </c>
      <c r="Y148" t="s">
        <v>3438</v>
      </c>
      <c r="Z148" t="s">
        <v>2405</v>
      </c>
      <c r="AA148" t="s">
        <v>3435</v>
      </c>
      <c r="AB148" t="s">
        <v>3439</v>
      </c>
      <c r="AC148" t="s">
        <v>3440</v>
      </c>
      <c r="AD148" t="s">
        <v>2651</v>
      </c>
      <c r="AH148" t="s">
        <v>3346</v>
      </c>
      <c r="AI148" t="s">
        <v>3027</v>
      </c>
      <c r="AJ148" t="s">
        <v>2965</v>
      </c>
      <c r="AK148" t="s">
        <v>2966</v>
      </c>
      <c r="AL148" t="s">
        <v>2967</v>
      </c>
      <c r="AM148" t="s">
        <v>2967</v>
      </c>
      <c r="AN148" t="s">
        <v>2968</v>
      </c>
      <c r="AO148" t="s">
        <v>2965</v>
      </c>
      <c r="AP148">
        <v>37</v>
      </c>
      <c r="AQ148">
        <v>37</v>
      </c>
      <c r="AR148">
        <v>37</v>
      </c>
      <c r="AS148" t="s">
        <v>3441</v>
      </c>
      <c r="AT148">
        <v>0</v>
      </c>
      <c r="AU148">
        <v>0</v>
      </c>
      <c r="AV148">
        <v>0</v>
      </c>
    </row>
    <row r="149" spans="1:48">
      <c r="A149" s="1">
        <f>_xlfn.XLOOKUP(J149,数据!E:E,数据!A:A)</f>
        <v>4</v>
      </c>
      <c r="B149" s="1">
        <f>_xlfn.XLOOKUP(J149,数据!E:E,数据!B:B)</f>
        <v>15</v>
      </c>
      <c r="C149" s="1" t="str">
        <f>_xlfn.XLOOKUP(J149,数据!E:E,数据!J:J)</f>
        <v>空派</v>
      </c>
      <c r="D149" s="1" t="str" cm="1">
        <f t="array" ref="D149">IF(OR(C149="红单",C149="空派"),_xlfn.IFS(E149="未开售","新品首批发货",F149&lt;E149,"新品首批发货",F149-E149&lt;=60,"新品期补货空运",F149-E149&gt;60,"老品应急空运"),"海运，不进行分析")</f>
        <v>老品应急空运</v>
      </c>
      <c r="E149" s="2">
        <v>46058</v>
      </c>
      <c r="F149" s="2">
        <f>_xlfn.XLOOKUP(J149,数据!E:E,数据!C:C)</f>
        <v>46120</v>
      </c>
      <c r="G149" s="4">
        <v>71</v>
      </c>
      <c r="H149" s="4">
        <f t="shared" si="7"/>
        <v>2.84</v>
      </c>
      <c r="I149" s="4">
        <f>_xlfn.XLOOKUP(J149,数据!E:E,数据!S:S)*(H149/_xlfn.XLOOKUP(J149,数据!E:E,数据!X:X))</f>
        <v>232.380468271697</v>
      </c>
      <c r="J149" t="s">
        <v>1896</v>
      </c>
      <c r="K149" t="s">
        <v>46</v>
      </c>
      <c r="L149" t="s">
        <v>2374</v>
      </c>
      <c r="M149" t="s">
        <v>3433</v>
      </c>
      <c r="N149" t="s">
        <v>2376</v>
      </c>
      <c r="O149" t="s">
        <v>2400</v>
      </c>
      <c r="P149" t="s">
        <v>2378</v>
      </c>
      <c r="Q149" t="s">
        <v>2379</v>
      </c>
      <c r="R149" t="s">
        <v>3434</v>
      </c>
      <c r="S149" t="s">
        <v>2511</v>
      </c>
      <c r="T149" s="3" t="s">
        <v>3435</v>
      </c>
      <c r="U149" t="s">
        <v>3340</v>
      </c>
      <c r="V149" t="s">
        <v>3436</v>
      </c>
      <c r="W149" t="s">
        <v>3437</v>
      </c>
      <c r="X149" t="s">
        <v>2385</v>
      </c>
      <c r="Y149" t="s">
        <v>3438</v>
      </c>
      <c r="Z149" t="s">
        <v>2405</v>
      </c>
      <c r="AA149" t="s">
        <v>3435</v>
      </c>
      <c r="AB149" t="s">
        <v>3439</v>
      </c>
      <c r="AC149" t="s">
        <v>3440</v>
      </c>
      <c r="AD149" t="s">
        <v>2651</v>
      </c>
      <c r="AH149" t="s">
        <v>3346</v>
      </c>
      <c r="AI149" t="s">
        <v>3027</v>
      </c>
      <c r="AJ149" t="s">
        <v>3442</v>
      </c>
      <c r="AK149" t="s">
        <v>3443</v>
      </c>
      <c r="AL149" t="s">
        <v>3444</v>
      </c>
      <c r="AM149" t="s">
        <v>3445</v>
      </c>
      <c r="AN149" t="s">
        <v>3446</v>
      </c>
      <c r="AO149" t="s">
        <v>3442</v>
      </c>
      <c r="AP149">
        <v>40</v>
      </c>
      <c r="AQ149">
        <v>40</v>
      </c>
      <c r="AR149">
        <v>40</v>
      </c>
      <c r="AS149" t="s">
        <v>3447</v>
      </c>
      <c r="AT149">
        <v>0</v>
      </c>
      <c r="AU149">
        <v>0</v>
      </c>
      <c r="AV149">
        <v>0</v>
      </c>
    </row>
    <row r="150" spans="1:48">
      <c r="A150" s="1">
        <f>_xlfn.XLOOKUP(J150,数据!E:E,数据!A:A)</f>
        <v>4</v>
      </c>
      <c r="B150" s="1">
        <f>_xlfn.XLOOKUP(J150,数据!E:E,数据!B:B)</f>
        <v>15</v>
      </c>
      <c r="C150" s="1" t="str">
        <f>_xlfn.XLOOKUP(J150,数据!E:E,数据!J:J)</f>
        <v>空派</v>
      </c>
      <c r="D150" s="1" t="str" cm="1">
        <f t="array" ref="D150">IF(OR(C150="红单",C150="空派"),_xlfn.IFS(E150="未开售","新品首批发货",F150&lt;E150,"新品首批发货",F150-E150&lt;=60,"新品期补货空运",F150-E150&gt;60,"老品应急空运"),"海运，不进行分析")</f>
        <v>老品应急空运</v>
      </c>
      <c r="E150" s="2">
        <v>46058</v>
      </c>
      <c r="F150" s="2">
        <f>_xlfn.XLOOKUP(J150,数据!E:E,数据!C:C)</f>
        <v>46120</v>
      </c>
      <c r="G150" s="4">
        <v>90</v>
      </c>
      <c r="H150" s="4">
        <f t="shared" si="7"/>
        <v>3.6</v>
      </c>
      <c r="I150" s="4">
        <f>_xlfn.XLOOKUP(J150,数据!E:E,数据!S:S)*(H150/_xlfn.XLOOKUP(J150,数据!E:E,数据!X:X))</f>
        <v>294.56679076694</v>
      </c>
      <c r="J150" t="s">
        <v>1896</v>
      </c>
      <c r="K150" t="s">
        <v>46</v>
      </c>
      <c r="L150" t="s">
        <v>2374</v>
      </c>
      <c r="M150" t="s">
        <v>3433</v>
      </c>
      <c r="N150" t="s">
        <v>2376</v>
      </c>
      <c r="O150" t="s">
        <v>2400</v>
      </c>
      <c r="P150" t="s">
        <v>2378</v>
      </c>
      <c r="Q150" t="s">
        <v>2379</v>
      </c>
      <c r="R150" t="s">
        <v>3434</v>
      </c>
      <c r="S150" t="s">
        <v>2511</v>
      </c>
      <c r="T150" s="3" t="s">
        <v>3435</v>
      </c>
      <c r="U150" t="s">
        <v>3340</v>
      </c>
      <c r="V150" t="s">
        <v>3436</v>
      </c>
      <c r="W150" t="s">
        <v>3437</v>
      </c>
      <c r="X150" t="s">
        <v>2385</v>
      </c>
      <c r="Y150" t="s">
        <v>3438</v>
      </c>
      <c r="Z150" t="s">
        <v>2405</v>
      </c>
      <c r="AA150" t="s">
        <v>3435</v>
      </c>
      <c r="AB150" t="s">
        <v>3439</v>
      </c>
      <c r="AC150" t="s">
        <v>3440</v>
      </c>
      <c r="AD150" t="s">
        <v>2651</v>
      </c>
      <c r="AH150" t="s">
        <v>3346</v>
      </c>
      <c r="AI150" t="s">
        <v>3027</v>
      </c>
      <c r="AJ150" t="s">
        <v>3448</v>
      </c>
      <c r="AK150" t="s">
        <v>3449</v>
      </c>
      <c r="AL150" t="s">
        <v>3450</v>
      </c>
      <c r="AM150" t="s">
        <v>3450</v>
      </c>
      <c r="AN150" t="s">
        <v>3451</v>
      </c>
      <c r="AO150" t="s">
        <v>3448</v>
      </c>
      <c r="AP150">
        <v>40</v>
      </c>
      <c r="AQ150">
        <v>40</v>
      </c>
      <c r="AR150">
        <v>40</v>
      </c>
      <c r="AS150" t="s">
        <v>3447</v>
      </c>
      <c r="AT150">
        <v>0</v>
      </c>
      <c r="AU150">
        <v>0</v>
      </c>
      <c r="AV150">
        <v>0</v>
      </c>
    </row>
    <row r="151" spans="1:48">
      <c r="A151" s="1">
        <f>_xlfn.XLOOKUP(J151,数据!E:E,数据!A:A)</f>
        <v>4</v>
      </c>
      <c r="B151" s="1">
        <f>_xlfn.XLOOKUP(J151,数据!E:E,数据!B:B)</f>
        <v>15</v>
      </c>
      <c r="C151" s="1" t="str">
        <f>_xlfn.XLOOKUP(J151,数据!E:E,数据!J:J)</f>
        <v>空派</v>
      </c>
      <c r="D151" s="1" t="str" cm="1">
        <f t="array" ref="D151">IF(OR(C151="红单",C151="空派"),_xlfn.IFS(E151="未开售","新品首批发货",F151&lt;E151,"新品首批发货",F151-E151&lt;=60,"新品期补货空运",F151-E151&gt;60,"老品应急空运"),"海运，不进行分析")</f>
        <v>新品首批发货</v>
      </c>
      <c r="E151" s="2">
        <v>46125</v>
      </c>
      <c r="F151" s="2">
        <f>_xlfn.XLOOKUP(J151,数据!E:E,数据!C:C)</f>
        <v>46120</v>
      </c>
      <c r="G151" s="4">
        <v>71</v>
      </c>
      <c r="H151" s="4">
        <f t="shared" si="7"/>
        <v>1.207</v>
      </c>
      <c r="I151" s="4">
        <f>_xlfn.XLOOKUP(J151,数据!E:E,数据!S:S)*(H151/_xlfn.XLOOKUP(J151,数据!E:E,数据!X:X))</f>
        <v>98.7616990154712</v>
      </c>
      <c r="J151" t="s">
        <v>1896</v>
      </c>
      <c r="K151" t="s">
        <v>46</v>
      </c>
      <c r="L151" t="s">
        <v>2374</v>
      </c>
      <c r="M151" t="s">
        <v>3433</v>
      </c>
      <c r="N151" t="s">
        <v>2376</v>
      </c>
      <c r="O151" t="s">
        <v>2400</v>
      </c>
      <c r="P151" t="s">
        <v>2378</v>
      </c>
      <c r="Q151" t="s">
        <v>2379</v>
      </c>
      <c r="R151" t="s">
        <v>3434</v>
      </c>
      <c r="S151" t="s">
        <v>2511</v>
      </c>
      <c r="T151" s="3" t="s">
        <v>3435</v>
      </c>
      <c r="U151" t="s">
        <v>3340</v>
      </c>
      <c r="V151" t="s">
        <v>3436</v>
      </c>
      <c r="W151" t="s">
        <v>3437</v>
      </c>
      <c r="X151" t="s">
        <v>2385</v>
      </c>
      <c r="Y151" t="s">
        <v>3438</v>
      </c>
      <c r="Z151" t="s">
        <v>2405</v>
      </c>
      <c r="AA151" t="s">
        <v>3435</v>
      </c>
      <c r="AB151" t="s">
        <v>3439</v>
      </c>
      <c r="AC151" t="s">
        <v>3440</v>
      </c>
      <c r="AD151" t="s">
        <v>2651</v>
      </c>
      <c r="AH151" t="s">
        <v>3346</v>
      </c>
      <c r="AI151" t="s">
        <v>3027</v>
      </c>
      <c r="AJ151" t="s">
        <v>2970</v>
      </c>
      <c r="AK151" t="s">
        <v>2971</v>
      </c>
      <c r="AL151" t="s">
        <v>2972</v>
      </c>
      <c r="AM151" t="s">
        <v>2972</v>
      </c>
      <c r="AN151" t="s">
        <v>2973</v>
      </c>
      <c r="AO151" t="s">
        <v>2970</v>
      </c>
      <c r="AP151">
        <v>17</v>
      </c>
      <c r="AQ151">
        <v>17</v>
      </c>
      <c r="AR151">
        <v>16</v>
      </c>
      <c r="AS151" t="s">
        <v>3452</v>
      </c>
      <c r="AT151">
        <v>0</v>
      </c>
      <c r="AU151">
        <v>-1</v>
      </c>
      <c r="AV151">
        <v>1</v>
      </c>
    </row>
    <row r="152" spans="1:48">
      <c r="A152" s="1">
        <f>_xlfn.XLOOKUP(J152,数据!E:E,数据!A:A)</f>
        <v>4</v>
      </c>
      <c r="B152" s="1">
        <f>_xlfn.XLOOKUP(J152,数据!E:E,数据!B:B)</f>
        <v>15</v>
      </c>
      <c r="C152" s="1" t="str">
        <f>_xlfn.XLOOKUP(J152,数据!E:E,数据!J:J)</f>
        <v>红单</v>
      </c>
      <c r="D152" s="1" t="str" cm="1">
        <f t="array" ref="D152">IF(OR(C152="红单",C152="空派"),_xlfn.IFS(E152="未开售","新品首批发货",F152&lt;E152,"新品首批发货",F152-E152&lt;=60,"新品期补货空运",F152-E152&gt;60,"老品应急空运"),"海运，不进行分析")</f>
        <v>新品首批发货</v>
      </c>
      <c r="E152" s="2">
        <v>46139</v>
      </c>
      <c r="F152" s="2">
        <f>_xlfn.XLOOKUP(J152,数据!E:E,数据!C:C)</f>
        <v>46120</v>
      </c>
      <c r="G152" s="4">
        <v>69</v>
      </c>
      <c r="H152" s="4">
        <f t="shared" si="7"/>
        <v>5.865</v>
      </c>
      <c r="I152" s="4">
        <f>_xlfn.XLOOKUP(J152,数据!E:E,数据!S:S)*(H152/_xlfn.XLOOKUP(J152,数据!E:E,数据!X:X))</f>
        <v>598.729653433999</v>
      </c>
      <c r="J152" t="s">
        <v>1894</v>
      </c>
      <c r="K152" t="s">
        <v>224</v>
      </c>
      <c r="L152" t="s">
        <v>2374</v>
      </c>
      <c r="M152" t="s">
        <v>3453</v>
      </c>
      <c r="N152" t="s">
        <v>2376</v>
      </c>
      <c r="O152" t="s">
        <v>2400</v>
      </c>
      <c r="P152" t="s">
        <v>2378</v>
      </c>
      <c r="Q152" t="s">
        <v>2379</v>
      </c>
      <c r="R152" t="s">
        <v>1894</v>
      </c>
      <c r="S152" t="s">
        <v>2511</v>
      </c>
      <c r="T152" s="3" t="s">
        <v>3454</v>
      </c>
      <c r="U152" t="s">
        <v>3340</v>
      </c>
      <c r="V152" t="s">
        <v>3455</v>
      </c>
      <c r="W152" t="s">
        <v>3456</v>
      </c>
      <c r="X152" t="s">
        <v>2403</v>
      </c>
      <c r="Y152" t="s">
        <v>3457</v>
      </c>
      <c r="Z152" t="s">
        <v>2405</v>
      </c>
      <c r="AA152" t="s">
        <v>3454</v>
      </c>
      <c r="AB152" t="s">
        <v>2492</v>
      </c>
      <c r="AC152" t="s">
        <v>3458</v>
      </c>
      <c r="AD152" t="s">
        <v>3459</v>
      </c>
      <c r="AH152" t="s">
        <v>3346</v>
      </c>
      <c r="AI152" t="s">
        <v>3027</v>
      </c>
      <c r="AJ152" t="s">
        <v>3460</v>
      </c>
      <c r="AK152" t="s">
        <v>3461</v>
      </c>
      <c r="AL152" t="s">
        <v>3462</v>
      </c>
      <c r="AM152" t="s">
        <v>3463</v>
      </c>
      <c r="AN152" t="s">
        <v>3464</v>
      </c>
      <c r="AO152" t="s">
        <v>3460</v>
      </c>
      <c r="AP152">
        <v>85</v>
      </c>
      <c r="AQ152">
        <v>85</v>
      </c>
      <c r="AR152">
        <v>85</v>
      </c>
      <c r="AS152" t="s">
        <v>3465</v>
      </c>
      <c r="AT152">
        <v>0</v>
      </c>
      <c r="AU152">
        <v>0</v>
      </c>
      <c r="AV152">
        <v>0</v>
      </c>
    </row>
    <row r="153" spans="1:48">
      <c r="A153" s="1">
        <f>_xlfn.XLOOKUP(J153,数据!E:E,数据!A:A)</f>
        <v>4</v>
      </c>
      <c r="B153" s="1">
        <f>_xlfn.XLOOKUP(J153,数据!E:E,数据!B:B)</f>
        <v>15</v>
      </c>
      <c r="C153" s="1" t="str">
        <f>_xlfn.XLOOKUP(J153,数据!E:E,数据!J:J)</f>
        <v>红单</v>
      </c>
      <c r="D153" s="1" t="str" cm="1">
        <f t="array" ref="D153">IF(OR(C153="红单",C153="空派"),_xlfn.IFS(E153="未开售","新品首批发货",F153&lt;E153,"新品首批发货",F153-E153&lt;=60,"新品期补货空运",F153-E153&gt;60,"老品应急空运"),"海运，不进行分析")</f>
        <v>新品首批发货</v>
      </c>
      <c r="E153" s="2">
        <v>46135</v>
      </c>
      <c r="F153" s="2">
        <f>_xlfn.XLOOKUP(J153,数据!E:E,数据!C:C)</f>
        <v>46120</v>
      </c>
      <c r="G153" s="4">
        <v>60</v>
      </c>
      <c r="H153" s="4">
        <f t="shared" si="7"/>
        <v>4.8</v>
      </c>
      <c r="I153" s="4">
        <f>_xlfn.XLOOKUP(J153,数据!E:E,数据!S:S)*(H153/_xlfn.XLOOKUP(J153,数据!E:E,数据!X:X))</f>
        <v>490.008923526547</v>
      </c>
      <c r="J153" t="s">
        <v>1894</v>
      </c>
      <c r="K153" t="s">
        <v>224</v>
      </c>
      <c r="L153" t="s">
        <v>2374</v>
      </c>
      <c r="M153" t="s">
        <v>3453</v>
      </c>
      <c r="N153" t="s">
        <v>2376</v>
      </c>
      <c r="O153" t="s">
        <v>2400</v>
      </c>
      <c r="P153" t="s">
        <v>2378</v>
      </c>
      <c r="Q153" t="s">
        <v>2379</v>
      </c>
      <c r="R153" t="s">
        <v>1894</v>
      </c>
      <c r="S153" t="s">
        <v>2511</v>
      </c>
      <c r="T153" s="3" t="s">
        <v>3454</v>
      </c>
      <c r="U153" t="s">
        <v>3340</v>
      </c>
      <c r="V153" t="s">
        <v>3455</v>
      </c>
      <c r="W153" t="s">
        <v>3456</v>
      </c>
      <c r="X153" t="s">
        <v>2403</v>
      </c>
      <c r="Y153" t="s">
        <v>3457</v>
      </c>
      <c r="Z153" t="s">
        <v>2405</v>
      </c>
      <c r="AA153" t="s">
        <v>3454</v>
      </c>
      <c r="AB153" t="s">
        <v>2492</v>
      </c>
      <c r="AC153" t="s">
        <v>3458</v>
      </c>
      <c r="AD153" t="s">
        <v>3459</v>
      </c>
      <c r="AH153" t="s">
        <v>3346</v>
      </c>
      <c r="AI153" t="s">
        <v>3027</v>
      </c>
      <c r="AJ153" t="s">
        <v>3466</v>
      </c>
      <c r="AK153" t="s">
        <v>3467</v>
      </c>
      <c r="AL153" t="s">
        <v>3468</v>
      </c>
      <c r="AM153" t="s">
        <v>3468</v>
      </c>
      <c r="AN153" t="s">
        <v>3469</v>
      </c>
      <c r="AO153" t="s">
        <v>3466</v>
      </c>
      <c r="AP153">
        <v>80</v>
      </c>
      <c r="AQ153">
        <v>80</v>
      </c>
      <c r="AR153">
        <v>80</v>
      </c>
      <c r="AS153" t="s">
        <v>3470</v>
      </c>
      <c r="AT153">
        <v>0</v>
      </c>
      <c r="AU153">
        <v>0</v>
      </c>
      <c r="AV153">
        <v>0</v>
      </c>
    </row>
    <row r="154" spans="1:48">
      <c r="A154" s="1">
        <f>_xlfn.XLOOKUP(J154,数据!E:E,数据!A:A)</f>
        <v>4</v>
      </c>
      <c r="B154" s="1">
        <f>_xlfn.XLOOKUP(J154,数据!E:E,数据!B:B)</f>
        <v>15</v>
      </c>
      <c r="C154" s="1" t="str">
        <f>_xlfn.XLOOKUP(J154,数据!E:E,数据!J:J)</f>
        <v>红单</v>
      </c>
      <c r="D154" s="1" t="str" cm="1">
        <f t="array" ref="D154">IF(OR(C154="红单",C154="空派"),_xlfn.IFS(E154="未开售","新品首批发货",F154&lt;E154,"新品首批发货",F154-E154&lt;=60,"新品期补货空运",F154-E154&gt;60,"老品应急空运"),"海运，不进行分析")</f>
        <v>新品首批发货</v>
      </c>
      <c r="E154" s="2">
        <v>46139</v>
      </c>
      <c r="F154" s="2">
        <f>_xlfn.XLOOKUP(J154,数据!E:E,数据!C:C)</f>
        <v>46120</v>
      </c>
      <c r="G154" s="4">
        <v>73</v>
      </c>
      <c r="H154" s="4">
        <f t="shared" si="7"/>
        <v>5.84</v>
      </c>
      <c r="I154" s="4">
        <f>_xlfn.XLOOKUP(J154,数据!E:E,数据!S:S)*(H154/_xlfn.XLOOKUP(J154,数据!E:E,数据!X:X))</f>
        <v>596.177523623965</v>
      </c>
      <c r="J154" t="s">
        <v>1894</v>
      </c>
      <c r="K154" t="s">
        <v>224</v>
      </c>
      <c r="L154" t="s">
        <v>2374</v>
      </c>
      <c r="M154" t="s">
        <v>3453</v>
      </c>
      <c r="N154" t="s">
        <v>2376</v>
      </c>
      <c r="O154" t="s">
        <v>2400</v>
      </c>
      <c r="P154" t="s">
        <v>2378</v>
      </c>
      <c r="Q154" t="s">
        <v>2379</v>
      </c>
      <c r="R154" t="s">
        <v>1894</v>
      </c>
      <c r="S154" t="s">
        <v>2511</v>
      </c>
      <c r="T154" s="3" t="s">
        <v>3454</v>
      </c>
      <c r="U154" t="s">
        <v>3340</v>
      </c>
      <c r="V154" t="s">
        <v>3455</v>
      </c>
      <c r="W154" t="s">
        <v>3456</v>
      </c>
      <c r="X154" t="s">
        <v>2403</v>
      </c>
      <c r="Y154" t="s">
        <v>3457</v>
      </c>
      <c r="Z154" t="s">
        <v>2405</v>
      </c>
      <c r="AA154" t="s">
        <v>3454</v>
      </c>
      <c r="AB154" t="s">
        <v>2492</v>
      </c>
      <c r="AC154" t="s">
        <v>3458</v>
      </c>
      <c r="AD154" t="s">
        <v>3459</v>
      </c>
      <c r="AH154" t="s">
        <v>3346</v>
      </c>
      <c r="AI154" t="s">
        <v>3027</v>
      </c>
      <c r="AJ154" t="s">
        <v>3471</v>
      </c>
      <c r="AK154" t="s">
        <v>3472</v>
      </c>
      <c r="AL154" t="s">
        <v>3473</v>
      </c>
      <c r="AM154" t="s">
        <v>3463</v>
      </c>
      <c r="AN154" t="s">
        <v>3474</v>
      </c>
      <c r="AO154" t="s">
        <v>3471</v>
      </c>
      <c r="AP154">
        <v>80</v>
      </c>
      <c r="AQ154">
        <v>80</v>
      </c>
      <c r="AR154">
        <v>80</v>
      </c>
      <c r="AS154" t="s">
        <v>3475</v>
      </c>
      <c r="AT154">
        <v>0</v>
      </c>
      <c r="AU154">
        <v>0</v>
      </c>
      <c r="AV154">
        <v>0</v>
      </c>
    </row>
    <row r="155" spans="1:48">
      <c r="A155" s="1">
        <f>_xlfn.XLOOKUP(J155,数据!E:E,数据!A:A)</f>
        <v>4</v>
      </c>
      <c r="B155" s="1">
        <f>_xlfn.XLOOKUP(J155,数据!E:E,数据!B:B)</f>
        <v>15</v>
      </c>
      <c r="C155" s="1" t="str">
        <f>_xlfn.XLOOKUP(J155,数据!E:E,数据!J:J)</f>
        <v>红单</v>
      </c>
      <c r="D155" s="1" t="str" cm="1">
        <f t="array" ref="D155">IF(OR(C155="红单",C155="空派"),_xlfn.IFS(E155="未开售","新品首批发货",F155&lt;E155,"新品首批发货",F155-E155&lt;=60,"新品期补货空运",F155-E155&gt;60,"老品应急空运"),"海运，不进行分析")</f>
        <v>新品期补货空运</v>
      </c>
      <c r="E155" s="2">
        <v>46092</v>
      </c>
      <c r="F155" s="2">
        <f>_xlfn.XLOOKUP(J155,数据!E:E,数据!C:C)</f>
        <v>46120</v>
      </c>
      <c r="G155" s="4">
        <v>53</v>
      </c>
      <c r="H155" s="4">
        <f t="shared" si="7"/>
        <v>3.975</v>
      </c>
      <c r="I155" s="4">
        <f>_xlfn.XLOOKUP(J155,数据!E:E,数据!S:S)*(H155/_xlfn.XLOOKUP(J155,数据!E:E,数据!X:X))</f>
        <v>405.788639795421</v>
      </c>
      <c r="J155" t="s">
        <v>1894</v>
      </c>
      <c r="K155" t="s">
        <v>224</v>
      </c>
      <c r="L155" t="s">
        <v>2374</v>
      </c>
      <c r="M155" t="s">
        <v>3453</v>
      </c>
      <c r="N155" t="s">
        <v>2376</v>
      </c>
      <c r="O155" t="s">
        <v>2400</v>
      </c>
      <c r="P155" t="s">
        <v>2378</v>
      </c>
      <c r="Q155" t="s">
        <v>2379</v>
      </c>
      <c r="R155" t="s">
        <v>1894</v>
      </c>
      <c r="S155" t="s">
        <v>2511</v>
      </c>
      <c r="T155" s="3" t="s">
        <v>3454</v>
      </c>
      <c r="U155" t="s">
        <v>3340</v>
      </c>
      <c r="V155" t="s">
        <v>3455</v>
      </c>
      <c r="W155" t="s">
        <v>3456</v>
      </c>
      <c r="X155" t="s">
        <v>2403</v>
      </c>
      <c r="Y155" t="s">
        <v>3457</v>
      </c>
      <c r="Z155" t="s">
        <v>2405</v>
      </c>
      <c r="AA155" t="s">
        <v>3454</v>
      </c>
      <c r="AB155" t="s">
        <v>2492</v>
      </c>
      <c r="AC155" t="s">
        <v>3458</v>
      </c>
      <c r="AD155" t="s">
        <v>3459</v>
      </c>
      <c r="AH155" t="s">
        <v>3346</v>
      </c>
      <c r="AI155" t="s">
        <v>3027</v>
      </c>
      <c r="AJ155" t="s">
        <v>2494</v>
      </c>
      <c r="AK155" t="s">
        <v>2495</v>
      </c>
      <c r="AL155" t="s">
        <v>2496</v>
      </c>
      <c r="AM155" t="s">
        <v>2497</v>
      </c>
      <c r="AN155" t="s">
        <v>2498</v>
      </c>
      <c r="AO155" t="s">
        <v>2494</v>
      </c>
      <c r="AP155">
        <v>75</v>
      </c>
      <c r="AQ155">
        <v>75</v>
      </c>
      <c r="AR155">
        <v>77</v>
      </c>
      <c r="AS155" t="s">
        <v>3476</v>
      </c>
      <c r="AT155">
        <v>0</v>
      </c>
      <c r="AU155">
        <v>2</v>
      </c>
      <c r="AV155">
        <v>-2</v>
      </c>
    </row>
    <row r="156" spans="1:48">
      <c r="A156" s="1">
        <f>_xlfn.XLOOKUP(J156,数据!E:E,数据!A:A)</f>
        <v>4</v>
      </c>
      <c r="B156" s="1">
        <f>_xlfn.XLOOKUP(J156,数据!E:E,数据!B:B)</f>
        <v>15</v>
      </c>
      <c r="C156" s="1" t="str">
        <f>_xlfn.XLOOKUP(J156,数据!E:E,数据!J:J)</f>
        <v>红单</v>
      </c>
      <c r="D156" s="1" t="str" cm="1">
        <f t="array" ref="D156">IF(OR(C156="红单",C156="空派"),_xlfn.IFS(E156="未开售","新品首批发货",F156&lt;E156,"新品首批发货",F156-E156&lt;=60,"新品期补货空运",F156-E156&gt;60,"老品应急空运"),"海运，不进行分析")</f>
        <v>新品期补货空运</v>
      </c>
      <c r="E156" s="2">
        <v>46092</v>
      </c>
      <c r="F156" s="2">
        <f>_xlfn.XLOOKUP(J156,数据!E:E,数据!C:C)</f>
        <v>46120</v>
      </c>
      <c r="G156" s="4">
        <v>50</v>
      </c>
      <c r="H156" s="4">
        <f t="shared" si="7"/>
        <v>0.05</v>
      </c>
      <c r="I156" s="4">
        <f>_xlfn.XLOOKUP(J156,数据!E:E,数据!S:S)*(H156/_xlfn.XLOOKUP(J156,数据!E:E,数据!X:X))</f>
        <v>5.10425962006819</v>
      </c>
      <c r="J156" t="s">
        <v>1894</v>
      </c>
      <c r="K156" t="s">
        <v>224</v>
      </c>
      <c r="L156" t="s">
        <v>2374</v>
      </c>
      <c r="M156" t="s">
        <v>3453</v>
      </c>
      <c r="N156" t="s">
        <v>2376</v>
      </c>
      <c r="O156" t="s">
        <v>2400</v>
      </c>
      <c r="P156" t="s">
        <v>2378</v>
      </c>
      <c r="Q156" t="s">
        <v>2379</v>
      </c>
      <c r="R156" t="s">
        <v>1894</v>
      </c>
      <c r="S156" t="s">
        <v>2511</v>
      </c>
      <c r="T156" s="3" t="s">
        <v>3454</v>
      </c>
      <c r="U156" t="s">
        <v>3340</v>
      </c>
      <c r="V156" t="s">
        <v>3455</v>
      </c>
      <c r="W156" t="s">
        <v>3456</v>
      </c>
      <c r="X156" t="s">
        <v>2403</v>
      </c>
      <c r="Y156" t="s">
        <v>3457</v>
      </c>
      <c r="Z156" t="s">
        <v>2405</v>
      </c>
      <c r="AA156" t="s">
        <v>3454</v>
      </c>
      <c r="AB156" t="s">
        <v>2492</v>
      </c>
      <c r="AC156" t="s">
        <v>3458</v>
      </c>
      <c r="AD156" t="s">
        <v>3459</v>
      </c>
      <c r="AH156" t="s">
        <v>3346</v>
      </c>
      <c r="AI156" t="s">
        <v>3027</v>
      </c>
      <c r="AJ156" t="s">
        <v>3477</v>
      </c>
      <c r="AK156" t="s">
        <v>3478</v>
      </c>
      <c r="AL156" t="s">
        <v>3479</v>
      </c>
      <c r="AM156" t="s">
        <v>3479</v>
      </c>
      <c r="AN156" t="s">
        <v>3480</v>
      </c>
      <c r="AO156" t="s">
        <v>3477</v>
      </c>
      <c r="AP156">
        <v>1</v>
      </c>
      <c r="AQ156">
        <v>1</v>
      </c>
      <c r="AR156">
        <v>1</v>
      </c>
      <c r="AS156" t="s">
        <v>3481</v>
      </c>
      <c r="AT156">
        <v>0</v>
      </c>
      <c r="AU156">
        <v>0</v>
      </c>
      <c r="AV156">
        <v>0</v>
      </c>
    </row>
    <row r="157" spans="1:48">
      <c r="A157" s="1">
        <f>_xlfn.XLOOKUP(J157,数据!E:E,数据!A:A)</f>
        <v>4</v>
      </c>
      <c r="B157" s="1">
        <f>_xlfn.XLOOKUP(J157,数据!E:E,数据!B:B)</f>
        <v>15</v>
      </c>
      <c r="C157" s="1" t="str">
        <f>_xlfn.XLOOKUP(J157,数据!E:E,数据!J:J)</f>
        <v>红单</v>
      </c>
      <c r="D157" s="1" t="str" cm="1">
        <f t="array" ref="D157">IF(OR(C157="红单",C157="空派"),_xlfn.IFS(E157="未开售","新品首批发货",F157&lt;E157,"新品首批发货",F157-E157&lt;=60,"新品期补货空运",F157-E157&gt;60,"老品应急空运"),"海运，不进行分析")</f>
        <v>新品首批发货</v>
      </c>
      <c r="E157" s="2">
        <v>46158</v>
      </c>
      <c r="F157" s="2">
        <f>_xlfn.XLOOKUP(J157,数据!E:E,数据!C:C)</f>
        <v>46120</v>
      </c>
      <c r="G157" s="4">
        <v>96</v>
      </c>
      <c r="H157" s="4">
        <f t="shared" si="7"/>
        <v>11.52</v>
      </c>
      <c r="I157" s="4">
        <f>_xlfn.XLOOKUP(J157,数据!E:E,数据!S:S)*(H157/_xlfn.XLOOKUP(J157,数据!E:E,数据!X:X))</f>
        <v>1065.14666666667</v>
      </c>
      <c r="J157" t="s">
        <v>1893</v>
      </c>
      <c r="K157" t="s">
        <v>37</v>
      </c>
      <c r="L157" t="s">
        <v>2374</v>
      </c>
      <c r="M157" t="s">
        <v>3482</v>
      </c>
      <c r="N157" t="s">
        <v>2376</v>
      </c>
      <c r="O157" t="s">
        <v>2377</v>
      </c>
      <c r="P157" t="s">
        <v>2378</v>
      </c>
      <c r="Q157" t="s">
        <v>2379</v>
      </c>
      <c r="R157" t="s">
        <v>1893</v>
      </c>
      <c r="S157" t="s">
        <v>2511</v>
      </c>
      <c r="T157" s="3" t="s">
        <v>3454</v>
      </c>
      <c r="U157" t="s">
        <v>3340</v>
      </c>
      <c r="V157" t="s">
        <v>3483</v>
      </c>
      <c r="W157" t="s">
        <v>3484</v>
      </c>
      <c r="X157" t="s">
        <v>2385</v>
      </c>
      <c r="Y157" t="s">
        <v>3485</v>
      </c>
      <c r="Z157" t="s">
        <v>2405</v>
      </c>
      <c r="AA157" t="s">
        <v>3454</v>
      </c>
      <c r="AB157" t="s">
        <v>3486</v>
      </c>
      <c r="AC157" t="s">
        <v>3487</v>
      </c>
      <c r="AD157" t="s">
        <v>3488</v>
      </c>
      <c r="AH157" t="s">
        <v>3346</v>
      </c>
      <c r="AI157" t="s">
        <v>3027</v>
      </c>
      <c r="AJ157" t="s">
        <v>3489</v>
      </c>
      <c r="AK157" t="s">
        <v>3490</v>
      </c>
      <c r="AL157" t="s">
        <v>3491</v>
      </c>
      <c r="AM157" t="s">
        <v>3492</v>
      </c>
      <c r="AN157" t="s">
        <v>3493</v>
      </c>
      <c r="AO157" t="s">
        <v>3489</v>
      </c>
      <c r="AP157">
        <v>120</v>
      </c>
      <c r="AQ157">
        <v>120</v>
      </c>
      <c r="AR157">
        <v>120</v>
      </c>
      <c r="AS157" t="s">
        <v>3494</v>
      </c>
      <c r="AT157">
        <v>0</v>
      </c>
      <c r="AU157">
        <v>0</v>
      </c>
      <c r="AV157">
        <v>0</v>
      </c>
    </row>
    <row r="158" spans="1:48">
      <c r="A158" s="1">
        <f>_xlfn.XLOOKUP(J158,数据!E:E,数据!A:A)</f>
        <v>4</v>
      </c>
      <c r="B158" s="1">
        <f>_xlfn.XLOOKUP(J158,数据!E:E,数据!B:B)</f>
        <v>15</v>
      </c>
      <c r="C158" s="1" t="str">
        <f>_xlfn.XLOOKUP(J158,数据!E:E,数据!J:J)</f>
        <v>红单</v>
      </c>
      <c r="D158" s="1" t="str" cm="1">
        <f t="array" ref="D158">IF(OR(C158="红单",C158="空派"),_xlfn.IFS(E158="未开售","新品首批发货",F158&lt;E158,"新品首批发货",F158-E158&lt;=60,"新品期补货空运",F158-E158&gt;60,"老品应急空运"),"海运，不进行分析")</f>
        <v>新品首批发货</v>
      </c>
      <c r="E158" s="2">
        <v>46157</v>
      </c>
      <c r="F158" s="2">
        <f>_xlfn.XLOOKUP(J158,数据!E:E,数据!C:C)</f>
        <v>46120</v>
      </c>
      <c r="G158" s="4">
        <v>96</v>
      </c>
      <c r="H158" s="4">
        <f t="shared" si="7"/>
        <v>11.52</v>
      </c>
      <c r="I158" s="4">
        <f>_xlfn.XLOOKUP(J158,数据!E:E,数据!S:S)*(H158/_xlfn.XLOOKUP(J158,数据!E:E,数据!X:X))</f>
        <v>1065.14666666667</v>
      </c>
      <c r="J158" t="s">
        <v>1893</v>
      </c>
      <c r="K158" t="s">
        <v>37</v>
      </c>
      <c r="L158" t="s">
        <v>2374</v>
      </c>
      <c r="M158" t="s">
        <v>3482</v>
      </c>
      <c r="N158" t="s">
        <v>2376</v>
      </c>
      <c r="O158" t="s">
        <v>2377</v>
      </c>
      <c r="P158" t="s">
        <v>2378</v>
      </c>
      <c r="Q158" t="s">
        <v>2379</v>
      </c>
      <c r="R158" t="s">
        <v>1893</v>
      </c>
      <c r="S158" t="s">
        <v>2511</v>
      </c>
      <c r="T158" s="3" t="s">
        <v>3454</v>
      </c>
      <c r="U158" t="s">
        <v>3340</v>
      </c>
      <c r="V158" t="s">
        <v>3483</v>
      </c>
      <c r="W158" t="s">
        <v>3484</v>
      </c>
      <c r="X158" t="s">
        <v>2385</v>
      </c>
      <c r="Y158" t="s">
        <v>3485</v>
      </c>
      <c r="Z158" t="s">
        <v>2405</v>
      </c>
      <c r="AA158" t="s">
        <v>3454</v>
      </c>
      <c r="AB158" t="s">
        <v>3486</v>
      </c>
      <c r="AC158" t="s">
        <v>3487</v>
      </c>
      <c r="AD158" t="s">
        <v>3488</v>
      </c>
      <c r="AH158" t="s">
        <v>3346</v>
      </c>
      <c r="AI158" t="s">
        <v>3027</v>
      </c>
      <c r="AJ158" t="s">
        <v>3495</v>
      </c>
      <c r="AK158" t="s">
        <v>3496</v>
      </c>
      <c r="AL158" t="s">
        <v>3497</v>
      </c>
      <c r="AM158" t="s">
        <v>3492</v>
      </c>
      <c r="AN158" t="s">
        <v>3498</v>
      </c>
      <c r="AO158" t="s">
        <v>3495</v>
      </c>
      <c r="AP158">
        <v>120</v>
      </c>
      <c r="AQ158">
        <v>120</v>
      </c>
      <c r="AR158">
        <v>118</v>
      </c>
      <c r="AS158" t="s">
        <v>3499</v>
      </c>
      <c r="AT158">
        <v>0</v>
      </c>
      <c r="AU158">
        <v>-2</v>
      </c>
      <c r="AV158">
        <v>2</v>
      </c>
    </row>
    <row r="159" spans="1:48">
      <c r="A159" s="1">
        <f>_xlfn.XLOOKUP(J159,数据!E:E,数据!A:A)</f>
        <v>4</v>
      </c>
      <c r="B159" s="1">
        <f>_xlfn.XLOOKUP(J159,数据!E:E,数据!B:B)</f>
        <v>15</v>
      </c>
      <c r="C159" s="1" t="str">
        <f>_xlfn.XLOOKUP(J159,数据!E:E,数据!J:J)</f>
        <v>红单</v>
      </c>
      <c r="D159" s="1" t="str" cm="1">
        <f t="array" ref="D159">IF(OR(C159="红单",C159="空派"),_xlfn.IFS(E159="未开售","新品首批发货",F159&lt;E159,"新品首批发货",F159-E159&lt;=60,"新品期补货空运",F159-E159&gt;60,"老品应急空运"),"海运，不进行分析")</f>
        <v>新品首批发货</v>
      </c>
      <c r="E159" s="2">
        <v>46135</v>
      </c>
      <c r="F159" s="2">
        <f>_xlfn.XLOOKUP(J159,数据!E:E,数据!C:C)</f>
        <v>46120</v>
      </c>
      <c r="G159" s="4">
        <v>96</v>
      </c>
      <c r="H159" s="4">
        <f t="shared" si="7"/>
        <v>11.52</v>
      </c>
      <c r="I159" s="4">
        <f>_xlfn.XLOOKUP(J159,数据!E:E,数据!S:S)*(H159/_xlfn.XLOOKUP(J159,数据!E:E,数据!X:X))</f>
        <v>1065.14666666667</v>
      </c>
      <c r="J159" t="s">
        <v>1893</v>
      </c>
      <c r="K159" t="s">
        <v>37</v>
      </c>
      <c r="L159" t="s">
        <v>2374</v>
      </c>
      <c r="M159" t="s">
        <v>3482</v>
      </c>
      <c r="N159" t="s">
        <v>2376</v>
      </c>
      <c r="O159" t="s">
        <v>2377</v>
      </c>
      <c r="P159" t="s">
        <v>2378</v>
      </c>
      <c r="Q159" t="s">
        <v>2379</v>
      </c>
      <c r="R159" t="s">
        <v>1893</v>
      </c>
      <c r="S159" t="s">
        <v>2511</v>
      </c>
      <c r="T159" s="3" t="s">
        <v>3454</v>
      </c>
      <c r="U159" t="s">
        <v>3340</v>
      </c>
      <c r="V159" t="s">
        <v>3483</v>
      </c>
      <c r="W159" t="s">
        <v>3484</v>
      </c>
      <c r="X159" t="s">
        <v>2385</v>
      </c>
      <c r="Y159" t="s">
        <v>3485</v>
      </c>
      <c r="Z159" t="s">
        <v>2405</v>
      </c>
      <c r="AA159" t="s">
        <v>3454</v>
      </c>
      <c r="AB159" t="s">
        <v>3486</v>
      </c>
      <c r="AC159" t="s">
        <v>3487</v>
      </c>
      <c r="AD159" t="s">
        <v>3488</v>
      </c>
      <c r="AH159" t="s">
        <v>3346</v>
      </c>
      <c r="AI159" t="s">
        <v>3027</v>
      </c>
      <c r="AJ159" t="s">
        <v>3500</v>
      </c>
      <c r="AK159" t="s">
        <v>3501</v>
      </c>
      <c r="AL159" t="s">
        <v>3502</v>
      </c>
      <c r="AM159" t="s">
        <v>3492</v>
      </c>
      <c r="AN159" t="s">
        <v>3503</v>
      </c>
      <c r="AO159" t="s">
        <v>3500</v>
      </c>
      <c r="AP159">
        <v>120</v>
      </c>
      <c r="AQ159">
        <v>120</v>
      </c>
      <c r="AR159">
        <v>120</v>
      </c>
      <c r="AS159" t="s">
        <v>3504</v>
      </c>
      <c r="AT159">
        <v>0</v>
      </c>
      <c r="AU159">
        <v>0</v>
      </c>
      <c r="AV159">
        <v>0</v>
      </c>
    </row>
    <row r="160" spans="1:48">
      <c r="A160" s="1">
        <f>_xlfn.XLOOKUP(J160,数据!E:E,数据!A:A)</f>
        <v>4</v>
      </c>
      <c r="B160" s="1">
        <f>_xlfn.XLOOKUP(J160,数据!E:E,数据!B:B)</f>
        <v>15</v>
      </c>
      <c r="C160" s="1" t="str">
        <f>_xlfn.XLOOKUP(J160,数据!E:E,数据!J:J)</f>
        <v>空派</v>
      </c>
      <c r="D160" s="1" t="str" cm="1">
        <f t="array" ref="D160">IF(OR(C160="红单",C160="空派"),_xlfn.IFS(E160="未开售","新品首批发货",F160&lt;E160,"新品首批发货",F160-E160&lt;=60,"新品期补货空运",F160-E160&gt;60,"老品应急空运"),"海运，不进行分析")</f>
        <v>新品首批发货</v>
      </c>
      <c r="E160" s="2">
        <v>46142</v>
      </c>
      <c r="F160" s="2">
        <f>_xlfn.XLOOKUP(J160,数据!E:E,数据!C:C)</f>
        <v>46121</v>
      </c>
      <c r="G160" s="4">
        <v>463</v>
      </c>
      <c r="H160" s="4">
        <f t="shared" ref="H160:H167" si="8">G160*AP160/1000</f>
        <v>47.226</v>
      </c>
      <c r="I160" s="4">
        <f>_xlfn.XLOOKUP(J160,数据!E:E,数据!S:S)*(H160/_xlfn.XLOOKUP(J160,数据!E:E,数据!X:X))</f>
        <v>3389.54169632552</v>
      </c>
      <c r="J160" t="s">
        <v>1901</v>
      </c>
      <c r="K160" t="s">
        <v>51</v>
      </c>
      <c r="L160" t="s">
        <v>2374</v>
      </c>
      <c r="M160" t="s">
        <v>3505</v>
      </c>
      <c r="N160" t="s">
        <v>2376</v>
      </c>
      <c r="O160" t="s">
        <v>2400</v>
      </c>
      <c r="P160" t="s">
        <v>2378</v>
      </c>
      <c r="Q160" t="s">
        <v>2379</v>
      </c>
      <c r="R160" t="s">
        <v>3506</v>
      </c>
      <c r="S160" t="s">
        <v>2380</v>
      </c>
      <c r="T160" s="3" t="s">
        <v>3507</v>
      </c>
      <c r="U160" t="s">
        <v>3508</v>
      </c>
      <c r="V160" t="s">
        <v>3509</v>
      </c>
      <c r="W160" t="s">
        <v>2384</v>
      </c>
      <c r="X160" t="s">
        <v>2385</v>
      </c>
      <c r="Y160" t="s">
        <v>3510</v>
      </c>
      <c r="Z160" t="s">
        <v>2405</v>
      </c>
      <c r="AA160" t="s">
        <v>3507</v>
      </c>
      <c r="AB160" t="s">
        <v>3511</v>
      </c>
      <c r="AC160" t="s">
        <v>3512</v>
      </c>
      <c r="AD160" t="s">
        <v>2651</v>
      </c>
      <c r="AH160" t="s">
        <v>3027</v>
      </c>
      <c r="AI160" t="s">
        <v>2651</v>
      </c>
      <c r="AJ160" t="s">
        <v>3513</v>
      </c>
      <c r="AK160" t="s">
        <v>3514</v>
      </c>
      <c r="AL160" t="s">
        <v>3515</v>
      </c>
      <c r="AM160" t="s">
        <v>3516</v>
      </c>
      <c r="AN160" t="s">
        <v>3517</v>
      </c>
      <c r="AO160" t="s">
        <v>3513</v>
      </c>
      <c r="AP160">
        <v>102</v>
      </c>
      <c r="AQ160">
        <v>102</v>
      </c>
      <c r="AR160">
        <v>102</v>
      </c>
      <c r="AS160" t="s">
        <v>3518</v>
      </c>
      <c r="AT160">
        <v>0</v>
      </c>
      <c r="AU160">
        <v>0</v>
      </c>
      <c r="AV160">
        <v>0</v>
      </c>
    </row>
    <row r="161" spans="1:48">
      <c r="A161" s="1">
        <f>_xlfn.XLOOKUP(J161,数据!E:E,数据!A:A)</f>
        <v>4</v>
      </c>
      <c r="B161" s="1">
        <f>_xlfn.XLOOKUP(J161,数据!E:E,数据!B:B)</f>
        <v>15</v>
      </c>
      <c r="C161" s="1" t="str">
        <f>_xlfn.XLOOKUP(J161,数据!E:E,数据!J:J)</f>
        <v>空派</v>
      </c>
      <c r="D161" s="1" t="str" cm="1">
        <f t="array" ref="D161">IF(OR(C161="红单",C161="空派"),_xlfn.IFS(E161="未开售","新品首批发货",F161&lt;E161,"新品首批发货",F161-E161&lt;=60,"新品期补货空运",F161-E161&gt;60,"老品应急空运"),"海运，不进行分析")</f>
        <v>新品首批发货</v>
      </c>
      <c r="E161" s="2">
        <v>46147</v>
      </c>
      <c r="F161" s="2">
        <f>_xlfn.XLOOKUP(J161,数据!E:E,数据!C:C)</f>
        <v>46121</v>
      </c>
      <c r="G161" s="4">
        <v>466</v>
      </c>
      <c r="H161" s="4">
        <f t="shared" si="8"/>
        <v>46.6</v>
      </c>
      <c r="I161" s="4">
        <f>_xlfn.XLOOKUP(J161,数据!E:E,数据!S:S)*(H161/_xlfn.XLOOKUP(J161,数据!E:E,数据!X:X))</f>
        <v>3344.61193090181</v>
      </c>
      <c r="J161" t="s">
        <v>1901</v>
      </c>
      <c r="K161" t="s">
        <v>51</v>
      </c>
      <c r="L161" t="s">
        <v>2374</v>
      </c>
      <c r="M161" t="s">
        <v>3505</v>
      </c>
      <c r="N161" t="s">
        <v>2376</v>
      </c>
      <c r="O161" t="s">
        <v>2400</v>
      </c>
      <c r="P161" t="s">
        <v>2378</v>
      </c>
      <c r="Q161" t="s">
        <v>2379</v>
      </c>
      <c r="R161" t="s">
        <v>3506</v>
      </c>
      <c r="S161" t="s">
        <v>2380</v>
      </c>
      <c r="T161" s="3" t="s">
        <v>3507</v>
      </c>
      <c r="U161" t="s">
        <v>3508</v>
      </c>
      <c r="V161" t="s">
        <v>3509</v>
      </c>
      <c r="W161" t="s">
        <v>2384</v>
      </c>
      <c r="X161" t="s">
        <v>2385</v>
      </c>
      <c r="Y161" t="s">
        <v>3510</v>
      </c>
      <c r="Z161" t="s">
        <v>2405</v>
      </c>
      <c r="AA161" t="s">
        <v>3507</v>
      </c>
      <c r="AB161" t="s">
        <v>3511</v>
      </c>
      <c r="AC161" t="s">
        <v>3512</v>
      </c>
      <c r="AD161" t="s">
        <v>2651</v>
      </c>
      <c r="AH161" t="s">
        <v>3027</v>
      </c>
      <c r="AI161" t="s">
        <v>2651</v>
      </c>
      <c r="AJ161" t="s">
        <v>3519</v>
      </c>
      <c r="AK161" t="s">
        <v>3520</v>
      </c>
      <c r="AL161" t="s">
        <v>3521</v>
      </c>
      <c r="AM161" t="s">
        <v>3516</v>
      </c>
      <c r="AN161" t="s">
        <v>3522</v>
      </c>
      <c r="AO161" t="s">
        <v>3519</v>
      </c>
      <c r="AP161">
        <v>100</v>
      </c>
      <c r="AQ161">
        <v>100</v>
      </c>
      <c r="AR161">
        <v>97</v>
      </c>
      <c r="AS161" t="s">
        <v>3523</v>
      </c>
      <c r="AT161">
        <v>0</v>
      </c>
      <c r="AU161">
        <v>-3</v>
      </c>
      <c r="AV161">
        <v>3</v>
      </c>
    </row>
    <row r="162" spans="1:48">
      <c r="A162" s="1">
        <f>_xlfn.XLOOKUP(J162,数据!E:E,数据!A:A)</f>
        <v>4</v>
      </c>
      <c r="B162" s="1">
        <f>_xlfn.XLOOKUP(J162,数据!E:E,数据!B:B)</f>
        <v>15</v>
      </c>
      <c r="C162" s="1" t="str">
        <f>_xlfn.XLOOKUP(J162,数据!E:E,数据!J:J)</f>
        <v>空派</v>
      </c>
      <c r="D162" s="1" t="str" cm="1">
        <f t="array" ref="D162">IF(OR(C162="红单",C162="空派"),_xlfn.IFS(E162="未开售","新品首批发货",F162&lt;E162,"新品首批发货",F162-E162&lt;=60,"新品期补货空运",F162-E162&gt;60,"老品应急空运"),"海运，不进行分析")</f>
        <v>老品应急空运</v>
      </c>
      <c r="E162" s="2">
        <v>45817</v>
      </c>
      <c r="F162" s="2">
        <f>_xlfn.XLOOKUP(J162,数据!E:E,数据!C:C)</f>
        <v>46121</v>
      </c>
      <c r="G162" s="4">
        <v>162</v>
      </c>
      <c r="H162" s="4">
        <f t="shared" si="8"/>
        <v>1.62</v>
      </c>
      <c r="I162" s="4">
        <f>_xlfn.XLOOKUP(J162,数据!E:E,数据!S:S)*(H162/_xlfn.XLOOKUP(J162,数据!E:E,数据!X:X))</f>
        <v>116.271916911179</v>
      </c>
      <c r="J162" t="s">
        <v>1901</v>
      </c>
      <c r="K162" t="s">
        <v>51</v>
      </c>
      <c r="L162" t="s">
        <v>2374</v>
      </c>
      <c r="M162" t="s">
        <v>3505</v>
      </c>
      <c r="N162" t="s">
        <v>2376</v>
      </c>
      <c r="O162" t="s">
        <v>2400</v>
      </c>
      <c r="P162" t="s">
        <v>2378</v>
      </c>
      <c r="Q162" t="s">
        <v>2379</v>
      </c>
      <c r="R162" t="s">
        <v>3506</v>
      </c>
      <c r="S162" t="s">
        <v>2380</v>
      </c>
      <c r="T162" s="3" t="s">
        <v>3507</v>
      </c>
      <c r="U162" t="s">
        <v>3508</v>
      </c>
      <c r="V162" t="s">
        <v>3509</v>
      </c>
      <c r="W162" t="s">
        <v>2384</v>
      </c>
      <c r="X162" t="s">
        <v>2385</v>
      </c>
      <c r="Y162" t="s">
        <v>3510</v>
      </c>
      <c r="Z162" t="s">
        <v>2405</v>
      </c>
      <c r="AA162" t="s">
        <v>3507</v>
      </c>
      <c r="AB162" t="s">
        <v>3511</v>
      </c>
      <c r="AC162" t="s">
        <v>3512</v>
      </c>
      <c r="AD162" t="s">
        <v>2651</v>
      </c>
      <c r="AH162" t="s">
        <v>3027</v>
      </c>
      <c r="AI162" t="s">
        <v>2651</v>
      </c>
      <c r="AJ162" t="s">
        <v>3524</v>
      </c>
      <c r="AK162" t="s">
        <v>3525</v>
      </c>
      <c r="AL162" t="s">
        <v>3526</v>
      </c>
      <c r="AM162" t="s">
        <v>3526</v>
      </c>
      <c r="AN162" t="s">
        <v>3527</v>
      </c>
      <c r="AO162" t="s">
        <v>3524</v>
      </c>
      <c r="AP162">
        <v>10</v>
      </c>
      <c r="AQ162">
        <v>10</v>
      </c>
      <c r="AR162">
        <v>10</v>
      </c>
      <c r="AS162" t="s">
        <v>3528</v>
      </c>
      <c r="AT162">
        <v>0</v>
      </c>
      <c r="AU162">
        <v>0</v>
      </c>
      <c r="AV162">
        <v>0</v>
      </c>
    </row>
    <row r="163" spans="1:48">
      <c r="A163" s="1">
        <f>_xlfn.XLOOKUP(J163,数据!E:E,数据!A:A)</f>
        <v>4</v>
      </c>
      <c r="B163" s="1">
        <f>_xlfn.XLOOKUP(J163,数据!E:E,数据!B:B)</f>
        <v>15</v>
      </c>
      <c r="C163" s="1" t="str">
        <f>_xlfn.XLOOKUP(J163,数据!E:E,数据!J:J)</f>
        <v>空派</v>
      </c>
      <c r="D163" s="1" t="str" cm="1">
        <f t="array" ref="D163">IF(OR(C163="红单",C163="空派"),_xlfn.IFS(E163="未开售","新品首批发货",F163&lt;E163,"新品首批发货",F163-E163&lt;=60,"新品期补货空运",F163-E163&gt;60,"老品应急空运"),"海运，不进行分析")</f>
        <v>新品首批发货</v>
      </c>
      <c r="E163" s="2">
        <v>46131</v>
      </c>
      <c r="F163" s="2">
        <f>_xlfn.XLOOKUP(J163,数据!E:E,数据!C:C)</f>
        <v>46121</v>
      </c>
      <c r="G163" s="4">
        <v>187</v>
      </c>
      <c r="H163" s="4">
        <f t="shared" si="8"/>
        <v>7.48</v>
      </c>
      <c r="I163" s="4">
        <f>_xlfn.XLOOKUP(J163,数据!E:E,数据!S:S)*(H163/_xlfn.XLOOKUP(J163,数据!E:E,数据!X:X))</f>
        <v>536.860455861493</v>
      </c>
      <c r="J163" t="s">
        <v>1901</v>
      </c>
      <c r="K163" t="s">
        <v>51</v>
      </c>
      <c r="L163" t="s">
        <v>2374</v>
      </c>
      <c r="M163" t="s">
        <v>3505</v>
      </c>
      <c r="N163" t="s">
        <v>2376</v>
      </c>
      <c r="O163" t="s">
        <v>2400</v>
      </c>
      <c r="P163" t="s">
        <v>2378</v>
      </c>
      <c r="Q163" t="s">
        <v>2379</v>
      </c>
      <c r="R163" t="s">
        <v>3506</v>
      </c>
      <c r="S163" t="s">
        <v>2380</v>
      </c>
      <c r="T163" s="3" t="s">
        <v>3507</v>
      </c>
      <c r="U163" t="s">
        <v>3508</v>
      </c>
      <c r="V163" t="s">
        <v>3509</v>
      </c>
      <c r="W163" t="s">
        <v>2384</v>
      </c>
      <c r="X163" t="s">
        <v>2385</v>
      </c>
      <c r="Y163" t="s">
        <v>3510</v>
      </c>
      <c r="Z163" t="s">
        <v>2405</v>
      </c>
      <c r="AA163" t="s">
        <v>3507</v>
      </c>
      <c r="AB163" t="s">
        <v>3511</v>
      </c>
      <c r="AC163" t="s">
        <v>3512</v>
      </c>
      <c r="AD163" t="s">
        <v>2651</v>
      </c>
      <c r="AH163" t="s">
        <v>3027</v>
      </c>
      <c r="AI163" t="s">
        <v>2651</v>
      </c>
      <c r="AJ163" t="s">
        <v>3529</v>
      </c>
      <c r="AK163" t="s">
        <v>3530</v>
      </c>
      <c r="AL163" t="s">
        <v>3531</v>
      </c>
      <c r="AM163" t="s">
        <v>3531</v>
      </c>
      <c r="AN163" t="s">
        <v>3532</v>
      </c>
      <c r="AO163" t="s">
        <v>3529</v>
      </c>
      <c r="AP163">
        <v>40</v>
      </c>
      <c r="AQ163">
        <v>40</v>
      </c>
      <c r="AR163">
        <v>40</v>
      </c>
      <c r="AS163" t="s">
        <v>3447</v>
      </c>
      <c r="AT163">
        <v>0</v>
      </c>
      <c r="AU163">
        <v>0</v>
      </c>
      <c r="AV163">
        <v>0</v>
      </c>
    </row>
    <row r="164" spans="1:48">
      <c r="A164" s="1">
        <f>_xlfn.XLOOKUP(J164,数据!E:E,数据!A:A)</f>
        <v>4</v>
      </c>
      <c r="B164" s="1">
        <f>_xlfn.XLOOKUP(J164,数据!E:E,数据!B:B)</f>
        <v>15</v>
      </c>
      <c r="C164" s="1" t="str">
        <f>_xlfn.XLOOKUP(J164,数据!E:E,数据!J:J)</f>
        <v>空派</v>
      </c>
      <c r="D164" s="1" t="str" cm="1">
        <f t="array" ref="D164">IF(OR(C164="红单",C164="空派"),_xlfn.IFS(E164="未开售","新品首批发货",F164&lt;E164,"新品首批发货",F164-E164&lt;=60,"新品期补货空运",F164-E164&gt;60,"老品应急空运"),"海运，不进行分析")</f>
        <v>新品首批发货</v>
      </c>
      <c r="E164" s="2">
        <v>46140</v>
      </c>
      <c r="F164" s="2">
        <f>_xlfn.XLOOKUP(J164,数据!E:E,数据!C:C)</f>
        <v>46119</v>
      </c>
      <c r="G164" s="4">
        <v>97</v>
      </c>
      <c r="H164" s="4">
        <f t="shared" si="8"/>
        <v>6.79</v>
      </c>
      <c r="I164" s="4">
        <f>_xlfn.XLOOKUP(J164,数据!E:E,数据!S:S)*(H164/_xlfn.XLOOKUP(J164,数据!E:E,数据!X:X))</f>
        <v>477.233538717735</v>
      </c>
      <c r="J164" t="s">
        <v>1892</v>
      </c>
      <c r="K164" t="s">
        <v>54</v>
      </c>
      <c r="L164" t="s">
        <v>2374</v>
      </c>
      <c r="M164" t="s">
        <v>3533</v>
      </c>
      <c r="N164" t="s">
        <v>2376</v>
      </c>
      <c r="O164" t="s">
        <v>2400</v>
      </c>
      <c r="P164" t="s">
        <v>2378</v>
      </c>
      <c r="Q164" t="s">
        <v>2379</v>
      </c>
      <c r="R164" t="s">
        <v>3534</v>
      </c>
      <c r="S164" t="s">
        <v>2511</v>
      </c>
      <c r="T164" s="3" t="s">
        <v>3535</v>
      </c>
      <c r="U164" t="s">
        <v>3536</v>
      </c>
      <c r="V164" t="s">
        <v>3537</v>
      </c>
      <c r="W164" t="s">
        <v>3538</v>
      </c>
      <c r="X164" t="s">
        <v>2403</v>
      </c>
      <c r="Y164" t="s">
        <v>3539</v>
      </c>
      <c r="Z164" t="s">
        <v>2387</v>
      </c>
      <c r="AA164" t="s">
        <v>3535</v>
      </c>
      <c r="AB164" t="s">
        <v>3540</v>
      </c>
      <c r="AC164" t="s">
        <v>3541</v>
      </c>
      <c r="AD164" t="s">
        <v>3542</v>
      </c>
      <c r="AH164" t="s">
        <v>3346</v>
      </c>
      <c r="AI164" t="s">
        <v>3027</v>
      </c>
      <c r="AJ164" t="s">
        <v>3543</v>
      </c>
      <c r="AK164" t="s">
        <v>3544</v>
      </c>
      <c r="AL164" t="s">
        <v>3545</v>
      </c>
      <c r="AM164" t="s">
        <v>3546</v>
      </c>
      <c r="AN164" t="s">
        <v>3547</v>
      </c>
      <c r="AO164" t="s">
        <v>3543</v>
      </c>
      <c r="AP164">
        <v>70</v>
      </c>
      <c r="AQ164">
        <v>70</v>
      </c>
      <c r="AR164">
        <v>70</v>
      </c>
      <c r="AS164" t="s">
        <v>3548</v>
      </c>
      <c r="AT164">
        <v>0</v>
      </c>
      <c r="AU164">
        <v>0</v>
      </c>
      <c r="AV164">
        <v>0</v>
      </c>
    </row>
    <row r="165" spans="1:48">
      <c r="A165" s="1">
        <f>_xlfn.XLOOKUP(J165,数据!E:E,数据!A:A)</f>
        <v>4</v>
      </c>
      <c r="B165" s="1">
        <f>_xlfn.XLOOKUP(J165,数据!E:E,数据!B:B)</f>
        <v>15</v>
      </c>
      <c r="C165" s="1" t="str">
        <f>_xlfn.XLOOKUP(J165,数据!E:E,数据!J:J)</f>
        <v>空派</v>
      </c>
      <c r="D165" s="1" t="str" cm="1">
        <f t="array" ref="D165">IF(OR(C165="红单",C165="空派"),_xlfn.IFS(E165="未开售","新品首批发货",F165&lt;E165,"新品首批发货",F165-E165&lt;=60,"新品期补货空运",F165-E165&gt;60,"老品应急空运"),"海运，不进行分析")</f>
        <v>新品首批发货</v>
      </c>
      <c r="E165" s="2">
        <v>46141</v>
      </c>
      <c r="F165" s="2">
        <f>_xlfn.XLOOKUP(J165,数据!E:E,数据!C:C)</f>
        <v>46119</v>
      </c>
      <c r="G165" s="4">
        <v>100</v>
      </c>
      <c r="H165" s="4">
        <f t="shared" si="8"/>
        <v>7</v>
      </c>
      <c r="I165" s="4">
        <f>_xlfn.XLOOKUP(J165,数据!E:E,数据!S:S)*(H165/_xlfn.XLOOKUP(J165,数据!E:E,数据!X:X))</f>
        <v>491.993338884263</v>
      </c>
      <c r="J165" t="s">
        <v>1892</v>
      </c>
      <c r="K165" t="s">
        <v>54</v>
      </c>
      <c r="L165" t="s">
        <v>2374</v>
      </c>
      <c r="M165" t="s">
        <v>3533</v>
      </c>
      <c r="N165" t="s">
        <v>2376</v>
      </c>
      <c r="O165" t="s">
        <v>2400</v>
      </c>
      <c r="P165" t="s">
        <v>2378</v>
      </c>
      <c r="Q165" t="s">
        <v>2379</v>
      </c>
      <c r="R165" t="s">
        <v>3534</v>
      </c>
      <c r="S165" t="s">
        <v>2511</v>
      </c>
      <c r="T165" s="3" t="s">
        <v>3535</v>
      </c>
      <c r="U165" t="s">
        <v>3536</v>
      </c>
      <c r="V165" t="s">
        <v>3537</v>
      </c>
      <c r="W165" t="s">
        <v>3538</v>
      </c>
      <c r="X165" t="s">
        <v>2403</v>
      </c>
      <c r="Y165" t="s">
        <v>3539</v>
      </c>
      <c r="Z165" t="s">
        <v>2387</v>
      </c>
      <c r="AA165" t="s">
        <v>3535</v>
      </c>
      <c r="AB165" t="s">
        <v>3540</v>
      </c>
      <c r="AC165" t="s">
        <v>3541</v>
      </c>
      <c r="AD165" t="s">
        <v>3542</v>
      </c>
      <c r="AH165" t="s">
        <v>3346</v>
      </c>
      <c r="AI165" t="s">
        <v>3027</v>
      </c>
      <c r="AJ165" t="s">
        <v>3549</v>
      </c>
      <c r="AK165" t="s">
        <v>3550</v>
      </c>
      <c r="AL165" t="s">
        <v>3551</v>
      </c>
      <c r="AM165" t="s">
        <v>3546</v>
      </c>
      <c r="AN165" t="s">
        <v>3552</v>
      </c>
      <c r="AO165" t="s">
        <v>3549</v>
      </c>
      <c r="AP165">
        <v>70</v>
      </c>
      <c r="AQ165">
        <v>70</v>
      </c>
      <c r="AR165">
        <v>70</v>
      </c>
      <c r="AS165" t="s">
        <v>3553</v>
      </c>
      <c r="AT165">
        <v>0</v>
      </c>
      <c r="AU165">
        <v>0</v>
      </c>
      <c r="AV165">
        <v>0</v>
      </c>
    </row>
    <row r="166" spans="1:48">
      <c r="A166" s="1">
        <f>_xlfn.XLOOKUP(J166,数据!E:E,数据!A:A)</f>
        <v>4</v>
      </c>
      <c r="B166" s="1">
        <f>_xlfn.XLOOKUP(J166,数据!E:E,数据!B:B)</f>
        <v>15</v>
      </c>
      <c r="C166" s="1" t="str">
        <f>_xlfn.XLOOKUP(J166,数据!E:E,数据!J:J)</f>
        <v>空派</v>
      </c>
      <c r="D166" s="1" t="str" cm="1">
        <f t="array" ref="D166">IF(OR(C166="红单",C166="空派"),_xlfn.IFS(E166="未开售","新品首批发货",F166&lt;E166,"新品首批发货",F166-E166&lt;=60,"新品期补货空运",F166-E166&gt;60,"老品应急空运"),"海运，不进行分析")</f>
        <v>新品首批发货</v>
      </c>
      <c r="E166" s="2">
        <v>46142</v>
      </c>
      <c r="F166" s="2">
        <f>_xlfn.XLOOKUP(J166,数据!E:E,数据!C:C)</f>
        <v>46119</v>
      </c>
      <c r="G166" s="4">
        <v>471</v>
      </c>
      <c r="H166" s="4">
        <f t="shared" si="8"/>
        <v>47.1</v>
      </c>
      <c r="I166" s="4">
        <f>_xlfn.XLOOKUP(J166,数据!E:E,数据!S:S)*(H166/_xlfn.XLOOKUP(J166,数据!E:E,数据!X:X))</f>
        <v>3310.41232306411</v>
      </c>
      <c r="J166" t="s">
        <v>1892</v>
      </c>
      <c r="K166" t="s">
        <v>54</v>
      </c>
      <c r="L166" t="s">
        <v>2374</v>
      </c>
      <c r="M166" t="s">
        <v>3533</v>
      </c>
      <c r="N166" t="s">
        <v>2376</v>
      </c>
      <c r="O166" t="s">
        <v>2400</v>
      </c>
      <c r="P166" t="s">
        <v>2378</v>
      </c>
      <c r="Q166" t="s">
        <v>2379</v>
      </c>
      <c r="R166" t="s">
        <v>3534</v>
      </c>
      <c r="S166" t="s">
        <v>2511</v>
      </c>
      <c r="T166" s="3" t="s">
        <v>3535</v>
      </c>
      <c r="U166" t="s">
        <v>3536</v>
      </c>
      <c r="V166" t="s">
        <v>3537</v>
      </c>
      <c r="W166" t="s">
        <v>3538</v>
      </c>
      <c r="X166" t="s">
        <v>2403</v>
      </c>
      <c r="Y166" t="s">
        <v>3539</v>
      </c>
      <c r="Z166" t="s">
        <v>2387</v>
      </c>
      <c r="AA166" t="s">
        <v>3535</v>
      </c>
      <c r="AB166" t="s">
        <v>3540</v>
      </c>
      <c r="AC166" t="s">
        <v>3541</v>
      </c>
      <c r="AD166" t="s">
        <v>3542</v>
      </c>
      <c r="AH166" t="s">
        <v>3346</v>
      </c>
      <c r="AI166" t="s">
        <v>3027</v>
      </c>
      <c r="AJ166" t="s">
        <v>3554</v>
      </c>
      <c r="AK166" t="s">
        <v>3555</v>
      </c>
      <c r="AL166" t="s">
        <v>3556</v>
      </c>
      <c r="AM166" t="s">
        <v>3557</v>
      </c>
      <c r="AN166" t="s">
        <v>3558</v>
      </c>
      <c r="AO166" t="s">
        <v>3554</v>
      </c>
      <c r="AP166">
        <v>100</v>
      </c>
      <c r="AQ166">
        <v>100</v>
      </c>
      <c r="AR166">
        <v>100</v>
      </c>
      <c r="AS166" t="s">
        <v>3559</v>
      </c>
      <c r="AT166">
        <v>0</v>
      </c>
      <c r="AU166">
        <v>0</v>
      </c>
      <c r="AV166">
        <v>0</v>
      </c>
    </row>
    <row r="167" spans="1:48">
      <c r="A167" s="1">
        <f>_xlfn.XLOOKUP(J167,数据!E:E,数据!A:A)</f>
        <v>4</v>
      </c>
      <c r="B167" s="1">
        <f>_xlfn.XLOOKUP(J167,数据!E:E,数据!B:B)</f>
        <v>15</v>
      </c>
      <c r="C167" s="1" t="str">
        <f>_xlfn.XLOOKUP(J167,数据!E:E,数据!J:J)</f>
        <v>空派</v>
      </c>
      <c r="D167" s="1" t="str" cm="1">
        <f t="array" ref="D167">IF(OR(C167="红单",C167="空派"),_xlfn.IFS(E167="未开售","新品首批发货",F167&lt;E167,"新品首批发货",F167-E167&lt;=60,"新品期补货空运",F167-E167&gt;60,"老品应急空运"),"海运，不进行分析")</f>
        <v>新品首批发货</v>
      </c>
      <c r="E167" s="2">
        <v>46137</v>
      </c>
      <c r="F167" s="2">
        <f>_xlfn.XLOOKUP(J167,数据!E:E,数据!C:C)</f>
        <v>46119</v>
      </c>
      <c r="G167" s="4">
        <v>472</v>
      </c>
      <c r="H167" s="4">
        <f t="shared" si="8"/>
        <v>47.2</v>
      </c>
      <c r="I167" s="4">
        <f>_xlfn.XLOOKUP(J167,数据!E:E,数据!S:S)*(H167/_xlfn.XLOOKUP(J167,数据!E:E,数据!X:X))</f>
        <v>3317.44079933389</v>
      </c>
      <c r="J167" t="s">
        <v>1892</v>
      </c>
      <c r="K167" t="s">
        <v>54</v>
      </c>
      <c r="L167" t="s">
        <v>2374</v>
      </c>
      <c r="M167" t="s">
        <v>3533</v>
      </c>
      <c r="N167" t="s">
        <v>2376</v>
      </c>
      <c r="O167" t="s">
        <v>2400</v>
      </c>
      <c r="P167" t="s">
        <v>2378</v>
      </c>
      <c r="Q167" t="s">
        <v>2379</v>
      </c>
      <c r="R167" t="s">
        <v>3534</v>
      </c>
      <c r="S167" t="s">
        <v>2511</v>
      </c>
      <c r="T167" s="3" t="s">
        <v>3535</v>
      </c>
      <c r="U167" t="s">
        <v>3536</v>
      </c>
      <c r="V167" t="s">
        <v>3537</v>
      </c>
      <c r="W167" t="s">
        <v>3538</v>
      </c>
      <c r="X167" t="s">
        <v>2403</v>
      </c>
      <c r="Y167" t="s">
        <v>3539</v>
      </c>
      <c r="Z167" t="s">
        <v>2387</v>
      </c>
      <c r="AA167" t="s">
        <v>3535</v>
      </c>
      <c r="AB167" t="s">
        <v>3540</v>
      </c>
      <c r="AC167" t="s">
        <v>3541</v>
      </c>
      <c r="AD167" t="s">
        <v>3542</v>
      </c>
      <c r="AH167" t="s">
        <v>3346</v>
      </c>
      <c r="AI167" t="s">
        <v>3027</v>
      </c>
      <c r="AJ167" t="s">
        <v>3560</v>
      </c>
      <c r="AK167" t="s">
        <v>3561</v>
      </c>
      <c r="AL167" t="s">
        <v>3562</v>
      </c>
      <c r="AM167" t="s">
        <v>3557</v>
      </c>
      <c r="AN167" t="s">
        <v>3563</v>
      </c>
      <c r="AO167" t="s">
        <v>3560</v>
      </c>
      <c r="AP167">
        <v>100</v>
      </c>
      <c r="AQ167">
        <v>100</v>
      </c>
      <c r="AR167">
        <v>100</v>
      </c>
      <c r="AS167" t="s">
        <v>3564</v>
      </c>
      <c r="AT167">
        <v>0</v>
      </c>
      <c r="AU167">
        <v>0</v>
      </c>
      <c r="AV167">
        <v>0</v>
      </c>
    </row>
    <row r="168" spans="1:48">
      <c r="A168" s="1">
        <f>_xlfn.XLOOKUP(J168,数据!E:E,数据!A:A)</f>
        <v>4</v>
      </c>
      <c r="B168" s="1">
        <f>_xlfn.XLOOKUP(J168,数据!E:E,数据!B:B)</f>
        <v>15</v>
      </c>
      <c r="C168" s="1" t="str">
        <f>_xlfn.XLOOKUP(J168,数据!E:E,数据!J:J)</f>
        <v>红单</v>
      </c>
      <c r="D168" s="1" t="str" cm="1">
        <f t="array" ref="D168">IF(OR(C168="红单",C168="空派"),_xlfn.IFS(E168="未开售","新品首批发货",F168&lt;E168,"新品首批发货",F168-E168&lt;=60,"新品期补货空运",F168-E168&gt;60,"老品应急空运"),"海运，不进行分析")</f>
        <v>老品应急空运</v>
      </c>
      <c r="E168" s="2">
        <v>46013</v>
      </c>
      <c r="F168" s="2">
        <f>_xlfn.XLOOKUP(J168,数据!E:E,数据!C:C)</f>
        <v>46119</v>
      </c>
      <c r="G168" s="4">
        <v>142</v>
      </c>
      <c r="H168" s="4">
        <f>G168*AP168/1000</f>
        <v>14.2</v>
      </c>
      <c r="I168" s="4">
        <f>_xlfn.XLOOKUP(J168,数据!E:E,数据!S:S)*(H168/_xlfn.XLOOKUP(J168,数据!E:E,数据!X:X))</f>
        <v>1396.30449666377</v>
      </c>
      <c r="J168" t="s">
        <v>1891</v>
      </c>
      <c r="K168" t="s">
        <v>31</v>
      </c>
      <c r="L168" t="s">
        <v>2374</v>
      </c>
      <c r="M168" t="s">
        <v>3565</v>
      </c>
      <c r="N168" t="s">
        <v>2376</v>
      </c>
      <c r="O168" t="s">
        <v>2400</v>
      </c>
      <c r="P168" t="s">
        <v>2378</v>
      </c>
      <c r="Q168" t="s">
        <v>2379</v>
      </c>
      <c r="R168" t="s">
        <v>3566</v>
      </c>
      <c r="S168" t="s">
        <v>2511</v>
      </c>
      <c r="T168" s="3" t="s">
        <v>3567</v>
      </c>
      <c r="U168" t="s">
        <v>2384</v>
      </c>
      <c r="V168" t="s">
        <v>3568</v>
      </c>
      <c r="W168" t="s">
        <v>3569</v>
      </c>
      <c r="X168" t="s">
        <v>2403</v>
      </c>
      <c r="Y168" t="s">
        <v>3570</v>
      </c>
      <c r="Z168" t="s">
        <v>2405</v>
      </c>
      <c r="AA168" t="s">
        <v>3567</v>
      </c>
      <c r="AB168" t="s">
        <v>3571</v>
      </c>
      <c r="AC168" t="s">
        <v>3572</v>
      </c>
      <c r="AD168" t="s">
        <v>3573</v>
      </c>
      <c r="AH168" t="s">
        <v>3346</v>
      </c>
      <c r="AI168" t="s">
        <v>3027</v>
      </c>
      <c r="AJ168" t="s">
        <v>3574</v>
      </c>
      <c r="AK168" t="s">
        <v>3575</v>
      </c>
      <c r="AL168" t="s">
        <v>3576</v>
      </c>
      <c r="AM168" t="s">
        <v>2787</v>
      </c>
      <c r="AN168" t="s">
        <v>3577</v>
      </c>
      <c r="AO168" t="s">
        <v>3574</v>
      </c>
      <c r="AP168">
        <v>100</v>
      </c>
      <c r="AQ168">
        <v>100</v>
      </c>
      <c r="AR168">
        <v>100</v>
      </c>
      <c r="AS168" t="s">
        <v>3578</v>
      </c>
      <c r="AT168">
        <v>0</v>
      </c>
      <c r="AU168">
        <v>0</v>
      </c>
      <c r="AV168">
        <v>0</v>
      </c>
    </row>
    <row r="169" spans="1:48">
      <c r="A169" s="1">
        <f>_xlfn.XLOOKUP(J169,数据!E:E,数据!A:A)</f>
        <v>4</v>
      </c>
      <c r="B169" s="1">
        <f>_xlfn.XLOOKUP(J169,数据!E:E,数据!B:B)</f>
        <v>15</v>
      </c>
      <c r="C169" s="1" t="str">
        <f>_xlfn.XLOOKUP(J169,数据!E:E,数据!J:J)</f>
        <v>红单</v>
      </c>
      <c r="D169" s="1" t="str" cm="1">
        <f t="array" ref="D169">IF(OR(C169="红单",C169="空派"),_xlfn.IFS(E169="未开售","新品首批发货",F169&lt;E169,"新品首批发货",F169-E169&lt;=60,"新品期补货空运",F169-E169&gt;60,"老品应急空运"),"海运，不进行分析")</f>
        <v>新品期补货空运</v>
      </c>
      <c r="E169" s="2">
        <v>46111</v>
      </c>
      <c r="F169" s="2">
        <f>_xlfn.XLOOKUP(J169,数据!E:E,数据!C:C)</f>
        <v>46119</v>
      </c>
      <c r="G169" s="4">
        <v>134</v>
      </c>
      <c r="H169" s="4">
        <f>G169*AP169/1000</f>
        <v>3.35</v>
      </c>
      <c r="I169" s="4">
        <f>_xlfn.XLOOKUP(J169,数据!E:E,数据!S:S)*(H169/_xlfn.XLOOKUP(J169,数据!E:E,数据!X:X))</f>
        <v>329.40986364955</v>
      </c>
      <c r="J169" t="s">
        <v>1891</v>
      </c>
      <c r="K169" t="s">
        <v>31</v>
      </c>
      <c r="L169" t="s">
        <v>2374</v>
      </c>
      <c r="M169" t="s">
        <v>3565</v>
      </c>
      <c r="N169" t="s">
        <v>2376</v>
      </c>
      <c r="O169" t="s">
        <v>2400</v>
      </c>
      <c r="P169" t="s">
        <v>2378</v>
      </c>
      <c r="Q169" t="s">
        <v>2379</v>
      </c>
      <c r="R169" t="s">
        <v>3566</v>
      </c>
      <c r="S169" t="s">
        <v>2511</v>
      </c>
      <c r="T169" s="3" t="s">
        <v>3567</v>
      </c>
      <c r="U169" t="s">
        <v>2384</v>
      </c>
      <c r="V169" t="s">
        <v>3568</v>
      </c>
      <c r="W169" t="s">
        <v>3569</v>
      </c>
      <c r="X169" t="s">
        <v>2403</v>
      </c>
      <c r="Y169" t="s">
        <v>3570</v>
      </c>
      <c r="Z169" t="s">
        <v>2405</v>
      </c>
      <c r="AA169" t="s">
        <v>3567</v>
      </c>
      <c r="AB169" t="s">
        <v>3571</v>
      </c>
      <c r="AC169" t="s">
        <v>3572</v>
      </c>
      <c r="AD169" t="s">
        <v>3573</v>
      </c>
      <c r="AH169" t="s">
        <v>3346</v>
      </c>
      <c r="AI169" t="s">
        <v>3027</v>
      </c>
      <c r="AJ169" t="s">
        <v>3579</v>
      </c>
      <c r="AK169" t="s">
        <v>3580</v>
      </c>
      <c r="AL169" t="s">
        <v>3581</v>
      </c>
      <c r="AM169" t="s">
        <v>3582</v>
      </c>
      <c r="AN169" t="s">
        <v>3583</v>
      </c>
      <c r="AO169" t="s">
        <v>3579</v>
      </c>
      <c r="AP169">
        <v>25</v>
      </c>
      <c r="AQ169">
        <v>25</v>
      </c>
      <c r="AR169">
        <v>25</v>
      </c>
      <c r="AS169" t="s">
        <v>3584</v>
      </c>
      <c r="AT169">
        <v>0</v>
      </c>
      <c r="AU169">
        <v>0</v>
      </c>
      <c r="AV169">
        <v>0</v>
      </c>
    </row>
    <row r="170" spans="1:48">
      <c r="A170" s="1">
        <f>_xlfn.XLOOKUP(J170,数据!E:E,数据!A:A)</f>
        <v>4</v>
      </c>
      <c r="B170" s="1">
        <f>_xlfn.XLOOKUP(J170,数据!E:E,数据!B:B)</f>
        <v>15</v>
      </c>
      <c r="C170" s="1" t="str">
        <f>_xlfn.XLOOKUP(J170,数据!E:E,数据!J:J)</f>
        <v>红单</v>
      </c>
      <c r="D170" s="1" t="str" cm="1">
        <f t="array" ref="D170">IF(OR(C170="红单",C170="空派"),_xlfn.IFS(E170="未开售","新品首批发货",F170&lt;E170,"新品首批发货",F170-E170&lt;=60,"新品期补货空运",F170-E170&gt;60,"老品应急空运"),"海运，不进行分析")</f>
        <v>新品期补货空运</v>
      </c>
      <c r="E170" s="2">
        <v>46113</v>
      </c>
      <c r="F170" s="2">
        <f>_xlfn.XLOOKUP(J170,数据!E:E,数据!C:C)</f>
        <v>46119</v>
      </c>
      <c r="G170" s="4">
        <v>135</v>
      </c>
      <c r="H170" s="4">
        <f>G170*AP170/1000</f>
        <v>2.7</v>
      </c>
      <c r="I170" s="4">
        <f>_xlfn.XLOOKUP(J170,数据!E:E,数据!S:S)*(H170/_xlfn.XLOOKUP(J170,数据!E:E,数据!X:X))</f>
        <v>265.494516971279</v>
      </c>
      <c r="J170" t="s">
        <v>1891</v>
      </c>
      <c r="K170" t="s">
        <v>31</v>
      </c>
      <c r="L170" t="s">
        <v>2374</v>
      </c>
      <c r="M170" t="s">
        <v>3565</v>
      </c>
      <c r="N170" t="s">
        <v>2376</v>
      </c>
      <c r="O170" t="s">
        <v>2400</v>
      </c>
      <c r="P170" t="s">
        <v>2378</v>
      </c>
      <c r="Q170" t="s">
        <v>2379</v>
      </c>
      <c r="R170" t="s">
        <v>3566</v>
      </c>
      <c r="S170" t="s">
        <v>2511</v>
      </c>
      <c r="T170" s="3" t="s">
        <v>3567</v>
      </c>
      <c r="U170" t="s">
        <v>2384</v>
      </c>
      <c r="V170" t="s">
        <v>3568</v>
      </c>
      <c r="W170" t="s">
        <v>3569</v>
      </c>
      <c r="X170" t="s">
        <v>2403</v>
      </c>
      <c r="Y170" t="s">
        <v>3570</v>
      </c>
      <c r="Z170" t="s">
        <v>2405</v>
      </c>
      <c r="AA170" t="s">
        <v>3567</v>
      </c>
      <c r="AB170" t="s">
        <v>3571</v>
      </c>
      <c r="AC170" t="s">
        <v>3572</v>
      </c>
      <c r="AD170" t="s">
        <v>3573</v>
      </c>
      <c r="AH170" t="s">
        <v>3346</v>
      </c>
      <c r="AI170" t="s">
        <v>3027</v>
      </c>
      <c r="AJ170" t="s">
        <v>3585</v>
      </c>
      <c r="AK170" t="s">
        <v>3586</v>
      </c>
      <c r="AL170" t="s">
        <v>3587</v>
      </c>
      <c r="AM170" t="s">
        <v>3582</v>
      </c>
      <c r="AN170" t="s">
        <v>3588</v>
      </c>
      <c r="AO170" t="s">
        <v>3585</v>
      </c>
      <c r="AP170">
        <v>20</v>
      </c>
      <c r="AQ170">
        <v>20</v>
      </c>
      <c r="AR170">
        <v>20</v>
      </c>
      <c r="AS170" t="s">
        <v>3589</v>
      </c>
      <c r="AT170">
        <v>0</v>
      </c>
      <c r="AU170">
        <v>0</v>
      </c>
      <c r="AV170">
        <v>0</v>
      </c>
    </row>
    <row r="171" spans="1:48">
      <c r="A171" s="1">
        <f>_xlfn.XLOOKUP(J171,数据!E:E,数据!A:A)</f>
        <v>4</v>
      </c>
      <c r="B171" s="1">
        <f>_xlfn.XLOOKUP(J171,数据!E:E,数据!B:B)</f>
        <v>15</v>
      </c>
      <c r="C171" s="1" t="str">
        <f>_xlfn.XLOOKUP(J171,数据!E:E,数据!J:J)</f>
        <v>红单</v>
      </c>
      <c r="D171" s="1" t="str" cm="1">
        <f t="array" ref="D171">IF(OR(C171="红单",C171="空派"),_xlfn.IFS(E171="未开售","新品首批发货",F171&lt;E171,"新品首批发货",F171-E171&lt;=60,"新品期补货空运",F171-E171&gt;60,"老品应急空运"),"海运，不进行分析")</f>
        <v>新品期补货空运</v>
      </c>
      <c r="E171" s="2">
        <v>46106</v>
      </c>
      <c r="F171" s="2">
        <f>_xlfn.XLOOKUP(J171,数据!E:E,数据!C:C)</f>
        <v>46119</v>
      </c>
      <c r="G171" s="4">
        <v>108</v>
      </c>
      <c r="H171" s="4">
        <f>G171*AP171/1000</f>
        <v>0.432</v>
      </c>
      <c r="I171" s="4">
        <f>_xlfn.XLOOKUP(J171,数据!E:E,数据!S:S)*(H171/_xlfn.XLOOKUP(J171,数据!E:E,数据!X:X))</f>
        <v>42.4791227154047</v>
      </c>
      <c r="J171" t="s">
        <v>1891</v>
      </c>
      <c r="K171" t="s">
        <v>31</v>
      </c>
      <c r="L171" t="s">
        <v>2374</v>
      </c>
      <c r="M171" t="s">
        <v>3565</v>
      </c>
      <c r="N171" t="s">
        <v>2376</v>
      </c>
      <c r="O171" t="s">
        <v>2400</v>
      </c>
      <c r="P171" t="s">
        <v>2378</v>
      </c>
      <c r="Q171" t="s">
        <v>2379</v>
      </c>
      <c r="R171" t="s">
        <v>3566</v>
      </c>
      <c r="S171" t="s">
        <v>2511</v>
      </c>
      <c r="T171" s="3" t="s">
        <v>3567</v>
      </c>
      <c r="U171" t="s">
        <v>2384</v>
      </c>
      <c r="V171" t="s">
        <v>3568</v>
      </c>
      <c r="W171" t="s">
        <v>3569</v>
      </c>
      <c r="X171" t="s">
        <v>2403</v>
      </c>
      <c r="Y171" t="s">
        <v>3570</v>
      </c>
      <c r="Z171" t="s">
        <v>2405</v>
      </c>
      <c r="AA171" t="s">
        <v>3567</v>
      </c>
      <c r="AB171" t="s">
        <v>3571</v>
      </c>
      <c r="AC171" t="s">
        <v>3572</v>
      </c>
      <c r="AD171" t="s">
        <v>3573</v>
      </c>
      <c r="AH171" t="s">
        <v>3346</v>
      </c>
      <c r="AI171" t="s">
        <v>3027</v>
      </c>
      <c r="AJ171" t="s">
        <v>2599</v>
      </c>
      <c r="AK171" t="s">
        <v>2600</v>
      </c>
      <c r="AL171" t="s">
        <v>2601</v>
      </c>
      <c r="AM171" t="s">
        <v>2601</v>
      </c>
      <c r="AN171" t="s">
        <v>2602</v>
      </c>
      <c r="AO171" t="s">
        <v>2599</v>
      </c>
      <c r="AP171">
        <v>4</v>
      </c>
      <c r="AQ171">
        <v>4</v>
      </c>
      <c r="AR171">
        <v>4</v>
      </c>
      <c r="AS171" t="s">
        <v>3590</v>
      </c>
      <c r="AT171">
        <v>0</v>
      </c>
      <c r="AU171">
        <v>0</v>
      </c>
      <c r="AV171">
        <v>0</v>
      </c>
    </row>
    <row r="172" spans="1:48">
      <c r="A172" s="1">
        <f>_xlfn.XLOOKUP(J172,数据!E:E,数据!A:A)</f>
        <v>4</v>
      </c>
      <c r="B172" s="1">
        <f>_xlfn.XLOOKUP(J172,数据!E:E,数据!B:B)</f>
        <v>16</v>
      </c>
      <c r="C172" s="1" t="str">
        <f>_xlfn.XLOOKUP(J172,数据!E:E,数据!J:J)</f>
        <v>红单</v>
      </c>
      <c r="D172" s="1" t="str" cm="1">
        <f t="array" ref="D172">IF(OR(C172="红单",C172="空派"),_xlfn.IFS(E172="未开售","新品首批发货",F172&lt;E172,"新品首批发货",F172-E172&lt;=60,"新品期补货空运",F172-E172&gt;60,"老品应急空运"),"海运，不进行分析")</f>
        <v>老品应急空运</v>
      </c>
      <c r="E172" s="2">
        <v>46017</v>
      </c>
      <c r="F172" s="2">
        <f>_xlfn.XLOOKUP(J172,数据!E:E,数据!C:C)</f>
        <v>46126</v>
      </c>
      <c r="G172" s="4">
        <v>214.5</v>
      </c>
      <c r="H172" s="4">
        <f t="shared" ref="H172:H187" si="9">G172*AP172/1000</f>
        <v>45.474</v>
      </c>
      <c r="I172" s="4">
        <f>_xlfn.XLOOKUP(J172,数据!E:E,数据!S:S)*(H172/_xlfn.XLOOKUP(J172,数据!E:E,数据!X:X))</f>
        <v>3736.28266666667</v>
      </c>
      <c r="J172" t="s">
        <v>1989</v>
      </c>
      <c r="K172" t="s">
        <v>224</v>
      </c>
      <c r="L172" t="s">
        <v>2374</v>
      </c>
      <c r="M172" t="s">
        <v>3591</v>
      </c>
      <c r="N172" t="s">
        <v>2376</v>
      </c>
      <c r="O172" t="s">
        <v>2377</v>
      </c>
      <c r="P172" t="s">
        <v>2378</v>
      </c>
      <c r="Q172" t="s">
        <v>2379</v>
      </c>
      <c r="R172" t="s">
        <v>1989</v>
      </c>
      <c r="S172" t="s">
        <v>2511</v>
      </c>
      <c r="T172" s="3" t="s">
        <v>3592</v>
      </c>
      <c r="U172" t="s">
        <v>3593</v>
      </c>
      <c r="V172" t="s">
        <v>3594</v>
      </c>
      <c r="W172" t="s">
        <v>3595</v>
      </c>
      <c r="X172" t="s">
        <v>2385</v>
      </c>
      <c r="Y172" t="s">
        <v>3596</v>
      </c>
      <c r="Z172" t="s">
        <v>2405</v>
      </c>
      <c r="AA172" t="s">
        <v>3592</v>
      </c>
      <c r="AB172" t="s">
        <v>3597</v>
      </c>
      <c r="AC172" t="s">
        <v>3598</v>
      </c>
      <c r="AD172" t="s">
        <v>2433</v>
      </c>
      <c r="AH172" t="s">
        <v>3027</v>
      </c>
      <c r="AI172" t="s">
        <v>2651</v>
      </c>
      <c r="AJ172" t="s">
        <v>3599</v>
      </c>
      <c r="AK172" t="s">
        <v>3600</v>
      </c>
      <c r="AL172" t="s">
        <v>3601</v>
      </c>
      <c r="AM172" t="s">
        <v>3602</v>
      </c>
      <c r="AN172" t="s">
        <v>3603</v>
      </c>
      <c r="AO172" t="s">
        <v>3599</v>
      </c>
      <c r="AP172">
        <v>212</v>
      </c>
      <c r="AQ172">
        <v>212</v>
      </c>
      <c r="AR172">
        <v>211</v>
      </c>
      <c r="AS172" t="s">
        <v>3604</v>
      </c>
      <c r="AT172">
        <v>0</v>
      </c>
      <c r="AU172">
        <v>-1</v>
      </c>
      <c r="AV172">
        <v>1</v>
      </c>
    </row>
    <row r="173" spans="1:48">
      <c r="A173" s="1">
        <f>_xlfn.XLOOKUP(J173,数据!E:E,数据!A:A)</f>
        <v>4</v>
      </c>
      <c r="B173" s="1">
        <f>_xlfn.XLOOKUP(J173,数据!E:E,数据!B:B)</f>
        <v>16</v>
      </c>
      <c r="C173" s="1" t="str">
        <f>_xlfn.XLOOKUP(J173,数据!E:E,数据!J:J)</f>
        <v>红单</v>
      </c>
      <c r="D173" s="1" t="str" cm="1">
        <f t="array" ref="D173">IF(OR(C173="红单",C173="空派"),_xlfn.IFS(E173="未开售","新品首批发货",F173&lt;E173,"新品首批发货",F173-E173&lt;=60,"新品期补货空运",F173-E173&gt;60,"老品应急空运"),"海运，不进行分析")</f>
        <v>老品应急空运</v>
      </c>
      <c r="E173" s="2">
        <v>46009</v>
      </c>
      <c r="F173" s="2">
        <f>_xlfn.XLOOKUP(J173,数据!E:E,数据!C:C)</f>
        <v>46126</v>
      </c>
      <c r="G173" s="4">
        <v>180.5</v>
      </c>
      <c r="H173" s="4">
        <f t="shared" si="9"/>
        <v>11.552</v>
      </c>
      <c r="I173" s="4">
        <f>_xlfn.XLOOKUP(J173,数据!E:E,数据!S:S)*(H173/_xlfn.XLOOKUP(J173,数据!E:E,数据!X:X))</f>
        <v>1104.92743859649</v>
      </c>
      <c r="J173" t="s">
        <v>1987</v>
      </c>
      <c r="K173" t="s">
        <v>37</v>
      </c>
      <c r="L173" t="s">
        <v>2374</v>
      </c>
      <c r="M173" t="s">
        <v>3605</v>
      </c>
      <c r="N173" t="s">
        <v>2376</v>
      </c>
      <c r="O173" t="s">
        <v>2400</v>
      </c>
      <c r="P173" t="s">
        <v>2378</v>
      </c>
      <c r="Q173" t="s">
        <v>2379</v>
      </c>
      <c r="R173" t="s">
        <v>1987</v>
      </c>
      <c r="S173" t="s">
        <v>2511</v>
      </c>
      <c r="T173" s="3" t="s">
        <v>3592</v>
      </c>
      <c r="U173" t="s">
        <v>3606</v>
      </c>
      <c r="V173" t="s">
        <v>3607</v>
      </c>
      <c r="W173" t="s">
        <v>3608</v>
      </c>
      <c r="X173" t="s">
        <v>2403</v>
      </c>
      <c r="Y173" t="s">
        <v>3609</v>
      </c>
      <c r="Z173" t="s">
        <v>2405</v>
      </c>
      <c r="AA173" t="s">
        <v>3592</v>
      </c>
      <c r="AB173" t="s">
        <v>3610</v>
      </c>
      <c r="AC173" t="s">
        <v>3611</v>
      </c>
      <c r="AD173" t="s">
        <v>2651</v>
      </c>
      <c r="AH173" t="s">
        <v>3027</v>
      </c>
      <c r="AI173" t="s">
        <v>2651</v>
      </c>
      <c r="AJ173" t="s">
        <v>3612</v>
      </c>
      <c r="AK173" t="s">
        <v>3613</v>
      </c>
      <c r="AL173" t="s">
        <v>3614</v>
      </c>
      <c r="AM173" t="s">
        <v>3615</v>
      </c>
      <c r="AN173" t="s">
        <v>3616</v>
      </c>
      <c r="AO173" t="s">
        <v>3612</v>
      </c>
      <c r="AP173">
        <v>64</v>
      </c>
      <c r="AQ173">
        <v>64</v>
      </c>
      <c r="AR173">
        <v>64</v>
      </c>
      <c r="AS173" t="s">
        <v>3617</v>
      </c>
      <c r="AT173">
        <v>0</v>
      </c>
      <c r="AU173">
        <v>0</v>
      </c>
      <c r="AV173">
        <v>0</v>
      </c>
    </row>
    <row r="174" spans="1:48">
      <c r="A174" s="1">
        <f>_xlfn.XLOOKUP(J174,数据!E:E,数据!A:A)</f>
        <v>4</v>
      </c>
      <c r="B174" s="1">
        <f>_xlfn.XLOOKUP(J174,数据!E:E,数据!B:B)</f>
        <v>16</v>
      </c>
      <c r="C174" s="1" t="str">
        <f>_xlfn.XLOOKUP(J174,数据!E:E,数据!J:J)</f>
        <v>红单</v>
      </c>
      <c r="D174" s="1" t="str" cm="1">
        <f t="array" ref="D174">IF(OR(C174="红单",C174="空派"),_xlfn.IFS(E174="未开售","新品首批发货",F174&lt;E174,"新品首批发货",F174-E174&lt;=60,"新品期补货空运",F174-E174&gt;60,"老品应急空运"),"海运，不进行分析")</f>
        <v>老品应急空运</v>
      </c>
      <c r="E174" s="2">
        <v>46018</v>
      </c>
      <c r="F174" s="2">
        <f>_xlfn.XLOOKUP(J174,数据!E:E,数据!C:C)</f>
        <v>46126</v>
      </c>
      <c r="G174" s="4">
        <v>180.5</v>
      </c>
      <c r="H174" s="4">
        <f t="shared" si="9"/>
        <v>4.693</v>
      </c>
      <c r="I174" s="4">
        <f>_xlfn.XLOOKUP(J174,数据!E:E,数据!S:S)*(H174/_xlfn.XLOOKUP(J174,数据!E:E,数据!X:X))</f>
        <v>448.876771929826</v>
      </c>
      <c r="J174" t="s">
        <v>1987</v>
      </c>
      <c r="K174" t="s">
        <v>37</v>
      </c>
      <c r="L174" t="s">
        <v>2374</v>
      </c>
      <c r="M174" t="s">
        <v>3605</v>
      </c>
      <c r="N174" t="s">
        <v>2376</v>
      </c>
      <c r="O174" t="s">
        <v>2400</v>
      </c>
      <c r="P174" t="s">
        <v>2378</v>
      </c>
      <c r="Q174" t="s">
        <v>2379</v>
      </c>
      <c r="R174" t="s">
        <v>1987</v>
      </c>
      <c r="S174" t="s">
        <v>2511</v>
      </c>
      <c r="T174" s="3" t="s">
        <v>3592</v>
      </c>
      <c r="U174" t="s">
        <v>3606</v>
      </c>
      <c r="V174" t="s">
        <v>3607</v>
      </c>
      <c r="W174" t="s">
        <v>3608</v>
      </c>
      <c r="X174" t="s">
        <v>2403</v>
      </c>
      <c r="Y174" t="s">
        <v>3609</v>
      </c>
      <c r="Z174" t="s">
        <v>2405</v>
      </c>
      <c r="AA174" t="s">
        <v>3592</v>
      </c>
      <c r="AB174" t="s">
        <v>3610</v>
      </c>
      <c r="AC174" t="s">
        <v>3611</v>
      </c>
      <c r="AD174" t="s">
        <v>2651</v>
      </c>
      <c r="AH174" t="s">
        <v>3027</v>
      </c>
      <c r="AI174" t="s">
        <v>2651</v>
      </c>
      <c r="AJ174" t="s">
        <v>3618</v>
      </c>
      <c r="AK174" t="s">
        <v>3619</v>
      </c>
      <c r="AL174" t="s">
        <v>3620</v>
      </c>
      <c r="AM174" t="s">
        <v>3615</v>
      </c>
      <c r="AN174" t="s">
        <v>3621</v>
      </c>
      <c r="AO174" t="s">
        <v>3618</v>
      </c>
      <c r="AP174">
        <v>26</v>
      </c>
      <c r="AQ174">
        <v>26</v>
      </c>
      <c r="AR174">
        <v>26</v>
      </c>
      <c r="AS174" t="s">
        <v>3622</v>
      </c>
      <c r="AT174">
        <v>0</v>
      </c>
      <c r="AU174">
        <v>0</v>
      </c>
      <c r="AV174">
        <v>0</v>
      </c>
    </row>
    <row r="175" spans="1:48">
      <c r="A175" s="1">
        <f>_xlfn.XLOOKUP(J175,数据!E:E,数据!A:A)</f>
        <v>4</v>
      </c>
      <c r="B175" s="1">
        <f>_xlfn.XLOOKUP(J175,数据!E:E,数据!B:B)</f>
        <v>16</v>
      </c>
      <c r="C175" s="1" t="str">
        <f>_xlfn.XLOOKUP(J175,数据!E:E,数据!J:J)</f>
        <v>红单</v>
      </c>
      <c r="D175" s="1" t="str" cm="1">
        <f t="array" ref="D175">IF(OR(C175="红单",C175="空派"),_xlfn.IFS(E175="未开售","新品首批发货",F175&lt;E175,"新品首批发货",F175-E175&lt;=60,"新品期补货空运",F175-E175&gt;60,"老品应急空运"),"海运，不进行分析")</f>
        <v>老品应急空运</v>
      </c>
      <c r="E175" s="2">
        <v>46017</v>
      </c>
      <c r="F175" s="2">
        <f>_xlfn.XLOOKUP(J175,数据!E:E,数据!C:C)</f>
        <v>46126</v>
      </c>
      <c r="G175" s="4">
        <v>180.5</v>
      </c>
      <c r="H175" s="4">
        <f t="shared" si="9"/>
        <v>0.9025</v>
      </c>
      <c r="I175" s="4">
        <f>_xlfn.XLOOKUP(J175,数据!E:E,数据!S:S)*(H175/_xlfn.XLOOKUP(J175,数据!E:E,数据!X:X))</f>
        <v>86.3224561403511</v>
      </c>
      <c r="J175" t="s">
        <v>1987</v>
      </c>
      <c r="K175" t="s">
        <v>37</v>
      </c>
      <c r="L175" t="s">
        <v>2374</v>
      </c>
      <c r="M175" t="s">
        <v>3605</v>
      </c>
      <c r="N175" t="s">
        <v>2376</v>
      </c>
      <c r="O175" t="s">
        <v>2400</v>
      </c>
      <c r="P175" t="s">
        <v>2378</v>
      </c>
      <c r="Q175" t="s">
        <v>2379</v>
      </c>
      <c r="R175" t="s">
        <v>1987</v>
      </c>
      <c r="S175" t="s">
        <v>2511</v>
      </c>
      <c r="T175" s="3" t="s">
        <v>3592</v>
      </c>
      <c r="U175" t="s">
        <v>3606</v>
      </c>
      <c r="V175" t="s">
        <v>3607</v>
      </c>
      <c r="W175" t="s">
        <v>3608</v>
      </c>
      <c r="X175" t="s">
        <v>2403</v>
      </c>
      <c r="Y175" t="s">
        <v>3609</v>
      </c>
      <c r="Z175" t="s">
        <v>2405</v>
      </c>
      <c r="AA175" t="s">
        <v>3592</v>
      </c>
      <c r="AB175" t="s">
        <v>3610</v>
      </c>
      <c r="AC175" t="s">
        <v>3611</v>
      </c>
      <c r="AD175" t="s">
        <v>2651</v>
      </c>
      <c r="AH175" t="s">
        <v>3027</v>
      </c>
      <c r="AI175" t="s">
        <v>2651</v>
      </c>
      <c r="AJ175" t="s">
        <v>3623</v>
      </c>
      <c r="AK175" t="s">
        <v>3624</v>
      </c>
      <c r="AL175" t="s">
        <v>3625</v>
      </c>
      <c r="AM175" t="s">
        <v>3615</v>
      </c>
      <c r="AN175" t="s">
        <v>3626</v>
      </c>
      <c r="AO175" t="s">
        <v>3623</v>
      </c>
      <c r="AP175">
        <v>5</v>
      </c>
      <c r="AQ175">
        <v>5</v>
      </c>
      <c r="AR175">
        <v>5</v>
      </c>
      <c r="AS175" t="s">
        <v>3627</v>
      </c>
      <c r="AT175">
        <v>0</v>
      </c>
      <c r="AU175">
        <v>0</v>
      </c>
      <c r="AV175">
        <v>0</v>
      </c>
    </row>
    <row r="176" spans="1:48">
      <c r="A176" s="1">
        <f>_xlfn.XLOOKUP(J176,数据!E:E,数据!A:A)</f>
        <v>4</v>
      </c>
      <c r="B176" s="1">
        <f>_xlfn.XLOOKUP(J176,数据!E:E,数据!B:B)</f>
        <v>16</v>
      </c>
      <c r="C176" s="1" t="str">
        <f>_xlfn.XLOOKUP(J176,数据!E:E,数据!J:J)</f>
        <v>红单</v>
      </c>
      <c r="D176" s="1" t="str" cm="1">
        <f t="array" ref="D176">IF(OR(C176="红单",C176="空派"),_xlfn.IFS(E176="未开售","新品首批发货",F176&lt;E176,"新品首批发货",F176-E176&lt;=60,"新品期补货空运",F176-E176&gt;60,"老品应急空运"),"海运，不进行分析")</f>
        <v>老品应急空运</v>
      </c>
      <c r="E176" s="2">
        <v>45165</v>
      </c>
      <c r="F176" s="2">
        <f>_xlfn.XLOOKUP(J176,数据!E:E,数据!C:C)</f>
        <v>46126</v>
      </c>
      <c r="G176" s="4">
        <v>155</v>
      </c>
      <c r="H176" s="4">
        <f t="shared" si="9"/>
        <v>10.23</v>
      </c>
      <c r="I176" s="4">
        <f>_xlfn.XLOOKUP(J176,数据!E:E,数据!S:S)*(H176/_xlfn.XLOOKUP(J176,数据!E:E,数据!X:X))</f>
        <v>964.450758584674</v>
      </c>
      <c r="J176" t="s">
        <v>1988</v>
      </c>
      <c r="K176" t="s">
        <v>39</v>
      </c>
      <c r="L176" t="s">
        <v>2374</v>
      </c>
      <c r="M176" t="s">
        <v>3628</v>
      </c>
      <c r="N176" t="s">
        <v>2376</v>
      </c>
      <c r="O176" t="s">
        <v>2400</v>
      </c>
      <c r="P176" t="s">
        <v>2378</v>
      </c>
      <c r="Q176" t="s">
        <v>2379</v>
      </c>
      <c r="R176" t="s">
        <v>1988</v>
      </c>
      <c r="S176" t="s">
        <v>2511</v>
      </c>
      <c r="T176" s="3" t="s">
        <v>3592</v>
      </c>
      <c r="U176" t="s">
        <v>3629</v>
      </c>
      <c r="V176" t="s">
        <v>3630</v>
      </c>
      <c r="W176" t="s">
        <v>3631</v>
      </c>
      <c r="X176" t="s">
        <v>2385</v>
      </c>
      <c r="Y176" t="s">
        <v>3632</v>
      </c>
      <c r="Z176" t="s">
        <v>2405</v>
      </c>
      <c r="AA176" t="s">
        <v>3592</v>
      </c>
      <c r="AB176" t="s">
        <v>3633</v>
      </c>
      <c r="AC176" t="s">
        <v>3634</v>
      </c>
      <c r="AD176" t="s">
        <v>3160</v>
      </c>
      <c r="AH176" t="s">
        <v>3027</v>
      </c>
      <c r="AI176" t="s">
        <v>2651</v>
      </c>
      <c r="AJ176" t="s">
        <v>3635</v>
      </c>
      <c r="AK176" t="s">
        <v>3636</v>
      </c>
      <c r="AL176" t="s">
        <v>3637</v>
      </c>
      <c r="AM176" t="s">
        <v>3637</v>
      </c>
      <c r="AN176" t="s">
        <v>3638</v>
      </c>
      <c r="AO176" t="s">
        <v>3635</v>
      </c>
      <c r="AP176">
        <v>66</v>
      </c>
      <c r="AQ176">
        <v>66</v>
      </c>
      <c r="AR176">
        <v>65</v>
      </c>
      <c r="AS176" t="s">
        <v>3639</v>
      </c>
      <c r="AT176">
        <v>0</v>
      </c>
      <c r="AU176">
        <v>-1</v>
      </c>
      <c r="AV176">
        <v>1</v>
      </c>
    </row>
    <row r="177" spans="1:48">
      <c r="A177" s="1">
        <f>_xlfn.XLOOKUP(J177,数据!E:E,数据!A:A)</f>
        <v>4</v>
      </c>
      <c r="B177" s="1">
        <f>_xlfn.XLOOKUP(J177,数据!E:E,数据!B:B)</f>
        <v>16</v>
      </c>
      <c r="C177" s="1" t="str">
        <f>_xlfn.XLOOKUP(J177,数据!E:E,数据!J:J)</f>
        <v>红单</v>
      </c>
      <c r="D177" s="1" t="str" cm="1">
        <f t="array" ref="D177">IF(OR(C177="红单",C177="空派"),_xlfn.IFS(E177="未开售","新品首批发货",F177&lt;E177,"新品首批发货",F177-E177&lt;=60,"新品期补货空运",F177-E177&gt;60,"老品应急空运"),"海运，不进行分析")</f>
        <v>老品应急空运</v>
      </c>
      <c r="E177" s="2">
        <v>46017</v>
      </c>
      <c r="F177" s="2">
        <f>_xlfn.XLOOKUP(J177,数据!E:E,数据!C:C)</f>
        <v>46126</v>
      </c>
      <c r="G177" s="4">
        <v>106</v>
      </c>
      <c r="H177" s="4">
        <f t="shared" si="9"/>
        <v>4.664</v>
      </c>
      <c r="I177" s="4">
        <f>_xlfn.XLOOKUP(J177,数据!E:E,数据!S:S)*(H177/_xlfn.XLOOKUP(J177,数据!E:E,数据!X:X))</f>
        <v>439.706582408497</v>
      </c>
      <c r="J177" t="s">
        <v>1988</v>
      </c>
      <c r="K177" t="s">
        <v>39</v>
      </c>
      <c r="L177" t="s">
        <v>2374</v>
      </c>
      <c r="M177" t="s">
        <v>3628</v>
      </c>
      <c r="N177" t="s">
        <v>2376</v>
      </c>
      <c r="O177" t="s">
        <v>2400</v>
      </c>
      <c r="P177" t="s">
        <v>2378</v>
      </c>
      <c r="Q177" t="s">
        <v>2379</v>
      </c>
      <c r="R177" t="s">
        <v>1988</v>
      </c>
      <c r="S177" t="s">
        <v>2511</v>
      </c>
      <c r="T177" s="3" t="s">
        <v>3592</v>
      </c>
      <c r="U177" t="s">
        <v>3629</v>
      </c>
      <c r="V177" t="s">
        <v>3630</v>
      </c>
      <c r="W177" t="s">
        <v>3631</v>
      </c>
      <c r="X177" t="s">
        <v>2385</v>
      </c>
      <c r="Y177" t="s">
        <v>3632</v>
      </c>
      <c r="Z177" t="s">
        <v>2405</v>
      </c>
      <c r="AA177" t="s">
        <v>3592</v>
      </c>
      <c r="AB177" t="s">
        <v>3633</v>
      </c>
      <c r="AC177" t="s">
        <v>3634</v>
      </c>
      <c r="AD177" t="s">
        <v>3160</v>
      </c>
      <c r="AH177" t="s">
        <v>3027</v>
      </c>
      <c r="AI177" t="s">
        <v>2651</v>
      </c>
      <c r="AJ177" t="s">
        <v>3640</v>
      </c>
      <c r="AK177" t="s">
        <v>3641</v>
      </c>
      <c r="AL177" t="s">
        <v>3642</v>
      </c>
      <c r="AM177" t="s">
        <v>3643</v>
      </c>
      <c r="AN177" t="s">
        <v>3644</v>
      </c>
      <c r="AO177" t="s">
        <v>3640</v>
      </c>
      <c r="AP177">
        <v>44</v>
      </c>
      <c r="AQ177">
        <v>44</v>
      </c>
      <c r="AR177">
        <v>44</v>
      </c>
      <c r="AS177" t="s">
        <v>3645</v>
      </c>
      <c r="AT177">
        <v>0</v>
      </c>
      <c r="AU177">
        <v>0</v>
      </c>
      <c r="AV177">
        <v>0</v>
      </c>
    </row>
    <row r="178" spans="1:48">
      <c r="A178" s="1">
        <f>_xlfn.XLOOKUP(J178,数据!E:E,数据!A:A)</f>
        <v>4</v>
      </c>
      <c r="B178" s="1">
        <f>_xlfn.XLOOKUP(J178,数据!E:E,数据!B:B)</f>
        <v>16</v>
      </c>
      <c r="C178" s="1" t="str">
        <f>_xlfn.XLOOKUP(J178,数据!E:E,数据!J:J)</f>
        <v>红单</v>
      </c>
      <c r="D178" s="1" t="str" cm="1">
        <f t="array" ref="D178">IF(OR(C178="红单",C178="空派"),_xlfn.IFS(E178="未开售","新品首批发货",F178&lt;E178,"新品首批发货",F178-E178&lt;=60,"新品期补货空运",F178-E178&gt;60,"老品应急空运"),"海运，不进行分析")</f>
        <v>老品应急空运</v>
      </c>
      <c r="E178" s="2">
        <v>46017</v>
      </c>
      <c r="F178" s="2">
        <f>_xlfn.XLOOKUP(J178,数据!E:E,数据!C:C)</f>
        <v>46126</v>
      </c>
      <c r="G178" s="4">
        <v>106</v>
      </c>
      <c r="H178" s="4">
        <f t="shared" si="9"/>
        <v>0.424</v>
      </c>
      <c r="I178" s="4">
        <f>_xlfn.XLOOKUP(J178,数据!E:E,数据!S:S)*(H178/_xlfn.XLOOKUP(J178,数据!E:E,数据!X:X))</f>
        <v>39.9733256734997</v>
      </c>
      <c r="J178" t="s">
        <v>1988</v>
      </c>
      <c r="K178" t="s">
        <v>39</v>
      </c>
      <c r="L178" t="s">
        <v>2374</v>
      </c>
      <c r="M178" t="s">
        <v>3628</v>
      </c>
      <c r="N178" t="s">
        <v>2376</v>
      </c>
      <c r="O178" t="s">
        <v>2400</v>
      </c>
      <c r="P178" t="s">
        <v>2378</v>
      </c>
      <c r="Q178" t="s">
        <v>2379</v>
      </c>
      <c r="R178" t="s">
        <v>1988</v>
      </c>
      <c r="S178" t="s">
        <v>2511</v>
      </c>
      <c r="T178" s="3" t="s">
        <v>3592</v>
      </c>
      <c r="U178" t="s">
        <v>3629</v>
      </c>
      <c r="V178" t="s">
        <v>3630</v>
      </c>
      <c r="W178" t="s">
        <v>3631</v>
      </c>
      <c r="X178" t="s">
        <v>2385</v>
      </c>
      <c r="Y178" t="s">
        <v>3632</v>
      </c>
      <c r="Z178" t="s">
        <v>2405</v>
      </c>
      <c r="AA178" t="s">
        <v>3592</v>
      </c>
      <c r="AB178" t="s">
        <v>3633</v>
      </c>
      <c r="AC178" t="s">
        <v>3634</v>
      </c>
      <c r="AD178" t="s">
        <v>3160</v>
      </c>
      <c r="AH178" t="s">
        <v>3027</v>
      </c>
      <c r="AI178" t="s">
        <v>2651</v>
      </c>
      <c r="AJ178" t="s">
        <v>3646</v>
      </c>
      <c r="AK178" t="s">
        <v>3647</v>
      </c>
      <c r="AL178" t="s">
        <v>3648</v>
      </c>
      <c r="AM178" t="s">
        <v>3643</v>
      </c>
      <c r="AN178" t="s">
        <v>3649</v>
      </c>
      <c r="AO178" t="s">
        <v>3646</v>
      </c>
      <c r="AP178">
        <v>4</v>
      </c>
      <c r="AQ178">
        <v>4</v>
      </c>
      <c r="AR178">
        <v>4</v>
      </c>
      <c r="AS178" t="s">
        <v>3650</v>
      </c>
      <c r="AT178">
        <v>0</v>
      </c>
      <c r="AU178">
        <v>0</v>
      </c>
      <c r="AV178">
        <v>0</v>
      </c>
    </row>
    <row r="179" spans="1:48">
      <c r="A179" s="1">
        <f>_xlfn.XLOOKUP(J179,数据!E:E,数据!A:A)</f>
        <v>4</v>
      </c>
      <c r="B179" s="1">
        <f>_xlfn.XLOOKUP(J179,数据!E:E,数据!B:B)</f>
        <v>14</v>
      </c>
      <c r="C179" s="1" t="str">
        <f>_xlfn.XLOOKUP(J179,数据!E:E,数据!J:J)</f>
        <v>空派</v>
      </c>
      <c r="D179" s="1" t="str" cm="1">
        <f t="array" ref="D179">IF(OR(C179="红单",C179="空派"),_xlfn.IFS(E179="未开售","新品首批发货",F179&lt;E179,"新品首批发货",F179-E179&lt;=60,"新品期补货空运",F179-E179&gt;60,"老品应急空运"),"海运，不进行分析")</f>
        <v>新品首批发货</v>
      </c>
      <c r="E179" s="2">
        <v>46137</v>
      </c>
      <c r="F179" s="2">
        <f>_xlfn.XLOOKUP(J179,数据!E:E,数据!C:C)</f>
        <v>46114</v>
      </c>
      <c r="G179" s="4">
        <v>137</v>
      </c>
      <c r="H179" s="4">
        <f t="shared" si="9"/>
        <v>16.44</v>
      </c>
      <c r="I179" s="4">
        <f>_xlfn.XLOOKUP(J179,数据!E:E,数据!S:S)*(H179/_xlfn.XLOOKUP(J179,数据!E:E,数据!X:X))</f>
        <v>1045.3459348994</v>
      </c>
      <c r="J179" t="s">
        <v>1890</v>
      </c>
      <c r="K179" t="s">
        <v>39</v>
      </c>
      <c r="L179" t="s">
        <v>2374</v>
      </c>
      <c r="M179" t="s">
        <v>3651</v>
      </c>
      <c r="N179" t="s">
        <v>2376</v>
      </c>
      <c r="O179" t="s">
        <v>2400</v>
      </c>
      <c r="P179" t="s">
        <v>2378</v>
      </c>
      <c r="Q179" t="s">
        <v>2379</v>
      </c>
      <c r="R179" t="s">
        <v>1890</v>
      </c>
      <c r="S179" t="s">
        <v>2511</v>
      </c>
      <c r="T179" s="3" t="s">
        <v>3652</v>
      </c>
      <c r="U179" t="s">
        <v>3653</v>
      </c>
      <c r="V179" t="s">
        <v>3654</v>
      </c>
      <c r="W179" t="s">
        <v>3655</v>
      </c>
      <c r="X179" t="s">
        <v>2403</v>
      </c>
      <c r="Y179" t="s">
        <v>3656</v>
      </c>
      <c r="Z179" t="s">
        <v>2387</v>
      </c>
      <c r="AA179" t="s">
        <v>3652</v>
      </c>
      <c r="AB179" t="s">
        <v>3657</v>
      </c>
      <c r="AC179" t="s">
        <v>3658</v>
      </c>
      <c r="AD179" t="s">
        <v>3573</v>
      </c>
      <c r="AH179" t="s">
        <v>3659</v>
      </c>
      <c r="AI179" t="s">
        <v>3346</v>
      </c>
      <c r="AJ179" t="s">
        <v>3660</v>
      </c>
      <c r="AK179" t="s">
        <v>3661</v>
      </c>
      <c r="AL179" t="s">
        <v>3662</v>
      </c>
      <c r="AM179" t="s">
        <v>3259</v>
      </c>
      <c r="AN179" t="s">
        <v>3663</v>
      </c>
      <c r="AO179" t="s">
        <v>3660</v>
      </c>
      <c r="AP179">
        <v>120</v>
      </c>
      <c r="AQ179">
        <v>120</v>
      </c>
      <c r="AR179">
        <v>120</v>
      </c>
      <c r="AS179" t="s">
        <v>3664</v>
      </c>
      <c r="AT179">
        <v>0</v>
      </c>
      <c r="AU179">
        <v>0</v>
      </c>
      <c r="AV179">
        <v>0</v>
      </c>
    </row>
    <row r="180" spans="1:48">
      <c r="A180" s="1">
        <f>_xlfn.XLOOKUP(J180,数据!E:E,数据!A:A)</f>
        <v>4</v>
      </c>
      <c r="B180" s="1">
        <f>_xlfn.XLOOKUP(J180,数据!E:E,数据!B:B)</f>
        <v>14</v>
      </c>
      <c r="C180" s="1" t="str">
        <f>_xlfn.XLOOKUP(J180,数据!E:E,数据!J:J)</f>
        <v>空派</v>
      </c>
      <c r="D180" s="1" t="str" cm="1">
        <f t="array" ref="D180">IF(OR(C180="红单",C180="空派"),_xlfn.IFS(E180="未开售","新品首批发货",F180&lt;E180,"新品首批发货",F180-E180&lt;=60,"新品期补货空运",F180-E180&gt;60,"老品应急空运"),"海运，不进行分析")</f>
        <v>新品期补货空运</v>
      </c>
      <c r="E180" s="2">
        <v>46079</v>
      </c>
      <c r="F180" s="2">
        <f>_xlfn.XLOOKUP(J180,数据!E:E,数据!C:C)</f>
        <v>46114</v>
      </c>
      <c r="G180" s="4">
        <v>134</v>
      </c>
      <c r="H180" s="4">
        <f t="shared" si="9"/>
        <v>2.546</v>
      </c>
      <c r="I180" s="4">
        <f>_xlfn.XLOOKUP(J180,数据!E:E,数据!S:S)*(H180/_xlfn.XLOOKUP(J180,数据!E:E,数据!X:X))</f>
        <v>161.888731767268</v>
      </c>
      <c r="J180" t="s">
        <v>1890</v>
      </c>
      <c r="K180" t="s">
        <v>39</v>
      </c>
      <c r="L180" t="s">
        <v>2374</v>
      </c>
      <c r="M180" t="s">
        <v>3651</v>
      </c>
      <c r="N180" t="s">
        <v>2376</v>
      </c>
      <c r="O180" t="s">
        <v>2400</v>
      </c>
      <c r="P180" t="s">
        <v>2378</v>
      </c>
      <c r="Q180" t="s">
        <v>2379</v>
      </c>
      <c r="R180" t="s">
        <v>1890</v>
      </c>
      <c r="S180" t="s">
        <v>2511</v>
      </c>
      <c r="T180" s="3" t="s">
        <v>3652</v>
      </c>
      <c r="U180" t="s">
        <v>3653</v>
      </c>
      <c r="V180" t="s">
        <v>3654</v>
      </c>
      <c r="W180" t="s">
        <v>3655</v>
      </c>
      <c r="X180" t="s">
        <v>2403</v>
      </c>
      <c r="Y180" t="s">
        <v>3656</v>
      </c>
      <c r="Z180" t="s">
        <v>2387</v>
      </c>
      <c r="AA180" t="s">
        <v>3652</v>
      </c>
      <c r="AB180" t="s">
        <v>3657</v>
      </c>
      <c r="AC180" t="s">
        <v>3658</v>
      </c>
      <c r="AD180" t="s">
        <v>3573</v>
      </c>
      <c r="AH180" t="s">
        <v>3659</v>
      </c>
      <c r="AI180" t="s">
        <v>3346</v>
      </c>
      <c r="AJ180" t="s">
        <v>3665</v>
      </c>
      <c r="AK180" t="s">
        <v>3666</v>
      </c>
      <c r="AL180" t="s">
        <v>3667</v>
      </c>
      <c r="AM180" t="s">
        <v>3667</v>
      </c>
      <c r="AN180" t="s">
        <v>3668</v>
      </c>
      <c r="AO180" t="s">
        <v>3665</v>
      </c>
      <c r="AP180">
        <v>19</v>
      </c>
      <c r="AQ180">
        <v>19</v>
      </c>
      <c r="AR180">
        <v>20</v>
      </c>
      <c r="AS180" t="s">
        <v>3669</v>
      </c>
      <c r="AT180">
        <v>0</v>
      </c>
      <c r="AU180">
        <v>1</v>
      </c>
      <c r="AV180">
        <v>-1</v>
      </c>
    </row>
    <row r="181" spans="1:48">
      <c r="A181" s="1">
        <f>_xlfn.XLOOKUP(J181,数据!E:E,数据!A:A)</f>
        <v>4</v>
      </c>
      <c r="B181" s="1">
        <f>_xlfn.XLOOKUP(J181,数据!E:E,数据!B:B)</f>
        <v>14</v>
      </c>
      <c r="C181" s="1" t="str">
        <f>_xlfn.XLOOKUP(J181,数据!E:E,数据!J:J)</f>
        <v>空派</v>
      </c>
      <c r="D181" s="1" t="str" cm="1">
        <f t="array" ref="D181">IF(OR(C181="红单",C181="空派"),_xlfn.IFS(E181="未开售","新品首批发货",F181&lt;E181,"新品首批发货",F181-E181&lt;=60,"新品期补货空运",F181-E181&gt;60,"老品应急空运"),"海运，不进行分析")</f>
        <v>老品应急空运</v>
      </c>
      <c r="E181" s="2">
        <v>45926</v>
      </c>
      <c r="F181" s="2">
        <f>_xlfn.XLOOKUP(J181,数据!E:E,数据!C:C)</f>
        <v>46114</v>
      </c>
      <c r="G181" s="4">
        <v>130</v>
      </c>
      <c r="H181" s="4">
        <f t="shared" si="9"/>
        <v>26</v>
      </c>
      <c r="I181" s="4">
        <f>_xlfn.XLOOKUP(J181,数据!E:E,数据!S:S)*(H181/_xlfn.XLOOKUP(J181,数据!E:E,数据!X:X))</f>
        <v>1936.48954409462</v>
      </c>
      <c r="J181" t="s">
        <v>1889</v>
      </c>
      <c r="K181" t="s">
        <v>31</v>
      </c>
      <c r="L181" t="s">
        <v>2374</v>
      </c>
      <c r="M181" t="s">
        <v>3670</v>
      </c>
      <c r="N181" t="s">
        <v>2376</v>
      </c>
      <c r="O181" t="s">
        <v>2400</v>
      </c>
      <c r="P181" t="s">
        <v>2378</v>
      </c>
      <c r="Q181" t="s">
        <v>2379</v>
      </c>
      <c r="R181" t="s">
        <v>1889</v>
      </c>
      <c r="S181" t="s">
        <v>2511</v>
      </c>
      <c r="T181" s="3" t="s">
        <v>3671</v>
      </c>
      <c r="U181" t="s">
        <v>3672</v>
      </c>
      <c r="V181" t="s">
        <v>3673</v>
      </c>
      <c r="W181" t="s">
        <v>3674</v>
      </c>
      <c r="X181" t="s">
        <v>2403</v>
      </c>
      <c r="Y181" t="s">
        <v>3675</v>
      </c>
      <c r="Z181" t="s">
        <v>2405</v>
      </c>
      <c r="AA181" t="s">
        <v>3671</v>
      </c>
      <c r="AB181" t="s">
        <v>3571</v>
      </c>
      <c r="AC181" t="s">
        <v>3676</v>
      </c>
      <c r="AD181" t="s">
        <v>3573</v>
      </c>
      <c r="AH181" t="s">
        <v>3659</v>
      </c>
      <c r="AI181" t="s">
        <v>3346</v>
      </c>
      <c r="AJ181" t="s">
        <v>3677</v>
      </c>
      <c r="AK181" t="s">
        <v>3678</v>
      </c>
      <c r="AL181" t="s">
        <v>3679</v>
      </c>
      <c r="AM181" t="s">
        <v>3582</v>
      </c>
      <c r="AN181" t="s">
        <v>3680</v>
      </c>
      <c r="AO181" t="s">
        <v>3677</v>
      </c>
      <c r="AP181">
        <v>200</v>
      </c>
      <c r="AQ181">
        <v>200</v>
      </c>
      <c r="AR181">
        <v>200</v>
      </c>
      <c r="AS181" t="s">
        <v>3681</v>
      </c>
      <c r="AT181">
        <v>0</v>
      </c>
      <c r="AU181">
        <v>0</v>
      </c>
      <c r="AV181">
        <v>0</v>
      </c>
    </row>
    <row r="182" spans="1:48">
      <c r="A182" s="1">
        <f>_xlfn.XLOOKUP(J182,数据!E:E,数据!A:A)</f>
        <v>4</v>
      </c>
      <c r="B182" s="1">
        <f>_xlfn.XLOOKUP(J182,数据!E:E,数据!B:B)</f>
        <v>14</v>
      </c>
      <c r="C182" s="1" t="str">
        <f>_xlfn.XLOOKUP(J182,数据!E:E,数据!J:J)</f>
        <v>空派</v>
      </c>
      <c r="D182" s="1" t="str" cm="1">
        <f t="array" ref="D182">IF(OR(C182="红单",C182="空派"),_xlfn.IFS(E182="未开售","新品首批发货",F182&lt;E182,"新品首批发货",F182-E182&lt;=60,"新品期补货空运",F182-E182&gt;60,"老品应急空运"),"海运，不进行分析")</f>
        <v>老品应急空运</v>
      </c>
      <c r="E182" s="2">
        <v>46029</v>
      </c>
      <c r="F182" s="2">
        <f>_xlfn.XLOOKUP(J182,数据!E:E,数据!C:C)</f>
        <v>46114</v>
      </c>
      <c r="G182" s="4">
        <v>502</v>
      </c>
      <c r="H182" s="4">
        <f t="shared" si="9"/>
        <v>4.016</v>
      </c>
      <c r="I182" s="4">
        <f>_xlfn.XLOOKUP(J182,数据!E:E,数据!S:S)*(H182/_xlfn.XLOOKUP(J182,数据!E:E,数据!X:X))</f>
        <v>299.113154195539</v>
      </c>
      <c r="J182" t="s">
        <v>1889</v>
      </c>
      <c r="K182" t="s">
        <v>31</v>
      </c>
      <c r="L182" t="s">
        <v>2374</v>
      </c>
      <c r="M182" t="s">
        <v>3670</v>
      </c>
      <c r="N182" t="s">
        <v>2376</v>
      </c>
      <c r="O182" t="s">
        <v>2400</v>
      </c>
      <c r="P182" t="s">
        <v>2378</v>
      </c>
      <c r="Q182" t="s">
        <v>2379</v>
      </c>
      <c r="R182" t="s">
        <v>1889</v>
      </c>
      <c r="S182" t="s">
        <v>2511</v>
      </c>
      <c r="T182" s="3" t="s">
        <v>3671</v>
      </c>
      <c r="U182" t="s">
        <v>3672</v>
      </c>
      <c r="V182" t="s">
        <v>3673</v>
      </c>
      <c r="W182" t="s">
        <v>3674</v>
      </c>
      <c r="X182" t="s">
        <v>2403</v>
      </c>
      <c r="Y182" t="s">
        <v>3675</v>
      </c>
      <c r="Z182" t="s">
        <v>2405</v>
      </c>
      <c r="AA182" t="s">
        <v>3671</v>
      </c>
      <c r="AB182" t="s">
        <v>3571</v>
      </c>
      <c r="AC182" t="s">
        <v>3676</v>
      </c>
      <c r="AD182" t="s">
        <v>3573</v>
      </c>
      <c r="AH182" t="s">
        <v>3659</v>
      </c>
      <c r="AI182" t="s">
        <v>3346</v>
      </c>
      <c r="AJ182" t="s">
        <v>3352</v>
      </c>
      <c r="AK182" t="s">
        <v>3353</v>
      </c>
      <c r="AL182" t="s">
        <v>3354</v>
      </c>
      <c r="AM182" t="s">
        <v>3107</v>
      </c>
      <c r="AN182" t="s">
        <v>3355</v>
      </c>
      <c r="AO182" t="s">
        <v>3352</v>
      </c>
      <c r="AP182">
        <v>8</v>
      </c>
      <c r="AQ182">
        <v>8</v>
      </c>
      <c r="AR182">
        <v>8</v>
      </c>
      <c r="AS182" t="s">
        <v>3682</v>
      </c>
      <c r="AT182">
        <v>0</v>
      </c>
      <c r="AU182">
        <v>0</v>
      </c>
      <c r="AV182">
        <v>0</v>
      </c>
    </row>
    <row r="183" spans="1:48">
      <c r="A183" s="1">
        <f>_xlfn.XLOOKUP(J183,数据!E:E,数据!A:A)</f>
        <v>4</v>
      </c>
      <c r="B183" s="1">
        <f>_xlfn.XLOOKUP(J183,数据!E:E,数据!B:B)</f>
        <v>14</v>
      </c>
      <c r="C183" s="1" t="str">
        <f>_xlfn.XLOOKUP(J183,数据!E:E,数据!J:J)</f>
        <v>空派</v>
      </c>
      <c r="D183" s="1" t="str" cm="1">
        <f t="array" ref="D183">IF(OR(C183="红单",C183="空派"),_xlfn.IFS(E183="未开售","新品首批发货",F183&lt;E183,"新品首批发货",F183-E183&lt;=60,"新品期补货空运",F183-E183&gt;60,"老品应急空运"),"海运，不进行分析")</f>
        <v>老品应急空运</v>
      </c>
      <c r="E183" s="2">
        <v>46030</v>
      </c>
      <c r="F183" s="2">
        <f>_xlfn.XLOOKUP(J183,数据!E:E,数据!C:C)</f>
        <v>46114</v>
      </c>
      <c r="G183" s="4">
        <v>146</v>
      </c>
      <c r="H183" s="4">
        <f t="shared" si="9"/>
        <v>5.84</v>
      </c>
      <c r="I183" s="4">
        <f>_xlfn.XLOOKUP(J183,数据!E:E,数据!S:S)*(H183/_xlfn.XLOOKUP(J183,数据!E:E,数据!X:X))</f>
        <v>434.965343750485</v>
      </c>
      <c r="J183" t="s">
        <v>1889</v>
      </c>
      <c r="K183" t="s">
        <v>31</v>
      </c>
      <c r="L183" t="s">
        <v>2374</v>
      </c>
      <c r="M183" t="s">
        <v>3670</v>
      </c>
      <c r="N183" t="s">
        <v>2376</v>
      </c>
      <c r="O183" t="s">
        <v>2400</v>
      </c>
      <c r="P183" t="s">
        <v>2378</v>
      </c>
      <c r="Q183" t="s">
        <v>2379</v>
      </c>
      <c r="R183" t="s">
        <v>1889</v>
      </c>
      <c r="S183" t="s">
        <v>2511</v>
      </c>
      <c r="T183" s="3" t="s">
        <v>3671</v>
      </c>
      <c r="U183" t="s">
        <v>3672</v>
      </c>
      <c r="V183" t="s">
        <v>3673</v>
      </c>
      <c r="W183" t="s">
        <v>3674</v>
      </c>
      <c r="X183" t="s">
        <v>2403</v>
      </c>
      <c r="Y183" t="s">
        <v>3675</v>
      </c>
      <c r="Z183" t="s">
        <v>2405</v>
      </c>
      <c r="AA183" t="s">
        <v>3671</v>
      </c>
      <c r="AB183" t="s">
        <v>3571</v>
      </c>
      <c r="AC183" t="s">
        <v>3676</v>
      </c>
      <c r="AD183" t="s">
        <v>3573</v>
      </c>
      <c r="AH183" t="s">
        <v>3659</v>
      </c>
      <c r="AI183" t="s">
        <v>3346</v>
      </c>
      <c r="AJ183" t="s">
        <v>3683</v>
      </c>
      <c r="AK183" t="s">
        <v>3684</v>
      </c>
      <c r="AL183" t="s">
        <v>3685</v>
      </c>
      <c r="AM183" t="s">
        <v>2787</v>
      </c>
      <c r="AN183" t="s">
        <v>3686</v>
      </c>
      <c r="AO183" t="s">
        <v>3683</v>
      </c>
      <c r="AP183">
        <v>40</v>
      </c>
      <c r="AQ183">
        <v>40</v>
      </c>
      <c r="AR183">
        <v>40</v>
      </c>
      <c r="AS183" t="s">
        <v>3687</v>
      </c>
      <c r="AT183">
        <v>0</v>
      </c>
      <c r="AU183">
        <v>0</v>
      </c>
      <c r="AV183">
        <v>0</v>
      </c>
    </row>
    <row r="184" spans="1:48">
      <c r="A184" s="1">
        <f>_xlfn.XLOOKUP(J184,数据!E:E,数据!A:A)</f>
        <v>4</v>
      </c>
      <c r="B184" s="1">
        <f>_xlfn.XLOOKUP(J184,数据!E:E,数据!B:B)</f>
        <v>14</v>
      </c>
      <c r="C184" s="1" t="str">
        <f>_xlfn.XLOOKUP(J184,数据!E:E,数据!J:J)</f>
        <v>空派</v>
      </c>
      <c r="D184" s="1" t="str" cm="1">
        <f t="array" ref="D184">IF(OR(C184="红单",C184="空派"),_xlfn.IFS(E184="未开售","新品首批发货",F184&lt;E184,"新品首批发货",F184-E184&lt;=60,"新品期补货空运",F184-E184&gt;60,"老品应急空运"),"海运，不进行分析")</f>
        <v>老品应急空运</v>
      </c>
      <c r="E184" s="2">
        <v>46035</v>
      </c>
      <c r="F184" s="2">
        <f>_xlfn.XLOOKUP(J184,数据!E:E,数据!C:C)</f>
        <v>46114</v>
      </c>
      <c r="G184" s="4">
        <v>143</v>
      </c>
      <c r="H184" s="4">
        <f t="shared" si="9"/>
        <v>7.15</v>
      </c>
      <c r="I184" s="4">
        <f>_xlfn.XLOOKUP(J184,数据!E:E,数据!S:S)*(H184/_xlfn.XLOOKUP(J184,数据!E:E,数据!X:X))</f>
        <v>532.534624626022</v>
      </c>
      <c r="J184" t="s">
        <v>1889</v>
      </c>
      <c r="K184" t="s">
        <v>31</v>
      </c>
      <c r="L184" t="s">
        <v>2374</v>
      </c>
      <c r="M184" t="s">
        <v>3670</v>
      </c>
      <c r="N184" t="s">
        <v>2376</v>
      </c>
      <c r="O184" t="s">
        <v>2400</v>
      </c>
      <c r="P184" t="s">
        <v>2378</v>
      </c>
      <c r="Q184" t="s">
        <v>2379</v>
      </c>
      <c r="R184" t="s">
        <v>1889</v>
      </c>
      <c r="S184" t="s">
        <v>2511</v>
      </c>
      <c r="T184" s="3" t="s">
        <v>3671</v>
      </c>
      <c r="U184" t="s">
        <v>3672</v>
      </c>
      <c r="V184" t="s">
        <v>3673</v>
      </c>
      <c r="W184" t="s">
        <v>3674</v>
      </c>
      <c r="X184" t="s">
        <v>2403</v>
      </c>
      <c r="Y184" t="s">
        <v>3675</v>
      </c>
      <c r="Z184" t="s">
        <v>2405</v>
      </c>
      <c r="AA184" t="s">
        <v>3671</v>
      </c>
      <c r="AB184" t="s">
        <v>3571</v>
      </c>
      <c r="AC184" t="s">
        <v>3676</v>
      </c>
      <c r="AD184" t="s">
        <v>3573</v>
      </c>
      <c r="AH184" t="s">
        <v>3659</v>
      </c>
      <c r="AI184" t="s">
        <v>3346</v>
      </c>
      <c r="AJ184" t="s">
        <v>3688</v>
      </c>
      <c r="AK184" t="s">
        <v>3689</v>
      </c>
      <c r="AL184" t="s">
        <v>3690</v>
      </c>
      <c r="AM184" t="s">
        <v>2607</v>
      </c>
      <c r="AN184" t="s">
        <v>3691</v>
      </c>
      <c r="AO184" t="s">
        <v>3688</v>
      </c>
      <c r="AP184">
        <v>50</v>
      </c>
      <c r="AQ184">
        <v>50</v>
      </c>
      <c r="AR184">
        <v>50</v>
      </c>
      <c r="AS184" t="s">
        <v>3692</v>
      </c>
      <c r="AT184">
        <v>0</v>
      </c>
      <c r="AU184">
        <v>0</v>
      </c>
      <c r="AV184">
        <v>0</v>
      </c>
    </row>
    <row r="185" spans="1:48">
      <c r="A185" s="1">
        <f>_xlfn.XLOOKUP(J185,数据!E:E,数据!A:A)</f>
        <v>4</v>
      </c>
      <c r="B185" s="1">
        <f>_xlfn.XLOOKUP(J185,数据!E:E,数据!B:B)</f>
        <v>14</v>
      </c>
      <c r="C185" s="1" t="str">
        <f>_xlfn.XLOOKUP(J185,数据!E:E,数据!J:J)</f>
        <v>空派</v>
      </c>
      <c r="D185" s="1" t="str" cm="1">
        <f t="array" ref="D185">IF(OR(C185="红单",C185="空派"),_xlfn.IFS(E185="未开售","新品首批发货",F185&lt;E185,"新品首批发货",F185-E185&lt;=60,"新品期补货空运",F185-E185&gt;60,"老品应急空运"),"海运，不进行分析")</f>
        <v>老品应急空运</v>
      </c>
      <c r="E185" s="2">
        <v>46017</v>
      </c>
      <c r="F185" s="2">
        <f>_xlfn.XLOOKUP(J185,数据!E:E,数据!C:C)</f>
        <v>46114</v>
      </c>
      <c r="G185" s="4">
        <v>112</v>
      </c>
      <c r="H185" s="4">
        <f t="shared" si="9"/>
        <v>5.04</v>
      </c>
      <c r="I185" s="4">
        <f>_xlfn.XLOOKUP(J185,数据!E:E,数据!S:S)*(H185/_xlfn.XLOOKUP(J185,数据!E:E,数据!X:X))</f>
        <v>372.949283137255</v>
      </c>
      <c r="J185" t="s">
        <v>1888</v>
      </c>
      <c r="K185" t="s">
        <v>56</v>
      </c>
      <c r="L185" t="s">
        <v>2374</v>
      </c>
      <c r="M185" t="s">
        <v>3693</v>
      </c>
      <c r="N185" t="s">
        <v>2376</v>
      </c>
      <c r="O185" t="s">
        <v>2400</v>
      </c>
      <c r="P185" t="s">
        <v>2378</v>
      </c>
      <c r="Q185" t="s">
        <v>2379</v>
      </c>
      <c r="R185" t="s">
        <v>1888</v>
      </c>
      <c r="S185" t="s">
        <v>2511</v>
      </c>
      <c r="T185" s="3" t="s">
        <v>3694</v>
      </c>
      <c r="U185" t="s">
        <v>3695</v>
      </c>
      <c r="V185" t="s">
        <v>3696</v>
      </c>
      <c r="W185" t="s">
        <v>3697</v>
      </c>
      <c r="X185" t="s">
        <v>2403</v>
      </c>
      <c r="Y185" t="s">
        <v>3698</v>
      </c>
      <c r="Z185" t="s">
        <v>2387</v>
      </c>
      <c r="AA185" t="s">
        <v>3694</v>
      </c>
      <c r="AB185" t="s">
        <v>3405</v>
      </c>
      <c r="AC185" t="s">
        <v>3699</v>
      </c>
      <c r="AD185" t="s">
        <v>3573</v>
      </c>
      <c r="AH185" t="s">
        <v>3659</v>
      </c>
      <c r="AI185" t="s">
        <v>3346</v>
      </c>
      <c r="AJ185" t="s">
        <v>3700</v>
      </c>
      <c r="AK185" t="s">
        <v>3701</v>
      </c>
      <c r="AL185" t="s">
        <v>3702</v>
      </c>
      <c r="AM185" t="s">
        <v>3703</v>
      </c>
      <c r="AN185" t="s">
        <v>3704</v>
      </c>
      <c r="AO185" t="s">
        <v>3700</v>
      </c>
      <c r="AP185">
        <v>45</v>
      </c>
      <c r="AQ185">
        <v>45</v>
      </c>
      <c r="AR185">
        <v>45</v>
      </c>
      <c r="AS185" t="s">
        <v>3705</v>
      </c>
      <c r="AT185">
        <v>0</v>
      </c>
      <c r="AU185">
        <v>0</v>
      </c>
      <c r="AV185">
        <v>0</v>
      </c>
    </row>
    <row r="186" spans="1:48">
      <c r="A186" s="1">
        <f>_xlfn.XLOOKUP(J186,数据!E:E,数据!A:A)</f>
        <v>4</v>
      </c>
      <c r="B186" s="1">
        <f>_xlfn.XLOOKUP(J186,数据!E:E,数据!B:B)</f>
        <v>14</v>
      </c>
      <c r="C186" s="1" t="str">
        <f>_xlfn.XLOOKUP(J186,数据!E:E,数据!J:J)</f>
        <v>空派</v>
      </c>
      <c r="D186" s="1" t="str" cm="1">
        <f t="array" ref="D186">IF(OR(C186="红单",C186="空派"),_xlfn.IFS(E186="未开售","新品首批发货",F186&lt;E186,"新品首批发货",F186-E186&lt;=60,"新品期补货空运",F186-E186&gt;60,"老品应急空运"),"海运，不进行分析")</f>
        <v>老品应急空运</v>
      </c>
      <c r="E186" s="2">
        <v>46019</v>
      </c>
      <c r="F186" s="2">
        <f>_xlfn.XLOOKUP(J186,数据!E:E,数据!C:C)</f>
        <v>46114</v>
      </c>
      <c r="G186" s="4">
        <v>230</v>
      </c>
      <c r="H186" s="4">
        <f t="shared" si="9"/>
        <v>22.77</v>
      </c>
      <c r="I186" s="4">
        <f>_xlfn.XLOOKUP(J186,数据!E:E,数据!S:S)*(H186/_xlfn.XLOOKUP(J186,数据!E:E,数据!X:X))</f>
        <v>1684.9315827451</v>
      </c>
      <c r="J186" t="s">
        <v>1888</v>
      </c>
      <c r="K186" t="s">
        <v>56</v>
      </c>
      <c r="L186" t="s">
        <v>2374</v>
      </c>
      <c r="M186" t="s">
        <v>3693</v>
      </c>
      <c r="N186" t="s">
        <v>2376</v>
      </c>
      <c r="O186" t="s">
        <v>2400</v>
      </c>
      <c r="P186" t="s">
        <v>2378</v>
      </c>
      <c r="Q186" t="s">
        <v>2379</v>
      </c>
      <c r="R186" t="s">
        <v>1888</v>
      </c>
      <c r="S186" t="s">
        <v>2511</v>
      </c>
      <c r="T186" s="3" t="s">
        <v>3694</v>
      </c>
      <c r="U186" t="s">
        <v>3695</v>
      </c>
      <c r="V186" t="s">
        <v>3696</v>
      </c>
      <c r="W186" t="s">
        <v>3697</v>
      </c>
      <c r="X186" t="s">
        <v>2403</v>
      </c>
      <c r="Y186" t="s">
        <v>3698</v>
      </c>
      <c r="Z186" t="s">
        <v>2387</v>
      </c>
      <c r="AA186" t="s">
        <v>3694</v>
      </c>
      <c r="AB186" t="s">
        <v>3405</v>
      </c>
      <c r="AC186" t="s">
        <v>3699</v>
      </c>
      <c r="AD186" t="s">
        <v>3573</v>
      </c>
      <c r="AH186" t="s">
        <v>3659</v>
      </c>
      <c r="AI186" t="s">
        <v>3346</v>
      </c>
      <c r="AJ186" t="s">
        <v>3706</v>
      </c>
      <c r="AK186" t="s">
        <v>3707</v>
      </c>
      <c r="AL186" t="s">
        <v>3708</v>
      </c>
      <c r="AM186" t="s">
        <v>3709</v>
      </c>
      <c r="AN186" t="s">
        <v>3710</v>
      </c>
      <c r="AO186" t="s">
        <v>3706</v>
      </c>
      <c r="AP186">
        <v>99</v>
      </c>
      <c r="AQ186">
        <v>99</v>
      </c>
      <c r="AR186">
        <v>99</v>
      </c>
      <c r="AS186" t="s">
        <v>3711</v>
      </c>
      <c r="AT186">
        <v>0</v>
      </c>
      <c r="AU186">
        <v>0</v>
      </c>
      <c r="AV186">
        <v>0</v>
      </c>
    </row>
    <row r="187" spans="1:48">
      <c r="A187" s="1">
        <f>_xlfn.XLOOKUP(J187,数据!E:E,数据!A:A)</f>
        <v>4</v>
      </c>
      <c r="B187" s="1">
        <f>_xlfn.XLOOKUP(J187,数据!E:E,数据!B:B)</f>
        <v>14</v>
      </c>
      <c r="C187" s="1" t="str">
        <f>_xlfn.XLOOKUP(J187,数据!E:E,数据!J:J)</f>
        <v>空派</v>
      </c>
      <c r="D187" s="1" t="str" cm="1">
        <f t="array" ref="D187">IF(OR(C187="红单",C187="空派"),_xlfn.IFS(E187="未开售","新品首批发货",F187&lt;E187,"新品首批发货",F187-E187&lt;=60,"新品期补货空运",F187-E187&gt;60,"老品应急空运"),"海运，不进行分析")</f>
        <v>新品首批发货</v>
      </c>
      <c r="E187" s="2">
        <v>46141</v>
      </c>
      <c r="F187" s="2">
        <f>_xlfn.XLOOKUP(J187,数据!E:E,数据!C:C)</f>
        <v>46114</v>
      </c>
      <c r="G187" s="4">
        <v>116</v>
      </c>
      <c r="H187" s="4">
        <f t="shared" si="9"/>
        <v>10.44</v>
      </c>
      <c r="I187" s="4">
        <f>_xlfn.XLOOKUP(J187,数据!E:E,数据!S:S)*(H187/_xlfn.XLOOKUP(J187,数据!E:E,数据!X:X))</f>
        <v>772.537800784315</v>
      </c>
      <c r="J187" t="s">
        <v>1888</v>
      </c>
      <c r="K187" t="s">
        <v>56</v>
      </c>
      <c r="L187" t="s">
        <v>2374</v>
      </c>
      <c r="M187" t="s">
        <v>3693</v>
      </c>
      <c r="N187" t="s">
        <v>2376</v>
      </c>
      <c r="O187" t="s">
        <v>2400</v>
      </c>
      <c r="P187" t="s">
        <v>2378</v>
      </c>
      <c r="Q187" t="s">
        <v>2379</v>
      </c>
      <c r="R187" t="s">
        <v>1888</v>
      </c>
      <c r="S187" t="s">
        <v>2511</v>
      </c>
      <c r="T187" s="3" t="s">
        <v>3694</v>
      </c>
      <c r="U187" t="s">
        <v>3695</v>
      </c>
      <c r="V187" t="s">
        <v>3696</v>
      </c>
      <c r="W187" t="s">
        <v>3697</v>
      </c>
      <c r="X187" t="s">
        <v>2403</v>
      </c>
      <c r="Y187" t="s">
        <v>3698</v>
      </c>
      <c r="Z187" t="s">
        <v>2387</v>
      </c>
      <c r="AA187" t="s">
        <v>3694</v>
      </c>
      <c r="AB187" t="s">
        <v>3405</v>
      </c>
      <c r="AC187" t="s">
        <v>3699</v>
      </c>
      <c r="AD187" t="s">
        <v>3573</v>
      </c>
      <c r="AH187" t="s">
        <v>3659</v>
      </c>
      <c r="AI187" t="s">
        <v>3346</v>
      </c>
      <c r="AJ187" t="s">
        <v>3712</v>
      </c>
      <c r="AK187" t="s">
        <v>3713</v>
      </c>
      <c r="AL187" t="s">
        <v>3714</v>
      </c>
      <c r="AM187" t="s">
        <v>3715</v>
      </c>
      <c r="AN187" t="s">
        <v>3716</v>
      </c>
      <c r="AO187" t="s">
        <v>3712</v>
      </c>
      <c r="AP187">
        <v>90</v>
      </c>
      <c r="AQ187">
        <v>90</v>
      </c>
      <c r="AR187">
        <v>90</v>
      </c>
      <c r="AS187" t="s">
        <v>3717</v>
      </c>
      <c r="AT187">
        <v>0</v>
      </c>
      <c r="AU187">
        <v>0</v>
      </c>
      <c r="AV187">
        <v>0</v>
      </c>
    </row>
    <row r="188" spans="1:48">
      <c r="A188" s="1">
        <f>_xlfn.XLOOKUP(J188,数据!E:E,数据!A:A)</f>
        <v>3</v>
      </c>
      <c r="B188" s="1">
        <f>_xlfn.XLOOKUP(J188,数据!E:E,数据!B:B)</f>
        <v>14</v>
      </c>
      <c r="C188" s="1" t="str">
        <f>_xlfn.XLOOKUP(J188,数据!E:E,数据!J:J)</f>
        <v>红单</v>
      </c>
      <c r="D188" s="1" t="str" cm="1">
        <f t="array" ref="D188">IF(OR(C188="红单",C188="空派"),_xlfn.IFS(E188="未开售","新品首批发货",F188&lt;E188,"新品首批发货",F188-E188&lt;=60,"新品期补货空运",F188-E188&gt;60,"老品应急空运"),"海运，不进行分析")</f>
        <v>新品首批发货</v>
      </c>
      <c r="E188" s="2">
        <v>46127</v>
      </c>
      <c r="F188" s="2">
        <f>_xlfn.XLOOKUP(J188,数据!E:E,数据!C:C)</f>
        <v>46111</v>
      </c>
      <c r="G188" s="4">
        <v>169</v>
      </c>
      <c r="H188" s="4">
        <f t="shared" ref="H188:H200" si="10">G188*AP188/1000</f>
        <v>17.238</v>
      </c>
      <c r="I188" s="4">
        <f>_xlfn.XLOOKUP(J188,数据!E:E,数据!S:S)*(H188/_xlfn.XLOOKUP(J188,数据!E:E,数据!X:X))</f>
        <v>1320.52252822436</v>
      </c>
      <c r="J188" t="s">
        <v>1803</v>
      </c>
      <c r="K188" t="s">
        <v>224</v>
      </c>
      <c r="L188" t="s">
        <v>2374</v>
      </c>
      <c r="M188" t="s">
        <v>3718</v>
      </c>
      <c r="N188" t="s">
        <v>2376</v>
      </c>
      <c r="O188" t="s">
        <v>2400</v>
      </c>
      <c r="P188" t="s">
        <v>2378</v>
      </c>
      <c r="Q188" t="s">
        <v>2379</v>
      </c>
      <c r="R188" t="s">
        <v>3719</v>
      </c>
      <c r="S188" t="s">
        <v>2511</v>
      </c>
      <c r="T188" s="3" t="s">
        <v>3720</v>
      </c>
      <c r="U188" t="s">
        <v>3721</v>
      </c>
      <c r="V188" t="s">
        <v>3722</v>
      </c>
      <c r="W188" t="s">
        <v>3723</v>
      </c>
      <c r="X188" t="s">
        <v>2403</v>
      </c>
      <c r="Y188" t="s">
        <v>3724</v>
      </c>
      <c r="Z188" t="s">
        <v>2405</v>
      </c>
      <c r="AA188" t="s">
        <v>3720</v>
      </c>
      <c r="AB188" t="s">
        <v>3725</v>
      </c>
      <c r="AC188" t="s">
        <v>3726</v>
      </c>
      <c r="AD188" t="s">
        <v>3727</v>
      </c>
      <c r="AH188" t="s">
        <v>3659</v>
      </c>
      <c r="AI188" t="s">
        <v>3346</v>
      </c>
      <c r="AJ188" t="s">
        <v>2706</v>
      </c>
      <c r="AK188" t="s">
        <v>2707</v>
      </c>
      <c r="AL188" t="s">
        <v>2708</v>
      </c>
      <c r="AM188" t="s">
        <v>2703</v>
      </c>
      <c r="AN188" t="s">
        <v>2709</v>
      </c>
      <c r="AO188" t="s">
        <v>2706</v>
      </c>
      <c r="AP188">
        <v>102</v>
      </c>
      <c r="AQ188">
        <v>102</v>
      </c>
      <c r="AR188">
        <v>102</v>
      </c>
      <c r="AS188" t="s">
        <v>3728</v>
      </c>
      <c r="AT188">
        <v>0</v>
      </c>
      <c r="AU188">
        <v>0</v>
      </c>
      <c r="AV188">
        <v>0</v>
      </c>
    </row>
    <row r="189" spans="1:48">
      <c r="A189" s="1">
        <f>_xlfn.XLOOKUP(J189,数据!E:E,数据!A:A)</f>
        <v>3</v>
      </c>
      <c r="B189" s="1">
        <f>_xlfn.XLOOKUP(J189,数据!E:E,数据!B:B)</f>
        <v>14</v>
      </c>
      <c r="C189" s="1" t="str">
        <f>_xlfn.XLOOKUP(J189,数据!E:E,数据!J:J)</f>
        <v>红单</v>
      </c>
      <c r="D189" s="1" t="str" cm="1">
        <f t="array" ref="D189">IF(OR(C189="红单",C189="空派"),_xlfn.IFS(E189="未开售","新品首批发货",F189&lt;E189,"新品首批发货",F189-E189&lt;=60,"新品期补货空运",F189-E189&gt;60,"老品应急空运"),"海运，不进行分析")</f>
        <v>新品首批发货</v>
      </c>
      <c r="E189" s="2">
        <v>46130</v>
      </c>
      <c r="F189" s="2">
        <f>_xlfn.XLOOKUP(J189,数据!E:E,数据!C:C)</f>
        <v>46111</v>
      </c>
      <c r="G189" s="4">
        <v>217</v>
      </c>
      <c r="H189" s="4">
        <f t="shared" si="10"/>
        <v>21.7</v>
      </c>
      <c r="I189" s="4">
        <f>_xlfn.XLOOKUP(J189,数据!E:E,数据!S:S)*(H189/_xlfn.XLOOKUP(J189,数据!E:E,数据!X:X))</f>
        <v>1662.33547177564</v>
      </c>
      <c r="J189" t="s">
        <v>1803</v>
      </c>
      <c r="K189" t="s">
        <v>224</v>
      </c>
      <c r="L189" t="s">
        <v>2374</v>
      </c>
      <c r="M189" t="s">
        <v>3718</v>
      </c>
      <c r="N189" t="s">
        <v>2376</v>
      </c>
      <c r="O189" t="s">
        <v>2400</v>
      </c>
      <c r="P189" t="s">
        <v>2378</v>
      </c>
      <c r="Q189" t="s">
        <v>2379</v>
      </c>
      <c r="R189" t="s">
        <v>3719</v>
      </c>
      <c r="S189" t="s">
        <v>2511</v>
      </c>
      <c r="T189" s="3" t="s">
        <v>3720</v>
      </c>
      <c r="U189" t="s">
        <v>3721</v>
      </c>
      <c r="V189" t="s">
        <v>3722</v>
      </c>
      <c r="W189" t="s">
        <v>3723</v>
      </c>
      <c r="X189" t="s">
        <v>2403</v>
      </c>
      <c r="Y189" t="s">
        <v>3724</v>
      </c>
      <c r="Z189" t="s">
        <v>2405</v>
      </c>
      <c r="AA189" t="s">
        <v>3720</v>
      </c>
      <c r="AB189" t="s">
        <v>3725</v>
      </c>
      <c r="AC189" t="s">
        <v>3726</v>
      </c>
      <c r="AD189" t="s">
        <v>3727</v>
      </c>
      <c r="AH189" t="s">
        <v>3659</v>
      </c>
      <c r="AI189" t="s">
        <v>3346</v>
      </c>
      <c r="AJ189" t="s">
        <v>2711</v>
      </c>
      <c r="AK189" t="s">
        <v>2712</v>
      </c>
      <c r="AL189" t="s">
        <v>2713</v>
      </c>
      <c r="AM189" t="s">
        <v>2703</v>
      </c>
      <c r="AN189" t="s">
        <v>2714</v>
      </c>
      <c r="AO189" t="s">
        <v>2711</v>
      </c>
      <c r="AP189">
        <v>100</v>
      </c>
      <c r="AQ189">
        <v>100</v>
      </c>
      <c r="AR189">
        <v>102</v>
      </c>
      <c r="AS189" t="s">
        <v>3729</v>
      </c>
      <c r="AT189">
        <v>0</v>
      </c>
      <c r="AU189">
        <v>2</v>
      </c>
      <c r="AV189">
        <v>-2</v>
      </c>
    </row>
    <row r="190" spans="1:48">
      <c r="A190" s="1">
        <f>_xlfn.XLOOKUP(J190,数据!E:E,数据!A:A)</f>
        <v>3</v>
      </c>
      <c r="B190" s="1">
        <f>_xlfn.XLOOKUP(J190,数据!E:E,数据!B:B)</f>
        <v>14</v>
      </c>
      <c r="C190" s="1" t="str">
        <f>_xlfn.XLOOKUP(J190,数据!E:E,数据!J:J)</f>
        <v>红单</v>
      </c>
      <c r="D190" s="1" t="str" cm="1">
        <f t="array" ref="D190">IF(OR(C190="红单",C190="空派"),_xlfn.IFS(E190="未开售","新品首批发货",F190&lt;E190,"新品首批发货",F190-E190&lt;=60,"新品期补货空运",F190-E190&gt;60,"老品应急空运"),"海运，不进行分析")</f>
        <v>老品应急空运</v>
      </c>
      <c r="E190" s="2">
        <v>46013</v>
      </c>
      <c r="F190" s="2">
        <f>_xlfn.XLOOKUP(J190,数据!E:E,数据!C:C)</f>
        <v>46111</v>
      </c>
      <c r="G190" s="4">
        <v>142</v>
      </c>
      <c r="H190" s="4">
        <f t="shared" si="10"/>
        <v>7.1</v>
      </c>
      <c r="I190" s="4">
        <f>_xlfn.XLOOKUP(J190,数据!E:E,数据!S:S)*(H190/_xlfn.XLOOKUP(J190,数据!E:E,数据!X:X))</f>
        <v>531.152858768935</v>
      </c>
      <c r="J190" t="s">
        <v>1799</v>
      </c>
      <c r="K190" t="s">
        <v>31</v>
      </c>
      <c r="L190" t="s">
        <v>2374</v>
      </c>
      <c r="M190" t="s">
        <v>3730</v>
      </c>
      <c r="N190" t="s">
        <v>2376</v>
      </c>
      <c r="O190" t="s">
        <v>2400</v>
      </c>
      <c r="P190" t="s">
        <v>2378</v>
      </c>
      <c r="Q190" t="s">
        <v>2379</v>
      </c>
      <c r="R190" t="s">
        <v>3731</v>
      </c>
      <c r="S190" t="s">
        <v>2511</v>
      </c>
      <c r="T190" s="3" t="s">
        <v>3732</v>
      </c>
      <c r="U190" t="s">
        <v>3721</v>
      </c>
      <c r="V190" t="s">
        <v>3733</v>
      </c>
      <c r="W190" t="s">
        <v>3734</v>
      </c>
      <c r="X190" t="s">
        <v>2385</v>
      </c>
      <c r="Y190" t="s">
        <v>3735</v>
      </c>
      <c r="Z190" t="s">
        <v>2405</v>
      </c>
      <c r="AA190" t="s">
        <v>3732</v>
      </c>
      <c r="AB190" t="s">
        <v>3571</v>
      </c>
      <c r="AC190" t="s">
        <v>3736</v>
      </c>
      <c r="AD190" t="s">
        <v>3737</v>
      </c>
      <c r="AH190" t="s">
        <v>3659</v>
      </c>
      <c r="AI190" t="s">
        <v>3346</v>
      </c>
      <c r="AJ190" t="s">
        <v>3574</v>
      </c>
      <c r="AK190" t="s">
        <v>3575</v>
      </c>
      <c r="AL190" t="s">
        <v>3576</v>
      </c>
      <c r="AM190" t="s">
        <v>2787</v>
      </c>
      <c r="AN190" t="s">
        <v>3577</v>
      </c>
      <c r="AO190" t="s">
        <v>3574</v>
      </c>
      <c r="AP190">
        <v>50</v>
      </c>
      <c r="AQ190">
        <v>50</v>
      </c>
      <c r="AR190">
        <v>50</v>
      </c>
      <c r="AS190" t="s">
        <v>3738</v>
      </c>
      <c r="AT190">
        <v>0</v>
      </c>
      <c r="AU190">
        <v>0</v>
      </c>
      <c r="AV190">
        <v>0</v>
      </c>
    </row>
    <row r="191" spans="1:48">
      <c r="A191" s="1">
        <f>_xlfn.XLOOKUP(J191,数据!E:E,数据!A:A)</f>
        <v>3</v>
      </c>
      <c r="B191" s="1">
        <f>_xlfn.XLOOKUP(J191,数据!E:E,数据!B:B)</f>
        <v>14</v>
      </c>
      <c r="C191" s="1" t="str">
        <f>_xlfn.XLOOKUP(J191,数据!E:E,数据!J:J)</f>
        <v>红单</v>
      </c>
      <c r="D191" s="1" t="str" cm="1">
        <f t="array" ref="D191">IF(OR(C191="红单",C191="空派"),_xlfn.IFS(E191="未开售","新品首批发货",F191&lt;E191,"新品首批发货",F191-E191&lt;=60,"新品期补货空运",F191-E191&gt;60,"老品应急空运"),"海运，不进行分析")</f>
        <v>老品应急空运</v>
      </c>
      <c r="E191" s="2">
        <v>46031</v>
      </c>
      <c r="F191" s="2">
        <f>_xlfn.XLOOKUP(J191,数据!E:E,数据!C:C)</f>
        <v>46111</v>
      </c>
      <c r="G191" s="4">
        <v>144</v>
      </c>
      <c r="H191" s="4">
        <f t="shared" si="10"/>
        <v>11.52</v>
      </c>
      <c r="I191" s="4">
        <f>_xlfn.XLOOKUP(J191,数据!E:E,数据!S:S)*(H191/_xlfn.XLOOKUP(J191,数据!E:E,数据!X:X))</f>
        <v>861.814215918047</v>
      </c>
      <c r="J191" t="s">
        <v>1799</v>
      </c>
      <c r="K191" t="s">
        <v>31</v>
      </c>
      <c r="L191" t="s">
        <v>2374</v>
      </c>
      <c r="M191" t="s">
        <v>3730</v>
      </c>
      <c r="N191" t="s">
        <v>2376</v>
      </c>
      <c r="O191" t="s">
        <v>2400</v>
      </c>
      <c r="P191" t="s">
        <v>2378</v>
      </c>
      <c r="Q191" t="s">
        <v>2379</v>
      </c>
      <c r="R191" t="s">
        <v>3731</v>
      </c>
      <c r="S191" t="s">
        <v>2511</v>
      </c>
      <c r="T191" s="3" t="s">
        <v>3732</v>
      </c>
      <c r="U191" t="s">
        <v>3721</v>
      </c>
      <c r="V191" t="s">
        <v>3733</v>
      </c>
      <c r="W191" t="s">
        <v>3734</v>
      </c>
      <c r="X191" t="s">
        <v>2385</v>
      </c>
      <c r="Y191" t="s">
        <v>3735</v>
      </c>
      <c r="Z191" t="s">
        <v>2405</v>
      </c>
      <c r="AA191" t="s">
        <v>3732</v>
      </c>
      <c r="AB191" t="s">
        <v>3571</v>
      </c>
      <c r="AC191" t="s">
        <v>3736</v>
      </c>
      <c r="AD191" t="s">
        <v>3737</v>
      </c>
      <c r="AH191" t="s">
        <v>3659</v>
      </c>
      <c r="AI191" t="s">
        <v>3346</v>
      </c>
      <c r="AJ191" t="s">
        <v>3739</v>
      </c>
      <c r="AK191" t="s">
        <v>3740</v>
      </c>
      <c r="AL191" t="s">
        <v>3741</v>
      </c>
      <c r="AM191" t="s">
        <v>2989</v>
      </c>
      <c r="AN191" t="s">
        <v>3742</v>
      </c>
      <c r="AO191" t="s">
        <v>3739</v>
      </c>
      <c r="AP191">
        <v>80</v>
      </c>
      <c r="AQ191">
        <v>80</v>
      </c>
      <c r="AR191">
        <v>80</v>
      </c>
      <c r="AS191" t="s">
        <v>3743</v>
      </c>
      <c r="AT191">
        <v>0</v>
      </c>
      <c r="AU191">
        <v>0</v>
      </c>
      <c r="AV191">
        <v>0</v>
      </c>
    </row>
    <row r="192" spans="1:48">
      <c r="A192" s="1">
        <f>_xlfn.XLOOKUP(J192,数据!E:E,数据!A:A)</f>
        <v>3</v>
      </c>
      <c r="B192" s="1">
        <f>_xlfn.XLOOKUP(J192,数据!E:E,数据!B:B)</f>
        <v>14</v>
      </c>
      <c r="C192" s="1" t="str">
        <f>_xlfn.XLOOKUP(J192,数据!E:E,数据!J:J)</f>
        <v>红单</v>
      </c>
      <c r="D192" s="1" t="str" cm="1">
        <f t="array" ref="D192">IF(OR(C192="红单",C192="空派"),_xlfn.IFS(E192="未开售","新品首批发货",F192&lt;E192,"新品首批发货",F192-E192&lt;=60,"新品期补货空运",F192-E192&gt;60,"老品应急空运"),"海运，不进行分析")</f>
        <v>老品应急空运</v>
      </c>
      <c r="E192" s="2">
        <v>46033</v>
      </c>
      <c r="F192" s="2">
        <f>_xlfn.XLOOKUP(J192,数据!E:E,数据!C:C)</f>
        <v>46111</v>
      </c>
      <c r="G192" s="4">
        <v>146</v>
      </c>
      <c r="H192" s="4">
        <f t="shared" si="10"/>
        <v>14.6</v>
      </c>
      <c r="I192" s="4">
        <f>_xlfn.XLOOKUP(J192,数据!E:E,数据!S:S)*(H192/_xlfn.XLOOKUP(J192,数据!E:E,数据!X:X))</f>
        <v>1092.22982225725</v>
      </c>
      <c r="J192" t="s">
        <v>1799</v>
      </c>
      <c r="K192" t="s">
        <v>31</v>
      </c>
      <c r="L192" t="s">
        <v>2374</v>
      </c>
      <c r="M192" t="s">
        <v>3730</v>
      </c>
      <c r="N192" t="s">
        <v>2376</v>
      </c>
      <c r="O192" t="s">
        <v>2400</v>
      </c>
      <c r="P192" t="s">
        <v>2378</v>
      </c>
      <c r="Q192" t="s">
        <v>2379</v>
      </c>
      <c r="R192" t="s">
        <v>3731</v>
      </c>
      <c r="S192" t="s">
        <v>2511</v>
      </c>
      <c r="T192" s="3" t="s">
        <v>3732</v>
      </c>
      <c r="U192" t="s">
        <v>3721</v>
      </c>
      <c r="V192" t="s">
        <v>3733</v>
      </c>
      <c r="W192" t="s">
        <v>3734</v>
      </c>
      <c r="X192" t="s">
        <v>2385</v>
      </c>
      <c r="Y192" t="s">
        <v>3735</v>
      </c>
      <c r="Z192" t="s">
        <v>2405</v>
      </c>
      <c r="AA192" t="s">
        <v>3732</v>
      </c>
      <c r="AB192" t="s">
        <v>3571</v>
      </c>
      <c r="AC192" t="s">
        <v>3736</v>
      </c>
      <c r="AD192" t="s">
        <v>3737</v>
      </c>
      <c r="AH192" t="s">
        <v>3659</v>
      </c>
      <c r="AI192" t="s">
        <v>3346</v>
      </c>
      <c r="AJ192" t="s">
        <v>3744</v>
      </c>
      <c r="AK192" t="s">
        <v>3745</v>
      </c>
      <c r="AL192" t="s">
        <v>3746</v>
      </c>
      <c r="AM192" t="s">
        <v>2787</v>
      </c>
      <c r="AN192" t="s">
        <v>3747</v>
      </c>
      <c r="AO192" t="s">
        <v>3744</v>
      </c>
      <c r="AP192">
        <v>100</v>
      </c>
      <c r="AQ192">
        <v>100</v>
      </c>
      <c r="AR192">
        <v>98</v>
      </c>
      <c r="AS192" t="s">
        <v>3748</v>
      </c>
      <c r="AT192">
        <v>0</v>
      </c>
      <c r="AU192">
        <v>-2</v>
      </c>
      <c r="AV192">
        <v>2</v>
      </c>
    </row>
    <row r="193" spans="1:48">
      <c r="A193" s="1">
        <f>_xlfn.XLOOKUP(J193,数据!E:E,数据!A:A)</f>
        <v>3</v>
      </c>
      <c r="B193" s="1">
        <f>_xlfn.XLOOKUP(J193,数据!E:E,数据!B:B)</f>
        <v>14</v>
      </c>
      <c r="C193" s="1" t="str">
        <f>_xlfn.XLOOKUP(J193,数据!E:E,数据!J:J)</f>
        <v>红单</v>
      </c>
      <c r="D193" s="1" t="str" cm="1">
        <f t="array" ref="D193">IF(OR(C193="红单",C193="空派"),_xlfn.IFS(E193="未开售","新品首批发货",F193&lt;E193,"新品首批发货",F193-E193&lt;=60,"新品期补货空运",F193-E193&gt;60,"老品应急空运"),"海运，不进行分析")</f>
        <v>新品期补货空运</v>
      </c>
      <c r="E193" s="2">
        <v>46094</v>
      </c>
      <c r="F193" s="2">
        <f>_xlfn.XLOOKUP(J193,数据!E:E,数据!C:C)</f>
        <v>46111</v>
      </c>
      <c r="G193" s="4">
        <v>97</v>
      </c>
      <c r="H193" s="4">
        <f t="shared" si="10"/>
        <v>4.85</v>
      </c>
      <c r="I193" s="4">
        <f>_xlfn.XLOOKUP(J193,数据!E:E,数据!S:S)*(H193/_xlfn.XLOOKUP(J193,数据!E:E,数据!X:X))</f>
        <v>362.829769722442</v>
      </c>
      <c r="J193" t="s">
        <v>1799</v>
      </c>
      <c r="K193" t="s">
        <v>31</v>
      </c>
      <c r="L193" t="s">
        <v>2374</v>
      </c>
      <c r="M193" t="s">
        <v>3730</v>
      </c>
      <c r="N193" t="s">
        <v>2376</v>
      </c>
      <c r="O193" t="s">
        <v>2400</v>
      </c>
      <c r="P193" t="s">
        <v>2378</v>
      </c>
      <c r="Q193" t="s">
        <v>2379</v>
      </c>
      <c r="R193" t="s">
        <v>3731</v>
      </c>
      <c r="S193" t="s">
        <v>2511</v>
      </c>
      <c r="T193" s="3" t="s">
        <v>3732</v>
      </c>
      <c r="U193" t="s">
        <v>3721</v>
      </c>
      <c r="V193" t="s">
        <v>3733</v>
      </c>
      <c r="W193" t="s">
        <v>3734</v>
      </c>
      <c r="X193" t="s">
        <v>2385</v>
      </c>
      <c r="Y193" t="s">
        <v>3735</v>
      </c>
      <c r="Z193" t="s">
        <v>2405</v>
      </c>
      <c r="AA193" t="s">
        <v>3732</v>
      </c>
      <c r="AB193" t="s">
        <v>3571</v>
      </c>
      <c r="AC193" t="s">
        <v>3736</v>
      </c>
      <c r="AD193" t="s">
        <v>3737</v>
      </c>
      <c r="AH193" t="s">
        <v>3659</v>
      </c>
      <c r="AI193" t="s">
        <v>3346</v>
      </c>
      <c r="AJ193" t="s">
        <v>3347</v>
      </c>
      <c r="AK193" t="s">
        <v>3348</v>
      </c>
      <c r="AL193" t="s">
        <v>3349</v>
      </c>
      <c r="AM193" t="s">
        <v>3349</v>
      </c>
      <c r="AN193" t="s">
        <v>3350</v>
      </c>
      <c r="AO193" t="s">
        <v>3347</v>
      </c>
      <c r="AP193">
        <v>50</v>
      </c>
      <c r="AQ193">
        <v>50</v>
      </c>
      <c r="AR193">
        <v>35</v>
      </c>
      <c r="AS193" t="s">
        <v>3749</v>
      </c>
      <c r="AT193">
        <v>0</v>
      </c>
      <c r="AU193">
        <v>-15</v>
      </c>
      <c r="AV193">
        <v>15</v>
      </c>
    </row>
    <row r="194" spans="1:48">
      <c r="A194" s="1">
        <f>_xlfn.XLOOKUP(J194,数据!E:E,数据!A:A)</f>
        <v>3</v>
      </c>
      <c r="B194" s="1">
        <f>_xlfn.XLOOKUP(J194,数据!E:E,数据!B:B)</f>
        <v>14</v>
      </c>
      <c r="C194" s="1" t="str">
        <f>_xlfn.XLOOKUP(J194,数据!E:E,数据!J:J)</f>
        <v>红单</v>
      </c>
      <c r="D194" s="1" t="str" cm="1">
        <f t="array" ref="D194">IF(OR(C194="红单",C194="空派"),_xlfn.IFS(E194="未开售","新品首批发货",F194&lt;E194,"新品首批发货",F194-E194&lt;=60,"新品期补货空运",F194-E194&gt;60,"老品应急空运"),"海运，不进行分析")</f>
        <v>新品首批发货</v>
      </c>
      <c r="E194" s="2">
        <v>46129</v>
      </c>
      <c r="F194" s="2">
        <f>_xlfn.XLOOKUP(J194,数据!E:E,数据!C:C)</f>
        <v>46111</v>
      </c>
      <c r="G194" s="4">
        <v>460</v>
      </c>
      <c r="H194" s="4">
        <f t="shared" si="10"/>
        <v>60.26</v>
      </c>
      <c r="I194" s="4">
        <f>_xlfn.XLOOKUP(J194,数据!E:E,数据!S:S)*(H194/_xlfn.XLOOKUP(J194,数据!E:E,数据!X:X))</f>
        <v>4186.357</v>
      </c>
      <c r="J194" t="s">
        <v>1802</v>
      </c>
      <c r="K194" t="s">
        <v>54</v>
      </c>
      <c r="L194" t="s">
        <v>2374</v>
      </c>
      <c r="M194" t="s">
        <v>3750</v>
      </c>
      <c r="N194" t="s">
        <v>2376</v>
      </c>
      <c r="O194" t="s">
        <v>2377</v>
      </c>
      <c r="P194" t="s">
        <v>2378</v>
      </c>
      <c r="Q194" t="s">
        <v>2379</v>
      </c>
      <c r="R194" t="s">
        <v>3751</v>
      </c>
      <c r="S194" t="s">
        <v>2511</v>
      </c>
      <c r="T194" s="3" t="s">
        <v>3752</v>
      </c>
      <c r="U194" t="s">
        <v>3753</v>
      </c>
      <c r="V194" t="s">
        <v>3754</v>
      </c>
      <c r="W194" t="s">
        <v>3755</v>
      </c>
      <c r="X194" t="s">
        <v>2403</v>
      </c>
      <c r="Y194" t="s">
        <v>3756</v>
      </c>
      <c r="Z194" t="s">
        <v>2387</v>
      </c>
      <c r="AA194" t="s">
        <v>3752</v>
      </c>
      <c r="AB194" t="s">
        <v>3757</v>
      </c>
      <c r="AC194" t="s">
        <v>3758</v>
      </c>
      <c r="AD194" t="s">
        <v>3759</v>
      </c>
      <c r="AH194" t="s">
        <v>3659</v>
      </c>
      <c r="AI194" t="s">
        <v>3346</v>
      </c>
      <c r="AJ194" t="s">
        <v>3760</v>
      </c>
      <c r="AK194" t="s">
        <v>3761</v>
      </c>
      <c r="AL194" t="s">
        <v>3762</v>
      </c>
      <c r="AM194" t="s">
        <v>3762</v>
      </c>
      <c r="AN194" t="s">
        <v>3763</v>
      </c>
      <c r="AO194" t="s">
        <v>3760</v>
      </c>
      <c r="AP194">
        <v>131</v>
      </c>
      <c r="AQ194">
        <v>131</v>
      </c>
      <c r="AR194">
        <v>131</v>
      </c>
      <c r="AS194" t="s">
        <v>3764</v>
      </c>
      <c r="AT194">
        <v>0</v>
      </c>
      <c r="AU194">
        <v>0</v>
      </c>
      <c r="AV194">
        <v>0</v>
      </c>
    </row>
    <row r="195" spans="1:48">
      <c r="A195" s="1">
        <f>_xlfn.XLOOKUP(J195,数据!E:E,数据!A:A)</f>
        <v>3</v>
      </c>
      <c r="B195" s="1">
        <f>_xlfn.XLOOKUP(J195,数据!E:E,数据!B:B)</f>
        <v>14</v>
      </c>
      <c r="C195" s="1" t="str">
        <f>_xlfn.XLOOKUP(J195,数据!E:E,数据!J:J)</f>
        <v>红单</v>
      </c>
      <c r="D195" s="1" t="str" cm="1">
        <f t="array" ref="D195">IF(OR(C195="红单",C195="空派"),_xlfn.IFS(E195="未开售","新品首批发货",F195&lt;E195,"新品首批发货",F195-E195&lt;=60,"新品期补货空运",F195-E195&gt;60,"老品应急空运"),"海运，不进行分析")</f>
        <v>老品应急空运</v>
      </c>
      <c r="E195" s="2">
        <v>44197</v>
      </c>
      <c r="F195" s="2">
        <f>_xlfn.XLOOKUP(J195,数据!E:E,数据!C:C)</f>
        <v>46111</v>
      </c>
      <c r="G195" s="4">
        <v>114</v>
      </c>
      <c r="H195" s="4">
        <f t="shared" si="10"/>
        <v>1.14</v>
      </c>
      <c r="I195" s="4">
        <f>_xlfn.XLOOKUP(J195,数据!E:E,数据!S:S)*(H195/_xlfn.XLOOKUP(J195,数据!E:E,数据!X:X))</f>
        <v>96.6514048212804</v>
      </c>
      <c r="J195" t="s">
        <v>1801</v>
      </c>
      <c r="K195" t="s">
        <v>51</v>
      </c>
      <c r="L195" t="s">
        <v>2374</v>
      </c>
      <c r="M195" t="s">
        <v>3765</v>
      </c>
      <c r="N195" t="s">
        <v>2376</v>
      </c>
      <c r="O195" t="s">
        <v>2400</v>
      </c>
      <c r="P195" t="s">
        <v>2378</v>
      </c>
      <c r="Q195" t="s">
        <v>2379</v>
      </c>
      <c r="R195" t="s">
        <v>3766</v>
      </c>
      <c r="S195" t="s">
        <v>2511</v>
      </c>
      <c r="T195" s="3" t="s">
        <v>3767</v>
      </c>
      <c r="U195" t="s">
        <v>3721</v>
      </c>
      <c r="V195" t="s">
        <v>3768</v>
      </c>
      <c r="W195" t="s">
        <v>3769</v>
      </c>
      <c r="X195" t="s">
        <v>2403</v>
      </c>
      <c r="Y195" t="s">
        <v>3770</v>
      </c>
      <c r="Z195" t="s">
        <v>2405</v>
      </c>
      <c r="AA195" t="s">
        <v>3767</v>
      </c>
      <c r="AB195" t="s">
        <v>3771</v>
      </c>
      <c r="AC195" t="s">
        <v>3772</v>
      </c>
      <c r="AD195" t="s">
        <v>3737</v>
      </c>
      <c r="AH195" t="s">
        <v>3659</v>
      </c>
      <c r="AI195" t="s">
        <v>3346</v>
      </c>
      <c r="AJ195" t="s">
        <v>3773</v>
      </c>
      <c r="AK195" t="s">
        <v>3774</v>
      </c>
      <c r="AL195" t="s">
        <v>3775</v>
      </c>
      <c r="AM195" t="s">
        <v>3775</v>
      </c>
      <c r="AN195" t="s">
        <v>3776</v>
      </c>
      <c r="AO195" t="s">
        <v>3773</v>
      </c>
      <c r="AP195">
        <v>10</v>
      </c>
      <c r="AQ195">
        <v>10</v>
      </c>
      <c r="AR195">
        <v>10</v>
      </c>
      <c r="AS195" t="s">
        <v>3777</v>
      </c>
      <c r="AT195">
        <v>0</v>
      </c>
      <c r="AU195">
        <v>0</v>
      </c>
      <c r="AV195">
        <v>0</v>
      </c>
    </row>
    <row r="196" spans="1:48">
      <c r="A196" s="1">
        <f>_xlfn.XLOOKUP(J196,数据!E:E,数据!A:A)</f>
        <v>3</v>
      </c>
      <c r="B196" s="1">
        <f>_xlfn.XLOOKUP(J196,数据!E:E,数据!B:B)</f>
        <v>14</v>
      </c>
      <c r="C196" s="1" t="str">
        <f>_xlfn.XLOOKUP(J196,数据!E:E,数据!J:J)</f>
        <v>红单</v>
      </c>
      <c r="D196" s="1" t="str" cm="1">
        <f t="array" ref="D196">IF(OR(C196="红单",C196="空派"),_xlfn.IFS(E196="未开售","新品首批发货",F196&lt;E196,"新品首批发货",F196-E196&lt;=60,"新品期补货空运",F196-E196&gt;60,"老品应急空运"),"海运，不进行分析")</f>
        <v>新品期补货空运</v>
      </c>
      <c r="E196" s="2">
        <v>46092</v>
      </c>
      <c r="F196" s="2">
        <f>_xlfn.XLOOKUP(J196,数据!E:E,数据!C:C)</f>
        <v>46111</v>
      </c>
      <c r="G196" s="4">
        <v>115</v>
      </c>
      <c r="H196" s="4">
        <f t="shared" si="10"/>
        <v>6.9</v>
      </c>
      <c r="I196" s="4">
        <f>_xlfn.XLOOKUP(J196,数据!E:E,数据!S:S)*(H196/_xlfn.XLOOKUP(J196,数据!E:E,数据!X:X))</f>
        <v>584.995344970908</v>
      </c>
      <c r="J196" t="s">
        <v>1801</v>
      </c>
      <c r="K196" t="s">
        <v>51</v>
      </c>
      <c r="L196" t="s">
        <v>2374</v>
      </c>
      <c r="M196" t="s">
        <v>3765</v>
      </c>
      <c r="N196" t="s">
        <v>2376</v>
      </c>
      <c r="O196" t="s">
        <v>2400</v>
      </c>
      <c r="P196" t="s">
        <v>2378</v>
      </c>
      <c r="Q196" t="s">
        <v>2379</v>
      </c>
      <c r="R196" t="s">
        <v>3766</v>
      </c>
      <c r="S196" t="s">
        <v>2511</v>
      </c>
      <c r="T196" s="3" t="s">
        <v>3767</v>
      </c>
      <c r="U196" t="s">
        <v>3721</v>
      </c>
      <c r="V196" t="s">
        <v>3768</v>
      </c>
      <c r="W196" t="s">
        <v>3769</v>
      </c>
      <c r="X196" t="s">
        <v>2403</v>
      </c>
      <c r="Y196" t="s">
        <v>3770</v>
      </c>
      <c r="Z196" t="s">
        <v>2405</v>
      </c>
      <c r="AA196" t="s">
        <v>3767</v>
      </c>
      <c r="AB196" t="s">
        <v>3771</v>
      </c>
      <c r="AC196" t="s">
        <v>3772</v>
      </c>
      <c r="AD196" t="s">
        <v>3737</v>
      </c>
      <c r="AH196" t="s">
        <v>3659</v>
      </c>
      <c r="AI196" t="s">
        <v>3346</v>
      </c>
      <c r="AJ196" t="s">
        <v>3778</v>
      </c>
      <c r="AK196" t="s">
        <v>3779</v>
      </c>
      <c r="AL196" t="s">
        <v>3780</v>
      </c>
      <c r="AM196" t="s">
        <v>3781</v>
      </c>
      <c r="AN196" t="s">
        <v>3782</v>
      </c>
      <c r="AO196" t="s">
        <v>3778</v>
      </c>
      <c r="AP196">
        <v>60</v>
      </c>
      <c r="AQ196">
        <v>60</v>
      </c>
      <c r="AR196">
        <v>60</v>
      </c>
      <c r="AS196" t="s">
        <v>3783</v>
      </c>
      <c r="AT196">
        <v>0</v>
      </c>
      <c r="AU196">
        <v>0</v>
      </c>
      <c r="AV196">
        <v>0</v>
      </c>
    </row>
    <row r="197" spans="1:48">
      <c r="A197" s="1">
        <f>_xlfn.XLOOKUP(J197,数据!E:E,数据!A:A)</f>
        <v>3</v>
      </c>
      <c r="B197" s="1">
        <f>_xlfn.XLOOKUP(J197,数据!E:E,数据!B:B)</f>
        <v>14</v>
      </c>
      <c r="C197" s="1" t="str">
        <f>_xlfn.XLOOKUP(J197,数据!E:E,数据!J:J)</f>
        <v>红单</v>
      </c>
      <c r="D197" s="1" t="str" cm="1">
        <f t="array" ref="D197">IF(OR(C197="红单",C197="空派"),_xlfn.IFS(E197="未开售","新品首批发货",F197&lt;E197,"新品首批发货",F197-E197&lt;=60,"新品期补货空运",F197-E197&gt;60,"老品应急空运"),"海运，不进行分析")</f>
        <v>新品期补货空运</v>
      </c>
      <c r="E197" s="2">
        <v>46088</v>
      </c>
      <c r="F197" s="2">
        <f>_xlfn.XLOOKUP(J197,数据!E:E,数据!C:C)</f>
        <v>46111</v>
      </c>
      <c r="G197" s="4">
        <v>114</v>
      </c>
      <c r="H197" s="4">
        <f t="shared" si="10"/>
        <v>3.99</v>
      </c>
      <c r="I197" s="4">
        <f>_xlfn.XLOOKUP(J197,数据!E:E,数据!S:S)*(H197/_xlfn.XLOOKUP(J197,数据!E:E,数据!X:X))</f>
        <v>338.279916874482</v>
      </c>
      <c r="J197" t="s">
        <v>1801</v>
      </c>
      <c r="K197" t="s">
        <v>51</v>
      </c>
      <c r="L197" t="s">
        <v>2374</v>
      </c>
      <c r="M197" t="s">
        <v>3765</v>
      </c>
      <c r="N197" t="s">
        <v>2376</v>
      </c>
      <c r="O197" t="s">
        <v>2400</v>
      </c>
      <c r="P197" t="s">
        <v>2378</v>
      </c>
      <c r="Q197" t="s">
        <v>2379</v>
      </c>
      <c r="R197" t="s">
        <v>3766</v>
      </c>
      <c r="S197" t="s">
        <v>2511</v>
      </c>
      <c r="T197" s="3" t="s">
        <v>3767</v>
      </c>
      <c r="U197" t="s">
        <v>3721</v>
      </c>
      <c r="V197" t="s">
        <v>3768</v>
      </c>
      <c r="W197" t="s">
        <v>3769</v>
      </c>
      <c r="X197" t="s">
        <v>2403</v>
      </c>
      <c r="Y197" t="s">
        <v>3770</v>
      </c>
      <c r="Z197" t="s">
        <v>2405</v>
      </c>
      <c r="AA197" t="s">
        <v>3767</v>
      </c>
      <c r="AB197" t="s">
        <v>3771</v>
      </c>
      <c r="AC197" t="s">
        <v>3772</v>
      </c>
      <c r="AD197" t="s">
        <v>3737</v>
      </c>
      <c r="AH197" t="s">
        <v>3659</v>
      </c>
      <c r="AI197" t="s">
        <v>3346</v>
      </c>
      <c r="AJ197" t="s">
        <v>3784</v>
      </c>
      <c r="AK197" t="s">
        <v>3785</v>
      </c>
      <c r="AL197" t="s">
        <v>3786</v>
      </c>
      <c r="AM197" t="s">
        <v>3781</v>
      </c>
      <c r="AN197" t="s">
        <v>3787</v>
      </c>
      <c r="AO197" t="s">
        <v>3784</v>
      </c>
      <c r="AP197">
        <v>35</v>
      </c>
      <c r="AQ197">
        <v>35</v>
      </c>
      <c r="AR197">
        <v>36</v>
      </c>
      <c r="AS197" t="s">
        <v>3788</v>
      </c>
      <c r="AT197">
        <v>0</v>
      </c>
      <c r="AU197">
        <v>1</v>
      </c>
      <c r="AV197">
        <v>-1</v>
      </c>
    </row>
    <row r="198" spans="1:48">
      <c r="A198" s="1">
        <f>_xlfn.XLOOKUP(J198,数据!E:E,数据!A:A)</f>
        <v>3</v>
      </c>
      <c r="B198" s="1">
        <f>_xlfn.XLOOKUP(J198,数据!E:E,数据!B:B)</f>
        <v>14</v>
      </c>
      <c r="C198" s="1" t="str">
        <f>_xlfn.XLOOKUP(J198,数据!E:E,数据!J:J)</f>
        <v>红单</v>
      </c>
      <c r="D198" s="1" t="str" cm="1">
        <f t="array" ref="D198">IF(OR(C198="红单",C198="空派"),_xlfn.IFS(E198="未开售","新品首批发货",F198&lt;E198,"新品首批发货",F198-E198&lt;=60,"新品期补货空运",F198-E198&gt;60,"老品应急空运"),"海运，不进行分析")</f>
        <v>新品首批发货</v>
      </c>
      <c r="E198" s="2">
        <v>46129</v>
      </c>
      <c r="F198" s="2">
        <f>_xlfn.XLOOKUP(J198,数据!E:E,数据!C:C)</f>
        <v>46111</v>
      </c>
      <c r="G198" s="4">
        <v>137</v>
      </c>
      <c r="H198" s="4">
        <f t="shared" si="10"/>
        <v>20.55</v>
      </c>
      <c r="I198" s="4">
        <f>_xlfn.XLOOKUP(J198,数据!E:E,数据!S:S)*(H198/_xlfn.XLOOKUP(J198,数据!E:E,数据!X:X))</f>
        <v>1389.04348391895</v>
      </c>
      <c r="J198" t="s">
        <v>1800</v>
      </c>
      <c r="K198" t="s">
        <v>39</v>
      </c>
      <c r="L198" t="s">
        <v>2374</v>
      </c>
      <c r="M198" t="s">
        <v>3789</v>
      </c>
      <c r="N198" t="s">
        <v>2376</v>
      </c>
      <c r="O198" t="s">
        <v>2400</v>
      </c>
      <c r="P198" t="s">
        <v>2378</v>
      </c>
      <c r="Q198" t="s">
        <v>2379</v>
      </c>
      <c r="R198" t="s">
        <v>3790</v>
      </c>
      <c r="S198" t="s">
        <v>2511</v>
      </c>
      <c r="T198" s="3" t="s">
        <v>3791</v>
      </c>
      <c r="U198" t="s">
        <v>3792</v>
      </c>
      <c r="V198" t="s">
        <v>3793</v>
      </c>
      <c r="W198" t="s">
        <v>3794</v>
      </c>
      <c r="X198" t="s">
        <v>2403</v>
      </c>
      <c r="Y198" t="s">
        <v>3795</v>
      </c>
      <c r="Z198" t="s">
        <v>2405</v>
      </c>
      <c r="AA198" t="s">
        <v>3791</v>
      </c>
      <c r="AB198" t="s">
        <v>3657</v>
      </c>
      <c r="AC198" t="s">
        <v>3796</v>
      </c>
      <c r="AD198" t="s">
        <v>3737</v>
      </c>
      <c r="AH198" t="s">
        <v>3659</v>
      </c>
      <c r="AI198" t="s">
        <v>3346</v>
      </c>
      <c r="AJ198" t="s">
        <v>3797</v>
      </c>
      <c r="AK198" t="s">
        <v>3798</v>
      </c>
      <c r="AL198" t="s">
        <v>3799</v>
      </c>
      <c r="AM198" t="s">
        <v>3259</v>
      </c>
      <c r="AN198" t="s">
        <v>3800</v>
      </c>
      <c r="AO198" t="s">
        <v>3797</v>
      </c>
      <c r="AP198">
        <v>150</v>
      </c>
      <c r="AQ198">
        <v>150</v>
      </c>
      <c r="AR198">
        <v>150</v>
      </c>
      <c r="AS198" t="s">
        <v>3801</v>
      </c>
      <c r="AT198">
        <v>0</v>
      </c>
      <c r="AU198">
        <v>0</v>
      </c>
      <c r="AV198">
        <v>0</v>
      </c>
    </row>
    <row r="199" spans="1:48">
      <c r="A199" s="1">
        <f>_xlfn.XLOOKUP(J199,数据!E:E,数据!A:A)</f>
        <v>3</v>
      </c>
      <c r="B199" s="1">
        <f>_xlfn.XLOOKUP(J199,数据!E:E,数据!B:B)</f>
        <v>14</v>
      </c>
      <c r="C199" s="1" t="str">
        <f>_xlfn.XLOOKUP(J199,数据!E:E,数据!J:J)</f>
        <v>红单</v>
      </c>
      <c r="D199" s="1" t="str" cm="1">
        <f t="array" ref="D199">IF(OR(C199="红单",C199="空派"),_xlfn.IFS(E199="未开售","新品首批发货",F199&lt;E199,"新品首批发货",F199-E199&lt;=60,"新品期补货空运",F199-E199&gt;60,"老品应急空运"),"海运，不进行分析")</f>
        <v>新品首批发货</v>
      </c>
      <c r="E199" s="2">
        <v>46135</v>
      </c>
      <c r="F199" s="2">
        <f>_xlfn.XLOOKUP(J199,数据!E:E,数据!C:C)</f>
        <v>46111</v>
      </c>
      <c r="G199" s="4">
        <v>137</v>
      </c>
      <c r="H199" s="4">
        <f t="shared" si="10"/>
        <v>16.44</v>
      </c>
      <c r="I199" s="4">
        <f>_xlfn.XLOOKUP(J199,数据!E:E,数据!S:S)*(H199/_xlfn.XLOOKUP(J199,数据!E:E,数据!X:X))</f>
        <v>1111.23478713516</v>
      </c>
      <c r="J199" t="s">
        <v>1800</v>
      </c>
      <c r="K199" t="s">
        <v>39</v>
      </c>
      <c r="L199" t="s">
        <v>2374</v>
      </c>
      <c r="M199" t="s">
        <v>3789</v>
      </c>
      <c r="N199" t="s">
        <v>2376</v>
      </c>
      <c r="O199" t="s">
        <v>2400</v>
      </c>
      <c r="P199" t="s">
        <v>2378</v>
      </c>
      <c r="Q199" t="s">
        <v>2379</v>
      </c>
      <c r="R199" t="s">
        <v>3790</v>
      </c>
      <c r="S199" t="s">
        <v>2511</v>
      </c>
      <c r="T199" s="3" t="s">
        <v>3791</v>
      </c>
      <c r="U199" t="s">
        <v>3792</v>
      </c>
      <c r="V199" t="s">
        <v>3793</v>
      </c>
      <c r="W199" t="s">
        <v>3794</v>
      </c>
      <c r="X199" t="s">
        <v>2403</v>
      </c>
      <c r="Y199" t="s">
        <v>3795</v>
      </c>
      <c r="Z199" t="s">
        <v>2405</v>
      </c>
      <c r="AA199" t="s">
        <v>3791</v>
      </c>
      <c r="AB199" t="s">
        <v>3657</v>
      </c>
      <c r="AC199" t="s">
        <v>3796</v>
      </c>
      <c r="AD199" t="s">
        <v>3737</v>
      </c>
      <c r="AH199" t="s">
        <v>3659</v>
      </c>
      <c r="AI199" t="s">
        <v>3346</v>
      </c>
      <c r="AJ199" t="s">
        <v>3802</v>
      </c>
      <c r="AK199" t="s">
        <v>3803</v>
      </c>
      <c r="AL199" t="s">
        <v>3804</v>
      </c>
      <c r="AM199" t="s">
        <v>3259</v>
      </c>
      <c r="AN199" t="s">
        <v>3805</v>
      </c>
      <c r="AO199" t="s">
        <v>3802</v>
      </c>
      <c r="AP199">
        <v>120</v>
      </c>
      <c r="AQ199">
        <v>120</v>
      </c>
      <c r="AR199">
        <v>120</v>
      </c>
      <c r="AS199" t="s">
        <v>3806</v>
      </c>
      <c r="AT199">
        <v>0</v>
      </c>
      <c r="AU199">
        <v>0</v>
      </c>
      <c r="AV199">
        <v>0</v>
      </c>
    </row>
    <row r="200" spans="1:48">
      <c r="A200" s="1">
        <f>_xlfn.XLOOKUP(J200,数据!E:E,数据!A:A)</f>
        <v>3</v>
      </c>
      <c r="B200" s="1">
        <f>_xlfn.XLOOKUP(J200,数据!E:E,数据!B:B)</f>
        <v>14</v>
      </c>
      <c r="C200" s="1" t="str">
        <f>_xlfn.XLOOKUP(J200,数据!E:E,数据!J:J)</f>
        <v>红单</v>
      </c>
      <c r="D200" s="1" t="str" cm="1">
        <f t="array" ref="D200">IF(OR(C200="红单",C200="空派"),_xlfn.IFS(E200="未开售","新品首批发货",F200&lt;E200,"新品首批发货",F200-E200&lt;=60,"新品期补货空运",F200-E200&gt;60,"老品应急空运"),"海运，不进行分析")</f>
        <v>新品首批发货</v>
      </c>
      <c r="E200" s="2">
        <v>46128</v>
      </c>
      <c r="F200" s="2">
        <f>_xlfn.XLOOKUP(J200,数据!E:E,数据!C:C)</f>
        <v>46111</v>
      </c>
      <c r="G200" s="4">
        <v>140</v>
      </c>
      <c r="H200" s="4">
        <f t="shared" si="10"/>
        <v>16.8</v>
      </c>
      <c r="I200" s="4">
        <f>_xlfn.XLOOKUP(J200,数据!E:E,数据!S:S)*(H200/_xlfn.XLOOKUP(J200,数据!E:E,数据!X:X))</f>
        <v>1135.56839561257</v>
      </c>
      <c r="J200" t="s">
        <v>1800</v>
      </c>
      <c r="K200" t="s">
        <v>39</v>
      </c>
      <c r="L200" t="s">
        <v>2374</v>
      </c>
      <c r="M200" t="s">
        <v>3789</v>
      </c>
      <c r="N200" t="s">
        <v>2376</v>
      </c>
      <c r="O200" t="s">
        <v>2400</v>
      </c>
      <c r="P200" t="s">
        <v>2378</v>
      </c>
      <c r="Q200" t="s">
        <v>2379</v>
      </c>
      <c r="R200" t="s">
        <v>3790</v>
      </c>
      <c r="S200" t="s">
        <v>2511</v>
      </c>
      <c r="T200" s="3" t="s">
        <v>3791</v>
      </c>
      <c r="U200" t="s">
        <v>3792</v>
      </c>
      <c r="V200" t="s">
        <v>3793</v>
      </c>
      <c r="W200" t="s">
        <v>3794</v>
      </c>
      <c r="X200" t="s">
        <v>2403</v>
      </c>
      <c r="Y200" t="s">
        <v>3795</v>
      </c>
      <c r="Z200" t="s">
        <v>2405</v>
      </c>
      <c r="AA200" t="s">
        <v>3791</v>
      </c>
      <c r="AB200" t="s">
        <v>3657</v>
      </c>
      <c r="AC200" t="s">
        <v>3796</v>
      </c>
      <c r="AD200" t="s">
        <v>3737</v>
      </c>
      <c r="AH200" t="s">
        <v>3659</v>
      </c>
      <c r="AI200" t="s">
        <v>3346</v>
      </c>
      <c r="AJ200" t="s">
        <v>3256</v>
      </c>
      <c r="AK200" t="s">
        <v>3257</v>
      </c>
      <c r="AL200" t="s">
        <v>3258</v>
      </c>
      <c r="AM200" t="s">
        <v>3259</v>
      </c>
      <c r="AN200" t="s">
        <v>3260</v>
      </c>
      <c r="AO200" t="s">
        <v>3256</v>
      </c>
      <c r="AP200">
        <v>120</v>
      </c>
      <c r="AQ200">
        <v>120</v>
      </c>
      <c r="AR200">
        <v>120</v>
      </c>
      <c r="AS200" t="s">
        <v>3807</v>
      </c>
      <c r="AT200">
        <v>0</v>
      </c>
      <c r="AU200">
        <v>0</v>
      </c>
      <c r="AV200">
        <v>0</v>
      </c>
    </row>
    <row r="201" spans="1:48">
      <c r="A201" s="1">
        <f>_xlfn.XLOOKUP(J201,数据!E:E,数据!A:A)</f>
        <v>3</v>
      </c>
      <c r="B201" s="1">
        <f>_xlfn.XLOOKUP(J201,数据!E:E,数据!B:B)</f>
        <v>13</v>
      </c>
      <c r="C201" s="1" t="str">
        <f>_xlfn.XLOOKUP(J201,数据!E:E,数据!J:J)</f>
        <v>红单</v>
      </c>
      <c r="D201" s="1" t="str" cm="1">
        <f t="array" ref="D201">IF(OR(C201="红单",C201="空派"),_xlfn.IFS(E201="未开售","新品首批发货",F201&lt;E201,"新品首批发货",F201-E201&lt;=60,"新品期补货空运",F201-E201&gt;60,"老品应急空运"),"海运，不进行分析")</f>
        <v>新品首批发货</v>
      </c>
      <c r="E201" s="2">
        <v>46131</v>
      </c>
      <c r="F201" s="2">
        <f>_xlfn.XLOOKUP(J201,数据!E:E,数据!C:C)</f>
        <v>46108</v>
      </c>
      <c r="G201" s="4">
        <v>201</v>
      </c>
      <c r="H201" s="4">
        <f t="shared" ref="H201:H206" si="11">G201*AP201/1000</f>
        <v>20.1</v>
      </c>
      <c r="I201" s="4">
        <f>_xlfn.XLOOKUP(J201,数据!E:E,数据!S:S)*(H201/_xlfn.XLOOKUP(J201,数据!E:E,数据!X:X))</f>
        <v>1761.61552999178</v>
      </c>
      <c r="J201" t="s">
        <v>1795</v>
      </c>
      <c r="K201" t="s">
        <v>224</v>
      </c>
      <c r="L201" t="s">
        <v>2374</v>
      </c>
      <c r="M201" t="s">
        <v>3808</v>
      </c>
      <c r="N201" t="s">
        <v>2376</v>
      </c>
      <c r="O201" t="s">
        <v>2400</v>
      </c>
      <c r="P201" t="s">
        <v>2378</v>
      </c>
      <c r="Q201" t="s">
        <v>2379</v>
      </c>
      <c r="R201" t="s">
        <v>3809</v>
      </c>
      <c r="S201" t="s">
        <v>2511</v>
      </c>
      <c r="T201" s="3" t="s">
        <v>3810</v>
      </c>
      <c r="U201" t="s">
        <v>3811</v>
      </c>
      <c r="V201" t="s">
        <v>3812</v>
      </c>
      <c r="W201" t="s">
        <v>3813</v>
      </c>
      <c r="X201" t="s">
        <v>2403</v>
      </c>
      <c r="Y201" t="s">
        <v>3814</v>
      </c>
      <c r="Z201" t="s">
        <v>2405</v>
      </c>
      <c r="AA201" t="s">
        <v>3810</v>
      </c>
      <c r="AB201" t="s">
        <v>3725</v>
      </c>
      <c r="AC201" t="s">
        <v>3815</v>
      </c>
      <c r="AD201" t="s">
        <v>3816</v>
      </c>
      <c r="AH201" t="s">
        <v>3659</v>
      </c>
      <c r="AI201" t="s">
        <v>3346</v>
      </c>
      <c r="AJ201" t="s">
        <v>2700</v>
      </c>
      <c r="AK201" t="s">
        <v>2701</v>
      </c>
      <c r="AL201" t="s">
        <v>2702</v>
      </c>
      <c r="AM201" t="s">
        <v>2703</v>
      </c>
      <c r="AN201" t="s">
        <v>2704</v>
      </c>
      <c r="AO201" t="s">
        <v>2700</v>
      </c>
      <c r="AP201">
        <v>100</v>
      </c>
      <c r="AQ201">
        <v>100</v>
      </c>
      <c r="AR201">
        <v>100</v>
      </c>
      <c r="AS201" t="s">
        <v>3817</v>
      </c>
      <c r="AT201">
        <v>0</v>
      </c>
      <c r="AU201">
        <v>0</v>
      </c>
      <c r="AV201">
        <v>0</v>
      </c>
    </row>
    <row r="202" spans="1:48">
      <c r="A202" s="1">
        <f>_xlfn.XLOOKUP(J202,数据!E:E,数据!A:A)</f>
        <v>3</v>
      </c>
      <c r="B202" s="1">
        <f>_xlfn.XLOOKUP(J202,数据!E:E,数据!B:B)</f>
        <v>13</v>
      </c>
      <c r="C202" s="1" t="str">
        <f>_xlfn.XLOOKUP(J202,数据!E:E,数据!J:J)</f>
        <v>红单</v>
      </c>
      <c r="D202" s="1" t="str" cm="1">
        <f t="array" ref="D202">IF(OR(C202="红单",C202="空派"),_xlfn.IFS(E202="未开售","新品首批发货",F202&lt;E202,"新品首批发货",F202-E202&lt;=60,"新品期补货空运",F202-E202&gt;60,"老品应急空运"),"海运，不进行分析")</f>
        <v>新品期补货空运</v>
      </c>
      <c r="E202" s="2">
        <v>46092</v>
      </c>
      <c r="F202" s="2">
        <f>_xlfn.XLOOKUP(J202,数据!E:E,数据!C:C)</f>
        <v>46108</v>
      </c>
      <c r="G202" s="4">
        <v>53</v>
      </c>
      <c r="H202" s="4">
        <f t="shared" si="11"/>
        <v>4.24</v>
      </c>
      <c r="I202" s="4">
        <f>_xlfn.XLOOKUP(J202,数据!E:E,数据!S:S)*(H202/_xlfn.XLOOKUP(J202,数据!E:E,数据!X:X))</f>
        <v>371.604470008217</v>
      </c>
      <c r="J202" t="s">
        <v>1795</v>
      </c>
      <c r="K202" t="s">
        <v>224</v>
      </c>
      <c r="L202" t="s">
        <v>2374</v>
      </c>
      <c r="M202" t="s">
        <v>3808</v>
      </c>
      <c r="N202" t="s">
        <v>2376</v>
      </c>
      <c r="O202" t="s">
        <v>2400</v>
      </c>
      <c r="P202" t="s">
        <v>2378</v>
      </c>
      <c r="Q202" t="s">
        <v>2379</v>
      </c>
      <c r="R202" t="s">
        <v>3809</v>
      </c>
      <c r="S202" t="s">
        <v>2511</v>
      </c>
      <c r="T202" s="3" t="s">
        <v>3810</v>
      </c>
      <c r="U202" t="s">
        <v>3811</v>
      </c>
      <c r="V202" t="s">
        <v>3812</v>
      </c>
      <c r="W202" t="s">
        <v>3813</v>
      </c>
      <c r="X202" t="s">
        <v>2403</v>
      </c>
      <c r="Y202" t="s">
        <v>3814</v>
      </c>
      <c r="Z202" t="s">
        <v>2405</v>
      </c>
      <c r="AA202" t="s">
        <v>3810</v>
      </c>
      <c r="AB202" t="s">
        <v>3725</v>
      </c>
      <c r="AC202" t="s">
        <v>3815</v>
      </c>
      <c r="AD202" t="s">
        <v>3816</v>
      </c>
      <c r="AH202" t="s">
        <v>3659</v>
      </c>
      <c r="AI202" t="s">
        <v>3346</v>
      </c>
      <c r="AJ202" t="s">
        <v>2494</v>
      </c>
      <c r="AK202" t="s">
        <v>2495</v>
      </c>
      <c r="AL202" t="s">
        <v>2496</v>
      </c>
      <c r="AM202" t="s">
        <v>2497</v>
      </c>
      <c r="AN202" t="s">
        <v>2498</v>
      </c>
      <c r="AO202" t="s">
        <v>2494</v>
      </c>
      <c r="AP202">
        <v>80</v>
      </c>
      <c r="AQ202">
        <v>80</v>
      </c>
      <c r="AR202">
        <v>80</v>
      </c>
      <c r="AS202" t="s">
        <v>3818</v>
      </c>
      <c r="AT202">
        <v>0</v>
      </c>
      <c r="AU202">
        <v>0</v>
      </c>
      <c r="AV202">
        <v>0</v>
      </c>
    </row>
    <row r="203" spans="1:48">
      <c r="A203" s="1">
        <f>_xlfn.XLOOKUP(J203,数据!E:E,数据!A:A)</f>
        <v>3</v>
      </c>
      <c r="B203" s="1">
        <f>_xlfn.XLOOKUP(J203,数据!E:E,数据!B:B)</f>
        <v>13</v>
      </c>
      <c r="C203" s="1" t="str">
        <f>_xlfn.XLOOKUP(J203,数据!E:E,数据!J:J)</f>
        <v>红单</v>
      </c>
      <c r="D203" s="1" t="str" cm="1">
        <f t="array" ref="D203">IF(OR(C203="红单",C203="空派"),_xlfn.IFS(E203="未开售","新品首批发货",F203&lt;E203,"新品首批发货",F203-E203&lt;=60,"新品期补货空运",F203-E203&gt;60,"老品应急空运"),"海运，不进行分析")</f>
        <v>新品首批发货</v>
      </c>
      <c r="E203" s="2">
        <v>46127</v>
      </c>
      <c r="F203" s="2">
        <f>_xlfn.XLOOKUP(J203,数据!E:E,数据!C:C)</f>
        <v>46108</v>
      </c>
      <c r="G203" s="4">
        <v>204</v>
      </c>
      <c r="H203" s="4">
        <f t="shared" si="11"/>
        <v>20.4</v>
      </c>
      <c r="I203" s="4">
        <f>_xlfn.XLOOKUP(J203,数据!E:E,数据!S:S)*(H203/_xlfn.XLOOKUP(J203,数据!E:E,数据!X:X))</f>
        <v>1504.2</v>
      </c>
      <c r="J203" t="s">
        <v>1797</v>
      </c>
      <c r="K203" t="s">
        <v>78</v>
      </c>
      <c r="L203" t="s">
        <v>2374</v>
      </c>
      <c r="M203" t="s">
        <v>3819</v>
      </c>
      <c r="N203" t="s">
        <v>2376</v>
      </c>
      <c r="O203" t="s">
        <v>2377</v>
      </c>
      <c r="P203" t="s">
        <v>2378</v>
      </c>
      <c r="Q203" t="s">
        <v>2379</v>
      </c>
      <c r="R203" t="s">
        <v>3820</v>
      </c>
      <c r="S203" t="s">
        <v>2511</v>
      </c>
      <c r="T203" s="3" t="s">
        <v>3821</v>
      </c>
      <c r="U203" t="s">
        <v>2384</v>
      </c>
      <c r="V203" t="s">
        <v>3822</v>
      </c>
      <c r="W203" t="s">
        <v>3823</v>
      </c>
      <c r="X203" t="s">
        <v>2403</v>
      </c>
      <c r="Y203" t="s">
        <v>3824</v>
      </c>
      <c r="Z203" t="s">
        <v>2387</v>
      </c>
      <c r="AA203" t="s">
        <v>3821</v>
      </c>
      <c r="AB203" t="s">
        <v>3825</v>
      </c>
      <c r="AC203" t="s">
        <v>3826</v>
      </c>
      <c r="AD203" t="s">
        <v>3827</v>
      </c>
      <c r="AH203" t="s">
        <v>3659</v>
      </c>
      <c r="AI203" t="s">
        <v>3346</v>
      </c>
      <c r="AJ203" t="s">
        <v>3828</v>
      </c>
      <c r="AK203" t="s">
        <v>3829</v>
      </c>
      <c r="AL203" t="s">
        <v>3830</v>
      </c>
      <c r="AM203" t="s">
        <v>3830</v>
      </c>
      <c r="AN203" t="s">
        <v>3831</v>
      </c>
      <c r="AO203" t="s">
        <v>3828</v>
      </c>
      <c r="AP203">
        <v>100</v>
      </c>
      <c r="AQ203">
        <v>100</v>
      </c>
      <c r="AR203">
        <v>100</v>
      </c>
      <c r="AS203" t="s">
        <v>3832</v>
      </c>
      <c r="AT203">
        <v>0</v>
      </c>
      <c r="AU203">
        <v>0</v>
      </c>
      <c r="AV203">
        <v>0</v>
      </c>
    </row>
    <row r="204" spans="1:48">
      <c r="A204" s="1">
        <f>_xlfn.XLOOKUP(J204,数据!E:E,数据!A:A)</f>
        <v>3</v>
      </c>
      <c r="B204" s="1">
        <f>_xlfn.XLOOKUP(J204,数据!E:E,数据!B:B)</f>
        <v>13</v>
      </c>
      <c r="C204" s="1" t="str">
        <f>_xlfn.XLOOKUP(J204,数据!E:E,数据!J:J)</f>
        <v>红单</v>
      </c>
      <c r="D204" s="1" t="str" cm="1">
        <f t="array" ref="D204">IF(OR(C204="红单",C204="空派"),_xlfn.IFS(E204="未开售","新品首批发货",F204&lt;E204,"新品首批发货",F204-E204&lt;=60,"新品期补货空运",F204-E204&gt;60,"老品应急空运"),"海运，不进行分析")</f>
        <v>新品首批发货</v>
      </c>
      <c r="E204" s="2">
        <v>46125</v>
      </c>
      <c r="F204" s="2">
        <f>_xlfn.XLOOKUP(J204,数据!E:E,数据!C:C)</f>
        <v>46108</v>
      </c>
      <c r="G204" s="4">
        <v>87</v>
      </c>
      <c r="H204" s="4">
        <f t="shared" si="11"/>
        <v>10.44</v>
      </c>
      <c r="I204" s="4">
        <f>_xlfn.XLOOKUP(J204,数据!E:E,数据!S:S)*(H204/_xlfn.XLOOKUP(J204,数据!E:E,数据!X:X))</f>
        <v>869.774364089775</v>
      </c>
      <c r="J204" t="s">
        <v>1798</v>
      </c>
      <c r="K204" t="s">
        <v>46</v>
      </c>
      <c r="L204" t="s">
        <v>2374</v>
      </c>
      <c r="M204" t="s">
        <v>3833</v>
      </c>
      <c r="N204" t="s">
        <v>2376</v>
      </c>
      <c r="O204" t="s">
        <v>2400</v>
      </c>
      <c r="P204" t="s">
        <v>2378</v>
      </c>
      <c r="Q204" t="s">
        <v>2379</v>
      </c>
      <c r="R204" t="s">
        <v>3834</v>
      </c>
      <c r="S204" t="s">
        <v>2511</v>
      </c>
      <c r="T204" s="3" t="s">
        <v>3821</v>
      </c>
      <c r="U204" t="s">
        <v>2384</v>
      </c>
      <c r="V204" t="s">
        <v>3835</v>
      </c>
      <c r="W204" t="s">
        <v>3836</v>
      </c>
      <c r="X204" t="s">
        <v>2403</v>
      </c>
      <c r="Y204" t="s">
        <v>3837</v>
      </c>
      <c r="Z204" t="s">
        <v>2405</v>
      </c>
      <c r="AA204" t="s">
        <v>3821</v>
      </c>
      <c r="AB204" t="s">
        <v>3838</v>
      </c>
      <c r="AC204" t="s">
        <v>3839</v>
      </c>
      <c r="AD204" t="s">
        <v>3827</v>
      </c>
      <c r="AH204" t="s">
        <v>3659</v>
      </c>
      <c r="AI204" t="s">
        <v>3346</v>
      </c>
      <c r="AJ204" t="s">
        <v>3840</v>
      </c>
      <c r="AK204" t="s">
        <v>3841</v>
      </c>
      <c r="AL204" t="s">
        <v>3842</v>
      </c>
      <c r="AM204" t="s">
        <v>3445</v>
      </c>
      <c r="AN204" t="s">
        <v>3843</v>
      </c>
      <c r="AO204" t="s">
        <v>3840</v>
      </c>
      <c r="AP204">
        <v>120</v>
      </c>
      <c r="AQ204">
        <v>120</v>
      </c>
      <c r="AR204">
        <v>120</v>
      </c>
      <c r="AS204" t="s">
        <v>3844</v>
      </c>
      <c r="AT204">
        <v>0</v>
      </c>
      <c r="AU204">
        <v>0</v>
      </c>
      <c r="AV204">
        <v>0</v>
      </c>
    </row>
    <row r="205" spans="1:48">
      <c r="A205" s="1">
        <f>_xlfn.XLOOKUP(J205,数据!E:E,数据!A:A)</f>
        <v>3</v>
      </c>
      <c r="B205" s="1">
        <f>_xlfn.XLOOKUP(J205,数据!E:E,数据!B:B)</f>
        <v>13</v>
      </c>
      <c r="C205" s="1" t="str">
        <f>_xlfn.XLOOKUP(J205,数据!E:E,数据!J:J)</f>
        <v>红单</v>
      </c>
      <c r="D205" s="1" t="str" cm="1">
        <f t="array" ref="D205">IF(OR(C205="红单",C205="空派"),_xlfn.IFS(E205="未开售","新品首批发货",F205&lt;E205,"新品首批发货",F205-E205&lt;=60,"新品期补货空运",F205-E205&gt;60,"老品应急空运"),"海运，不进行分析")</f>
        <v>新品首批发货</v>
      </c>
      <c r="E205" s="2">
        <v>46129</v>
      </c>
      <c r="F205" s="2">
        <f>_xlfn.XLOOKUP(J205,数据!E:E,数据!C:C)</f>
        <v>46108</v>
      </c>
      <c r="G205" s="4">
        <v>74</v>
      </c>
      <c r="H205" s="4">
        <f t="shared" si="11"/>
        <v>8.88</v>
      </c>
      <c r="I205" s="4">
        <f>_xlfn.XLOOKUP(J205,数据!E:E,数据!S:S)*(H205/_xlfn.XLOOKUP(J205,数据!E:E,数据!X:X))</f>
        <v>739.808079800499</v>
      </c>
      <c r="J205" t="s">
        <v>1798</v>
      </c>
      <c r="K205" t="s">
        <v>46</v>
      </c>
      <c r="L205" t="s">
        <v>2374</v>
      </c>
      <c r="M205" t="s">
        <v>3833</v>
      </c>
      <c r="N205" t="s">
        <v>2376</v>
      </c>
      <c r="O205" t="s">
        <v>2400</v>
      </c>
      <c r="P205" t="s">
        <v>2378</v>
      </c>
      <c r="Q205" t="s">
        <v>2379</v>
      </c>
      <c r="R205" t="s">
        <v>3834</v>
      </c>
      <c r="S205" t="s">
        <v>2511</v>
      </c>
      <c r="T205" s="3" t="s">
        <v>3821</v>
      </c>
      <c r="U205" t="s">
        <v>2384</v>
      </c>
      <c r="V205" t="s">
        <v>3835</v>
      </c>
      <c r="W205" t="s">
        <v>3836</v>
      </c>
      <c r="X205" t="s">
        <v>2403</v>
      </c>
      <c r="Y205" t="s">
        <v>3837</v>
      </c>
      <c r="Z205" t="s">
        <v>2405</v>
      </c>
      <c r="AA205" t="s">
        <v>3821</v>
      </c>
      <c r="AB205" t="s">
        <v>3838</v>
      </c>
      <c r="AC205" t="s">
        <v>3839</v>
      </c>
      <c r="AD205" t="s">
        <v>3827</v>
      </c>
      <c r="AH205" t="s">
        <v>3659</v>
      </c>
      <c r="AI205" t="s">
        <v>3346</v>
      </c>
      <c r="AJ205" t="s">
        <v>3845</v>
      </c>
      <c r="AK205" t="s">
        <v>3846</v>
      </c>
      <c r="AL205" t="s">
        <v>3847</v>
      </c>
      <c r="AM205" t="s">
        <v>3445</v>
      </c>
      <c r="AN205" t="s">
        <v>3848</v>
      </c>
      <c r="AO205" t="s">
        <v>3845</v>
      </c>
      <c r="AP205">
        <v>120</v>
      </c>
      <c r="AQ205">
        <v>120</v>
      </c>
      <c r="AR205">
        <v>120</v>
      </c>
      <c r="AS205" t="s">
        <v>3849</v>
      </c>
      <c r="AT205">
        <v>0</v>
      </c>
      <c r="AU205">
        <v>0</v>
      </c>
      <c r="AV205">
        <v>0</v>
      </c>
    </row>
    <row r="206" spans="1:48">
      <c r="A206" s="1">
        <f>_xlfn.XLOOKUP(J206,数据!E:E,数据!A:A)</f>
        <v>3</v>
      </c>
      <c r="B206" s="1">
        <f>_xlfn.XLOOKUP(J206,数据!E:E,数据!B:B)</f>
        <v>13</v>
      </c>
      <c r="C206" s="1" t="str">
        <f>_xlfn.XLOOKUP(J206,数据!E:E,数据!J:J)</f>
        <v>红单</v>
      </c>
      <c r="D206" s="1" t="str" cm="1">
        <f t="array" ref="D206">IF(OR(C206="红单",C206="空派"),_xlfn.IFS(E206="未开售","新品首批发货",F206&lt;E206,"新品首批发货",F206-E206&lt;=60,"新品期补货空运",F206-E206&gt;60,"老品应急空运"),"海运，不进行分析")</f>
        <v>新品首批发货</v>
      </c>
      <c r="E206" s="2">
        <v>46125</v>
      </c>
      <c r="F206" s="2">
        <f>_xlfn.XLOOKUP(J206,数据!E:E,数据!C:C)</f>
        <v>46108</v>
      </c>
      <c r="G206" s="4">
        <v>71</v>
      </c>
      <c r="H206" s="4">
        <f t="shared" si="11"/>
        <v>6.745</v>
      </c>
      <c r="I206" s="4">
        <f>_xlfn.XLOOKUP(J206,数据!E:E,数据!S:S)*(H206/_xlfn.XLOOKUP(J206,数据!E:E,数据!X:X))</f>
        <v>561.937556109726</v>
      </c>
      <c r="J206" t="s">
        <v>1798</v>
      </c>
      <c r="K206" t="s">
        <v>46</v>
      </c>
      <c r="L206" t="s">
        <v>2374</v>
      </c>
      <c r="M206" t="s">
        <v>3833</v>
      </c>
      <c r="N206" t="s">
        <v>2376</v>
      </c>
      <c r="O206" t="s">
        <v>2400</v>
      </c>
      <c r="P206" t="s">
        <v>2378</v>
      </c>
      <c r="Q206" t="s">
        <v>2379</v>
      </c>
      <c r="R206" t="s">
        <v>3834</v>
      </c>
      <c r="S206" t="s">
        <v>2511</v>
      </c>
      <c r="T206" s="3" t="s">
        <v>3821</v>
      </c>
      <c r="U206" t="s">
        <v>2384</v>
      </c>
      <c r="V206" t="s">
        <v>3835</v>
      </c>
      <c r="W206" t="s">
        <v>3836</v>
      </c>
      <c r="X206" t="s">
        <v>2403</v>
      </c>
      <c r="Y206" t="s">
        <v>3837</v>
      </c>
      <c r="Z206" t="s">
        <v>2405</v>
      </c>
      <c r="AA206" t="s">
        <v>3821</v>
      </c>
      <c r="AB206" t="s">
        <v>3838</v>
      </c>
      <c r="AC206" t="s">
        <v>3839</v>
      </c>
      <c r="AD206" t="s">
        <v>3827</v>
      </c>
      <c r="AH206" t="s">
        <v>3659</v>
      </c>
      <c r="AI206" t="s">
        <v>3346</v>
      </c>
      <c r="AJ206" t="s">
        <v>2970</v>
      </c>
      <c r="AK206" t="s">
        <v>2971</v>
      </c>
      <c r="AL206" t="s">
        <v>2972</v>
      </c>
      <c r="AM206" t="s">
        <v>2972</v>
      </c>
      <c r="AN206" t="s">
        <v>2973</v>
      </c>
      <c r="AO206" t="s">
        <v>2970</v>
      </c>
      <c r="AP206">
        <v>95</v>
      </c>
      <c r="AQ206">
        <v>95</v>
      </c>
      <c r="AR206">
        <v>95</v>
      </c>
      <c r="AS206" t="s">
        <v>3850</v>
      </c>
      <c r="AT206">
        <v>0</v>
      </c>
      <c r="AU206">
        <v>0</v>
      </c>
      <c r="AV206">
        <v>0</v>
      </c>
    </row>
    <row r="207" spans="1:48">
      <c r="A207" s="1">
        <f>_xlfn.XLOOKUP(J207,数据!E:E,数据!A:A)</f>
        <v>3</v>
      </c>
      <c r="B207" s="1">
        <f>_xlfn.XLOOKUP(J207,数据!E:E,数据!B:B)</f>
        <v>13</v>
      </c>
      <c r="C207" s="1" t="str">
        <f>_xlfn.XLOOKUP(J207,数据!E:E,数据!J:J)</f>
        <v>红单</v>
      </c>
      <c r="D207" s="1" t="str" cm="1">
        <f t="array" ref="D207">IF(OR(C207="红单",C207="空派"),_xlfn.IFS(E207="未开售","新品首批发货",F207&lt;E207,"新品首批发货",F207-E207&lt;=60,"新品期补货空运",F207-E207&gt;60,"老品应急空运"),"海运，不进行分析")</f>
        <v>新品首批发货</v>
      </c>
      <c r="E207" s="2">
        <v>46134</v>
      </c>
      <c r="F207" s="2">
        <f>_xlfn.XLOOKUP(J207,数据!E:E,数据!C:C)</f>
        <v>46107</v>
      </c>
      <c r="G207" s="4">
        <v>188</v>
      </c>
      <c r="H207" s="4">
        <f>G207*AP207/1000</f>
        <v>13.16</v>
      </c>
      <c r="I207" s="4">
        <f>_xlfn.XLOOKUP(J207,数据!E:E,数据!S:S)*(H207/_xlfn.XLOOKUP(J207,数据!E:E,数据!X:X))</f>
        <v>932.006939017171</v>
      </c>
      <c r="J207" t="s">
        <v>1657</v>
      </c>
      <c r="K207" t="s">
        <v>54</v>
      </c>
      <c r="L207" t="s">
        <v>2374</v>
      </c>
      <c r="M207" t="s">
        <v>3851</v>
      </c>
      <c r="N207" t="s">
        <v>2376</v>
      </c>
      <c r="O207" t="s">
        <v>2400</v>
      </c>
      <c r="P207" t="s">
        <v>2378</v>
      </c>
      <c r="Q207" t="s">
        <v>2379</v>
      </c>
      <c r="R207" t="s">
        <v>3852</v>
      </c>
      <c r="S207" t="s">
        <v>2511</v>
      </c>
      <c r="T207" s="3" t="s">
        <v>3853</v>
      </c>
      <c r="U207" t="s">
        <v>3854</v>
      </c>
      <c r="V207" t="s">
        <v>3855</v>
      </c>
      <c r="W207" t="s">
        <v>3856</v>
      </c>
      <c r="X207" t="s">
        <v>2403</v>
      </c>
      <c r="Y207" t="s">
        <v>3857</v>
      </c>
      <c r="Z207" t="s">
        <v>2387</v>
      </c>
      <c r="AA207" t="s">
        <v>3853</v>
      </c>
      <c r="AB207" t="s">
        <v>3858</v>
      </c>
      <c r="AC207" t="s">
        <v>3859</v>
      </c>
      <c r="AD207" t="s">
        <v>3860</v>
      </c>
      <c r="AH207" t="s">
        <v>3861</v>
      </c>
      <c r="AI207" t="s">
        <v>3659</v>
      </c>
      <c r="AJ207" t="s">
        <v>3862</v>
      </c>
      <c r="AK207" t="s">
        <v>3863</v>
      </c>
      <c r="AL207" t="s">
        <v>3864</v>
      </c>
      <c r="AM207" t="s">
        <v>2555</v>
      </c>
      <c r="AN207" t="s">
        <v>3865</v>
      </c>
      <c r="AO207" t="s">
        <v>3862</v>
      </c>
      <c r="AP207">
        <v>70</v>
      </c>
      <c r="AQ207">
        <v>70</v>
      </c>
      <c r="AR207">
        <v>70</v>
      </c>
      <c r="AS207" t="s">
        <v>3866</v>
      </c>
      <c r="AT207">
        <v>0</v>
      </c>
      <c r="AU207">
        <v>0</v>
      </c>
      <c r="AV207">
        <v>0</v>
      </c>
    </row>
    <row r="208" spans="1:48">
      <c r="A208" s="1">
        <f>_xlfn.XLOOKUP(J208,数据!E:E,数据!A:A)</f>
        <v>3</v>
      </c>
      <c r="B208" s="1">
        <f>_xlfn.XLOOKUP(J208,数据!E:E,数据!B:B)</f>
        <v>13</v>
      </c>
      <c r="C208" s="1" t="str">
        <f>_xlfn.XLOOKUP(J208,数据!E:E,数据!J:J)</f>
        <v>红单</v>
      </c>
      <c r="D208" s="1" t="str" cm="1">
        <f t="array" ref="D208">IF(OR(C208="红单",C208="空派"),_xlfn.IFS(E208="未开售","新品首批发货",F208&lt;E208,"新品首批发货",F208-E208&lt;=60,"新品期补货空运",F208-E208&gt;60,"老品应急空运"),"海运，不进行分析")</f>
        <v>新品首批发货</v>
      </c>
      <c r="E208" s="2">
        <v>46134</v>
      </c>
      <c r="F208" s="2">
        <f>_xlfn.XLOOKUP(J208,数据!E:E,数据!C:C)</f>
        <v>46107</v>
      </c>
      <c r="G208" s="4">
        <v>187</v>
      </c>
      <c r="H208" s="4">
        <f>G208*AP208/1000</f>
        <v>13.09</v>
      </c>
      <c r="I208" s="4">
        <f>_xlfn.XLOOKUP(J208,数据!E:E,数据!S:S)*(H208/_xlfn.XLOOKUP(J208,数据!E:E,数据!X:X))</f>
        <v>927.049455298994</v>
      </c>
      <c r="J208" t="s">
        <v>1657</v>
      </c>
      <c r="K208" t="s">
        <v>54</v>
      </c>
      <c r="L208" t="s">
        <v>2374</v>
      </c>
      <c r="M208" t="s">
        <v>3851</v>
      </c>
      <c r="N208" t="s">
        <v>2376</v>
      </c>
      <c r="O208" t="s">
        <v>2400</v>
      </c>
      <c r="P208" t="s">
        <v>2378</v>
      </c>
      <c r="Q208" t="s">
        <v>2379</v>
      </c>
      <c r="R208" t="s">
        <v>3852</v>
      </c>
      <c r="S208" t="s">
        <v>2511</v>
      </c>
      <c r="T208" s="3" t="s">
        <v>3853</v>
      </c>
      <c r="U208" t="s">
        <v>3854</v>
      </c>
      <c r="V208" t="s">
        <v>3855</v>
      </c>
      <c r="W208" t="s">
        <v>3856</v>
      </c>
      <c r="X208" t="s">
        <v>2403</v>
      </c>
      <c r="Y208" t="s">
        <v>3857</v>
      </c>
      <c r="Z208" t="s">
        <v>2387</v>
      </c>
      <c r="AA208" t="s">
        <v>3853</v>
      </c>
      <c r="AB208" t="s">
        <v>3858</v>
      </c>
      <c r="AC208" t="s">
        <v>3859</v>
      </c>
      <c r="AD208" t="s">
        <v>3860</v>
      </c>
      <c r="AH208" t="s">
        <v>3861</v>
      </c>
      <c r="AI208" t="s">
        <v>3659</v>
      </c>
      <c r="AJ208" t="s">
        <v>3867</v>
      </c>
      <c r="AK208" t="s">
        <v>3868</v>
      </c>
      <c r="AL208" t="s">
        <v>3869</v>
      </c>
      <c r="AM208" t="s">
        <v>2555</v>
      </c>
      <c r="AN208" t="s">
        <v>3870</v>
      </c>
      <c r="AO208" t="s">
        <v>3867</v>
      </c>
      <c r="AP208">
        <v>70</v>
      </c>
      <c r="AQ208">
        <v>70</v>
      </c>
      <c r="AR208">
        <v>70</v>
      </c>
      <c r="AS208" t="s">
        <v>3866</v>
      </c>
      <c r="AT208">
        <v>0</v>
      </c>
      <c r="AU208">
        <v>0</v>
      </c>
      <c r="AV208">
        <v>0</v>
      </c>
    </row>
    <row r="209" spans="1:48">
      <c r="A209" s="1">
        <f>_xlfn.XLOOKUP(J209,数据!E:E,数据!A:A)</f>
        <v>3</v>
      </c>
      <c r="B209" s="1">
        <f>_xlfn.XLOOKUP(J209,数据!E:E,数据!B:B)</f>
        <v>13</v>
      </c>
      <c r="C209" s="1" t="str">
        <f>_xlfn.XLOOKUP(J209,数据!E:E,数据!J:J)</f>
        <v>红单</v>
      </c>
      <c r="D209" s="1" t="str" cm="1">
        <f t="array" ref="D209">IF(OR(C209="红单",C209="空派"),_xlfn.IFS(E209="未开售","新品首批发货",F209&lt;E209,"新品首批发货",F209-E209&lt;=60,"新品期补货空运",F209-E209&gt;60,"老品应急空运"),"海运，不进行分析")</f>
        <v>新品首批发货</v>
      </c>
      <c r="E209" s="2">
        <v>46138</v>
      </c>
      <c r="F209" s="2">
        <f>_xlfn.XLOOKUP(J209,数据!E:E,数据!C:C)</f>
        <v>46107</v>
      </c>
      <c r="G209" s="4">
        <v>187</v>
      </c>
      <c r="H209" s="4">
        <f>G209*AP209/1000</f>
        <v>13.09</v>
      </c>
      <c r="I209" s="4">
        <f>_xlfn.XLOOKUP(J209,数据!E:E,数据!S:S)*(H209/_xlfn.XLOOKUP(J209,数据!E:E,数据!X:X))</f>
        <v>927.049455298994</v>
      </c>
      <c r="J209" t="s">
        <v>1657</v>
      </c>
      <c r="K209" t="s">
        <v>54</v>
      </c>
      <c r="L209" t="s">
        <v>2374</v>
      </c>
      <c r="M209" t="s">
        <v>3851</v>
      </c>
      <c r="N209" t="s">
        <v>2376</v>
      </c>
      <c r="O209" t="s">
        <v>2400</v>
      </c>
      <c r="P209" t="s">
        <v>2378</v>
      </c>
      <c r="Q209" t="s">
        <v>2379</v>
      </c>
      <c r="R209" t="s">
        <v>3852</v>
      </c>
      <c r="S209" t="s">
        <v>2511</v>
      </c>
      <c r="T209" s="3" t="s">
        <v>3853</v>
      </c>
      <c r="U209" t="s">
        <v>3854</v>
      </c>
      <c r="V209" t="s">
        <v>3855</v>
      </c>
      <c r="W209" t="s">
        <v>3856</v>
      </c>
      <c r="X209" t="s">
        <v>2403</v>
      </c>
      <c r="Y209" t="s">
        <v>3857</v>
      </c>
      <c r="Z209" t="s">
        <v>2387</v>
      </c>
      <c r="AA209" t="s">
        <v>3853</v>
      </c>
      <c r="AB209" t="s">
        <v>3858</v>
      </c>
      <c r="AC209" t="s">
        <v>3859</v>
      </c>
      <c r="AD209" t="s">
        <v>3860</v>
      </c>
      <c r="AH209" t="s">
        <v>3861</v>
      </c>
      <c r="AI209" t="s">
        <v>3659</v>
      </c>
      <c r="AJ209" t="s">
        <v>3871</v>
      </c>
      <c r="AK209" t="s">
        <v>3872</v>
      </c>
      <c r="AL209" t="s">
        <v>3873</v>
      </c>
      <c r="AM209" t="s">
        <v>2555</v>
      </c>
      <c r="AN209" t="s">
        <v>3874</v>
      </c>
      <c r="AO209" t="s">
        <v>3871</v>
      </c>
      <c r="AP209">
        <v>70</v>
      </c>
      <c r="AQ209">
        <v>70</v>
      </c>
      <c r="AR209">
        <v>70</v>
      </c>
      <c r="AS209" t="s">
        <v>3875</v>
      </c>
      <c r="AT209">
        <v>0</v>
      </c>
      <c r="AU209">
        <v>0</v>
      </c>
      <c r="AV209">
        <v>0</v>
      </c>
    </row>
    <row r="210" spans="1:48">
      <c r="A210" s="1">
        <f>_xlfn.XLOOKUP(J210,数据!E:E,数据!A:A)</f>
        <v>3</v>
      </c>
      <c r="B210" s="1">
        <f>_xlfn.XLOOKUP(J210,数据!E:E,数据!B:B)</f>
        <v>13</v>
      </c>
      <c r="C210" s="1" t="str">
        <f>_xlfn.XLOOKUP(J210,数据!E:E,数据!J:J)</f>
        <v>红单</v>
      </c>
      <c r="D210" s="1" t="str" cm="1">
        <f t="array" ref="D210">IF(OR(C210="红单",C210="空派"),_xlfn.IFS(E210="未开售","新品首批发货",F210&lt;E210,"新品首批发货",F210-E210&lt;=60,"新品期补货空运",F210-E210&gt;60,"老品应急空运"),"海运，不进行分析")</f>
        <v>新品期补货空运</v>
      </c>
      <c r="E210" s="2">
        <v>46072</v>
      </c>
      <c r="F210" s="2">
        <f>_xlfn.XLOOKUP(J210,数据!E:E,数据!C:C)</f>
        <v>46107</v>
      </c>
      <c r="G210" s="4">
        <v>114</v>
      </c>
      <c r="H210" s="4">
        <f t="shared" ref="H210:H215" si="12">G210*AP210/1000</f>
        <v>5.7</v>
      </c>
      <c r="I210" s="4">
        <f>_xlfn.XLOOKUP(J210,数据!E:E,数据!S:S)*(H210/_xlfn.XLOOKUP(J210,数据!E:E,数据!X:X))</f>
        <v>403.68081705151</v>
      </c>
      <c r="J210" t="s">
        <v>1657</v>
      </c>
      <c r="K210" t="s">
        <v>54</v>
      </c>
      <c r="L210" t="s">
        <v>2374</v>
      </c>
      <c r="M210" t="s">
        <v>3851</v>
      </c>
      <c r="N210" t="s">
        <v>2376</v>
      </c>
      <c r="O210" t="s">
        <v>2400</v>
      </c>
      <c r="P210" t="s">
        <v>2378</v>
      </c>
      <c r="Q210" t="s">
        <v>2379</v>
      </c>
      <c r="R210" t="s">
        <v>3852</v>
      </c>
      <c r="S210" t="s">
        <v>2511</v>
      </c>
      <c r="T210" s="3" t="s">
        <v>3853</v>
      </c>
      <c r="U210" t="s">
        <v>3854</v>
      </c>
      <c r="V210" t="s">
        <v>3855</v>
      </c>
      <c r="W210" t="s">
        <v>3856</v>
      </c>
      <c r="X210" t="s">
        <v>2403</v>
      </c>
      <c r="Y210" t="s">
        <v>3857</v>
      </c>
      <c r="Z210" t="s">
        <v>2387</v>
      </c>
      <c r="AA210" t="s">
        <v>3853</v>
      </c>
      <c r="AB210" t="s">
        <v>3858</v>
      </c>
      <c r="AC210" t="s">
        <v>3859</v>
      </c>
      <c r="AD210" t="s">
        <v>3860</v>
      </c>
      <c r="AH210" t="s">
        <v>3861</v>
      </c>
      <c r="AI210" t="s">
        <v>3659</v>
      </c>
      <c r="AJ210" t="s">
        <v>3876</v>
      </c>
      <c r="AK210" t="s">
        <v>3877</v>
      </c>
      <c r="AL210" t="s">
        <v>3878</v>
      </c>
      <c r="AM210" t="s">
        <v>3219</v>
      </c>
      <c r="AN210" t="s">
        <v>3879</v>
      </c>
      <c r="AO210" t="s">
        <v>3876</v>
      </c>
      <c r="AP210">
        <v>50</v>
      </c>
      <c r="AQ210">
        <v>50</v>
      </c>
      <c r="AR210">
        <v>50</v>
      </c>
      <c r="AS210" t="s">
        <v>3880</v>
      </c>
      <c r="AT210">
        <v>0</v>
      </c>
      <c r="AU210">
        <v>0</v>
      </c>
      <c r="AV210">
        <v>0</v>
      </c>
    </row>
    <row r="211" spans="1:48">
      <c r="A211" s="1">
        <f>_xlfn.XLOOKUP(J211,数据!E:E,数据!A:A)</f>
        <v>3</v>
      </c>
      <c r="B211" s="1">
        <f>_xlfn.XLOOKUP(J211,数据!E:E,数据!B:B)</f>
        <v>13</v>
      </c>
      <c r="C211" s="1" t="str">
        <f>_xlfn.XLOOKUP(J211,数据!E:E,数据!J:J)</f>
        <v>红单</v>
      </c>
      <c r="D211" s="1" t="str" cm="1">
        <f t="array" ref="D211">IF(OR(C211="红单",C211="空派"),_xlfn.IFS(E211="未开售","新品首批发货",F211&lt;E211,"新品首批发货",F211-E211&lt;=60,"新品期补货空运",F211-E211&gt;60,"老品应急空运"),"海运，不进行分析")</f>
        <v>新品首批发货</v>
      </c>
      <c r="E211" s="2">
        <v>46131</v>
      </c>
      <c r="F211" s="2">
        <f>_xlfn.XLOOKUP(J211,数据!E:E,数据!C:C)</f>
        <v>46107</v>
      </c>
      <c r="G211" s="4">
        <v>187</v>
      </c>
      <c r="H211" s="4">
        <f t="shared" si="12"/>
        <v>14.96</v>
      </c>
      <c r="I211" s="4">
        <f>_xlfn.XLOOKUP(J211,数据!E:E,数据!S:S)*(H211/_xlfn.XLOOKUP(J211,数据!E:E,数据!X:X))</f>
        <v>1110.47759608666</v>
      </c>
      <c r="J211" t="s">
        <v>1656</v>
      </c>
      <c r="K211" t="s">
        <v>51</v>
      </c>
      <c r="L211" t="s">
        <v>2374</v>
      </c>
      <c r="M211" t="s">
        <v>3881</v>
      </c>
      <c r="N211" t="s">
        <v>2376</v>
      </c>
      <c r="O211" t="s">
        <v>2400</v>
      </c>
      <c r="P211" t="s">
        <v>2378</v>
      </c>
      <c r="Q211" t="s">
        <v>2379</v>
      </c>
      <c r="R211" t="s">
        <v>3882</v>
      </c>
      <c r="S211" t="s">
        <v>2511</v>
      </c>
      <c r="T211" s="3" t="s">
        <v>3853</v>
      </c>
      <c r="U211" t="s">
        <v>3854</v>
      </c>
      <c r="V211" t="s">
        <v>3883</v>
      </c>
      <c r="W211" t="s">
        <v>3884</v>
      </c>
      <c r="X211" t="s">
        <v>2403</v>
      </c>
      <c r="Y211" t="s">
        <v>3885</v>
      </c>
      <c r="Z211" t="s">
        <v>2405</v>
      </c>
      <c r="AA211" t="s">
        <v>3853</v>
      </c>
      <c r="AB211" t="s">
        <v>3771</v>
      </c>
      <c r="AC211" t="s">
        <v>3886</v>
      </c>
      <c r="AD211" t="s">
        <v>3860</v>
      </c>
      <c r="AH211" t="s">
        <v>3861</v>
      </c>
      <c r="AI211" t="s">
        <v>3659</v>
      </c>
      <c r="AJ211" t="s">
        <v>3529</v>
      </c>
      <c r="AK211" t="s">
        <v>3530</v>
      </c>
      <c r="AL211" t="s">
        <v>3531</v>
      </c>
      <c r="AM211" t="s">
        <v>3531</v>
      </c>
      <c r="AN211" t="s">
        <v>3532</v>
      </c>
      <c r="AO211" t="s">
        <v>3529</v>
      </c>
      <c r="AP211">
        <v>80</v>
      </c>
      <c r="AQ211">
        <v>80</v>
      </c>
      <c r="AR211">
        <v>80</v>
      </c>
      <c r="AS211" t="s">
        <v>3887</v>
      </c>
      <c r="AT211">
        <v>0</v>
      </c>
      <c r="AU211">
        <v>0</v>
      </c>
      <c r="AV211">
        <v>0</v>
      </c>
    </row>
    <row r="212" spans="1:48">
      <c r="A212" s="1">
        <f>_xlfn.XLOOKUP(J212,数据!E:E,数据!A:A)</f>
        <v>3</v>
      </c>
      <c r="B212" s="1">
        <f>_xlfn.XLOOKUP(J212,数据!E:E,数据!B:B)</f>
        <v>13</v>
      </c>
      <c r="C212" s="1" t="str">
        <f>_xlfn.XLOOKUP(J212,数据!E:E,数据!J:J)</f>
        <v>红单</v>
      </c>
      <c r="D212" s="1" t="str" cm="1">
        <f t="array" ref="D212">IF(OR(C212="红单",C212="空派"),_xlfn.IFS(E212="未开售","新品首批发货",F212&lt;E212,"新品首批发货",F212-E212&lt;=60,"新品期补货空运",F212-E212&gt;60,"老品应急空运"),"海运，不进行分析")</f>
        <v>新品期补货空运</v>
      </c>
      <c r="E212" s="2">
        <v>46088</v>
      </c>
      <c r="F212" s="2">
        <f>_xlfn.XLOOKUP(J212,数据!E:E,数据!C:C)</f>
        <v>46107</v>
      </c>
      <c r="G212" s="4">
        <v>118</v>
      </c>
      <c r="H212" s="4">
        <f t="shared" si="12"/>
        <v>0.118</v>
      </c>
      <c r="I212" s="4">
        <f>_xlfn.XLOOKUP(J212,数据!E:E,数据!S:S)*(H212/_xlfn.XLOOKUP(J212,数据!E:E,数据!X:X))</f>
        <v>8.759114728491</v>
      </c>
      <c r="J212" t="s">
        <v>1656</v>
      </c>
      <c r="K212" t="s">
        <v>51</v>
      </c>
      <c r="L212" t="s">
        <v>2374</v>
      </c>
      <c r="M212" t="s">
        <v>3881</v>
      </c>
      <c r="N212" t="s">
        <v>2376</v>
      </c>
      <c r="O212" t="s">
        <v>2400</v>
      </c>
      <c r="P212" t="s">
        <v>2378</v>
      </c>
      <c r="Q212" t="s">
        <v>2379</v>
      </c>
      <c r="R212" t="s">
        <v>3882</v>
      </c>
      <c r="S212" t="s">
        <v>2511</v>
      </c>
      <c r="T212" s="3" t="s">
        <v>3853</v>
      </c>
      <c r="U212" t="s">
        <v>3854</v>
      </c>
      <c r="V212" t="s">
        <v>3883</v>
      </c>
      <c r="W212" t="s">
        <v>3884</v>
      </c>
      <c r="X212" t="s">
        <v>2403</v>
      </c>
      <c r="Y212" t="s">
        <v>3885</v>
      </c>
      <c r="Z212" t="s">
        <v>2405</v>
      </c>
      <c r="AA212" t="s">
        <v>3853</v>
      </c>
      <c r="AB212" t="s">
        <v>3771</v>
      </c>
      <c r="AC212" t="s">
        <v>3886</v>
      </c>
      <c r="AD212" t="s">
        <v>3860</v>
      </c>
      <c r="AH212" t="s">
        <v>3861</v>
      </c>
      <c r="AI212" t="s">
        <v>3659</v>
      </c>
      <c r="AJ212" t="s">
        <v>3888</v>
      </c>
      <c r="AK212" t="s">
        <v>3889</v>
      </c>
      <c r="AL212" t="s">
        <v>3890</v>
      </c>
      <c r="AM212" t="s">
        <v>3891</v>
      </c>
      <c r="AN212" t="s">
        <v>3892</v>
      </c>
      <c r="AO212" t="s">
        <v>3888</v>
      </c>
      <c r="AP212">
        <v>1</v>
      </c>
      <c r="AQ212">
        <v>1</v>
      </c>
      <c r="AR212">
        <v>1</v>
      </c>
      <c r="AS212" t="s">
        <v>3893</v>
      </c>
      <c r="AT212">
        <v>0</v>
      </c>
      <c r="AU212">
        <v>0</v>
      </c>
      <c r="AV212">
        <v>0</v>
      </c>
    </row>
    <row r="213" spans="1:48">
      <c r="A213" s="1">
        <f>_xlfn.XLOOKUP(J213,数据!E:E,数据!A:A)</f>
        <v>3</v>
      </c>
      <c r="B213" s="1">
        <f>_xlfn.XLOOKUP(J213,数据!E:E,数据!B:B)</f>
        <v>13</v>
      </c>
      <c r="C213" s="1" t="str">
        <f>_xlfn.XLOOKUP(J213,数据!E:E,数据!J:J)</f>
        <v>红单</v>
      </c>
      <c r="D213" s="1" t="str" cm="1">
        <f t="array" ref="D213">IF(OR(C213="红单",C213="空派"),_xlfn.IFS(E213="未开售","新品首批发货",F213&lt;E213,"新品首批发货",F213-E213&lt;=60,"新品期补货空运",F213-E213&gt;60,"老品应急空运"),"海运，不进行分析")</f>
        <v>新品期补货空运</v>
      </c>
      <c r="E213" s="2">
        <v>46088</v>
      </c>
      <c r="F213" s="2">
        <f>_xlfn.XLOOKUP(J213,数据!E:E,数据!C:C)</f>
        <v>46107</v>
      </c>
      <c r="G213" s="4">
        <v>114</v>
      </c>
      <c r="H213" s="4">
        <f t="shared" si="12"/>
        <v>1.14</v>
      </c>
      <c r="I213" s="4">
        <f>_xlfn.XLOOKUP(J213,数据!E:E,数据!S:S)*(H213/_xlfn.XLOOKUP(J213,数据!E:E,数据!X:X))</f>
        <v>84.6219558515232</v>
      </c>
      <c r="J213" t="s">
        <v>1656</v>
      </c>
      <c r="K213" t="s">
        <v>51</v>
      </c>
      <c r="L213" t="s">
        <v>2374</v>
      </c>
      <c r="M213" t="s">
        <v>3881</v>
      </c>
      <c r="N213" t="s">
        <v>2376</v>
      </c>
      <c r="O213" t="s">
        <v>2400</v>
      </c>
      <c r="P213" t="s">
        <v>2378</v>
      </c>
      <c r="Q213" t="s">
        <v>2379</v>
      </c>
      <c r="R213" t="s">
        <v>3882</v>
      </c>
      <c r="S213" t="s">
        <v>2511</v>
      </c>
      <c r="T213" s="3" t="s">
        <v>3853</v>
      </c>
      <c r="U213" t="s">
        <v>3854</v>
      </c>
      <c r="V213" t="s">
        <v>3883</v>
      </c>
      <c r="W213" t="s">
        <v>3884</v>
      </c>
      <c r="X213" t="s">
        <v>2403</v>
      </c>
      <c r="Y213" t="s">
        <v>3885</v>
      </c>
      <c r="Z213" t="s">
        <v>2405</v>
      </c>
      <c r="AA213" t="s">
        <v>3853</v>
      </c>
      <c r="AB213" t="s">
        <v>3771</v>
      </c>
      <c r="AC213" t="s">
        <v>3886</v>
      </c>
      <c r="AD213" t="s">
        <v>3860</v>
      </c>
      <c r="AH213" t="s">
        <v>3861</v>
      </c>
      <c r="AI213" t="s">
        <v>3659</v>
      </c>
      <c r="AJ213" t="s">
        <v>3784</v>
      </c>
      <c r="AK213" t="s">
        <v>3785</v>
      </c>
      <c r="AL213" t="s">
        <v>3786</v>
      </c>
      <c r="AM213" t="s">
        <v>3781</v>
      </c>
      <c r="AN213" t="s">
        <v>3787</v>
      </c>
      <c r="AO213" t="s">
        <v>3784</v>
      </c>
      <c r="AP213">
        <v>10</v>
      </c>
      <c r="AQ213">
        <v>10</v>
      </c>
      <c r="AR213">
        <v>10</v>
      </c>
      <c r="AS213" t="s">
        <v>3894</v>
      </c>
      <c r="AT213">
        <v>0</v>
      </c>
      <c r="AU213">
        <v>0</v>
      </c>
      <c r="AV213">
        <v>0</v>
      </c>
    </row>
    <row r="214" spans="1:48">
      <c r="A214" s="1">
        <f>_xlfn.XLOOKUP(J214,数据!E:E,数据!A:A)</f>
        <v>3</v>
      </c>
      <c r="B214" s="1">
        <f>_xlfn.XLOOKUP(J214,数据!E:E,数据!B:B)</f>
        <v>13</v>
      </c>
      <c r="C214" s="1" t="str">
        <f>_xlfn.XLOOKUP(J214,数据!E:E,数据!J:J)</f>
        <v>红单</v>
      </c>
      <c r="D214" s="1" t="str" cm="1">
        <f t="array" ref="D214">IF(OR(C214="红单",C214="空派"),_xlfn.IFS(E214="未开售","新品首批发货",F214&lt;E214,"新品首批发货",F214-E214&lt;=60,"新品期补货空运",F214-E214&gt;60,"老品应急空运"),"海运，不进行分析")</f>
        <v>新品首批发货</v>
      </c>
      <c r="E214" s="2">
        <v>46127</v>
      </c>
      <c r="F214" s="2">
        <f>_xlfn.XLOOKUP(J214,数据!E:E,数据!C:C)</f>
        <v>46107</v>
      </c>
      <c r="G214" s="4">
        <v>110</v>
      </c>
      <c r="H214" s="4">
        <f t="shared" si="12"/>
        <v>13.2</v>
      </c>
      <c r="I214" s="4">
        <f>_xlfn.XLOOKUP(J214,数据!E:E,数据!S:S)*(H214/_xlfn.XLOOKUP(J214,数据!E:E,数据!X:X))</f>
        <v>975.150786838342</v>
      </c>
      <c r="J214" t="s">
        <v>1655</v>
      </c>
      <c r="K214" t="s">
        <v>39</v>
      </c>
      <c r="L214" t="s">
        <v>2374</v>
      </c>
      <c r="M214" t="s">
        <v>3895</v>
      </c>
      <c r="N214" t="s">
        <v>2376</v>
      </c>
      <c r="O214" t="s">
        <v>2400</v>
      </c>
      <c r="P214" t="s">
        <v>2378</v>
      </c>
      <c r="Q214" t="s">
        <v>2379</v>
      </c>
      <c r="R214" t="s">
        <v>3896</v>
      </c>
      <c r="S214" t="s">
        <v>2511</v>
      </c>
      <c r="T214" s="3" t="s">
        <v>3853</v>
      </c>
      <c r="U214" t="s">
        <v>3854</v>
      </c>
      <c r="V214" t="s">
        <v>3897</v>
      </c>
      <c r="W214" t="s">
        <v>3898</v>
      </c>
      <c r="X214" t="s">
        <v>2385</v>
      </c>
      <c r="Y214" t="s">
        <v>3899</v>
      </c>
      <c r="Z214" t="s">
        <v>2387</v>
      </c>
      <c r="AA214" t="s">
        <v>3853</v>
      </c>
      <c r="AB214" t="s">
        <v>3657</v>
      </c>
      <c r="AC214" t="s">
        <v>3900</v>
      </c>
      <c r="AD214" t="s">
        <v>3860</v>
      </c>
      <c r="AH214" t="s">
        <v>3861</v>
      </c>
      <c r="AI214" t="s">
        <v>3659</v>
      </c>
      <c r="AJ214" t="s">
        <v>3901</v>
      </c>
      <c r="AK214" t="s">
        <v>3902</v>
      </c>
      <c r="AL214" t="s">
        <v>3903</v>
      </c>
      <c r="AM214" t="s">
        <v>3903</v>
      </c>
      <c r="AN214" t="s">
        <v>3904</v>
      </c>
      <c r="AO214" t="s">
        <v>3901</v>
      </c>
      <c r="AP214">
        <v>120</v>
      </c>
      <c r="AQ214">
        <v>120</v>
      </c>
      <c r="AR214">
        <v>120</v>
      </c>
      <c r="AS214" t="s">
        <v>3905</v>
      </c>
      <c r="AT214">
        <v>0</v>
      </c>
      <c r="AU214">
        <v>0</v>
      </c>
      <c r="AV214">
        <v>0</v>
      </c>
    </row>
    <row r="215" spans="1:48">
      <c r="A215" s="1">
        <f>_xlfn.XLOOKUP(J215,数据!E:E,数据!A:A)</f>
        <v>3</v>
      </c>
      <c r="B215" s="1">
        <f>_xlfn.XLOOKUP(J215,数据!E:E,数据!B:B)</f>
        <v>13</v>
      </c>
      <c r="C215" s="1" t="str">
        <f>_xlfn.XLOOKUP(J215,数据!E:E,数据!J:J)</f>
        <v>红单</v>
      </c>
      <c r="D215" s="1" t="str" cm="1">
        <f t="array" ref="D215">IF(OR(C215="红单",C215="空派"),_xlfn.IFS(E215="未开售","新品首批发货",F215&lt;E215,"新品首批发货",F215-E215&lt;=60,"新品期补货空运",F215-E215&gt;60,"老品应急空运"),"海运，不进行分析")</f>
        <v>新品首批发货</v>
      </c>
      <c r="E215" s="2">
        <v>46133</v>
      </c>
      <c r="F215" s="2">
        <f>_xlfn.XLOOKUP(J215,数据!E:E,数据!C:C)</f>
        <v>46107</v>
      </c>
      <c r="G215" s="4">
        <v>123</v>
      </c>
      <c r="H215" s="4">
        <f t="shared" si="12"/>
        <v>14.76</v>
      </c>
      <c r="I215" s="4">
        <f>_xlfn.XLOOKUP(J215,数据!E:E,数据!S:S)*(H215/_xlfn.XLOOKUP(J215,数据!E:E,数据!X:X))</f>
        <v>1090.39587982833</v>
      </c>
      <c r="J215" t="s">
        <v>1655</v>
      </c>
      <c r="K215" t="s">
        <v>39</v>
      </c>
      <c r="L215" t="s">
        <v>2374</v>
      </c>
      <c r="M215" t="s">
        <v>3895</v>
      </c>
      <c r="N215" t="s">
        <v>2376</v>
      </c>
      <c r="O215" t="s">
        <v>2400</v>
      </c>
      <c r="P215" t="s">
        <v>2378</v>
      </c>
      <c r="Q215" t="s">
        <v>2379</v>
      </c>
      <c r="R215" t="s">
        <v>3896</v>
      </c>
      <c r="S215" t="s">
        <v>2511</v>
      </c>
      <c r="T215" s="3" t="s">
        <v>3853</v>
      </c>
      <c r="U215" t="s">
        <v>3854</v>
      </c>
      <c r="V215" t="s">
        <v>3897</v>
      </c>
      <c r="W215" t="s">
        <v>3898</v>
      </c>
      <c r="X215" t="s">
        <v>2385</v>
      </c>
      <c r="Y215" t="s">
        <v>3899</v>
      </c>
      <c r="Z215" t="s">
        <v>2387</v>
      </c>
      <c r="AA215" t="s">
        <v>3853</v>
      </c>
      <c r="AB215" t="s">
        <v>3657</v>
      </c>
      <c r="AC215" t="s">
        <v>3900</v>
      </c>
      <c r="AD215" t="s">
        <v>3860</v>
      </c>
      <c r="AH215" t="s">
        <v>3861</v>
      </c>
      <c r="AI215" t="s">
        <v>3659</v>
      </c>
      <c r="AJ215" t="s">
        <v>3906</v>
      </c>
      <c r="AK215" t="s">
        <v>3907</v>
      </c>
      <c r="AL215" t="s">
        <v>3908</v>
      </c>
      <c r="AM215" t="s">
        <v>3259</v>
      </c>
      <c r="AN215" t="s">
        <v>3909</v>
      </c>
      <c r="AO215" t="s">
        <v>3906</v>
      </c>
      <c r="AP215">
        <v>120</v>
      </c>
      <c r="AQ215">
        <v>120</v>
      </c>
      <c r="AR215">
        <v>119</v>
      </c>
      <c r="AS215" t="s">
        <v>3910</v>
      </c>
      <c r="AT215">
        <v>0</v>
      </c>
      <c r="AU215">
        <v>-1</v>
      </c>
      <c r="AV215">
        <v>1</v>
      </c>
    </row>
    <row r="216" spans="1:48">
      <c r="A216" s="1">
        <f>_xlfn.XLOOKUP(J216,数据!E:E,数据!A:A)</f>
        <v>3</v>
      </c>
      <c r="B216" s="1">
        <f>_xlfn.XLOOKUP(J216,数据!E:E,数据!B:B)</f>
        <v>13</v>
      </c>
      <c r="C216" s="1" t="str">
        <f>_xlfn.XLOOKUP(J216,数据!E:E,数据!J:J)</f>
        <v>红单</v>
      </c>
      <c r="D216" s="1" t="str" cm="1">
        <f t="array" ref="D216">IF(OR(C216="红单",C216="空派"),_xlfn.IFS(E216="未开售","新品首批发货",F216&lt;E216,"新品首批发货",F216-E216&lt;=60,"新品期补货空运",F216-E216&gt;60,"老品应急空运"),"海运，不进行分析")</f>
        <v>新品期补货空运</v>
      </c>
      <c r="E216" s="2">
        <v>46094</v>
      </c>
      <c r="F216" s="2">
        <f>_xlfn.XLOOKUP(J216,数据!E:E,数据!C:C)</f>
        <v>46106</v>
      </c>
      <c r="G216" s="4">
        <v>97</v>
      </c>
      <c r="H216" s="4">
        <f t="shared" ref="H216:H224" si="13">G216*AP216/1000</f>
        <v>4.85</v>
      </c>
      <c r="I216" s="4">
        <f>_xlfn.XLOOKUP(J216,数据!E:E,数据!S:S)*(H216/_xlfn.XLOOKUP(J216,数据!E:E,数据!X:X))</f>
        <v>379.881600884992</v>
      </c>
      <c r="J216" t="s">
        <v>1652</v>
      </c>
      <c r="K216" t="s">
        <v>31</v>
      </c>
      <c r="L216" t="s">
        <v>2374</v>
      </c>
      <c r="M216" t="s">
        <v>3911</v>
      </c>
      <c r="N216" t="s">
        <v>2376</v>
      </c>
      <c r="O216" t="s">
        <v>2400</v>
      </c>
      <c r="P216" t="s">
        <v>2378</v>
      </c>
      <c r="Q216" t="s">
        <v>2379</v>
      </c>
      <c r="R216" t="s">
        <v>3912</v>
      </c>
      <c r="S216" t="s">
        <v>2511</v>
      </c>
      <c r="T216" s="3" t="s">
        <v>3913</v>
      </c>
      <c r="U216" t="s">
        <v>3914</v>
      </c>
      <c r="V216" t="s">
        <v>3915</v>
      </c>
      <c r="W216" t="s">
        <v>3916</v>
      </c>
      <c r="X216" t="s">
        <v>2403</v>
      </c>
      <c r="Y216" t="s">
        <v>3917</v>
      </c>
      <c r="Z216" t="s">
        <v>2405</v>
      </c>
      <c r="AA216" t="s">
        <v>3913</v>
      </c>
      <c r="AB216" t="s">
        <v>3571</v>
      </c>
      <c r="AC216" t="s">
        <v>3918</v>
      </c>
      <c r="AD216" t="s">
        <v>3827</v>
      </c>
      <c r="AH216" t="s">
        <v>3861</v>
      </c>
      <c r="AI216" t="s">
        <v>3659</v>
      </c>
      <c r="AJ216" t="s">
        <v>3347</v>
      </c>
      <c r="AK216" t="s">
        <v>3348</v>
      </c>
      <c r="AL216" t="s">
        <v>3349</v>
      </c>
      <c r="AM216" t="s">
        <v>3349</v>
      </c>
      <c r="AN216" t="s">
        <v>3350</v>
      </c>
      <c r="AO216" t="s">
        <v>3347</v>
      </c>
      <c r="AP216">
        <v>50</v>
      </c>
      <c r="AQ216">
        <v>50</v>
      </c>
      <c r="AR216">
        <v>50</v>
      </c>
      <c r="AS216" t="s">
        <v>3919</v>
      </c>
      <c r="AT216">
        <v>0</v>
      </c>
      <c r="AU216">
        <v>0</v>
      </c>
      <c r="AV216">
        <v>0</v>
      </c>
    </row>
    <row r="217" spans="1:48">
      <c r="A217" s="1">
        <f>_xlfn.XLOOKUP(J217,数据!E:E,数据!A:A)</f>
        <v>3</v>
      </c>
      <c r="B217" s="1">
        <f>_xlfn.XLOOKUP(J217,数据!E:E,数据!B:B)</f>
        <v>13</v>
      </c>
      <c r="C217" s="1" t="str">
        <f>_xlfn.XLOOKUP(J217,数据!E:E,数据!J:J)</f>
        <v>红单</v>
      </c>
      <c r="D217" s="1" t="str" cm="1">
        <f t="array" ref="D217">IF(OR(C217="红单",C217="空派"),_xlfn.IFS(E217="未开售","新品首批发货",F217&lt;E217,"新品首批发货",F217-E217&lt;=60,"新品期补货空运",F217-E217&gt;60,"老品应急空运"),"海运，不进行分析")</f>
        <v>老品应急空运</v>
      </c>
      <c r="E217" s="2">
        <v>46028</v>
      </c>
      <c r="F217" s="2">
        <f>_xlfn.XLOOKUP(J217,数据!E:E,数据!C:C)</f>
        <v>46106</v>
      </c>
      <c r="G217" s="4">
        <v>143</v>
      </c>
      <c r="H217" s="4">
        <f t="shared" si="13"/>
        <v>11.44</v>
      </c>
      <c r="I217" s="4">
        <f>_xlfn.XLOOKUP(J217,数据!E:E,数据!S:S)*(H217/_xlfn.XLOOKUP(J217,数据!E:E,数据!X:X))</f>
        <v>896.050621468929</v>
      </c>
      <c r="J217" t="s">
        <v>1652</v>
      </c>
      <c r="K217" t="s">
        <v>31</v>
      </c>
      <c r="L217" t="s">
        <v>2374</v>
      </c>
      <c r="M217" t="s">
        <v>3911</v>
      </c>
      <c r="N217" t="s">
        <v>2376</v>
      </c>
      <c r="O217" t="s">
        <v>2400</v>
      </c>
      <c r="P217" t="s">
        <v>2378</v>
      </c>
      <c r="Q217" t="s">
        <v>2379</v>
      </c>
      <c r="R217" t="s">
        <v>3912</v>
      </c>
      <c r="S217" t="s">
        <v>2511</v>
      </c>
      <c r="T217" s="3" t="s">
        <v>3913</v>
      </c>
      <c r="U217" t="s">
        <v>3914</v>
      </c>
      <c r="V217" t="s">
        <v>3915</v>
      </c>
      <c r="W217" t="s">
        <v>3916</v>
      </c>
      <c r="X217" t="s">
        <v>2403</v>
      </c>
      <c r="Y217" t="s">
        <v>3917</v>
      </c>
      <c r="Z217" t="s">
        <v>2405</v>
      </c>
      <c r="AA217" t="s">
        <v>3913</v>
      </c>
      <c r="AB217" t="s">
        <v>3571</v>
      </c>
      <c r="AC217" t="s">
        <v>3918</v>
      </c>
      <c r="AD217" t="s">
        <v>3827</v>
      </c>
      <c r="AH217" t="s">
        <v>3861</v>
      </c>
      <c r="AI217" t="s">
        <v>3659</v>
      </c>
      <c r="AJ217" t="s">
        <v>3920</v>
      </c>
      <c r="AK217" t="s">
        <v>3921</v>
      </c>
      <c r="AL217" t="s">
        <v>3922</v>
      </c>
      <c r="AM217" t="s">
        <v>2787</v>
      </c>
      <c r="AN217" t="s">
        <v>3923</v>
      </c>
      <c r="AO217" t="s">
        <v>3920</v>
      </c>
      <c r="AP217">
        <v>80</v>
      </c>
      <c r="AQ217">
        <v>80</v>
      </c>
      <c r="AR217">
        <v>80</v>
      </c>
      <c r="AS217" t="s">
        <v>3924</v>
      </c>
      <c r="AT217">
        <v>0</v>
      </c>
      <c r="AU217">
        <v>0</v>
      </c>
      <c r="AV217">
        <v>0</v>
      </c>
    </row>
    <row r="218" spans="1:48">
      <c r="A218" s="1">
        <f>_xlfn.XLOOKUP(J218,数据!E:E,数据!A:A)</f>
        <v>3</v>
      </c>
      <c r="B218" s="1">
        <f>_xlfn.XLOOKUP(J218,数据!E:E,数据!B:B)</f>
        <v>13</v>
      </c>
      <c r="C218" s="1" t="str">
        <f>_xlfn.XLOOKUP(J218,数据!E:E,数据!J:J)</f>
        <v>红单</v>
      </c>
      <c r="D218" s="1" t="str" cm="1">
        <f t="array" ref="D218">IF(OR(C218="红单",C218="空派"),_xlfn.IFS(E218="未开售","新品首批发货",F218&lt;E218,"新品首批发货",F218-E218&lt;=60,"新品期补货空运",F218-E218&gt;60,"老品应急空运"),"海运，不进行分析")</f>
        <v>老品应急空运</v>
      </c>
      <c r="E218" s="2">
        <v>46030</v>
      </c>
      <c r="F218" s="2">
        <f>_xlfn.XLOOKUP(J218,数据!E:E,数据!C:C)</f>
        <v>46106</v>
      </c>
      <c r="G218" s="4">
        <v>146</v>
      </c>
      <c r="H218" s="4">
        <f t="shared" si="13"/>
        <v>0.584</v>
      </c>
      <c r="I218" s="4">
        <f>_xlfn.XLOOKUP(J218,数据!E:E,数据!S:S)*(H218/_xlfn.XLOOKUP(J218,数据!E:E,数据!X:X))</f>
        <v>45.7424443127495</v>
      </c>
      <c r="J218" t="s">
        <v>1652</v>
      </c>
      <c r="K218" t="s">
        <v>31</v>
      </c>
      <c r="L218" t="s">
        <v>2374</v>
      </c>
      <c r="M218" t="s">
        <v>3911</v>
      </c>
      <c r="N218" t="s">
        <v>2376</v>
      </c>
      <c r="O218" t="s">
        <v>2400</v>
      </c>
      <c r="P218" t="s">
        <v>2378</v>
      </c>
      <c r="Q218" t="s">
        <v>2379</v>
      </c>
      <c r="R218" t="s">
        <v>3912</v>
      </c>
      <c r="S218" t="s">
        <v>2511</v>
      </c>
      <c r="T218" s="3" t="s">
        <v>3913</v>
      </c>
      <c r="U218" t="s">
        <v>3914</v>
      </c>
      <c r="V218" t="s">
        <v>3915</v>
      </c>
      <c r="W218" t="s">
        <v>3916</v>
      </c>
      <c r="X218" t="s">
        <v>2403</v>
      </c>
      <c r="Y218" t="s">
        <v>3917</v>
      </c>
      <c r="Z218" t="s">
        <v>2405</v>
      </c>
      <c r="AA218" t="s">
        <v>3913</v>
      </c>
      <c r="AB218" t="s">
        <v>3571</v>
      </c>
      <c r="AC218" t="s">
        <v>3918</v>
      </c>
      <c r="AD218" t="s">
        <v>3827</v>
      </c>
      <c r="AH218" t="s">
        <v>3861</v>
      </c>
      <c r="AI218" t="s">
        <v>3659</v>
      </c>
      <c r="AJ218" t="s">
        <v>3683</v>
      </c>
      <c r="AK218" t="s">
        <v>3684</v>
      </c>
      <c r="AL218" t="s">
        <v>3685</v>
      </c>
      <c r="AM218" t="s">
        <v>2787</v>
      </c>
      <c r="AN218" t="s">
        <v>3686</v>
      </c>
      <c r="AO218" t="s">
        <v>3683</v>
      </c>
      <c r="AP218">
        <v>4</v>
      </c>
      <c r="AQ218">
        <v>4</v>
      </c>
      <c r="AR218">
        <v>4</v>
      </c>
      <c r="AS218" t="s">
        <v>3925</v>
      </c>
      <c r="AT218">
        <v>0</v>
      </c>
      <c r="AU218">
        <v>0</v>
      </c>
      <c r="AV218">
        <v>0</v>
      </c>
    </row>
    <row r="219" spans="1:48">
      <c r="A219" s="1">
        <f>_xlfn.XLOOKUP(J219,数据!E:E,数据!A:A)</f>
        <v>3</v>
      </c>
      <c r="B219" s="1">
        <f>_xlfn.XLOOKUP(J219,数据!E:E,数据!B:B)</f>
        <v>13</v>
      </c>
      <c r="C219" s="1" t="str">
        <f>_xlfn.XLOOKUP(J219,数据!E:E,数据!J:J)</f>
        <v>红单</v>
      </c>
      <c r="D219" s="1" t="str" cm="1">
        <f t="array" ref="D219">IF(OR(C219="红单",C219="空派"),_xlfn.IFS(E219="未开售","新品首批发货",F219&lt;E219,"新品首批发货",F219-E219&lt;=60,"新品期补货空运",F219-E219&gt;60,"老品应急空运"),"海运，不进行分析")</f>
        <v>新品首批发货</v>
      </c>
      <c r="E219" s="2">
        <v>46124</v>
      </c>
      <c r="F219" s="2">
        <f>_xlfn.XLOOKUP(J219,数据!E:E,数据!C:C)</f>
        <v>46106</v>
      </c>
      <c r="G219" s="4">
        <v>166</v>
      </c>
      <c r="H219" s="4">
        <f t="shared" si="13"/>
        <v>15.77</v>
      </c>
      <c r="I219" s="4">
        <f>_xlfn.XLOOKUP(J219,数据!E:E,数据!S:S)*(H219/_xlfn.XLOOKUP(J219,数据!E:E,数据!X:X))</f>
        <v>1065.46710883504</v>
      </c>
      <c r="J219" t="s">
        <v>1654</v>
      </c>
      <c r="K219" t="s">
        <v>56</v>
      </c>
      <c r="L219" t="s">
        <v>2374</v>
      </c>
      <c r="M219" t="s">
        <v>3926</v>
      </c>
      <c r="N219" t="s">
        <v>2376</v>
      </c>
      <c r="O219" t="s">
        <v>2400</v>
      </c>
      <c r="P219" t="s">
        <v>2378</v>
      </c>
      <c r="Q219" t="s">
        <v>2379</v>
      </c>
      <c r="R219" t="s">
        <v>3927</v>
      </c>
      <c r="S219" t="s">
        <v>2511</v>
      </c>
      <c r="T219" s="3" t="s">
        <v>3928</v>
      </c>
      <c r="U219" t="s">
        <v>3914</v>
      </c>
      <c r="V219" t="s">
        <v>3929</v>
      </c>
      <c r="W219" t="s">
        <v>3930</v>
      </c>
      <c r="X219" t="s">
        <v>2385</v>
      </c>
      <c r="Y219" t="s">
        <v>3931</v>
      </c>
      <c r="Z219" t="s">
        <v>2387</v>
      </c>
      <c r="AA219" t="s">
        <v>3928</v>
      </c>
      <c r="AB219" t="s">
        <v>3932</v>
      </c>
      <c r="AC219" t="s">
        <v>3933</v>
      </c>
      <c r="AD219" t="s">
        <v>3759</v>
      </c>
      <c r="AH219" t="s">
        <v>3861</v>
      </c>
      <c r="AI219" t="s">
        <v>3659</v>
      </c>
      <c r="AJ219" t="s">
        <v>3934</v>
      </c>
      <c r="AK219" t="s">
        <v>3935</v>
      </c>
      <c r="AL219" t="s">
        <v>3936</v>
      </c>
      <c r="AM219" t="s">
        <v>2821</v>
      </c>
      <c r="AN219" t="s">
        <v>3937</v>
      </c>
      <c r="AO219" t="s">
        <v>3934</v>
      </c>
      <c r="AP219">
        <v>95</v>
      </c>
      <c r="AQ219">
        <v>95</v>
      </c>
      <c r="AR219">
        <v>96</v>
      </c>
      <c r="AS219" t="s">
        <v>3938</v>
      </c>
      <c r="AT219">
        <v>0</v>
      </c>
      <c r="AU219">
        <v>1</v>
      </c>
      <c r="AV219">
        <v>-1</v>
      </c>
    </row>
    <row r="220" spans="1:48">
      <c r="A220" s="1">
        <f>_xlfn.XLOOKUP(J220,数据!E:E,数据!A:A)</f>
        <v>3</v>
      </c>
      <c r="B220" s="1">
        <f>_xlfn.XLOOKUP(J220,数据!E:E,数据!B:B)</f>
        <v>13</v>
      </c>
      <c r="C220" s="1" t="str">
        <f>_xlfn.XLOOKUP(J220,数据!E:E,数据!J:J)</f>
        <v>红单</v>
      </c>
      <c r="D220" s="1" t="str" cm="1">
        <f t="array" ref="D220">IF(OR(C220="红单",C220="空派"),_xlfn.IFS(E220="未开售","新品首批发货",F220&lt;E220,"新品首批发货",F220-E220&lt;=60,"新品期补货空运",F220-E220&gt;60,"老品应急空运"),"海运，不进行分析")</f>
        <v>新品首批发货</v>
      </c>
      <c r="E220" s="2">
        <v>46126</v>
      </c>
      <c r="F220" s="2">
        <f>_xlfn.XLOOKUP(J220,数据!E:E,数据!C:C)</f>
        <v>46106</v>
      </c>
      <c r="G220" s="4">
        <v>166</v>
      </c>
      <c r="H220" s="4">
        <f t="shared" si="13"/>
        <v>15.77</v>
      </c>
      <c r="I220" s="4">
        <f>_xlfn.XLOOKUP(J220,数据!E:E,数据!S:S)*(H220/_xlfn.XLOOKUP(J220,数据!E:E,数据!X:X))</f>
        <v>1065.46710883504</v>
      </c>
      <c r="J220" t="s">
        <v>1654</v>
      </c>
      <c r="K220" t="s">
        <v>56</v>
      </c>
      <c r="L220" t="s">
        <v>2374</v>
      </c>
      <c r="M220" t="s">
        <v>3926</v>
      </c>
      <c r="N220" t="s">
        <v>2376</v>
      </c>
      <c r="O220" t="s">
        <v>2400</v>
      </c>
      <c r="P220" t="s">
        <v>2378</v>
      </c>
      <c r="Q220" t="s">
        <v>2379</v>
      </c>
      <c r="R220" t="s">
        <v>3927</v>
      </c>
      <c r="S220" t="s">
        <v>2511</v>
      </c>
      <c r="T220" s="3" t="s">
        <v>3928</v>
      </c>
      <c r="U220" t="s">
        <v>3914</v>
      </c>
      <c r="V220" t="s">
        <v>3929</v>
      </c>
      <c r="W220" t="s">
        <v>3930</v>
      </c>
      <c r="X220" t="s">
        <v>2385</v>
      </c>
      <c r="Y220" t="s">
        <v>3931</v>
      </c>
      <c r="Z220" t="s">
        <v>2387</v>
      </c>
      <c r="AA220" t="s">
        <v>3928</v>
      </c>
      <c r="AB220" t="s">
        <v>3932</v>
      </c>
      <c r="AC220" t="s">
        <v>3933</v>
      </c>
      <c r="AD220" t="s">
        <v>3759</v>
      </c>
      <c r="AH220" t="s">
        <v>3861</v>
      </c>
      <c r="AI220" t="s">
        <v>3659</v>
      </c>
      <c r="AJ220" t="s">
        <v>3939</v>
      </c>
      <c r="AK220" t="s">
        <v>3940</v>
      </c>
      <c r="AL220" t="s">
        <v>3941</v>
      </c>
      <c r="AM220" t="s">
        <v>2821</v>
      </c>
      <c r="AN220" t="s">
        <v>3942</v>
      </c>
      <c r="AO220" t="s">
        <v>3939</v>
      </c>
      <c r="AP220">
        <v>95</v>
      </c>
      <c r="AQ220">
        <v>95</v>
      </c>
      <c r="AR220">
        <v>95</v>
      </c>
      <c r="AS220" t="s">
        <v>3943</v>
      </c>
      <c r="AT220">
        <v>0</v>
      </c>
      <c r="AU220">
        <v>0</v>
      </c>
      <c r="AV220">
        <v>0</v>
      </c>
    </row>
    <row r="221" spans="1:48">
      <c r="A221" s="1">
        <f>_xlfn.XLOOKUP(J221,数据!E:E,数据!A:A)</f>
        <v>3</v>
      </c>
      <c r="B221" s="1">
        <f>_xlfn.XLOOKUP(J221,数据!E:E,数据!B:B)</f>
        <v>13</v>
      </c>
      <c r="C221" s="1" t="str">
        <f>_xlfn.XLOOKUP(J221,数据!E:E,数据!J:J)</f>
        <v>红单</v>
      </c>
      <c r="D221" s="1" t="str" cm="1">
        <f t="array" ref="D221">IF(OR(C221="红单",C221="空派"),_xlfn.IFS(E221="未开售","新品首批发货",F221&lt;E221,"新品首批发货",F221-E221&lt;=60,"新品期补货空运",F221-E221&gt;60,"老品应急空运"),"海运，不进行分析")</f>
        <v>新品首批发货</v>
      </c>
      <c r="E221" s="2">
        <v>46132</v>
      </c>
      <c r="F221" s="2">
        <f>_xlfn.XLOOKUP(J221,数据!E:E,数据!C:C)</f>
        <v>46106</v>
      </c>
      <c r="G221" s="4">
        <v>165</v>
      </c>
      <c r="H221" s="4">
        <f t="shared" si="13"/>
        <v>15.675</v>
      </c>
      <c r="I221" s="4">
        <f>_xlfn.XLOOKUP(J221,数据!E:E,数据!S:S)*(H221/_xlfn.XLOOKUP(J221,数据!E:E,数据!X:X))</f>
        <v>1059.04863227579</v>
      </c>
      <c r="J221" t="s">
        <v>1654</v>
      </c>
      <c r="K221" t="s">
        <v>56</v>
      </c>
      <c r="L221" t="s">
        <v>2374</v>
      </c>
      <c r="M221" t="s">
        <v>3926</v>
      </c>
      <c r="N221" t="s">
        <v>2376</v>
      </c>
      <c r="O221" t="s">
        <v>2400</v>
      </c>
      <c r="P221" t="s">
        <v>2378</v>
      </c>
      <c r="Q221" t="s">
        <v>2379</v>
      </c>
      <c r="R221" t="s">
        <v>3927</v>
      </c>
      <c r="S221" t="s">
        <v>2511</v>
      </c>
      <c r="T221" s="3" t="s">
        <v>3928</v>
      </c>
      <c r="U221" t="s">
        <v>3914</v>
      </c>
      <c r="V221" t="s">
        <v>3929</v>
      </c>
      <c r="W221" t="s">
        <v>3930</v>
      </c>
      <c r="X221" t="s">
        <v>2385</v>
      </c>
      <c r="Y221" t="s">
        <v>3931</v>
      </c>
      <c r="Z221" t="s">
        <v>2387</v>
      </c>
      <c r="AA221" t="s">
        <v>3928</v>
      </c>
      <c r="AB221" t="s">
        <v>3932</v>
      </c>
      <c r="AC221" t="s">
        <v>3933</v>
      </c>
      <c r="AD221" t="s">
        <v>3759</v>
      </c>
      <c r="AH221" t="s">
        <v>3861</v>
      </c>
      <c r="AI221" t="s">
        <v>3659</v>
      </c>
      <c r="AJ221" t="s">
        <v>3944</v>
      </c>
      <c r="AK221" t="s">
        <v>3945</v>
      </c>
      <c r="AL221" t="s">
        <v>3946</v>
      </c>
      <c r="AM221" t="s">
        <v>2821</v>
      </c>
      <c r="AN221" t="s">
        <v>3947</v>
      </c>
      <c r="AO221" t="s">
        <v>3944</v>
      </c>
      <c r="AP221">
        <v>95</v>
      </c>
      <c r="AQ221">
        <v>95</v>
      </c>
      <c r="AR221">
        <v>95</v>
      </c>
      <c r="AS221" t="s">
        <v>3948</v>
      </c>
      <c r="AT221">
        <v>0</v>
      </c>
      <c r="AU221">
        <v>0</v>
      </c>
      <c r="AV221">
        <v>0</v>
      </c>
    </row>
    <row r="222" spans="1:48">
      <c r="A222" s="1">
        <f>_xlfn.XLOOKUP(J222,数据!E:E,数据!A:A)</f>
        <v>3</v>
      </c>
      <c r="B222" s="1">
        <f>_xlfn.XLOOKUP(J222,数据!E:E,数据!B:B)</f>
        <v>13</v>
      </c>
      <c r="C222" s="1" t="str">
        <f>_xlfn.XLOOKUP(J222,数据!E:E,数据!J:J)</f>
        <v>红单</v>
      </c>
      <c r="D222" s="1" t="str" cm="1">
        <f t="array" ref="D222">IF(OR(C222="红单",C222="空派"),_xlfn.IFS(E222="未开售","新品首批发货",F222&lt;E222,"新品首批发货",F222-E222&lt;=60,"新品期补货空运",F222-E222&gt;60,"老品应急空运"),"海运，不进行分析")</f>
        <v>新品首批发货</v>
      </c>
      <c r="E222" s="2">
        <v>46126</v>
      </c>
      <c r="F222" s="2">
        <f>_xlfn.XLOOKUP(J222,数据!E:E,数据!C:C)</f>
        <v>46106</v>
      </c>
      <c r="G222" s="4">
        <v>165</v>
      </c>
      <c r="H222" s="4">
        <f t="shared" si="13"/>
        <v>15.675</v>
      </c>
      <c r="I222" s="4">
        <f>_xlfn.XLOOKUP(J222,数据!E:E,数据!S:S)*(H222/_xlfn.XLOOKUP(J222,数据!E:E,数据!X:X))</f>
        <v>1059.04863227579</v>
      </c>
      <c r="J222" t="s">
        <v>1654</v>
      </c>
      <c r="K222" t="s">
        <v>56</v>
      </c>
      <c r="L222" t="s">
        <v>2374</v>
      </c>
      <c r="M222" t="s">
        <v>3926</v>
      </c>
      <c r="N222" t="s">
        <v>2376</v>
      </c>
      <c r="O222" t="s">
        <v>2400</v>
      </c>
      <c r="P222" t="s">
        <v>2378</v>
      </c>
      <c r="Q222" t="s">
        <v>2379</v>
      </c>
      <c r="R222" t="s">
        <v>3927</v>
      </c>
      <c r="S222" t="s">
        <v>2511</v>
      </c>
      <c r="T222" s="3" t="s">
        <v>3928</v>
      </c>
      <c r="U222" t="s">
        <v>3914</v>
      </c>
      <c r="V222" t="s">
        <v>3929</v>
      </c>
      <c r="W222" t="s">
        <v>3930</v>
      </c>
      <c r="X222" t="s">
        <v>2385</v>
      </c>
      <c r="Y222" t="s">
        <v>3931</v>
      </c>
      <c r="Z222" t="s">
        <v>2387</v>
      </c>
      <c r="AA222" t="s">
        <v>3928</v>
      </c>
      <c r="AB222" t="s">
        <v>3932</v>
      </c>
      <c r="AC222" t="s">
        <v>3933</v>
      </c>
      <c r="AD222" t="s">
        <v>3759</v>
      </c>
      <c r="AH222" t="s">
        <v>3861</v>
      </c>
      <c r="AI222" t="s">
        <v>3659</v>
      </c>
      <c r="AJ222" t="s">
        <v>3949</v>
      </c>
      <c r="AK222" t="s">
        <v>3950</v>
      </c>
      <c r="AL222" t="s">
        <v>3951</v>
      </c>
      <c r="AM222" t="s">
        <v>2821</v>
      </c>
      <c r="AN222" t="s">
        <v>3952</v>
      </c>
      <c r="AO222" t="s">
        <v>3949</v>
      </c>
      <c r="AP222">
        <v>95</v>
      </c>
      <c r="AQ222">
        <v>95</v>
      </c>
      <c r="AR222">
        <v>94</v>
      </c>
      <c r="AS222" t="s">
        <v>3953</v>
      </c>
      <c r="AT222">
        <v>0</v>
      </c>
      <c r="AU222">
        <v>-1</v>
      </c>
      <c r="AV222">
        <v>1</v>
      </c>
    </row>
    <row r="223" spans="1:48">
      <c r="A223" s="1">
        <f>_xlfn.XLOOKUP(J223,数据!E:E,数据!A:A)</f>
        <v>3</v>
      </c>
      <c r="B223" s="1">
        <f>_xlfn.XLOOKUP(J223,数据!E:E,数据!B:B)</f>
        <v>13</v>
      </c>
      <c r="C223" s="1" t="str">
        <f>_xlfn.XLOOKUP(J223,数据!E:E,数据!J:J)</f>
        <v>红单</v>
      </c>
      <c r="D223" s="1" t="str" cm="1">
        <f t="array" ref="D223">IF(OR(C223="红单",C223="空派"),_xlfn.IFS(E223="未开售","新品首批发货",F223&lt;E223,"新品首批发货",F223-E223&lt;=60,"新品期补货空运",F223-E223&gt;60,"老品应急空运"),"海运，不进行分析")</f>
        <v>新品首批发货</v>
      </c>
      <c r="E223" s="2">
        <v>46121</v>
      </c>
      <c r="F223" s="2">
        <f>_xlfn.XLOOKUP(J223,数据!E:E,数据!C:C)</f>
        <v>46106</v>
      </c>
      <c r="G223" s="4">
        <v>110</v>
      </c>
      <c r="H223" s="4">
        <f t="shared" si="13"/>
        <v>10.45</v>
      </c>
      <c r="I223" s="4">
        <f>_xlfn.XLOOKUP(J223,数据!E:E,数据!S:S)*(H223/_xlfn.XLOOKUP(J223,数据!E:E,数据!X:X))</f>
        <v>706.032421517196</v>
      </c>
      <c r="J223" t="s">
        <v>1654</v>
      </c>
      <c r="K223" t="s">
        <v>56</v>
      </c>
      <c r="L223" t="s">
        <v>2374</v>
      </c>
      <c r="M223" t="s">
        <v>3926</v>
      </c>
      <c r="N223" t="s">
        <v>2376</v>
      </c>
      <c r="O223" t="s">
        <v>2400</v>
      </c>
      <c r="P223" t="s">
        <v>2378</v>
      </c>
      <c r="Q223" t="s">
        <v>2379</v>
      </c>
      <c r="R223" t="s">
        <v>3927</v>
      </c>
      <c r="S223" t="s">
        <v>2511</v>
      </c>
      <c r="T223" s="3" t="s">
        <v>3928</v>
      </c>
      <c r="U223" t="s">
        <v>3914</v>
      </c>
      <c r="V223" t="s">
        <v>3929</v>
      </c>
      <c r="W223" t="s">
        <v>3930</v>
      </c>
      <c r="X223" t="s">
        <v>2385</v>
      </c>
      <c r="Y223" t="s">
        <v>3931</v>
      </c>
      <c r="Z223" t="s">
        <v>2387</v>
      </c>
      <c r="AA223" t="s">
        <v>3928</v>
      </c>
      <c r="AB223" t="s">
        <v>3932</v>
      </c>
      <c r="AC223" t="s">
        <v>3933</v>
      </c>
      <c r="AD223" t="s">
        <v>3759</v>
      </c>
      <c r="AH223" t="s">
        <v>3861</v>
      </c>
      <c r="AI223" t="s">
        <v>3659</v>
      </c>
      <c r="AJ223" t="s">
        <v>3954</v>
      </c>
      <c r="AK223" t="s">
        <v>3955</v>
      </c>
      <c r="AL223" t="s">
        <v>3956</v>
      </c>
      <c r="AM223" t="s">
        <v>3715</v>
      </c>
      <c r="AN223" t="s">
        <v>3957</v>
      </c>
      <c r="AO223" t="s">
        <v>3954</v>
      </c>
      <c r="AP223">
        <v>95</v>
      </c>
      <c r="AQ223">
        <v>95</v>
      </c>
      <c r="AR223">
        <v>95</v>
      </c>
      <c r="AS223" t="s">
        <v>3958</v>
      </c>
      <c r="AT223">
        <v>0</v>
      </c>
      <c r="AU223">
        <v>0</v>
      </c>
      <c r="AV223">
        <v>0</v>
      </c>
    </row>
    <row r="224" spans="1:48">
      <c r="A224" s="1">
        <f>_xlfn.XLOOKUP(J224,数据!E:E,数据!A:A)</f>
        <v>3</v>
      </c>
      <c r="B224" s="1">
        <f>_xlfn.XLOOKUP(J224,数据!E:E,数据!B:B)</f>
        <v>13</v>
      </c>
      <c r="C224" s="1" t="str">
        <f>_xlfn.XLOOKUP(J224,数据!E:E,数据!J:J)</f>
        <v>红单</v>
      </c>
      <c r="D224" s="1" t="str" cm="1">
        <f t="array" ref="D224">IF(OR(C224="红单",C224="空派"),_xlfn.IFS(E224="未开售","新品首批发货",F224&lt;E224,"新品首批发货",F224-E224&lt;=60,"新品期补货空运",F224-E224&gt;60,"老品应急空运"),"海运，不进行分析")</f>
        <v>新品首批发货</v>
      </c>
      <c r="E224" s="2">
        <v>46126</v>
      </c>
      <c r="F224" s="2">
        <f>_xlfn.XLOOKUP(J224,数据!E:E,数据!C:C)</f>
        <v>46106</v>
      </c>
      <c r="G224" s="4">
        <v>112</v>
      </c>
      <c r="H224" s="4">
        <f t="shared" si="13"/>
        <v>6.72</v>
      </c>
      <c r="I224" s="4">
        <f>_xlfn.XLOOKUP(J224,数据!E:E,数据!S:S)*(H224/_xlfn.XLOOKUP(J224,数据!E:E,数据!X:X))</f>
        <v>454.022762927804</v>
      </c>
      <c r="J224" t="s">
        <v>1654</v>
      </c>
      <c r="K224" t="s">
        <v>56</v>
      </c>
      <c r="L224" t="s">
        <v>2374</v>
      </c>
      <c r="M224" t="s">
        <v>3926</v>
      </c>
      <c r="N224" t="s">
        <v>2376</v>
      </c>
      <c r="O224" t="s">
        <v>2400</v>
      </c>
      <c r="P224" t="s">
        <v>2378</v>
      </c>
      <c r="Q224" t="s">
        <v>2379</v>
      </c>
      <c r="R224" t="s">
        <v>3927</v>
      </c>
      <c r="S224" t="s">
        <v>2511</v>
      </c>
      <c r="T224" s="3" t="s">
        <v>3928</v>
      </c>
      <c r="U224" t="s">
        <v>3914</v>
      </c>
      <c r="V224" t="s">
        <v>3929</v>
      </c>
      <c r="W224" t="s">
        <v>3930</v>
      </c>
      <c r="X224" t="s">
        <v>2385</v>
      </c>
      <c r="Y224" t="s">
        <v>3931</v>
      </c>
      <c r="Z224" t="s">
        <v>2387</v>
      </c>
      <c r="AA224" t="s">
        <v>3928</v>
      </c>
      <c r="AB224" t="s">
        <v>3932</v>
      </c>
      <c r="AC224" t="s">
        <v>3933</v>
      </c>
      <c r="AD224" t="s">
        <v>3759</v>
      </c>
      <c r="AH224" t="s">
        <v>3861</v>
      </c>
      <c r="AI224" t="s">
        <v>3659</v>
      </c>
      <c r="AJ224" t="s">
        <v>3959</v>
      </c>
      <c r="AK224" t="s">
        <v>3960</v>
      </c>
      <c r="AL224" t="s">
        <v>3961</v>
      </c>
      <c r="AM224" t="s">
        <v>3715</v>
      </c>
      <c r="AN224" t="s">
        <v>3962</v>
      </c>
      <c r="AO224" t="s">
        <v>3959</v>
      </c>
      <c r="AP224">
        <v>60</v>
      </c>
      <c r="AQ224">
        <v>60</v>
      </c>
      <c r="AR224">
        <v>60</v>
      </c>
      <c r="AS224" t="s">
        <v>3963</v>
      </c>
      <c r="AT224">
        <v>0</v>
      </c>
      <c r="AU224">
        <v>0</v>
      </c>
      <c r="AV224">
        <v>0</v>
      </c>
    </row>
    <row r="225" spans="1:48">
      <c r="A225" s="1">
        <f>_xlfn.XLOOKUP(J225,数据!E:E,数据!A:A)</f>
        <v>3</v>
      </c>
      <c r="B225" s="1">
        <f>_xlfn.XLOOKUP(J225,数据!E:E,数据!B:B)</f>
        <v>13</v>
      </c>
      <c r="C225" s="1" t="str">
        <f>_xlfn.XLOOKUP(J225,数据!E:E,数据!J:J)</f>
        <v>红单</v>
      </c>
      <c r="D225" s="1" t="str" cm="1">
        <f t="array" ref="D225">IF(OR(C225="红单",C225="空派"),_xlfn.IFS(E225="未开售","新品首批发货",F225&lt;E225,"新品首批发货",F225-E225&lt;=60,"新品期补货空运",F225-E225&gt;60,"老品应急空运"),"海运，不进行分析")</f>
        <v>老品应急空运</v>
      </c>
      <c r="E225" s="2">
        <v>46029</v>
      </c>
      <c r="F225" s="2">
        <f>_xlfn.XLOOKUP(J225,数据!E:E,数据!C:C)</f>
        <v>46106</v>
      </c>
      <c r="G225" s="4">
        <v>235</v>
      </c>
      <c r="H225" s="4">
        <f>G225*AP225/1000</f>
        <v>18.8</v>
      </c>
      <c r="I225" s="4">
        <f>_xlfn.XLOOKUP(J225,数据!E:E,数据!S:S)*(H225/_xlfn.XLOOKUP(J225,数据!E:E,数据!X:X))</f>
        <v>1250.36909911827</v>
      </c>
      <c r="J225" t="s">
        <v>1653</v>
      </c>
      <c r="K225" t="s">
        <v>56</v>
      </c>
      <c r="L225" t="s">
        <v>2374</v>
      </c>
      <c r="M225" t="s">
        <v>3964</v>
      </c>
      <c r="N225" t="s">
        <v>2376</v>
      </c>
      <c r="O225" t="s">
        <v>2400</v>
      </c>
      <c r="P225" t="s">
        <v>2378</v>
      </c>
      <c r="Q225" t="s">
        <v>2379</v>
      </c>
      <c r="R225" t="s">
        <v>3965</v>
      </c>
      <c r="S225" t="s">
        <v>2511</v>
      </c>
      <c r="T225" s="3" t="s">
        <v>3928</v>
      </c>
      <c r="U225" t="s">
        <v>3914</v>
      </c>
      <c r="V225" t="s">
        <v>3966</v>
      </c>
      <c r="W225" t="s">
        <v>3967</v>
      </c>
      <c r="X225" t="s">
        <v>2385</v>
      </c>
      <c r="Y225" t="s">
        <v>3968</v>
      </c>
      <c r="Z225" t="s">
        <v>2387</v>
      </c>
      <c r="AA225" t="s">
        <v>3928</v>
      </c>
      <c r="AB225" t="s">
        <v>3405</v>
      </c>
      <c r="AC225" t="s">
        <v>3969</v>
      </c>
      <c r="AD225" t="s">
        <v>3827</v>
      </c>
      <c r="AH225" t="s">
        <v>3861</v>
      </c>
      <c r="AI225" t="s">
        <v>3659</v>
      </c>
      <c r="AJ225" t="s">
        <v>3970</v>
      </c>
      <c r="AK225" t="s">
        <v>3971</v>
      </c>
      <c r="AL225" t="s">
        <v>3972</v>
      </c>
      <c r="AM225" t="s">
        <v>2396</v>
      </c>
      <c r="AN225" t="s">
        <v>3973</v>
      </c>
      <c r="AO225" t="s">
        <v>3970</v>
      </c>
      <c r="AP225">
        <v>80</v>
      </c>
      <c r="AQ225">
        <v>80</v>
      </c>
      <c r="AR225">
        <v>78</v>
      </c>
      <c r="AS225" t="s">
        <v>3974</v>
      </c>
      <c r="AT225">
        <v>0</v>
      </c>
      <c r="AU225">
        <v>-2</v>
      </c>
      <c r="AV225">
        <v>2</v>
      </c>
    </row>
    <row r="226" spans="1:48">
      <c r="A226" s="1">
        <f>_xlfn.XLOOKUP(J226,数据!E:E,数据!A:A)</f>
        <v>3</v>
      </c>
      <c r="B226" s="1">
        <f>_xlfn.XLOOKUP(J226,数据!E:E,数据!B:B)</f>
        <v>13</v>
      </c>
      <c r="C226" s="1" t="str">
        <f>_xlfn.XLOOKUP(J226,数据!E:E,数据!J:J)</f>
        <v>红单</v>
      </c>
      <c r="D226" s="1" t="str" cm="1">
        <f t="array" ref="D226">IF(OR(C226="红单",C226="空派"),_xlfn.IFS(E226="未开售","新品首批发货",F226&lt;E226,"新品首批发货",F226-E226&lt;=60,"新品期补货空运",F226-E226&gt;60,"老品应急空运"),"海运，不进行分析")</f>
        <v>新品首批发货</v>
      </c>
      <c r="E226" s="2">
        <v>46130</v>
      </c>
      <c r="F226" s="2">
        <f>_xlfn.XLOOKUP(J226,数据!E:E,数据!C:C)</f>
        <v>46106</v>
      </c>
      <c r="G226" s="4">
        <v>251</v>
      </c>
      <c r="H226" s="4">
        <f>G226*AP226/1000</f>
        <v>23.845</v>
      </c>
      <c r="I226" s="4">
        <f>_xlfn.XLOOKUP(J226,数据!E:E,数据!S:S)*(H226/_xlfn.XLOOKUP(J226,数据!E:E,数据!X:X))</f>
        <v>1585.90697704655</v>
      </c>
      <c r="J226" t="s">
        <v>1653</v>
      </c>
      <c r="K226" t="s">
        <v>56</v>
      </c>
      <c r="L226" t="s">
        <v>2374</v>
      </c>
      <c r="M226" t="s">
        <v>3964</v>
      </c>
      <c r="N226" t="s">
        <v>2376</v>
      </c>
      <c r="O226" t="s">
        <v>2400</v>
      </c>
      <c r="P226" t="s">
        <v>2378</v>
      </c>
      <c r="Q226" t="s">
        <v>2379</v>
      </c>
      <c r="R226" t="s">
        <v>3965</v>
      </c>
      <c r="S226" t="s">
        <v>2511</v>
      </c>
      <c r="T226" s="3" t="s">
        <v>3928</v>
      </c>
      <c r="U226" t="s">
        <v>3914</v>
      </c>
      <c r="V226" t="s">
        <v>3966</v>
      </c>
      <c r="W226" t="s">
        <v>3967</v>
      </c>
      <c r="X226" t="s">
        <v>2385</v>
      </c>
      <c r="Y226" t="s">
        <v>3968</v>
      </c>
      <c r="Z226" t="s">
        <v>2387</v>
      </c>
      <c r="AA226" t="s">
        <v>3928</v>
      </c>
      <c r="AB226" t="s">
        <v>3405</v>
      </c>
      <c r="AC226" t="s">
        <v>3969</v>
      </c>
      <c r="AD226" t="s">
        <v>3827</v>
      </c>
      <c r="AH226" t="s">
        <v>3861</v>
      </c>
      <c r="AI226" t="s">
        <v>3659</v>
      </c>
      <c r="AJ226" t="s">
        <v>3975</v>
      </c>
      <c r="AK226" t="s">
        <v>3976</v>
      </c>
      <c r="AL226" t="s">
        <v>3977</v>
      </c>
      <c r="AM226" t="s">
        <v>3978</v>
      </c>
      <c r="AN226" t="s">
        <v>3979</v>
      </c>
      <c r="AO226" t="s">
        <v>3975</v>
      </c>
      <c r="AP226">
        <v>95</v>
      </c>
      <c r="AQ226">
        <v>95</v>
      </c>
      <c r="AR226">
        <v>95</v>
      </c>
      <c r="AS226" t="s">
        <v>3980</v>
      </c>
      <c r="AT226">
        <v>0</v>
      </c>
      <c r="AU226">
        <v>0</v>
      </c>
      <c r="AV226">
        <v>0</v>
      </c>
    </row>
    <row r="227" spans="1:48">
      <c r="A227" s="1">
        <f>_xlfn.XLOOKUP(J227,数据!E:E,数据!A:A)</f>
        <v>3</v>
      </c>
      <c r="B227" s="1">
        <f>_xlfn.XLOOKUP(J227,数据!E:E,数据!B:B)</f>
        <v>13</v>
      </c>
      <c r="C227" s="1" t="str">
        <f>_xlfn.XLOOKUP(J227,数据!E:E,数据!J:J)</f>
        <v>红单</v>
      </c>
      <c r="D227" s="1" t="str" cm="1">
        <f t="array" ref="D227">IF(OR(C227="红单",C227="空派"),_xlfn.IFS(E227="未开售","新品首批发货",F227&lt;E227,"新品首批发货",F227-E227&lt;=60,"新品期补货空运",F227-E227&gt;60,"老品应急空运"),"海运，不进行分析")</f>
        <v>新品首批发货</v>
      </c>
      <c r="E227" s="2">
        <v>46130</v>
      </c>
      <c r="F227" s="2">
        <f>_xlfn.XLOOKUP(J227,数据!E:E,数据!C:C)</f>
        <v>46106</v>
      </c>
      <c r="G227" s="4">
        <v>252</v>
      </c>
      <c r="H227" s="4">
        <f>G227*AP227/1000</f>
        <v>23.94</v>
      </c>
      <c r="I227" s="4">
        <f>_xlfn.XLOOKUP(J227,数据!E:E,数据!S:S)*(H227/_xlfn.XLOOKUP(J227,数据!E:E,数据!X:X))</f>
        <v>1592.22533153677</v>
      </c>
      <c r="J227" t="s">
        <v>1653</v>
      </c>
      <c r="K227" t="s">
        <v>56</v>
      </c>
      <c r="L227" t="s">
        <v>2374</v>
      </c>
      <c r="M227" t="s">
        <v>3964</v>
      </c>
      <c r="N227" t="s">
        <v>2376</v>
      </c>
      <c r="O227" t="s">
        <v>2400</v>
      </c>
      <c r="P227" t="s">
        <v>2378</v>
      </c>
      <c r="Q227" t="s">
        <v>2379</v>
      </c>
      <c r="R227" t="s">
        <v>3965</v>
      </c>
      <c r="S227" t="s">
        <v>2511</v>
      </c>
      <c r="T227" s="3" t="s">
        <v>3928</v>
      </c>
      <c r="U227" t="s">
        <v>3914</v>
      </c>
      <c r="V227" t="s">
        <v>3966</v>
      </c>
      <c r="W227" t="s">
        <v>3967</v>
      </c>
      <c r="X227" t="s">
        <v>2385</v>
      </c>
      <c r="Y227" t="s">
        <v>3968</v>
      </c>
      <c r="Z227" t="s">
        <v>2387</v>
      </c>
      <c r="AA227" t="s">
        <v>3928</v>
      </c>
      <c r="AB227" t="s">
        <v>3405</v>
      </c>
      <c r="AC227" t="s">
        <v>3969</v>
      </c>
      <c r="AD227" t="s">
        <v>3827</v>
      </c>
      <c r="AH227" t="s">
        <v>3861</v>
      </c>
      <c r="AI227" t="s">
        <v>3659</v>
      </c>
      <c r="AJ227" t="s">
        <v>3981</v>
      </c>
      <c r="AK227" t="s">
        <v>3982</v>
      </c>
      <c r="AL227" t="s">
        <v>3983</v>
      </c>
      <c r="AM227" t="s">
        <v>3978</v>
      </c>
      <c r="AN227" t="s">
        <v>3984</v>
      </c>
      <c r="AO227" t="s">
        <v>3981</v>
      </c>
      <c r="AP227">
        <v>95</v>
      </c>
      <c r="AQ227">
        <v>95</v>
      </c>
      <c r="AR227">
        <v>95</v>
      </c>
      <c r="AS227" t="s">
        <v>3985</v>
      </c>
      <c r="AT227">
        <v>0</v>
      </c>
      <c r="AU227">
        <v>0</v>
      </c>
      <c r="AV227">
        <v>0</v>
      </c>
    </row>
    <row r="228" spans="1:48">
      <c r="A228" s="1">
        <f>_xlfn.XLOOKUP(J228,数据!E:E,数据!A:A)</f>
        <v>3</v>
      </c>
      <c r="B228" s="1">
        <f>_xlfn.XLOOKUP(J228,数据!E:E,数据!B:B)</f>
        <v>13</v>
      </c>
      <c r="C228" s="1" t="str">
        <f>_xlfn.XLOOKUP(J228,数据!E:E,数据!J:J)</f>
        <v>红单</v>
      </c>
      <c r="D228" s="1" t="str" cm="1">
        <f t="array" ref="D228">IF(OR(C228="红单",C228="空派"),_xlfn.IFS(E228="未开售","新品首批发货",F228&lt;E228,"新品首批发货",F228-E228&lt;=60,"新品期补货空运",F228-E228&gt;60,"老品应急空运"),"海运，不进行分析")</f>
        <v>新品首批发货</v>
      </c>
      <c r="E228" s="2">
        <v>46126</v>
      </c>
      <c r="F228" s="2">
        <f>_xlfn.XLOOKUP(J228,数据!E:E,数据!C:C)</f>
        <v>46106</v>
      </c>
      <c r="G228" s="4">
        <v>112</v>
      </c>
      <c r="H228" s="4">
        <f>G228*AP228/1000</f>
        <v>3.92</v>
      </c>
      <c r="I228" s="4">
        <f>_xlfn.XLOOKUP(J228,数据!E:E,数据!S:S)*(H228/_xlfn.XLOOKUP(J228,数据!E:E,数据!X:X))</f>
        <v>260.715258965085</v>
      </c>
      <c r="J228" t="s">
        <v>1653</v>
      </c>
      <c r="K228" t="s">
        <v>56</v>
      </c>
      <c r="L228" t="s">
        <v>2374</v>
      </c>
      <c r="M228" t="s">
        <v>3964</v>
      </c>
      <c r="N228" t="s">
        <v>2376</v>
      </c>
      <c r="O228" t="s">
        <v>2400</v>
      </c>
      <c r="P228" t="s">
        <v>2378</v>
      </c>
      <c r="Q228" t="s">
        <v>2379</v>
      </c>
      <c r="R228" t="s">
        <v>3965</v>
      </c>
      <c r="S228" t="s">
        <v>2511</v>
      </c>
      <c r="T228" s="3" t="s">
        <v>3928</v>
      </c>
      <c r="U228" t="s">
        <v>3914</v>
      </c>
      <c r="V228" t="s">
        <v>3966</v>
      </c>
      <c r="W228" t="s">
        <v>3967</v>
      </c>
      <c r="X228" t="s">
        <v>2385</v>
      </c>
      <c r="Y228" t="s">
        <v>3968</v>
      </c>
      <c r="Z228" t="s">
        <v>2387</v>
      </c>
      <c r="AA228" t="s">
        <v>3928</v>
      </c>
      <c r="AB228" t="s">
        <v>3405</v>
      </c>
      <c r="AC228" t="s">
        <v>3969</v>
      </c>
      <c r="AD228" t="s">
        <v>3827</v>
      </c>
      <c r="AH228" t="s">
        <v>3861</v>
      </c>
      <c r="AI228" t="s">
        <v>3659</v>
      </c>
      <c r="AJ228" t="s">
        <v>3959</v>
      </c>
      <c r="AK228" t="s">
        <v>3960</v>
      </c>
      <c r="AL228" t="s">
        <v>3961</v>
      </c>
      <c r="AM228" t="s">
        <v>3715</v>
      </c>
      <c r="AN228" t="s">
        <v>3962</v>
      </c>
      <c r="AO228" t="s">
        <v>3959</v>
      </c>
      <c r="AP228">
        <v>35</v>
      </c>
      <c r="AQ228">
        <v>35</v>
      </c>
      <c r="AR228">
        <v>35</v>
      </c>
      <c r="AS228" t="s">
        <v>3986</v>
      </c>
      <c r="AT228">
        <v>0</v>
      </c>
      <c r="AU228">
        <v>0</v>
      </c>
      <c r="AV228">
        <v>0</v>
      </c>
    </row>
    <row r="229" spans="1:48">
      <c r="A229" s="1">
        <f>_xlfn.XLOOKUP(J229,数据!E:E,数据!A:A)</f>
        <v>3</v>
      </c>
      <c r="B229" s="1">
        <f>_xlfn.XLOOKUP(J229,数据!E:E,数据!B:B)</f>
        <v>13</v>
      </c>
      <c r="C229" s="1" t="str">
        <f>_xlfn.XLOOKUP(J229,数据!E:E,数据!J:J)</f>
        <v>红单</v>
      </c>
      <c r="D229" s="1" t="str" cm="1">
        <f t="array" ref="D229">IF(OR(C229="红单",C229="空派"),_xlfn.IFS(E229="未开售","新品首批发货",F229&lt;E229,"新品首批发货",F229-E229&lt;=60,"新品期补货空运",F229-E229&gt;60,"老品应急空运"),"海运，不进行分析")</f>
        <v>新品首批发货</v>
      </c>
      <c r="E229" s="2">
        <v>46122</v>
      </c>
      <c r="F229" s="2">
        <f>_xlfn.XLOOKUP(J229,数据!E:E,数据!C:C)</f>
        <v>46106</v>
      </c>
      <c r="G229" s="4">
        <v>96</v>
      </c>
      <c r="H229" s="4">
        <f>G229*AP229/1000</f>
        <v>12</v>
      </c>
      <c r="I229" s="4">
        <f>_xlfn.XLOOKUP(J229,数据!E:E,数据!S:S)*(H229/_xlfn.XLOOKUP(J229,数据!E:E,数据!X:X))</f>
        <v>997.552</v>
      </c>
      <c r="J229" t="s">
        <v>1651</v>
      </c>
      <c r="K229" t="s">
        <v>37</v>
      </c>
      <c r="L229" t="s">
        <v>2374</v>
      </c>
      <c r="M229" t="s">
        <v>3987</v>
      </c>
      <c r="N229" t="s">
        <v>2376</v>
      </c>
      <c r="O229" t="s">
        <v>2377</v>
      </c>
      <c r="P229" t="s">
        <v>2378</v>
      </c>
      <c r="Q229" t="s">
        <v>2379</v>
      </c>
      <c r="R229" t="s">
        <v>3988</v>
      </c>
      <c r="S229" t="s">
        <v>2511</v>
      </c>
      <c r="T229" s="3" t="s">
        <v>3989</v>
      </c>
      <c r="U229" t="s">
        <v>3914</v>
      </c>
      <c r="V229" t="s">
        <v>3990</v>
      </c>
      <c r="W229" t="s">
        <v>3991</v>
      </c>
      <c r="X229" t="s">
        <v>2403</v>
      </c>
      <c r="Y229" t="s">
        <v>3992</v>
      </c>
      <c r="Z229" t="s">
        <v>2405</v>
      </c>
      <c r="AA229" t="s">
        <v>3989</v>
      </c>
      <c r="AB229" t="s">
        <v>3993</v>
      </c>
      <c r="AC229" t="s">
        <v>3994</v>
      </c>
      <c r="AD229" t="s">
        <v>3995</v>
      </c>
      <c r="AH229" t="s">
        <v>3861</v>
      </c>
      <c r="AI229" t="s">
        <v>3659</v>
      </c>
      <c r="AJ229" t="s">
        <v>2418</v>
      </c>
      <c r="AK229" t="s">
        <v>2419</v>
      </c>
      <c r="AL229" t="s">
        <v>2420</v>
      </c>
      <c r="AM229" t="s">
        <v>2420</v>
      </c>
      <c r="AN229" t="s">
        <v>2421</v>
      </c>
      <c r="AO229" t="s">
        <v>2418</v>
      </c>
      <c r="AP229">
        <v>125</v>
      </c>
      <c r="AQ229">
        <v>125</v>
      </c>
      <c r="AR229">
        <v>125</v>
      </c>
      <c r="AS229" t="s">
        <v>3996</v>
      </c>
      <c r="AT229">
        <v>0</v>
      </c>
      <c r="AU229">
        <v>0</v>
      </c>
      <c r="AV229">
        <v>0</v>
      </c>
    </row>
    <row r="230" spans="1:48">
      <c r="A230" s="1">
        <f>_xlfn.XLOOKUP(J230,数据!E:E,数据!A:A)</f>
        <v>3</v>
      </c>
      <c r="B230" s="1">
        <f>_xlfn.XLOOKUP(J230,数据!E:E,数据!B:B)</f>
        <v>13</v>
      </c>
      <c r="C230" s="1" t="str">
        <f>_xlfn.XLOOKUP(J230,数据!E:E,数据!J:J)</f>
        <v>红单</v>
      </c>
      <c r="D230" s="1" t="str" cm="1">
        <f t="array" ref="D230">IF(OR(C230="红单",C230="空派"),_xlfn.IFS(E230="未开售","新品首批发货",F230&lt;E230,"新品首批发货",F230-E230&lt;=60,"新品期补货空运",F230-E230&gt;60,"老品应急空运"),"海运，不进行分析")</f>
        <v>新品首批发货</v>
      </c>
      <c r="E230" s="2">
        <v>46115</v>
      </c>
      <c r="F230" s="2">
        <f>_xlfn.XLOOKUP(J230,数据!E:E,数据!C:C)</f>
        <v>46106</v>
      </c>
      <c r="G230" s="4">
        <v>120</v>
      </c>
      <c r="H230" s="4">
        <f>G230*AP230/1000</f>
        <v>12</v>
      </c>
      <c r="I230" s="4">
        <f>_xlfn.XLOOKUP(J230,数据!E:E,数据!S:S)*(H230/_xlfn.XLOOKUP(J230,数据!E:E,数据!X:X))</f>
        <v>911.99096215402</v>
      </c>
      <c r="J230" t="s">
        <v>1650</v>
      </c>
      <c r="K230" t="s">
        <v>46</v>
      </c>
      <c r="L230" t="s">
        <v>2374</v>
      </c>
      <c r="M230" t="s">
        <v>3997</v>
      </c>
      <c r="N230" t="s">
        <v>2376</v>
      </c>
      <c r="O230" t="s">
        <v>2400</v>
      </c>
      <c r="P230" t="s">
        <v>2378</v>
      </c>
      <c r="Q230" t="s">
        <v>2379</v>
      </c>
      <c r="R230" t="s">
        <v>3998</v>
      </c>
      <c r="S230" t="s">
        <v>2511</v>
      </c>
      <c r="T230" s="3" t="s">
        <v>3989</v>
      </c>
      <c r="U230" t="s">
        <v>3999</v>
      </c>
      <c r="V230" t="s">
        <v>4000</v>
      </c>
      <c r="W230" t="s">
        <v>4001</v>
      </c>
      <c r="X230" t="s">
        <v>2385</v>
      </c>
      <c r="Y230" t="s">
        <v>4002</v>
      </c>
      <c r="Z230" t="s">
        <v>2405</v>
      </c>
      <c r="AA230" t="s">
        <v>3989</v>
      </c>
      <c r="AB230" t="s">
        <v>3838</v>
      </c>
      <c r="AC230" t="s">
        <v>4003</v>
      </c>
      <c r="AD230" t="s">
        <v>3995</v>
      </c>
      <c r="AH230" t="s">
        <v>3861</v>
      </c>
      <c r="AI230" t="s">
        <v>3659</v>
      </c>
      <c r="AJ230" t="s">
        <v>2965</v>
      </c>
      <c r="AK230" t="s">
        <v>2966</v>
      </c>
      <c r="AL230" t="s">
        <v>2967</v>
      </c>
      <c r="AM230" t="s">
        <v>2967</v>
      </c>
      <c r="AN230" t="s">
        <v>2968</v>
      </c>
      <c r="AO230" t="s">
        <v>2965</v>
      </c>
      <c r="AP230">
        <v>100</v>
      </c>
      <c r="AQ230">
        <v>100</v>
      </c>
      <c r="AR230">
        <v>99</v>
      </c>
      <c r="AS230" t="s">
        <v>4004</v>
      </c>
      <c r="AT230">
        <v>0</v>
      </c>
      <c r="AU230">
        <v>-1</v>
      </c>
      <c r="AV230">
        <v>1</v>
      </c>
    </row>
    <row r="231" spans="1:48">
      <c r="A231" s="1">
        <f>_xlfn.XLOOKUP(J231,数据!E:E,数据!A:A)</f>
        <v>3</v>
      </c>
      <c r="B231" s="1">
        <f>_xlfn.XLOOKUP(J231,数据!E:E,数据!B:B)</f>
        <v>13</v>
      </c>
      <c r="C231" s="1" t="str">
        <f>_xlfn.XLOOKUP(J231,数据!E:E,数据!J:J)</f>
        <v>红单</v>
      </c>
      <c r="D231" s="1" t="str" cm="1">
        <f t="array" ref="D231">IF(OR(C231="红单",C231="空派"),_xlfn.IFS(E231="未开售","新品首批发货",F231&lt;E231,"新品首批发货",F231-E231&lt;=60,"新品期补货空运",F231-E231&gt;60,"老品应急空运"),"海运，不进行分析")</f>
        <v>新品期补货空运</v>
      </c>
      <c r="E231" s="2">
        <v>46058</v>
      </c>
      <c r="F231" s="2">
        <f>_xlfn.XLOOKUP(J231,数据!E:E,数据!C:C)</f>
        <v>46106</v>
      </c>
      <c r="G231" s="4">
        <v>71</v>
      </c>
      <c r="H231" s="4">
        <f>G231*AP231/1000</f>
        <v>14.555</v>
      </c>
      <c r="I231" s="4">
        <f>_xlfn.XLOOKUP(J231,数据!E:E,数据!S:S)*(H231/_xlfn.XLOOKUP(J231,数据!E:E,数据!X:X))</f>
        <v>1106.16903784598</v>
      </c>
      <c r="J231" t="s">
        <v>1650</v>
      </c>
      <c r="K231" t="s">
        <v>46</v>
      </c>
      <c r="L231" t="s">
        <v>2374</v>
      </c>
      <c r="M231" t="s">
        <v>3997</v>
      </c>
      <c r="N231" t="s">
        <v>2376</v>
      </c>
      <c r="O231" t="s">
        <v>2400</v>
      </c>
      <c r="P231" t="s">
        <v>2378</v>
      </c>
      <c r="Q231" t="s">
        <v>2379</v>
      </c>
      <c r="R231" t="s">
        <v>3998</v>
      </c>
      <c r="S231" t="s">
        <v>2511</v>
      </c>
      <c r="T231" s="3" t="s">
        <v>3989</v>
      </c>
      <c r="U231" t="s">
        <v>3999</v>
      </c>
      <c r="V231" t="s">
        <v>4000</v>
      </c>
      <c r="W231" t="s">
        <v>4001</v>
      </c>
      <c r="X231" t="s">
        <v>2385</v>
      </c>
      <c r="Y231" t="s">
        <v>4002</v>
      </c>
      <c r="Z231" t="s">
        <v>2405</v>
      </c>
      <c r="AA231" t="s">
        <v>3989</v>
      </c>
      <c r="AB231" t="s">
        <v>3838</v>
      </c>
      <c r="AC231" t="s">
        <v>4003</v>
      </c>
      <c r="AD231" t="s">
        <v>3995</v>
      </c>
      <c r="AH231" t="s">
        <v>3861</v>
      </c>
      <c r="AI231" t="s">
        <v>3659</v>
      </c>
      <c r="AJ231" t="s">
        <v>3442</v>
      </c>
      <c r="AK231" t="s">
        <v>3443</v>
      </c>
      <c r="AL231" t="s">
        <v>3444</v>
      </c>
      <c r="AM231" t="s">
        <v>3445</v>
      </c>
      <c r="AN231" t="s">
        <v>3446</v>
      </c>
      <c r="AO231" t="s">
        <v>3442</v>
      </c>
      <c r="AP231">
        <v>205</v>
      </c>
      <c r="AQ231">
        <v>205</v>
      </c>
      <c r="AR231">
        <v>205</v>
      </c>
      <c r="AS231" t="s">
        <v>4005</v>
      </c>
      <c r="AT231">
        <v>0</v>
      </c>
      <c r="AU231">
        <v>0</v>
      </c>
      <c r="AV231">
        <v>0</v>
      </c>
    </row>
    <row r="232" spans="1:48">
      <c r="A232" s="1">
        <f>_xlfn.XLOOKUP(J232,数据!E:E,数据!A:A)</f>
        <v>3</v>
      </c>
      <c r="B232" s="1">
        <f>_xlfn.XLOOKUP(J232,数据!E:E,数据!B:B)</f>
        <v>13</v>
      </c>
      <c r="C232" s="1" t="str">
        <f>_xlfn.XLOOKUP(J232,数据!E:E,数据!J:J)</f>
        <v>红单</v>
      </c>
      <c r="D232" s="1" t="str" cm="1">
        <f t="array" ref="D232">IF(OR(C232="红单",C232="空派"),_xlfn.IFS(E232="未开售","新品首批发货",F232&lt;E232,"新品首批发货",F232-E232&lt;=60,"新品期补货空运",F232-E232&gt;60,"老品应急空运"),"海运，不进行分析")</f>
        <v>老品应急空运</v>
      </c>
      <c r="E232" s="2">
        <v>44734</v>
      </c>
      <c r="F232" s="2">
        <f>_xlfn.XLOOKUP(J232,数据!E:E,数据!C:C)</f>
        <v>46105</v>
      </c>
      <c r="G232" s="4">
        <v>77</v>
      </c>
      <c r="H232" s="4">
        <f>G232*AP232/1000</f>
        <v>3.542</v>
      </c>
      <c r="I232" s="4">
        <f>_xlfn.XLOOKUP(J232,数据!E:E,数据!S:S)*(H232/_xlfn.XLOOKUP(J232,数据!E:E,数据!X:X))</f>
        <v>273.998824670825</v>
      </c>
      <c r="J232" t="s">
        <v>1648</v>
      </c>
      <c r="K232" t="s">
        <v>59</v>
      </c>
      <c r="L232" t="s">
        <v>2374</v>
      </c>
      <c r="M232" t="s">
        <v>4006</v>
      </c>
      <c r="N232" t="s">
        <v>2376</v>
      </c>
      <c r="O232" t="s">
        <v>2400</v>
      </c>
      <c r="P232" t="s">
        <v>2378</v>
      </c>
      <c r="Q232" t="s">
        <v>2379</v>
      </c>
      <c r="R232" t="s">
        <v>4007</v>
      </c>
      <c r="S232" t="s">
        <v>2511</v>
      </c>
      <c r="T232" s="3" t="s">
        <v>4008</v>
      </c>
      <c r="U232" t="s">
        <v>4009</v>
      </c>
      <c r="V232" t="s">
        <v>4010</v>
      </c>
      <c r="W232" t="s">
        <v>4011</v>
      </c>
      <c r="X232" t="s">
        <v>2385</v>
      </c>
      <c r="Y232" t="s">
        <v>4012</v>
      </c>
      <c r="Z232" t="s">
        <v>2387</v>
      </c>
      <c r="AA232" t="s">
        <v>4008</v>
      </c>
      <c r="AB232" t="s">
        <v>2934</v>
      </c>
      <c r="AC232" t="s">
        <v>4013</v>
      </c>
      <c r="AD232" t="s">
        <v>4014</v>
      </c>
      <c r="AH232" t="s">
        <v>3861</v>
      </c>
      <c r="AI232" t="s">
        <v>3659</v>
      </c>
      <c r="AJ232" t="s">
        <v>4015</v>
      </c>
      <c r="AK232" t="s">
        <v>4016</v>
      </c>
      <c r="AL232" t="s">
        <v>4017</v>
      </c>
      <c r="AM232" t="s">
        <v>4017</v>
      </c>
      <c r="AN232" t="s">
        <v>4018</v>
      </c>
      <c r="AO232" t="s">
        <v>4015</v>
      </c>
      <c r="AP232">
        <v>46</v>
      </c>
      <c r="AQ232">
        <v>46</v>
      </c>
      <c r="AR232">
        <v>52</v>
      </c>
      <c r="AS232" t="s">
        <v>4019</v>
      </c>
      <c r="AT232">
        <v>0</v>
      </c>
      <c r="AU232">
        <v>6</v>
      </c>
      <c r="AV232">
        <v>-6</v>
      </c>
    </row>
    <row r="233" spans="1:48">
      <c r="A233" s="1">
        <f>_xlfn.XLOOKUP(J233,数据!E:E,数据!A:A)</f>
        <v>3</v>
      </c>
      <c r="B233" s="1">
        <f>_xlfn.XLOOKUP(J233,数据!E:E,数据!B:B)</f>
        <v>13</v>
      </c>
      <c r="C233" s="1" t="str">
        <f>_xlfn.XLOOKUP(J233,数据!E:E,数据!J:J)</f>
        <v>红单</v>
      </c>
      <c r="D233" s="1" t="str" cm="1">
        <f t="array" ref="D233">IF(OR(C233="红单",C233="空派"),_xlfn.IFS(E233="未开售","新品首批发货",F233&lt;E233,"新品首批发货",F233-E233&lt;=60,"新品期补货空运",F233-E233&gt;60,"老品应急空运"),"海运，不进行分析")</f>
        <v>老品应急空运</v>
      </c>
      <c r="E233" s="2">
        <v>44476</v>
      </c>
      <c r="F233" s="2">
        <f>_xlfn.XLOOKUP(J233,数据!E:E,数据!C:C)</f>
        <v>46105</v>
      </c>
      <c r="G233" s="4">
        <v>98</v>
      </c>
      <c r="H233" s="4">
        <f>G233*AP233/1000</f>
        <v>16.66</v>
      </c>
      <c r="I233" s="4">
        <f>_xlfn.XLOOKUP(J233,数据!E:E,数据!S:S)*(H233/_xlfn.XLOOKUP(J233,数据!E:E,数据!X:X))</f>
        <v>1288.76917532918</v>
      </c>
      <c r="J233" t="s">
        <v>1648</v>
      </c>
      <c r="K233" t="s">
        <v>59</v>
      </c>
      <c r="L233" t="s">
        <v>2374</v>
      </c>
      <c r="M233" t="s">
        <v>4006</v>
      </c>
      <c r="N233" t="s">
        <v>2376</v>
      </c>
      <c r="O233" t="s">
        <v>2400</v>
      </c>
      <c r="P233" t="s">
        <v>2378</v>
      </c>
      <c r="Q233" t="s">
        <v>2379</v>
      </c>
      <c r="R233" t="s">
        <v>4007</v>
      </c>
      <c r="S233" t="s">
        <v>2511</v>
      </c>
      <c r="T233" s="3" t="s">
        <v>4008</v>
      </c>
      <c r="U233" t="s">
        <v>4009</v>
      </c>
      <c r="V233" t="s">
        <v>4010</v>
      </c>
      <c r="W233" t="s">
        <v>4011</v>
      </c>
      <c r="X233" t="s">
        <v>2385</v>
      </c>
      <c r="Y233" t="s">
        <v>4012</v>
      </c>
      <c r="Z233" t="s">
        <v>2387</v>
      </c>
      <c r="AA233" t="s">
        <v>4008</v>
      </c>
      <c r="AB233" t="s">
        <v>2934</v>
      </c>
      <c r="AC233" t="s">
        <v>4013</v>
      </c>
      <c r="AD233" t="s">
        <v>4014</v>
      </c>
      <c r="AH233" t="s">
        <v>3861</v>
      </c>
      <c r="AI233" t="s">
        <v>3659</v>
      </c>
      <c r="AJ233" t="s">
        <v>4020</v>
      </c>
      <c r="AK233" t="s">
        <v>4021</v>
      </c>
      <c r="AL233" t="s">
        <v>4022</v>
      </c>
      <c r="AM233" t="s">
        <v>4022</v>
      </c>
      <c r="AN233" t="s">
        <v>4023</v>
      </c>
      <c r="AO233" t="s">
        <v>4020</v>
      </c>
      <c r="AP233">
        <v>170</v>
      </c>
      <c r="AQ233">
        <v>170</v>
      </c>
      <c r="AR233">
        <v>169</v>
      </c>
      <c r="AS233" t="s">
        <v>4024</v>
      </c>
      <c r="AT233">
        <v>0</v>
      </c>
      <c r="AU233">
        <v>-1</v>
      </c>
      <c r="AV233">
        <v>1</v>
      </c>
    </row>
    <row r="234" spans="1:48">
      <c r="A234" s="1">
        <f>_xlfn.XLOOKUP(J234,数据!E:E,数据!A:A)</f>
        <v>3</v>
      </c>
      <c r="B234" s="1">
        <f>_xlfn.XLOOKUP(J234,数据!E:E,数据!B:B)</f>
        <v>13</v>
      </c>
      <c r="C234" s="1" t="str">
        <f>_xlfn.XLOOKUP(J234,数据!E:E,数据!J:J)</f>
        <v>红单</v>
      </c>
      <c r="D234" s="1" t="str" cm="1">
        <f t="array" ref="D234">IF(OR(C234="红单",C234="空派"),_xlfn.IFS(E234="未开售","新品首批发货",F234&lt;E234,"新品首批发货",F234-E234&lt;=60,"新品期补货空运",F234-E234&gt;60,"老品应急空运"),"海运，不进行分析")</f>
        <v>老品应急空运</v>
      </c>
      <c r="E234" s="2">
        <v>44458</v>
      </c>
      <c r="F234" s="2">
        <f>_xlfn.XLOOKUP(J234,数据!E:E,数据!C:C)</f>
        <v>46105</v>
      </c>
      <c r="G234" s="4">
        <v>117</v>
      </c>
      <c r="H234" s="4">
        <f>G234*AP234/1000</f>
        <v>8.19</v>
      </c>
      <c r="I234" s="4">
        <f>_xlfn.XLOOKUP(J234,数据!E:E,数据!S:S)*(H234/_xlfn.XLOOKUP(J234,数据!E:E,数据!X:X))</f>
        <v>864.84</v>
      </c>
      <c r="J234" t="s">
        <v>1649</v>
      </c>
      <c r="K234" t="s">
        <v>39</v>
      </c>
      <c r="L234" t="s">
        <v>2374</v>
      </c>
      <c r="M234" t="s">
        <v>4025</v>
      </c>
      <c r="N234" t="s">
        <v>2376</v>
      </c>
      <c r="O234" t="s">
        <v>2377</v>
      </c>
      <c r="P234" t="s">
        <v>2378</v>
      </c>
      <c r="Q234" t="s">
        <v>2379</v>
      </c>
      <c r="R234" t="s">
        <v>4026</v>
      </c>
      <c r="S234" t="s">
        <v>2511</v>
      </c>
      <c r="T234" s="3" t="s">
        <v>4008</v>
      </c>
      <c r="U234" t="s">
        <v>4027</v>
      </c>
      <c r="V234" t="s">
        <v>4028</v>
      </c>
      <c r="W234" t="s">
        <v>4029</v>
      </c>
      <c r="X234" t="s">
        <v>2403</v>
      </c>
      <c r="Y234" t="s">
        <v>4030</v>
      </c>
      <c r="Z234" t="s">
        <v>2387</v>
      </c>
      <c r="AA234" t="s">
        <v>4008</v>
      </c>
      <c r="AB234" t="s">
        <v>3657</v>
      </c>
      <c r="AC234" t="s">
        <v>4031</v>
      </c>
      <c r="AD234" t="s">
        <v>4032</v>
      </c>
      <c r="AH234" t="s">
        <v>3861</v>
      </c>
      <c r="AI234" t="s">
        <v>3659</v>
      </c>
      <c r="AJ234" t="s">
        <v>4033</v>
      </c>
      <c r="AK234" t="s">
        <v>4034</v>
      </c>
      <c r="AL234" t="s">
        <v>4035</v>
      </c>
      <c r="AM234" t="s">
        <v>4035</v>
      </c>
      <c r="AN234" t="s">
        <v>4036</v>
      </c>
      <c r="AO234" t="s">
        <v>4033</v>
      </c>
      <c r="AP234">
        <v>70</v>
      </c>
      <c r="AQ234">
        <v>70</v>
      </c>
      <c r="AR234">
        <v>70</v>
      </c>
      <c r="AS234" t="s">
        <v>4037</v>
      </c>
      <c r="AT234">
        <v>0</v>
      </c>
      <c r="AU234">
        <v>0</v>
      </c>
      <c r="AV234">
        <v>0</v>
      </c>
    </row>
    <row r="235" spans="1:48">
      <c r="A235" s="1">
        <f>_xlfn.XLOOKUP(J235,数据!E:E,数据!A:A)</f>
        <v>3</v>
      </c>
      <c r="B235" s="1">
        <f>_xlfn.XLOOKUP(J235,数据!E:E,数据!B:B)</f>
        <v>13</v>
      </c>
      <c r="C235" s="1" t="str">
        <f>_xlfn.XLOOKUP(J235,数据!E:E,数据!J:J)</f>
        <v>红单</v>
      </c>
      <c r="D235" s="1" t="str" cm="1">
        <f t="array" ref="D235">IF(OR(C235="红单",C235="空派"),_xlfn.IFS(E235="未开售","新品首批发货",F235&lt;E235,"新品首批发货",F235-E235&lt;=60,"新品期补货空运",F235-E235&gt;60,"老品应急空运"),"海运，不进行分析")</f>
        <v>新品期补货空运</v>
      </c>
      <c r="E235" s="2">
        <v>46079</v>
      </c>
      <c r="F235" s="2">
        <f>_xlfn.XLOOKUP(J235,数据!E:E,数据!C:C)</f>
        <v>46105</v>
      </c>
      <c r="G235" s="4">
        <v>134</v>
      </c>
      <c r="H235" s="4">
        <f t="shared" ref="H235:H247" si="14">G235*AP235/1000</f>
        <v>19.162</v>
      </c>
      <c r="I235" s="4">
        <f>_xlfn.XLOOKUP(J235,数据!E:E,数据!S:S)*(H235/_xlfn.XLOOKUP(J235,数据!E:E,数据!X:X))</f>
        <v>1165.25811471649</v>
      </c>
      <c r="J235" t="s">
        <v>1646</v>
      </c>
      <c r="K235" t="s">
        <v>39</v>
      </c>
      <c r="L235" t="s">
        <v>2374</v>
      </c>
      <c r="M235" t="s">
        <v>4038</v>
      </c>
      <c r="N235" t="s">
        <v>2376</v>
      </c>
      <c r="O235" t="s">
        <v>2400</v>
      </c>
      <c r="P235" t="s">
        <v>2378</v>
      </c>
      <c r="Q235" t="s">
        <v>2379</v>
      </c>
      <c r="R235" t="s">
        <v>4039</v>
      </c>
      <c r="S235" t="s">
        <v>2511</v>
      </c>
      <c r="T235" s="3" t="s">
        <v>4040</v>
      </c>
      <c r="U235" t="s">
        <v>4027</v>
      </c>
      <c r="V235" t="s">
        <v>4041</v>
      </c>
      <c r="W235" t="s">
        <v>4042</v>
      </c>
      <c r="X235" t="s">
        <v>2385</v>
      </c>
      <c r="Y235" t="s">
        <v>4043</v>
      </c>
      <c r="Z235" t="s">
        <v>2387</v>
      </c>
      <c r="AA235" t="s">
        <v>4040</v>
      </c>
      <c r="AB235" t="s">
        <v>3657</v>
      </c>
      <c r="AC235" t="s">
        <v>4044</v>
      </c>
      <c r="AD235" t="s">
        <v>4032</v>
      </c>
      <c r="AH235" t="s">
        <v>3861</v>
      </c>
      <c r="AI235" t="s">
        <v>3659</v>
      </c>
      <c r="AJ235" t="s">
        <v>3665</v>
      </c>
      <c r="AK235" t="s">
        <v>3666</v>
      </c>
      <c r="AL235" t="s">
        <v>3667</v>
      </c>
      <c r="AM235" t="s">
        <v>3667</v>
      </c>
      <c r="AN235" t="s">
        <v>3668</v>
      </c>
      <c r="AO235" t="s">
        <v>3665</v>
      </c>
      <c r="AP235">
        <v>143</v>
      </c>
      <c r="AQ235">
        <v>143</v>
      </c>
      <c r="AR235">
        <v>142</v>
      </c>
      <c r="AS235" t="s">
        <v>4045</v>
      </c>
      <c r="AT235">
        <v>0</v>
      </c>
      <c r="AU235">
        <v>-1</v>
      </c>
      <c r="AV235">
        <v>1</v>
      </c>
    </row>
    <row r="236" spans="1:48">
      <c r="A236" s="1">
        <f>_xlfn.XLOOKUP(J236,数据!E:E,数据!A:A)</f>
        <v>3</v>
      </c>
      <c r="B236" s="1">
        <f>_xlfn.XLOOKUP(J236,数据!E:E,数据!B:B)</f>
        <v>13</v>
      </c>
      <c r="C236" s="1" t="str">
        <f>_xlfn.XLOOKUP(J236,数据!E:E,数据!J:J)</f>
        <v>红单</v>
      </c>
      <c r="D236" s="1" t="str" cm="1">
        <f t="array" ref="D236">IF(OR(C236="红单",C236="空派"),_xlfn.IFS(E236="未开售","新品首批发货",F236&lt;E236,"新品首批发货",F236-E236&lt;=60,"新品期补货空运",F236-E236&gt;60,"老品应急空运"),"海运，不进行分析")</f>
        <v>老品应急空运</v>
      </c>
      <c r="E236" s="2">
        <v>44663</v>
      </c>
      <c r="F236" s="2">
        <f>_xlfn.XLOOKUP(J236,数据!E:E,数据!C:C)</f>
        <v>46105</v>
      </c>
      <c r="G236" s="4">
        <v>250</v>
      </c>
      <c r="H236" s="4">
        <f t="shared" si="14"/>
        <v>0.25</v>
      </c>
      <c r="I236" s="4">
        <f>_xlfn.XLOOKUP(J236,数据!E:E,数据!S:S)*(H236/_xlfn.XLOOKUP(J236,数据!E:E,数据!X:X))</f>
        <v>15.2027204195346</v>
      </c>
      <c r="J236" t="s">
        <v>1646</v>
      </c>
      <c r="K236" t="s">
        <v>39</v>
      </c>
      <c r="L236" t="s">
        <v>2374</v>
      </c>
      <c r="M236" t="s">
        <v>4038</v>
      </c>
      <c r="N236" t="s">
        <v>2376</v>
      </c>
      <c r="O236" t="s">
        <v>2400</v>
      </c>
      <c r="P236" t="s">
        <v>2378</v>
      </c>
      <c r="Q236" t="s">
        <v>2379</v>
      </c>
      <c r="R236" t="s">
        <v>4039</v>
      </c>
      <c r="S236" t="s">
        <v>2511</v>
      </c>
      <c r="T236" s="3" t="s">
        <v>4040</v>
      </c>
      <c r="U236" t="s">
        <v>4027</v>
      </c>
      <c r="V236" t="s">
        <v>4041</v>
      </c>
      <c r="W236" t="s">
        <v>4042</v>
      </c>
      <c r="X236" t="s">
        <v>2385</v>
      </c>
      <c r="Y236" t="s">
        <v>4043</v>
      </c>
      <c r="Z236" t="s">
        <v>2387</v>
      </c>
      <c r="AA236" t="s">
        <v>4040</v>
      </c>
      <c r="AB236" t="s">
        <v>3657</v>
      </c>
      <c r="AC236" t="s">
        <v>4044</v>
      </c>
      <c r="AD236" t="s">
        <v>4032</v>
      </c>
      <c r="AH236" t="s">
        <v>3861</v>
      </c>
      <c r="AI236" t="s">
        <v>3659</v>
      </c>
      <c r="AJ236" t="s">
        <v>3251</v>
      </c>
      <c r="AK236" t="s">
        <v>3252</v>
      </c>
      <c r="AL236" t="s">
        <v>3253</v>
      </c>
      <c r="AM236" t="s">
        <v>3253</v>
      </c>
      <c r="AN236" t="s">
        <v>3254</v>
      </c>
      <c r="AO236" t="s">
        <v>3251</v>
      </c>
      <c r="AP236">
        <v>1</v>
      </c>
      <c r="AQ236">
        <v>1</v>
      </c>
      <c r="AR236">
        <v>1</v>
      </c>
      <c r="AS236" t="s">
        <v>4046</v>
      </c>
      <c r="AT236">
        <v>0</v>
      </c>
      <c r="AU236">
        <v>0</v>
      </c>
      <c r="AV236">
        <v>0</v>
      </c>
    </row>
    <row r="237" spans="1:48">
      <c r="A237" s="1">
        <f>_xlfn.XLOOKUP(J237,数据!E:E,数据!A:A)</f>
        <v>3</v>
      </c>
      <c r="B237" s="1">
        <f>_xlfn.XLOOKUP(J237,数据!E:E,数据!B:B)</f>
        <v>13</v>
      </c>
      <c r="C237" s="1" t="str">
        <f>_xlfn.XLOOKUP(J237,数据!E:E,数据!J:J)</f>
        <v>红单</v>
      </c>
      <c r="D237" s="1" t="str" cm="1">
        <f t="array" ref="D237">IF(OR(C237="红单",C237="空派"),_xlfn.IFS(E237="未开售","新品首批发货",F237&lt;E237,"新品首批发货",F237-E237&lt;=60,"新品期补货空运",F237-E237&gt;60,"老品应急空运"),"海运，不进行分析")</f>
        <v>老品应急空运</v>
      </c>
      <c r="E237" s="2">
        <v>46016</v>
      </c>
      <c r="F237" s="2">
        <f>_xlfn.XLOOKUP(J237,数据!E:E,数据!C:C)</f>
        <v>46105</v>
      </c>
      <c r="G237" s="4">
        <v>463</v>
      </c>
      <c r="H237" s="4">
        <f t="shared" si="14"/>
        <v>0.463</v>
      </c>
      <c r="I237" s="4">
        <f>_xlfn.XLOOKUP(J237,数据!E:E,数据!S:S)*(H237/_xlfn.XLOOKUP(J237,数据!E:E,数据!X:X))</f>
        <v>28.1554382169781</v>
      </c>
      <c r="J237" t="s">
        <v>1646</v>
      </c>
      <c r="K237" t="s">
        <v>39</v>
      </c>
      <c r="L237" t="s">
        <v>2374</v>
      </c>
      <c r="M237" t="s">
        <v>4038</v>
      </c>
      <c r="N237" t="s">
        <v>2376</v>
      </c>
      <c r="O237" t="s">
        <v>2400</v>
      </c>
      <c r="P237" t="s">
        <v>2378</v>
      </c>
      <c r="Q237" t="s">
        <v>2379</v>
      </c>
      <c r="R237" t="s">
        <v>4039</v>
      </c>
      <c r="S237" t="s">
        <v>2511</v>
      </c>
      <c r="T237" s="3" t="s">
        <v>4040</v>
      </c>
      <c r="U237" t="s">
        <v>4027</v>
      </c>
      <c r="V237" t="s">
        <v>4041</v>
      </c>
      <c r="W237" t="s">
        <v>4042</v>
      </c>
      <c r="X237" t="s">
        <v>2385</v>
      </c>
      <c r="Y237" t="s">
        <v>4043</v>
      </c>
      <c r="Z237" t="s">
        <v>2387</v>
      </c>
      <c r="AA237" t="s">
        <v>4040</v>
      </c>
      <c r="AB237" t="s">
        <v>3657</v>
      </c>
      <c r="AC237" t="s">
        <v>4044</v>
      </c>
      <c r="AD237" t="s">
        <v>4032</v>
      </c>
      <c r="AH237" t="s">
        <v>3861</v>
      </c>
      <c r="AI237" t="s">
        <v>3659</v>
      </c>
      <c r="AJ237" t="s">
        <v>4047</v>
      </c>
      <c r="AK237" t="s">
        <v>4048</v>
      </c>
      <c r="AL237" t="s">
        <v>4049</v>
      </c>
      <c r="AM237" t="s">
        <v>4050</v>
      </c>
      <c r="AN237" t="s">
        <v>4051</v>
      </c>
      <c r="AO237" t="s">
        <v>4047</v>
      </c>
      <c r="AP237">
        <v>1</v>
      </c>
      <c r="AQ237">
        <v>1</v>
      </c>
      <c r="AR237">
        <v>1</v>
      </c>
      <c r="AS237" t="s">
        <v>4046</v>
      </c>
      <c r="AT237">
        <v>0</v>
      </c>
      <c r="AU237">
        <v>0</v>
      </c>
      <c r="AV237">
        <v>0</v>
      </c>
    </row>
    <row r="238" spans="1:48">
      <c r="A238" s="1">
        <f>_xlfn.XLOOKUP(J238,数据!E:E,数据!A:A)</f>
        <v>3</v>
      </c>
      <c r="B238" s="1">
        <f>_xlfn.XLOOKUP(J238,数据!E:E,数据!B:B)</f>
        <v>13</v>
      </c>
      <c r="C238" s="1" t="str">
        <f>_xlfn.XLOOKUP(J238,数据!E:E,数据!J:J)</f>
        <v>红单</v>
      </c>
      <c r="D238" s="1" t="str" cm="1">
        <f t="array" ref="D238">IF(OR(C238="红单",C238="空派"),_xlfn.IFS(E238="未开售","新品首批发货",F238&lt;E238,"新品首批发货",F238-E238&lt;=60,"新品期补货空运",F238-E238&gt;60,"老品应急空运"),"海运，不进行分析")</f>
        <v>老品应急空运</v>
      </c>
      <c r="E238" s="2">
        <v>46017</v>
      </c>
      <c r="F238" s="2">
        <f>_xlfn.XLOOKUP(J238,数据!E:E,数据!C:C)</f>
        <v>46105</v>
      </c>
      <c r="G238" s="4">
        <v>473</v>
      </c>
      <c r="H238" s="4">
        <f t="shared" si="14"/>
        <v>1.419</v>
      </c>
      <c r="I238" s="4">
        <f>_xlfn.XLOOKUP(J238,数据!E:E,数据!S:S)*(H238/_xlfn.XLOOKUP(J238,数据!E:E,数据!X:X))</f>
        <v>86.2906411012785</v>
      </c>
      <c r="J238" t="s">
        <v>1646</v>
      </c>
      <c r="K238" t="s">
        <v>39</v>
      </c>
      <c r="L238" t="s">
        <v>2374</v>
      </c>
      <c r="M238" t="s">
        <v>4038</v>
      </c>
      <c r="N238" t="s">
        <v>2376</v>
      </c>
      <c r="O238" t="s">
        <v>2400</v>
      </c>
      <c r="P238" t="s">
        <v>2378</v>
      </c>
      <c r="Q238" t="s">
        <v>2379</v>
      </c>
      <c r="R238" t="s">
        <v>4039</v>
      </c>
      <c r="S238" t="s">
        <v>2511</v>
      </c>
      <c r="T238" s="3" t="s">
        <v>4040</v>
      </c>
      <c r="U238" t="s">
        <v>4027</v>
      </c>
      <c r="V238" t="s">
        <v>4041</v>
      </c>
      <c r="W238" t="s">
        <v>4042</v>
      </c>
      <c r="X238" t="s">
        <v>2385</v>
      </c>
      <c r="Y238" t="s">
        <v>4043</v>
      </c>
      <c r="Z238" t="s">
        <v>2387</v>
      </c>
      <c r="AA238" t="s">
        <v>4040</v>
      </c>
      <c r="AB238" t="s">
        <v>3657</v>
      </c>
      <c r="AC238" t="s">
        <v>4044</v>
      </c>
      <c r="AD238" t="s">
        <v>4032</v>
      </c>
      <c r="AH238" t="s">
        <v>3861</v>
      </c>
      <c r="AI238" t="s">
        <v>3659</v>
      </c>
      <c r="AJ238" t="s">
        <v>4052</v>
      </c>
      <c r="AK238" t="s">
        <v>4053</v>
      </c>
      <c r="AL238" t="s">
        <v>4054</v>
      </c>
      <c r="AM238" t="s">
        <v>4050</v>
      </c>
      <c r="AN238" t="s">
        <v>4055</v>
      </c>
      <c r="AO238" t="s">
        <v>4052</v>
      </c>
      <c r="AP238">
        <v>3</v>
      </c>
      <c r="AQ238">
        <v>3</v>
      </c>
      <c r="AR238">
        <v>3</v>
      </c>
      <c r="AS238" t="s">
        <v>4056</v>
      </c>
      <c r="AT238">
        <v>0</v>
      </c>
      <c r="AU238">
        <v>0</v>
      </c>
      <c r="AV238">
        <v>0</v>
      </c>
    </row>
    <row r="239" spans="1:48">
      <c r="A239" s="1">
        <f>_xlfn.XLOOKUP(J239,数据!E:E,数据!A:A)</f>
        <v>3</v>
      </c>
      <c r="B239" s="1">
        <f>_xlfn.XLOOKUP(J239,数据!E:E,数据!B:B)</f>
        <v>13</v>
      </c>
      <c r="C239" s="1" t="str">
        <f>_xlfn.XLOOKUP(J239,数据!E:E,数据!J:J)</f>
        <v>红单</v>
      </c>
      <c r="D239" s="1" t="str" cm="1">
        <f t="array" ref="D239">IF(OR(C239="红单",C239="空派"),_xlfn.IFS(E239="未开售","新品首批发货",F239&lt;E239,"新品首批发货",F239-E239&lt;=60,"新品期补货空运",F239-E239&gt;60,"老品应急空运"),"海运，不进行分析")</f>
        <v>新品期补货空运</v>
      </c>
      <c r="E239" s="2">
        <v>46048</v>
      </c>
      <c r="F239" s="2">
        <f>_xlfn.XLOOKUP(J239,数据!E:E,数据!C:C)</f>
        <v>46105</v>
      </c>
      <c r="G239" s="4">
        <v>360</v>
      </c>
      <c r="H239" s="4">
        <f t="shared" si="14"/>
        <v>1.08</v>
      </c>
      <c r="I239" s="4">
        <f>_xlfn.XLOOKUP(J239,数据!E:E,数据!S:S)*(H239/_xlfn.XLOOKUP(J239,数据!E:E,数据!X:X))</f>
        <v>65.6757522123895</v>
      </c>
      <c r="J239" t="s">
        <v>1646</v>
      </c>
      <c r="K239" t="s">
        <v>39</v>
      </c>
      <c r="L239" t="s">
        <v>2374</v>
      </c>
      <c r="M239" t="s">
        <v>4038</v>
      </c>
      <c r="N239" t="s">
        <v>2376</v>
      </c>
      <c r="O239" t="s">
        <v>2400</v>
      </c>
      <c r="P239" t="s">
        <v>2378</v>
      </c>
      <c r="Q239" t="s">
        <v>2379</v>
      </c>
      <c r="R239" t="s">
        <v>4039</v>
      </c>
      <c r="S239" t="s">
        <v>2511</v>
      </c>
      <c r="T239" s="3" t="s">
        <v>4040</v>
      </c>
      <c r="U239" t="s">
        <v>4027</v>
      </c>
      <c r="V239" t="s">
        <v>4041</v>
      </c>
      <c r="W239" t="s">
        <v>4042</v>
      </c>
      <c r="X239" t="s">
        <v>2385</v>
      </c>
      <c r="Y239" t="s">
        <v>4043</v>
      </c>
      <c r="Z239" t="s">
        <v>2387</v>
      </c>
      <c r="AA239" t="s">
        <v>4040</v>
      </c>
      <c r="AB239" t="s">
        <v>3657</v>
      </c>
      <c r="AC239" t="s">
        <v>4044</v>
      </c>
      <c r="AD239" t="s">
        <v>4032</v>
      </c>
      <c r="AH239" t="s">
        <v>3861</v>
      </c>
      <c r="AI239" t="s">
        <v>3659</v>
      </c>
      <c r="AJ239" t="s">
        <v>4057</v>
      </c>
      <c r="AK239" t="s">
        <v>4058</v>
      </c>
      <c r="AL239" t="s">
        <v>4059</v>
      </c>
      <c r="AM239" t="s">
        <v>4060</v>
      </c>
      <c r="AN239" t="s">
        <v>4061</v>
      </c>
      <c r="AO239" t="s">
        <v>4057</v>
      </c>
      <c r="AP239">
        <v>3</v>
      </c>
      <c r="AQ239">
        <v>3</v>
      </c>
      <c r="AR239">
        <v>3</v>
      </c>
      <c r="AS239" t="s">
        <v>4056</v>
      </c>
      <c r="AT239">
        <v>0</v>
      </c>
      <c r="AU239">
        <v>0</v>
      </c>
      <c r="AV239">
        <v>0</v>
      </c>
    </row>
    <row r="240" spans="1:48">
      <c r="A240" s="1">
        <f>_xlfn.XLOOKUP(J240,数据!E:E,数据!A:A)</f>
        <v>3</v>
      </c>
      <c r="B240" s="1">
        <f>_xlfn.XLOOKUP(J240,数据!E:E,数据!B:B)</f>
        <v>13</v>
      </c>
      <c r="C240" s="1" t="str">
        <f>_xlfn.XLOOKUP(J240,数据!E:E,数据!J:J)</f>
        <v>红单</v>
      </c>
      <c r="D240" s="1" t="str" cm="1">
        <f t="array" ref="D240">IF(OR(C240="红单",C240="空派"),_xlfn.IFS(E240="未开售","新品首批发货",F240&lt;E240,"新品首批发货",F240-E240&lt;=60,"新品期补货空运",F240-E240&gt;60,"老品应急空运"),"海运，不进行分析")</f>
        <v>老品应急空运</v>
      </c>
      <c r="E240" s="2">
        <v>46036</v>
      </c>
      <c r="F240" s="2">
        <f>_xlfn.XLOOKUP(J240,数据!E:E,数据!C:C)</f>
        <v>46105</v>
      </c>
      <c r="G240" s="4">
        <v>120</v>
      </c>
      <c r="H240" s="4">
        <f t="shared" si="14"/>
        <v>0.48</v>
      </c>
      <c r="I240" s="4">
        <f>_xlfn.XLOOKUP(J240,数据!E:E,数据!S:S)*(H240/_xlfn.XLOOKUP(J240,数据!E:E,数据!X:X))</f>
        <v>31.7998109858701</v>
      </c>
      <c r="J240" t="s">
        <v>1647</v>
      </c>
      <c r="K240" t="s">
        <v>37</v>
      </c>
      <c r="L240" t="s">
        <v>2374</v>
      </c>
      <c r="M240" t="s">
        <v>4062</v>
      </c>
      <c r="N240" t="s">
        <v>2376</v>
      </c>
      <c r="O240" t="s">
        <v>2400</v>
      </c>
      <c r="P240" t="s">
        <v>2378</v>
      </c>
      <c r="Q240" t="s">
        <v>2379</v>
      </c>
      <c r="R240" t="s">
        <v>4063</v>
      </c>
      <c r="S240" t="s">
        <v>2511</v>
      </c>
      <c r="T240" s="3" t="s">
        <v>4064</v>
      </c>
      <c r="U240" t="s">
        <v>4065</v>
      </c>
      <c r="V240" t="s">
        <v>4066</v>
      </c>
      <c r="W240" t="s">
        <v>4067</v>
      </c>
      <c r="X240" t="s">
        <v>2385</v>
      </c>
      <c r="Y240" t="s">
        <v>4068</v>
      </c>
      <c r="Z240" t="s">
        <v>2387</v>
      </c>
      <c r="AA240" t="s">
        <v>4064</v>
      </c>
      <c r="AB240" t="s">
        <v>4069</v>
      </c>
      <c r="AC240" t="s">
        <v>4070</v>
      </c>
      <c r="AD240" t="s">
        <v>4032</v>
      </c>
      <c r="AH240" t="s">
        <v>3861</v>
      </c>
      <c r="AI240" t="s">
        <v>3659</v>
      </c>
      <c r="AJ240" t="s">
        <v>4071</v>
      </c>
      <c r="AK240" t="s">
        <v>4072</v>
      </c>
      <c r="AL240" t="s">
        <v>4073</v>
      </c>
      <c r="AM240" t="s">
        <v>2893</v>
      </c>
      <c r="AN240" t="s">
        <v>4074</v>
      </c>
      <c r="AO240" t="s">
        <v>4071</v>
      </c>
      <c r="AP240">
        <v>4</v>
      </c>
      <c r="AQ240">
        <v>4</v>
      </c>
      <c r="AR240">
        <v>4</v>
      </c>
      <c r="AS240" t="s">
        <v>4075</v>
      </c>
      <c r="AT240">
        <v>0</v>
      </c>
      <c r="AU240">
        <v>0</v>
      </c>
      <c r="AV240">
        <v>0</v>
      </c>
    </row>
    <row r="241" spans="1:48">
      <c r="A241" s="1">
        <f>_xlfn.XLOOKUP(J241,数据!E:E,数据!A:A)</f>
        <v>3</v>
      </c>
      <c r="B241" s="1">
        <f>_xlfn.XLOOKUP(J241,数据!E:E,数据!B:B)</f>
        <v>13</v>
      </c>
      <c r="C241" s="1" t="str">
        <f>_xlfn.XLOOKUP(J241,数据!E:E,数据!J:J)</f>
        <v>红单</v>
      </c>
      <c r="D241" s="1" t="str" cm="1">
        <f t="array" ref="D241">IF(OR(C241="红单",C241="空派"),_xlfn.IFS(E241="未开售","新品首批发货",F241&lt;E241,"新品首批发货",F241-E241&lt;=60,"新品期补货空运",F241-E241&gt;60,"老品应急空运"),"海运，不进行分析")</f>
        <v>新品期补货空运</v>
      </c>
      <c r="E241" s="2">
        <v>46072</v>
      </c>
      <c r="F241" s="2">
        <f>_xlfn.XLOOKUP(J241,数据!E:E,数据!C:C)</f>
        <v>46105</v>
      </c>
      <c r="G241" s="4">
        <v>108</v>
      </c>
      <c r="H241" s="4">
        <f t="shared" si="14"/>
        <v>0.324</v>
      </c>
      <c r="I241" s="4">
        <f>_xlfn.XLOOKUP(J241,数据!E:E,数据!S:S)*(H241/_xlfn.XLOOKUP(J241,数据!E:E,数据!X:X))</f>
        <v>21.4648724154623</v>
      </c>
      <c r="J241" t="s">
        <v>1647</v>
      </c>
      <c r="K241" t="s">
        <v>37</v>
      </c>
      <c r="L241" t="s">
        <v>2374</v>
      </c>
      <c r="M241" t="s">
        <v>4062</v>
      </c>
      <c r="N241" t="s">
        <v>2376</v>
      </c>
      <c r="O241" t="s">
        <v>2400</v>
      </c>
      <c r="P241" t="s">
        <v>2378</v>
      </c>
      <c r="Q241" t="s">
        <v>2379</v>
      </c>
      <c r="R241" t="s">
        <v>4063</v>
      </c>
      <c r="S241" t="s">
        <v>2511</v>
      </c>
      <c r="T241" s="3" t="s">
        <v>4064</v>
      </c>
      <c r="U241" t="s">
        <v>4065</v>
      </c>
      <c r="V241" t="s">
        <v>4066</v>
      </c>
      <c r="W241" t="s">
        <v>4067</v>
      </c>
      <c r="X241" t="s">
        <v>2385</v>
      </c>
      <c r="Y241" t="s">
        <v>4068</v>
      </c>
      <c r="Z241" t="s">
        <v>2387</v>
      </c>
      <c r="AA241" t="s">
        <v>4064</v>
      </c>
      <c r="AB241" t="s">
        <v>4069</v>
      </c>
      <c r="AC241" t="s">
        <v>4070</v>
      </c>
      <c r="AD241" t="s">
        <v>4032</v>
      </c>
      <c r="AH241" t="s">
        <v>3861</v>
      </c>
      <c r="AI241" t="s">
        <v>3659</v>
      </c>
      <c r="AJ241" t="s">
        <v>4076</v>
      </c>
      <c r="AK241" t="s">
        <v>4077</v>
      </c>
      <c r="AL241" t="s">
        <v>4078</v>
      </c>
      <c r="AM241" t="s">
        <v>4079</v>
      </c>
      <c r="AN241" t="s">
        <v>4080</v>
      </c>
      <c r="AO241" t="s">
        <v>4076</v>
      </c>
      <c r="AP241">
        <v>3</v>
      </c>
      <c r="AQ241">
        <v>3</v>
      </c>
      <c r="AR241">
        <v>3</v>
      </c>
      <c r="AS241" t="s">
        <v>4056</v>
      </c>
      <c r="AT241">
        <v>0</v>
      </c>
      <c r="AU241">
        <v>0</v>
      </c>
      <c r="AV241">
        <v>0</v>
      </c>
    </row>
    <row r="242" spans="1:48">
      <c r="A242" s="1">
        <f>_xlfn.XLOOKUP(J242,数据!E:E,数据!A:A)</f>
        <v>3</v>
      </c>
      <c r="B242" s="1">
        <f>_xlfn.XLOOKUP(J242,数据!E:E,数据!B:B)</f>
        <v>13</v>
      </c>
      <c r="C242" s="1" t="str">
        <f>_xlfn.XLOOKUP(J242,数据!E:E,数据!J:J)</f>
        <v>红单</v>
      </c>
      <c r="D242" s="1" t="str" cm="1">
        <f t="array" ref="D242">IF(OR(C242="红单",C242="空派"),_xlfn.IFS(E242="未开售","新品首批发货",F242&lt;E242,"新品首批发货",F242-E242&lt;=60,"新品期补货空运",F242-E242&gt;60,"老品应急空运"),"海运，不进行分析")</f>
        <v>新品期补货空运</v>
      </c>
      <c r="E242" s="2">
        <v>46072</v>
      </c>
      <c r="F242" s="2">
        <f>_xlfn.XLOOKUP(J242,数据!E:E,数据!C:C)</f>
        <v>46105</v>
      </c>
      <c r="G242" s="4">
        <v>113</v>
      </c>
      <c r="H242" s="4">
        <f t="shared" si="14"/>
        <v>0.339</v>
      </c>
      <c r="I242" s="4">
        <f>_xlfn.XLOOKUP(J242,数据!E:E,数据!S:S)*(H242/_xlfn.XLOOKUP(J242,数据!E:E,数据!X:X))</f>
        <v>22.4586165087707</v>
      </c>
      <c r="J242" t="s">
        <v>1647</v>
      </c>
      <c r="K242" t="s">
        <v>37</v>
      </c>
      <c r="L242" t="s">
        <v>2374</v>
      </c>
      <c r="M242" t="s">
        <v>4062</v>
      </c>
      <c r="N242" t="s">
        <v>2376</v>
      </c>
      <c r="O242" t="s">
        <v>2400</v>
      </c>
      <c r="P242" t="s">
        <v>2378</v>
      </c>
      <c r="Q242" t="s">
        <v>2379</v>
      </c>
      <c r="R242" t="s">
        <v>4063</v>
      </c>
      <c r="S242" t="s">
        <v>2511</v>
      </c>
      <c r="T242" s="3" t="s">
        <v>4064</v>
      </c>
      <c r="U242" t="s">
        <v>4065</v>
      </c>
      <c r="V242" t="s">
        <v>4066</v>
      </c>
      <c r="W242" t="s">
        <v>4067</v>
      </c>
      <c r="X242" t="s">
        <v>2385</v>
      </c>
      <c r="Y242" t="s">
        <v>4068</v>
      </c>
      <c r="Z242" t="s">
        <v>2387</v>
      </c>
      <c r="AA242" t="s">
        <v>4064</v>
      </c>
      <c r="AB242" t="s">
        <v>4069</v>
      </c>
      <c r="AC242" t="s">
        <v>4070</v>
      </c>
      <c r="AD242" t="s">
        <v>4032</v>
      </c>
      <c r="AH242" t="s">
        <v>3861</v>
      </c>
      <c r="AI242" t="s">
        <v>3659</v>
      </c>
      <c r="AJ242" t="s">
        <v>4081</v>
      </c>
      <c r="AK242" t="s">
        <v>4082</v>
      </c>
      <c r="AL242" t="s">
        <v>4083</v>
      </c>
      <c r="AM242" t="s">
        <v>4079</v>
      </c>
      <c r="AN242" t="s">
        <v>4084</v>
      </c>
      <c r="AO242" t="s">
        <v>4081</v>
      </c>
      <c r="AP242">
        <v>3</v>
      </c>
      <c r="AQ242">
        <v>3</v>
      </c>
      <c r="AR242">
        <v>3</v>
      </c>
      <c r="AS242" t="s">
        <v>4056</v>
      </c>
      <c r="AT242">
        <v>0</v>
      </c>
      <c r="AU242">
        <v>0</v>
      </c>
      <c r="AV242">
        <v>0</v>
      </c>
    </row>
    <row r="243" spans="1:48">
      <c r="A243" s="1">
        <f>_xlfn.XLOOKUP(J243,数据!E:E,数据!A:A)</f>
        <v>3</v>
      </c>
      <c r="B243" s="1">
        <f>_xlfn.XLOOKUP(J243,数据!E:E,数据!B:B)</f>
        <v>13</v>
      </c>
      <c r="C243" s="1" t="str">
        <f>_xlfn.XLOOKUP(J243,数据!E:E,数据!J:J)</f>
        <v>红单</v>
      </c>
      <c r="D243" s="1" t="str" cm="1">
        <f t="array" ref="D243">IF(OR(C243="红单",C243="空派"),_xlfn.IFS(E243="未开售","新品首批发货",F243&lt;E243,"新品首批发货",F243-E243&lt;=60,"新品期补货空运",F243-E243&gt;60,"老品应急空运"),"海运，不进行分析")</f>
        <v>新品首批发货</v>
      </c>
      <c r="E243" s="2">
        <v>46119</v>
      </c>
      <c r="F243" s="2">
        <f>_xlfn.XLOOKUP(J243,数据!E:E,数据!C:C)</f>
        <v>46105</v>
      </c>
      <c r="G243" s="4">
        <v>116</v>
      </c>
      <c r="H243" s="4">
        <f t="shared" si="14"/>
        <v>13.92</v>
      </c>
      <c r="I243" s="4">
        <f>_xlfn.XLOOKUP(J243,数据!E:E,数据!S:S)*(H243/_xlfn.XLOOKUP(J243,数据!E:E,数据!X:X))</f>
        <v>922.194518590232</v>
      </c>
      <c r="J243" t="s">
        <v>1647</v>
      </c>
      <c r="K243" t="s">
        <v>37</v>
      </c>
      <c r="L243" t="s">
        <v>2374</v>
      </c>
      <c r="M243" t="s">
        <v>4062</v>
      </c>
      <c r="N243" t="s">
        <v>2376</v>
      </c>
      <c r="O243" t="s">
        <v>2400</v>
      </c>
      <c r="P243" t="s">
        <v>2378</v>
      </c>
      <c r="Q243" t="s">
        <v>2379</v>
      </c>
      <c r="R243" t="s">
        <v>4063</v>
      </c>
      <c r="S243" t="s">
        <v>2511</v>
      </c>
      <c r="T243" s="3" t="s">
        <v>4064</v>
      </c>
      <c r="U243" t="s">
        <v>4065</v>
      </c>
      <c r="V243" t="s">
        <v>4066</v>
      </c>
      <c r="W243" t="s">
        <v>4067</v>
      </c>
      <c r="X243" t="s">
        <v>2385</v>
      </c>
      <c r="Y243" t="s">
        <v>4068</v>
      </c>
      <c r="Z243" t="s">
        <v>2387</v>
      </c>
      <c r="AA243" t="s">
        <v>4064</v>
      </c>
      <c r="AB243" t="s">
        <v>4069</v>
      </c>
      <c r="AC243" t="s">
        <v>4070</v>
      </c>
      <c r="AD243" t="s">
        <v>4032</v>
      </c>
      <c r="AH243" t="s">
        <v>3861</v>
      </c>
      <c r="AI243" t="s">
        <v>3659</v>
      </c>
      <c r="AJ243" t="s">
        <v>4085</v>
      </c>
      <c r="AK243" t="s">
        <v>4086</v>
      </c>
      <c r="AL243" t="s">
        <v>4087</v>
      </c>
      <c r="AM243" t="s">
        <v>2887</v>
      </c>
      <c r="AN243" t="s">
        <v>4088</v>
      </c>
      <c r="AO243" t="s">
        <v>4085</v>
      </c>
      <c r="AP243">
        <v>120</v>
      </c>
      <c r="AQ243">
        <v>120</v>
      </c>
      <c r="AR243">
        <v>119</v>
      </c>
      <c r="AS243" t="s">
        <v>4089</v>
      </c>
      <c r="AT243">
        <v>0</v>
      </c>
      <c r="AU243">
        <v>-1</v>
      </c>
      <c r="AV243">
        <v>1</v>
      </c>
    </row>
    <row r="244" spans="1:48">
      <c r="A244" s="1">
        <f>_xlfn.XLOOKUP(J244,数据!E:E,数据!A:A)</f>
        <v>3</v>
      </c>
      <c r="B244" s="1">
        <f>_xlfn.XLOOKUP(J244,数据!E:E,数据!B:B)</f>
        <v>13</v>
      </c>
      <c r="C244" s="1" t="str">
        <f>_xlfn.XLOOKUP(J244,数据!E:E,数据!J:J)</f>
        <v>红单</v>
      </c>
      <c r="D244" s="1" t="str" cm="1">
        <f t="array" ref="D244">IF(OR(C244="红单",C244="空派"),_xlfn.IFS(E244="未开售","新品首批发货",F244&lt;E244,"新品首批发货",F244-E244&lt;=60,"新品期补货空运",F244-E244&gt;60,"老品应急空运"),"海运，不进行分析")</f>
        <v>新品首批发货</v>
      </c>
      <c r="E244" s="2">
        <v>46121</v>
      </c>
      <c r="F244" s="2">
        <f>_xlfn.XLOOKUP(J244,数据!E:E,数据!C:C)</f>
        <v>46105</v>
      </c>
      <c r="G244" s="4">
        <v>118</v>
      </c>
      <c r="H244" s="4">
        <f t="shared" si="14"/>
        <v>14.16</v>
      </c>
      <c r="I244" s="4">
        <f>_xlfn.XLOOKUP(J244,数据!E:E,数据!S:S)*(H244/_xlfn.XLOOKUP(J244,数据!E:E,数据!X:X))</f>
        <v>938.094424083167</v>
      </c>
      <c r="J244" t="s">
        <v>1647</v>
      </c>
      <c r="K244" t="s">
        <v>37</v>
      </c>
      <c r="L244" t="s">
        <v>2374</v>
      </c>
      <c r="M244" t="s">
        <v>4062</v>
      </c>
      <c r="N244" t="s">
        <v>2376</v>
      </c>
      <c r="O244" t="s">
        <v>2400</v>
      </c>
      <c r="P244" t="s">
        <v>2378</v>
      </c>
      <c r="Q244" t="s">
        <v>2379</v>
      </c>
      <c r="R244" t="s">
        <v>4063</v>
      </c>
      <c r="S244" t="s">
        <v>2511</v>
      </c>
      <c r="T244" s="3" t="s">
        <v>4064</v>
      </c>
      <c r="U244" t="s">
        <v>4065</v>
      </c>
      <c r="V244" t="s">
        <v>4066</v>
      </c>
      <c r="W244" t="s">
        <v>4067</v>
      </c>
      <c r="X244" t="s">
        <v>2385</v>
      </c>
      <c r="Y244" t="s">
        <v>4068</v>
      </c>
      <c r="Z244" t="s">
        <v>2387</v>
      </c>
      <c r="AA244" t="s">
        <v>4064</v>
      </c>
      <c r="AB244" t="s">
        <v>4069</v>
      </c>
      <c r="AC244" t="s">
        <v>4070</v>
      </c>
      <c r="AD244" t="s">
        <v>4032</v>
      </c>
      <c r="AH244" t="s">
        <v>3861</v>
      </c>
      <c r="AI244" t="s">
        <v>3659</v>
      </c>
      <c r="AJ244" t="s">
        <v>4090</v>
      </c>
      <c r="AK244" t="s">
        <v>4091</v>
      </c>
      <c r="AL244" t="s">
        <v>4092</v>
      </c>
      <c r="AM244" t="s">
        <v>4093</v>
      </c>
      <c r="AN244" t="s">
        <v>4094</v>
      </c>
      <c r="AO244" t="s">
        <v>4090</v>
      </c>
      <c r="AP244">
        <v>120</v>
      </c>
      <c r="AQ244">
        <v>120</v>
      </c>
      <c r="AR244">
        <v>120</v>
      </c>
      <c r="AS244" t="s">
        <v>4095</v>
      </c>
      <c r="AT244">
        <v>0</v>
      </c>
      <c r="AU244">
        <v>0</v>
      </c>
      <c r="AV244">
        <v>0</v>
      </c>
    </row>
    <row r="245" spans="1:48">
      <c r="A245" s="1">
        <f>_xlfn.XLOOKUP(J245,数据!E:E,数据!A:A)</f>
        <v>3</v>
      </c>
      <c r="B245" s="1">
        <f>_xlfn.XLOOKUP(J245,数据!E:E,数据!B:B)</f>
        <v>13</v>
      </c>
      <c r="C245" s="1" t="str">
        <f>_xlfn.XLOOKUP(J245,数据!E:E,数据!J:J)</f>
        <v>红单</v>
      </c>
      <c r="D245" s="1" t="str" cm="1">
        <f t="array" ref="D245">IF(OR(C245="红单",C245="空派"),_xlfn.IFS(E245="未开售","新品首批发货",F245&lt;E245,"新品首批发货",F245-E245&lt;=60,"新品期补货空运",F245-E245&gt;60,"老品应急空运"),"海运，不进行分析")</f>
        <v>新品首批发货</v>
      </c>
      <c r="E245" s="2">
        <v>46119</v>
      </c>
      <c r="F245" s="2">
        <f>_xlfn.XLOOKUP(J245,数据!E:E,数据!C:C)</f>
        <v>46105</v>
      </c>
      <c r="G245" s="4">
        <v>118</v>
      </c>
      <c r="H245" s="4">
        <f t="shared" si="14"/>
        <v>14.16</v>
      </c>
      <c r="I245" s="4">
        <f>_xlfn.XLOOKUP(J245,数据!E:E,数据!S:S)*(H245/_xlfn.XLOOKUP(J245,数据!E:E,数据!X:X))</f>
        <v>938.094424083167</v>
      </c>
      <c r="J245" t="s">
        <v>1647</v>
      </c>
      <c r="K245" t="s">
        <v>37</v>
      </c>
      <c r="L245" t="s">
        <v>2374</v>
      </c>
      <c r="M245" t="s">
        <v>4062</v>
      </c>
      <c r="N245" t="s">
        <v>2376</v>
      </c>
      <c r="O245" t="s">
        <v>2400</v>
      </c>
      <c r="P245" t="s">
        <v>2378</v>
      </c>
      <c r="Q245" t="s">
        <v>2379</v>
      </c>
      <c r="R245" t="s">
        <v>4063</v>
      </c>
      <c r="S245" t="s">
        <v>2511</v>
      </c>
      <c r="T245" s="3" t="s">
        <v>4064</v>
      </c>
      <c r="U245" t="s">
        <v>4065</v>
      </c>
      <c r="V245" t="s">
        <v>4066</v>
      </c>
      <c r="W245" t="s">
        <v>4067</v>
      </c>
      <c r="X245" t="s">
        <v>2385</v>
      </c>
      <c r="Y245" t="s">
        <v>4068</v>
      </c>
      <c r="Z245" t="s">
        <v>2387</v>
      </c>
      <c r="AA245" t="s">
        <v>4064</v>
      </c>
      <c r="AB245" t="s">
        <v>4069</v>
      </c>
      <c r="AC245" t="s">
        <v>4070</v>
      </c>
      <c r="AD245" t="s">
        <v>4032</v>
      </c>
      <c r="AH245" t="s">
        <v>3861</v>
      </c>
      <c r="AI245" t="s">
        <v>3659</v>
      </c>
      <c r="AJ245" t="s">
        <v>4096</v>
      </c>
      <c r="AK245" t="s">
        <v>4097</v>
      </c>
      <c r="AL245" t="s">
        <v>4098</v>
      </c>
      <c r="AM245" t="s">
        <v>4093</v>
      </c>
      <c r="AN245" t="s">
        <v>4099</v>
      </c>
      <c r="AO245" t="s">
        <v>4096</v>
      </c>
      <c r="AP245">
        <v>120</v>
      </c>
      <c r="AQ245">
        <v>120</v>
      </c>
      <c r="AR245">
        <v>118</v>
      </c>
      <c r="AS245" t="s">
        <v>4100</v>
      </c>
      <c r="AT245">
        <v>0</v>
      </c>
      <c r="AU245">
        <v>-2</v>
      </c>
      <c r="AV245">
        <v>2</v>
      </c>
    </row>
    <row r="246" spans="1:48">
      <c r="A246" s="1">
        <f>_xlfn.XLOOKUP(J246,数据!E:E,数据!A:A)</f>
        <v>3</v>
      </c>
      <c r="B246" s="1">
        <f>_xlfn.XLOOKUP(J246,数据!E:E,数据!B:B)</f>
        <v>13</v>
      </c>
      <c r="C246" s="1" t="str">
        <f>_xlfn.XLOOKUP(J246,数据!E:E,数据!J:J)</f>
        <v>红单</v>
      </c>
      <c r="D246" s="1" t="str" cm="1">
        <f t="array" ref="D246">IF(OR(C246="红单",C246="空派"),_xlfn.IFS(E246="未开售","新品首批发货",F246&lt;E246,"新品首批发货",F246-E246&lt;=60,"新品期补货空运",F246-E246&gt;60,"老品应急空运"),"海运，不进行分析")</f>
        <v>新品期补货空运</v>
      </c>
      <c r="E246" s="2">
        <v>46092</v>
      </c>
      <c r="F246" s="2">
        <f>_xlfn.XLOOKUP(J246,数据!E:E,数据!C:C)</f>
        <v>46105</v>
      </c>
      <c r="G246" s="4">
        <v>53</v>
      </c>
      <c r="H246" s="4">
        <f t="shared" si="14"/>
        <v>5.3</v>
      </c>
      <c r="I246" s="4">
        <f>_xlfn.XLOOKUP(J246,数据!E:E,数据!S:S)*(H246/_xlfn.XLOOKUP(J246,数据!E:E,数据!X:X))</f>
        <v>470.368392788646</v>
      </c>
      <c r="J246" t="s">
        <v>1645</v>
      </c>
      <c r="K246" t="s">
        <v>224</v>
      </c>
      <c r="L246" t="s">
        <v>2374</v>
      </c>
      <c r="M246" t="s">
        <v>4101</v>
      </c>
      <c r="N246" t="s">
        <v>2376</v>
      </c>
      <c r="O246" t="s">
        <v>2400</v>
      </c>
      <c r="P246" t="s">
        <v>2378</v>
      </c>
      <c r="Q246" t="s">
        <v>2379</v>
      </c>
      <c r="R246" t="s">
        <v>4102</v>
      </c>
      <c r="S246" t="s">
        <v>2511</v>
      </c>
      <c r="T246" s="3" t="s">
        <v>4064</v>
      </c>
      <c r="U246" t="s">
        <v>4103</v>
      </c>
      <c r="V246" t="s">
        <v>4104</v>
      </c>
      <c r="W246" t="s">
        <v>2718</v>
      </c>
      <c r="X246" t="s">
        <v>2403</v>
      </c>
      <c r="Y246" t="s">
        <v>4105</v>
      </c>
      <c r="Z246" t="s">
        <v>2387</v>
      </c>
      <c r="AA246" t="s">
        <v>4064</v>
      </c>
      <c r="AB246" t="s">
        <v>3725</v>
      </c>
      <c r="AC246" t="s">
        <v>4106</v>
      </c>
      <c r="AD246" t="s">
        <v>4032</v>
      </c>
      <c r="AH246" t="s">
        <v>3861</v>
      </c>
      <c r="AI246" t="s">
        <v>3659</v>
      </c>
      <c r="AJ246" t="s">
        <v>2494</v>
      </c>
      <c r="AK246" t="s">
        <v>2495</v>
      </c>
      <c r="AL246" t="s">
        <v>2496</v>
      </c>
      <c r="AM246" t="s">
        <v>2497</v>
      </c>
      <c r="AN246" t="s">
        <v>2498</v>
      </c>
      <c r="AO246" t="s">
        <v>2494</v>
      </c>
      <c r="AP246">
        <v>100</v>
      </c>
      <c r="AQ246">
        <v>100</v>
      </c>
      <c r="AR246">
        <v>100</v>
      </c>
      <c r="AS246" t="s">
        <v>4107</v>
      </c>
      <c r="AT246">
        <v>0</v>
      </c>
      <c r="AU246">
        <v>0</v>
      </c>
      <c r="AV246">
        <v>0</v>
      </c>
    </row>
    <row r="247" spans="1:48">
      <c r="A247" s="1">
        <f>_xlfn.XLOOKUP(J247,数据!E:E,数据!A:A)</f>
        <v>3</v>
      </c>
      <c r="B247" s="1">
        <f>_xlfn.XLOOKUP(J247,数据!E:E,数据!B:B)</f>
        <v>13</v>
      </c>
      <c r="C247" s="1" t="str">
        <f>_xlfn.XLOOKUP(J247,数据!E:E,数据!J:J)</f>
        <v>红单</v>
      </c>
      <c r="D247" s="1" t="str" cm="1">
        <f t="array" ref="D247">IF(OR(C247="红单",C247="空派"),_xlfn.IFS(E247="未开售","新品首批发货",F247&lt;E247,"新品首批发货",F247-E247&lt;=60,"新品期补货空运",F247-E247&gt;60,"老品应急空运"),"海运，不进行分析")</f>
        <v>老品应急空运</v>
      </c>
      <c r="E247" s="2">
        <v>44958</v>
      </c>
      <c r="F247" s="2">
        <f>_xlfn.XLOOKUP(J247,数据!E:E,数据!C:C)</f>
        <v>46105</v>
      </c>
      <c r="G247" s="4">
        <v>113</v>
      </c>
      <c r="H247" s="4">
        <f t="shared" si="14"/>
        <v>3.39</v>
      </c>
      <c r="I247" s="4">
        <f>_xlfn.XLOOKUP(J247,数据!E:E,数据!S:S)*(H247/_xlfn.XLOOKUP(J247,数据!E:E,数据!X:X))</f>
        <v>300.858273878021</v>
      </c>
      <c r="J247" t="s">
        <v>1645</v>
      </c>
      <c r="K247" t="s">
        <v>224</v>
      </c>
      <c r="L247" t="s">
        <v>2374</v>
      </c>
      <c r="M247" t="s">
        <v>4101</v>
      </c>
      <c r="N247" t="s">
        <v>2376</v>
      </c>
      <c r="O247" t="s">
        <v>2400</v>
      </c>
      <c r="P247" t="s">
        <v>2378</v>
      </c>
      <c r="Q247" t="s">
        <v>2379</v>
      </c>
      <c r="R247" t="s">
        <v>4102</v>
      </c>
      <c r="S247" t="s">
        <v>2511</v>
      </c>
      <c r="T247" s="3" t="s">
        <v>4064</v>
      </c>
      <c r="U247" t="s">
        <v>4103</v>
      </c>
      <c r="V247" t="s">
        <v>4104</v>
      </c>
      <c r="W247" t="s">
        <v>2718</v>
      </c>
      <c r="X247" t="s">
        <v>2403</v>
      </c>
      <c r="Y247" t="s">
        <v>4105</v>
      </c>
      <c r="Z247" t="s">
        <v>2387</v>
      </c>
      <c r="AA247" t="s">
        <v>4064</v>
      </c>
      <c r="AB247" t="s">
        <v>3725</v>
      </c>
      <c r="AC247" t="s">
        <v>4106</v>
      </c>
      <c r="AD247" t="s">
        <v>4032</v>
      </c>
      <c r="AH247" t="s">
        <v>3861</v>
      </c>
      <c r="AI247" t="s">
        <v>3659</v>
      </c>
      <c r="AJ247" t="s">
        <v>4108</v>
      </c>
      <c r="AK247" t="s">
        <v>4109</v>
      </c>
      <c r="AL247" t="s">
        <v>4110</v>
      </c>
      <c r="AM247" t="s">
        <v>4110</v>
      </c>
      <c r="AN247" t="s">
        <v>4111</v>
      </c>
      <c r="AO247" t="s">
        <v>4108</v>
      </c>
      <c r="AP247">
        <v>30</v>
      </c>
      <c r="AQ247">
        <v>30</v>
      </c>
      <c r="AR247">
        <v>41</v>
      </c>
      <c r="AS247" t="s">
        <v>4112</v>
      </c>
      <c r="AT247">
        <v>0</v>
      </c>
      <c r="AU247">
        <v>11</v>
      </c>
      <c r="AV247">
        <v>-11</v>
      </c>
    </row>
    <row r="248" spans="1:48">
      <c r="A248" s="1">
        <f>_xlfn.XLOOKUP(J248,数据!E:E,数据!A:A)</f>
        <v>3</v>
      </c>
      <c r="B248" s="1">
        <f>_xlfn.XLOOKUP(J248,数据!E:E,数据!B:B)</f>
        <v>13</v>
      </c>
      <c r="C248" s="1" t="str">
        <f>_xlfn.XLOOKUP(J248,数据!E:E,数据!J:J)</f>
        <v>红单</v>
      </c>
      <c r="D248" s="1" t="str" cm="1">
        <f t="array" ref="D248">IF(OR(C248="红单",C248="空派"),_xlfn.IFS(E248="未开售","新品首批发货",F248&lt;E248,"新品首批发货",F248-E248&lt;=60,"新品期补货空运",F248-E248&gt;60,"老品应急空运"),"海运，不进行分析")</f>
        <v>新品期补货空运</v>
      </c>
      <c r="E248" s="2">
        <v>46083</v>
      </c>
      <c r="F248" s="2">
        <f>_xlfn.XLOOKUP(J248,数据!E:E,数据!C:C)</f>
        <v>46104</v>
      </c>
      <c r="G248" s="4">
        <v>115</v>
      </c>
      <c r="H248" s="4">
        <f>G248*AP248/1000</f>
        <v>2.645</v>
      </c>
      <c r="I248" s="4">
        <f>_xlfn.XLOOKUP(J248,数据!E:E,数据!S:S)*(H248/_xlfn.XLOOKUP(J248,数据!E:E,数据!X:X))</f>
        <v>205.093771406432</v>
      </c>
      <c r="J248" t="s">
        <v>1644</v>
      </c>
      <c r="K248" t="s">
        <v>51</v>
      </c>
      <c r="L248" t="s">
        <v>2374</v>
      </c>
      <c r="M248" t="s">
        <v>4113</v>
      </c>
      <c r="N248" t="s">
        <v>2376</v>
      </c>
      <c r="O248" t="s">
        <v>2400</v>
      </c>
      <c r="P248" t="s">
        <v>2378</v>
      </c>
      <c r="Q248" t="s">
        <v>2379</v>
      </c>
      <c r="R248" t="s">
        <v>4114</v>
      </c>
      <c r="S248" t="s">
        <v>2511</v>
      </c>
      <c r="T248" s="3" t="s">
        <v>4115</v>
      </c>
      <c r="U248" t="s">
        <v>4116</v>
      </c>
      <c r="V248" t="s">
        <v>4117</v>
      </c>
      <c r="W248" t="s">
        <v>4118</v>
      </c>
      <c r="X248" t="s">
        <v>2385</v>
      </c>
      <c r="Y248" t="s">
        <v>4119</v>
      </c>
      <c r="Z248" t="s">
        <v>2387</v>
      </c>
      <c r="AA248" t="s">
        <v>4115</v>
      </c>
      <c r="AB248" t="s">
        <v>4120</v>
      </c>
      <c r="AC248" t="s">
        <v>4121</v>
      </c>
      <c r="AD248" t="s">
        <v>4122</v>
      </c>
      <c r="AH248" t="s">
        <v>3861</v>
      </c>
      <c r="AI248" t="s">
        <v>3659</v>
      </c>
      <c r="AJ248" t="s">
        <v>4123</v>
      </c>
      <c r="AK248" t="s">
        <v>4124</v>
      </c>
      <c r="AL248" t="s">
        <v>4125</v>
      </c>
      <c r="AM248" t="s">
        <v>3781</v>
      </c>
      <c r="AN248" t="s">
        <v>4126</v>
      </c>
      <c r="AO248" t="s">
        <v>4123</v>
      </c>
      <c r="AP248">
        <v>23</v>
      </c>
      <c r="AQ248">
        <v>23</v>
      </c>
      <c r="AR248">
        <v>22</v>
      </c>
      <c r="AS248" t="s">
        <v>4127</v>
      </c>
      <c r="AT248">
        <v>0</v>
      </c>
      <c r="AU248">
        <v>-1</v>
      </c>
      <c r="AV248">
        <v>1</v>
      </c>
    </row>
    <row r="249" spans="1:48">
      <c r="A249" s="1">
        <f>_xlfn.XLOOKUP(J249,数据!E:E,数据!A:A)</f>
        <v>3</v>
      </c>
      <c r="B249" s="1">
        <f>_xlfn.XLOOKUP(J249,数据!E:E,数据!B:B)</f>
        <v>13</v>
      </c>
      <c r="C249" s="1" t="str">
        <f>_xlfn.XLOOKUP(J249,数据!E:E,数据!J:J)</f>
        <v>红单</v>
      </c>
      <c r="D249" s="1" t="str" cm="1">
        <f t="array" ref="D249">IF(OR(C249="红单",C249="空派"),_xlfn.IFS(E249="未开售","新品首批发货",F249&lt;E249,"新品首批发货",F249-E249&lt;=60,"新品期补货空运",F249-E249&gt;60,"老品应急空运"),"海运，不进行分析")</f>
        <v>新品期补货空运</v>
      </c>
      <c r="E249" s="2">
        <v>46088</v>
      </c>
      <c r="F249" s="2">
        <f>_xlfn.XLOOKUP(J249,数据!E:E,数据!C:C)</f>
        <v>46104</v>
      </c>
      <c r="G249" s="4">
        <v>114</v>
      </c>
      <c r="H249" s="4">
        <f>G249*AP249/1000</f>
        <v>5.7</v>
      </c>
      <c r="I249" s="4">
        <f>_xlfn.XLOOKUP(J249,数据!E:E,数据!S:S)*(H249/_xlfn.XLOOKUP(J249,数据!E:E,数据!X:X))</f>
        <v>441.979015885316</v>
      </c>
      <c r="J249" t="s">
        <v>1644</v>
      </c>
      <c r="K249" t="s">
        <v>51</v>
      </c>
      <c r="L249" t="s">
        <v>2374</v>
      </c>
      <c r="M249" t="s">
        <v>4113</v>
      </c>
      <c r="N249" t="s">
        <v>2376</v>
      </c>
      <c r="O249" t="s">
        <v>2400</v>
      </c>
      <c r="P249" t="s">
        <v>2378</v>
      </c>
      <c r="Q249" t="s">
        <v>2379</v>
      </c>
      <c r="R249" t="s">
        <v>4114</v>
      </c>
      <c r="S249" t="s">
        <v>2511</v>
      </c>
      <c r="T249" s="3" t="s">
        <v>4115</v>
      </c>
      <c r="U249" t="s">
        <v>4116</v>
      </c>
      <c r="V249" t="s">
        <v>4117</v>
      </c>
      <c r="W249" t="s">
        <v>4118</v>
      </c>
      <c r="X249" t="s">
        <v>2385</v>
      </c>
      <c r="Y249" t="s">
        <v>4119</v>
      </c>
      <c r="Z249" t="s">
        <v>2387</v>
      </c>
      <c r="AA249" t="s">
        <v>4115</v>
      </c>
      <c r="AB249" t="s">
        <v>4120</v>
      </c>
      <c r="AC249" t="s">
        <v>4121</v>
      </c>
      <c r="AD249" t="s">
        <v>4122</v>
      </c>
      <c r="AH249" t="s">
        <v>3861</v>
      </c>
      <c r="AI249" t="s">
        <v>3659</v>
      </c>
      <c r="AJ249" t="s">
        <v>4128</v>
      </c>
      <c r="AK249" t="s">
        <v>4129</v>
      </c>
      <c r="AL249" t="s">
        <v>4130</v>
      </c>
      <c r="AM249" t="s">
        <v>3781</v>
      </c>
      <c r="AN249" t="s">
        <v>4131</v>
      </c>
      <c r="AO249" t="s">
        <v>4128</v>
      </c>
      <c r="AP249">
        <v>50</v>
      </c>
      <c r="AQ249">
        <v>50</v>
      </c>
      <c r="AR249">
        <v>49</v>
      </c>
      <c r="AS249" t="s">
        <v>4132</v>
      </c>
      <c r="AT249">
        <v>0</v>
      </c>
      <c r="AU249">
        <v>-1</v>
      </c>
      <c r="AV249">
        <v>1</v>
      </c>
    </row>
    <row r="250" spans="1:48">
      <c r="A250" s="1">
        <f>_xlfn.XLOOKUP(J250,数据!E:E,数据!A:A)</f>
        <v>3</v>
      </c>
      <c r="B250" s="1">
        <f>_xlfn.XLOOKUP(J250,数据!E:E,数据!B:B)</f>
        <v>13</v>
      </c>
      <c r="C250" s="1" t="str">
        <f>_xlfn.XLOOKUP(J250,数据!E:E,数据!J:J)</f>
        <v>红单</v>
      </c>
      <c r="D250" s="1" t="str" cm="1">
        <f t="array" ref="D250">IF(OR(C250="红单",C250="空派"),_xlfn.IFS(E250="未开售","新品首批发货",F250&lt;E250,"新品首批发货",F250-E250&lt;=60,"新品期补货空运",F250-E250&gt;60,"老品应急空运"),"海运，不进行分析")</f>
        <v>新品期补货空运</v>
      </c>
      <c r="E250" s="2">
        <v>46088</v>
      </c>
      <c r="F250" s="2">
        <f>_xlfn.XLOOKUP(J250,数据!E:E,数据!C:C)</f>
        <v>46104</v>
      </c>
      <c r="G250" s="4">
        <v>114</v>
      </c>
      <c r="H250" s="4">
        <f>G250*AP250/1000</f>
        <v>4.56</v>
      </c>
      <c r="I250" s="4">
        <f>_xlfn.XLOOKUP(J250,数据!E:E,数据!S:S)*(H250/_xlfn.XLOOKUP(J250,数据!E:E,数据!X:X))</f>
        <v>353.583212708253</v>
      </c>
      <c r="J250" t="s">
        <v>1644</v>
      </c>
      <c r="K250" t="s">
        <v>51</v>
      </c>
      <c r="L250" t="s">
        <v>2374</v>
      </c>
      <c r="M250" t="s">
        <v>4113</v>
      </c>
      <c r="N250" t="s">
        <v>2376</v>
      </c>
      <c r="O250" t="s">
        <v>2400</v>
      </c>
      <c r="P250" t="s">
        <v>2378</v>
      </c>
      <c r="Q250" t="s">
        <v>2379</v>
      </c>
      <c r="R250" t="s">
        <v>4114</v>
      </c>
      <c r="S250" t="s">
        <v>2511</v>
      </c>
      <c r="T250" s="3" t="s">
        <v>4115</v>
      </c>
      <c r="U250" t="s">
        <v>4116</v>
      </c>
      <c r="V250" t="s">
        <v>4117</v>
      </c>
      <c r="W250" t="s">
        <v>4118</v>
      </c>
      <c r="X250" t="s">
        <v>2385</v>
      </c>
      <c r="Y250" t="s">
        <v>4119</v>
      </c>
      <c r="Z250" t="s">
        <v>2387</v>
      </c>
      <c r="AA250" t="s">
        <v>4115</v>
      </c>
      <c r="AB250" t="s">
        <v>4120</v>
      </c>
      <c r="AC250" t="s">
        <v>4121</v>
      </c>
      <c r="AD250" t="s">
        <v>4122</v>
      </c>
      <c r="AH250" t="s">
        <v>3861</v>
      </c>
      <c r="AI250" t="s">
        <v>3659</v>
      </c>
      <c r="AJ250" t="s">
        <v>3784</v>
      </c>
      <c r="AK250" t="s">
        <v>3785</v>
      </c>
      <c r="AL250" t="s">
        <v>3786</v>
      </c>
      <c r="AM250" t="s">
        <v>3781</v>
      </c>
      <c r="AN250" t="s">
        <v>3787</v>
      </c>
      <c r="AO250" t="s">
        <v>3784</v>
      </c>
      <c r="AP250">
        <v>40</v>
      </c>
      <c r="AQ250">
        <v>40</v>
      </c>
      <c r="AR250">
        <v>39</v>
      </c>
      <c r="AS250" t="s">
        <v>4133</v>
      </c>
      <c r="AT250">
        <v>0</v>
      </c>
      <c r="AU250">
        <v>-1</v>
      </c>
      <c r="AV250">
        <v>1</v>
      </c>
    </row>
    <row r="251" spans="1:48">
      <c r="A251" s="1">
        <f>_xlfn.XLOOKUP(J251,数据!E:E,数据!A:A)</f>
        <v>3</v>
      </c>
      <c r="B251" s="1">
        <f>_xlfn.XLOOKUP(J251,数据!E:E,数据!B:B)</f>
        <v>13</v>
      </c>
      <c r="C251" s="1" t="str">
        <f>_xlfn.XLOOKUP(J251,数据!E:E,数据!J:J)</f>
        <v>红单</v>
      </c>
      <c r="D251" s="1" t="str" cm="1">
        <f t="array" ref="D251">IF(OR(C251="红单",C251="空派"),_xlfn.IFS(E251="未开售","新品首批发货",F251&lt;E251,"新品首批发货",F251-E251&lt;=60,"新品期补货空运",F251-E251&gt;60,"老品应急空运"),"海运，不进行分析")</f>
        <v>老品应急空运</v>
      </c>
      <c r="E251" s="2">
        <v>46029</v>
      </c>
      <c r="F251" s="2">
        <f>_xlfn.XLOOKUP(J251,数据!E:E,数据!C:C)</f>
        <v>46104</v>
      </c>
      <c r="G251" s="4">
        <v>142</v>
      </c>
      <c r="H251" s="4">
        <f>G251*AP251/1000</f>
        <v>42.6</v>
      </c>
      <c r="I251" s="4">
        <f>_xlfn.XLOOKUP(J251,数据!E:E,数据!S:S)*(H251/_xlfn.XLOOKUP(J251,数据!E:E,数据!X:X))</f>
        <v>2715.37381242387</v>
      </c>
      <c r="J251" t="s">
        <v>1643</v>
      </c>
      <c r="K251" t="s">
        <v>31</v>
      </c>
      <c r="L251" t="s">
        <v>2374</v>
      </c>
      <c r="M251" t="s">
        <v>4134</v>
      </c>
      <c r="N251" t="s">
        <v>2376</v>
      </c>
      <c r="O251" t="s">
        <v>2400</v>
      </c>
      <c r="P251" t="s">
        <v>2378</v>
      </c>
      <c r="Q251" t="s">
        <v>2379</v>
      </c>
      <c r="R251" t="s">
        <v>4135</v>
      </c>
      <c r="S251" t="s">
        <v>2511</v>
      </c>
      <c r="T251" s="3" t="s">
        <v>4115</v>
      </c>
      <c r="U251" t="s">
        <v>4136</v>
      </c>
      <c r="V251" t="s">
        <v>4137</v>
      </c>
      <c r="W251" t="s">
        <v>4138</v>
      </c>
      <c r="X251" t="s">
        <v>2385</v>
      </c>
      <c r="Y251" t="s">
        <v>4139</v>
      </c>
      <c r="Z251" t="s">
        <v>2387</v>
      </c>
      <c r="AA251" t="s">
        <v>4115</v>
      </c>
      <c r="AB251" t="s">
        <v>4140</v>
      </c>
      <c r="AC251" t="s">
        <v>4141</v>
      </c>
      <c r="AD251" t="s">
        <v>4122</v>
      </c>
      <c r="AH251" t="s">
        <v>3861</v>
      </c>
      <c r="AI251" t="s">
        <v>3659</v>
      </c>
      <c r="AJ251" t="s">
        <v>4142</v>
      </c>
      <c r="AK251" t="s">
        <v>4143</v>
      </c>
      <c r="AL251" t="s">
        <v>4144</v>
      </c>
      <c r="AM251" t="s">
        <v>2787</v>
      </c>
      <c r="AN251" t="s">
        <v>4145</v>
      </c>
      <c r="AO251" t="s">
        <v>4142</v>
      </c>
      <c r="AP251">
        <v>300</v>
      </c>
      <c r="AQ251">
        <v>300</v>
      </c>
      <c r="AR251">
        <v>298</v>
      </c>
      <c r="AS251" t="s">
        <v>4146</v>
      </c>
      <c r="AT251">
        <v>0</v>
      </c>
      <c r="AU251">
        <v>-2</v>
      </c>
      <c r="AV251">
        <v>2</v>
      </c>
    </row>
    <row r="252" spans="1:48">
      <c r="A252" s="1">
        <f>_xlfn.XLOOKUP(J252,数据!E:E,数据!A:A)</f>
        <v>3</v>
      </c>
      <c r="B252" s="1">
        <f>_xlfn.XLOOKUP(J252,数据!E:E,数据!B:B)</f>
        <v>13</v>
      </c>
      <c r="C252" s="1" t="str">
        <f>_xlfn.XLOOKUP(J252,数据!E:E,数据!J:J)</f>
        <v>红单</v>
      </c>
      <c r="D252" s="1" t="str" cm="1">
        <f t="array" ref="D252">IF(OR(C252="红单",C252="空派"),_xlfn.IFS(E252="未开售","新品首批发货",F252&lt;E252,"新品首批发货",F252-E252&lt;=60,"新品期补货空运",F252-E252&gt;60,"老品应急空运"),"海运，不进行分析")</f>
        <v>老品应急空运</v>
      </c>
      <c r="E252" s="2">
        <v>46028</v>
      </c>
      <c r="F252" s="2">
        <f>_xlfn.XLOOKUP(J252,数据!E:E,数据!C:C)</f>
        <v>46104</v>
      </c>
      <c r="G252" s="4">
        <v>143</v>
      </c>
      <c r="H252" s="4">
        <f>G252*AP252/1000</f>
        <v>17.16</v>
      </c>
      <c r="I252" s="4">
        <f>_xlfn.XLOOKUP(J252,数据!E:E,数据!S:S)*(H252/_xlfn.XLOOKUP(J252,数据!E:E,数据!X:X))</f>
        <v>1093.79846528624</v>
      </c>
      <c r="J252" t="s">
        <v>1643</v>
      </c>
      <c r="K252" t="s">
        <v>31</v>
      </c>
      <c r="L252" t="s">
        <v>2374</v>
      </c>
      <c r="M252" t="s">
        <v>4134</v>
      </c>
      <c r="N252" t="s">
        <v>2376</v>
      </c>
      <c r="O252" t="s">
        <v>2400</v>
      </c>
      <c r="P252" t="s">
        <v>2378</v>
      </c>
      <c r="Q252" t="s">
        <v>2379</v>
      </c>
      <c r="R252" t="s">
        <v>4135</v>
      </c>
      <c r="S252" t="s">
        <v>2511</v>
      </c>
      <c r="T252" s="3" t="s">
        <v>4115</v>
      </c>
      <c r="U252" t="s">
        <v>4136</v>
      </c>
      <c r="V252" t="s">
        <v>4137</v>
      </c>
      <c r="W252" t="s">
        <v>4138</v>
      </c>
      <c r="X252" t="s">
        <v>2385</v>
      </c>
      <c r="Y252" t="s">
        <v>4139</v>
      </c>
      <c r="Z252" t="s">
        <v>2387</v>
      </c>
      <c r="AA252" t="s">
        <v>4115</v>
      </c>
      <c r="AB252" t="s">
        <v>4140</v>
      </c>
      <c r="AC252" t="s">
        <v>4141</v>
      </c>
      <c r="AD252" t="s">
        <v>4122</v>
      </c>
      <c r="AH252" t="s">
        <v>3861</v>
      </c>
      <c r="AI252" t="s">
        <v>3659</v>
      </c>
      <c r="AJ252" t="s">
        <v>3920</v>
      </c>
      <c r="AK252" t="s">
        <v>3921</v>
      </c>
      <c r="AL252" t="s">
        <v>3922</v>
      </c>
      <c r="AM252" t="s">
        <v>2787</v>
      </c>
      <c r="AN252" t="s">
        <v>3923</v>
      </c>
      <c r="AO252" t="s">
        <v>3920</v>
      </c>
      <c r="AP252">
        <v>120</v>
      </c>
      <c r="AQ252">
        <v>120</v>
      </c>
      <c r="AR252">
        <v>120</v>
      </c>
      <c r="AS252" t="s">
        <v>4095</v>
      </c>
      <c r="AT252">
        <v>0</v>
      </c>
      <c r="AU252">
        <v>0</v>
      </c>
      <c r="AV252">
        <v>0</v>
      </c>
    </row>
    <row r="253" spans="1:48">
      <c r="A253" s="1">
        <f>_xlfn.XLOOKUP(J253,数据!E:E,数据!A:A)</f>
        <v>3</v>
      </c>
      <c r="B253" s="1">
        <f>_xlfn.XLOOKUP(J253,数据!E:E,数据!B:B)</f>
        <v>13</v>
      </c>
      <c r="C253" s="1" t="str">
        <f>_xlfn.XLOOKUP(J253,数据!E:E,数据!J:J)</f>
        <v>红单</v>
      </c>
      <c r="D253" s="1" t="str" cm="1">
        <f t="array" ref="D253">IF(OR(C253="红单",C253="空派"),_xlfn.IFS(E253="未开售","新品首批发货",F253&lt;E253,"新品首批发货",F253-E253&lt;=60,"新品期补货空运",F253-E253&gt;60,"老品应急空运"),"海运，不进行分析")</f>
        <v>老品应急空运</v>
      </c>
      <c r="E253" s="2">
        <v>46033</v>
      </c>
      <c r="F253" s="2">
        <f>_xlfn.XLOOKUP(J253,数据!E:E,数据!C:C)</f>
        <v>46104</v>
      </c>
      <c r="G253" s="4">
        <v>148</v>
      </c>
      <c r="H253" s="4">
        <f>G253*AP253/1000</f>
        <v>5.92</v>
      </c>
      <c r="I253" s="4">
        <f>_xlfn.XLOOKUP(J253,数据!E:E,数据!S:S)*(H253/_xlfn.XLOOKUP(J253,数据!E:E,数据!X:X))</f>
        <v>377.34772228989</v>
      </c>
      <c r="J253" t="s">
        <v>1643</v>
      </c>
      <c r="K253" t="s">
        <v>31</v>
      </c>
      <c r="L253" t="s">
        <v>2374</v>
      </c>
      <c r="M253" t="s">
        <v>4134</v>
      </c>
      <c r="N253" t="s">
        <v>2376</v>
      </c>
      <c r="O253" t="s">
        <v>2400</v>
      </c>
      <c r="P253" t="s">
        <v>2378</v>
      </c>
      <c r="Q253" t="s">
        <v>2379</v>
      </c>
      <c r="R253" t="s">
        <v>4135</v>
      </c>
      <c r="S253" t="s">
        <v>2511</v>
      </c>
      <c r="T253" s="3" t="s">
        <v>4115</v>
      </c>
      <c r="U253" t="s">
        <v>4136</v>
      </c>
      <c r="V253" t="s">
        <v>4137</v>
      </c>
      <c r="W253" t="s">
        <v>4138</v>
      </c>
      <c r="X253" t="s">
        <v>2385</v>
      </c>
      <c r="Y253" t="s">
        <v>4139</v>
      </c>
      <c r="Z253" t="s">
        <v>2387</v>
      </c>
      <c r="AA253" t="s">
        <v>4115</v>
      </c>
      <c r="AB253" t="s">
        <v>4140</v>
      </c>
      <c r="AC253" t="s">
        <v>4141</v>
      </c>
      <c r="AD253" t="s">
        <v>4122</v>
      </c>
      <c r="AH253" t="s">
        <v>3861</v>
      </c>
      <c r="AI253" t="s">
        <v>3659</v>
      </c>
      <c r="AJ253" t="s">
        <v>3166</v>
      </c>
      <c r="AK253" t="s">
        <v>3167</v>
      </c>
      <c r="AL253" t="s">
        <v>3168</v>
      </c>
      <c r="AM253" t="s">
        <v>2787</v>
      </c>
      <c r="AN253" t="s">
        <v>3169</v>
      </c>
      <c r="AO253" t="s">
        <v>3166</v>
      </c>
      <c r="AP253">
        <v>40</v>
      </c>
      <c r="AQ253">
        <v>40</v>
      </c>
      <c r="AR253">
        <v>40</v>
      </c>
      <c r="AS253" t="s">
        <v>4147</v>
      </c>
      <c r="AT253">
        <v>0</v>
      </c>
      <c r="AU253">
        <v>0</v>
      </c>
      <c r="AV253">
        <v>0</v>
      </c>
    </row>
    <row r="254" spans="1:48">
      <c r="A254" s="1">
        <f>_xlfn.XLOOKUP(J254,数据!E:E,数据!A:A)</f>
        <v>3</v>
      </c>
      <c r="B254" s="1">
        <f>_xlfn.XLOOKUP(J254,数据!E:E,数据!B:B)</f>
        <v>12</v>
      </c>
      <c r="C254" s="1" t="str">
        <f>_xlfn.XLOOKUP(J254,数据!E:E,数据!J:J)</f>
        <v>红单</v>
      </c>
      <c r="D254" s="1" t="str" cm="1">
        <f t="array" ref="D254">IF(OR(C254="红单",C254="空派"),_xlfn.IFS(E254="未开售","新品首批发货",F254&lt;E254,"新品首批发货",F254-E254&lt;=60,"新品期补货空运",F254-E254&gt;60,"老品应急空运"),"海运，不进行分析")</f>
        <v>新品首批发货</v>
      </c>
      <c r="E254" s="2">
        <v>46121</v>
      </c>
      <c r="F254" s="2">
        <f>_xlfn.XLOOKUP(J254,数据!E:E,数据!C:C)</f>
        <v>46101</v>
      </c>
      <c r="G254" s="4">
        <v>353</v>
      </c>
      <c r="H254" s="4">
        <f>G254*AP254/1000</f>
        <v>21.18</v>
      </c>
      <c r="I254" s="4">
        <f>_xlfn.XLOOKUP(J254,数据!E:E,数据!S:S)*(H254/_xlfn.XLOOKUP(J254,数据!E:E,数据!X:X))</f>
        <v>1233.89173825702</v>
      </c>
      <c r="J254" t="s">
        <v>1641</v>
      </c>
      <c r="K254" t="s">
        <v>31</v>
      </c>
      <c r="L254" t="s">
        <v>2374</v>
      </c>
      <c r="M254" t="s">
        <v>4148</v>
      </c>
      <c r="N254" t="s">
        <v>2376</v>
      </c>
      <c r="O254" t="s">
        <v>2400</v>
      </c>
      <c r="P254" t="s">
        <v>2378</v>
      </c>
      <c r="Q254" t="s">
        <v>2379</v>
      </c>
      <c r="R254" t="s">
        <v>4149</v>
      </c>
      <c r="S254" t="s">
        <v>2511</v>
      </c>
      <c r="T254" s="3" t="s">
        <v>4150</v>
      </c>
      <c r="U254" t="s">
        <v>4151</v>
      </c>
      <c r="V254" t="s">
        <v>4152</v>
      </c>
      <c r="W254" t="s">
        <v>4153</v>
      </c>
      <c r="X254" t="s">
        <v>2403</v>
      </c>
      <c r="Y254" t="s">
        <v>4154</v>
      </c>
      <c r="Z254" t="s">
        <v>2405</v>
      </c>
      <c r="AA254" t="s">
        <v>4150</v>
      </c>
      <c r="AB254" t="s">
        <v>4155</v>
      </c>
      <c r="AC254" t="s">
        <v>4156</v>
      </c>
      <c r="AD254" t="s">
        <v>4122</v>
      </c>
      <c r="AH254" t="s">
        <v>4157</v>
      </c>
      <c r="AI254" t="s">
        <v>3861</v>
      </c>
      <c r="AJ254" t="s">
        <v>4158</v>
      </c>
      <c r="AK254" t="s">
        <v>4159</v>
      </c>
      <c r="AL254" t="s">
        <v>4160</v>
      </c>
      <c r="AM254" t="s">
        <v>2781</v>
      </c>
      <c r="AN254" t="s">
        <v>4161</v>
      </c>
      <c r="AO254" t="s">
        <v>4158</v>
      </c>
      <c r="AP254">
        <v>60</v>
      </c>
      <c r="AQ254">
        <v>60</v>
      </c>
      <c r="AR254">
        <v>60</v>
      </c>
      <c r="AS254" t="s">
        <v>4162</v>
      </c>
      <c r="AT254">
        <v>0</v>
      </c>
      <c r="AU254">
        <v>0</v>
      </c>
      <c r="AV254">
        <v>0</v>
      </c>
    </row>
    <row r="255" spans="1:48">
      <c r="A255" s="1">
        <f>_xlfn.XLOOKUP(J255,数据!E:E,数据!A:A)</f>
        <v>3</v>
      </c>
      <c r="B255" s="1">
        <f>_xlfn.XLOOKUP(J255,数据!E:E,数据!B:B)</f>
        <v>12</v>
      </c>
      <c r="C255" s="1" t="str">
        <f>_xlfn.XLOOKUP(J255,数据!E:E,数据!J:J)</f>
        <v>红单</v>
      </c>
      <c r="D255" s="1" t="str" cm="1">
        <f t="array" ref="D255">IF(OR(C255="红单",C255="空派"),_xlfn.IFS(E255="未开售","新品首批发货",F255&lt;E255,"新品首批发货",F255-E255&lt;=60,"新品期补货空运",F255-E255&gt;60,"老品应急空运"),"海运，不进行分析")</f>
        <v>新品首批发货</v>
      </c>
      <c r="E255" s="2">
        <v>46122</v>
      </c>
      <c r="F255" s="2">
        <f>_xlfn.XLOOKUP(J255,数据!E:E,数据!C:C)</f>
        <v>46101</v>
      </c>
      <c r="G255" s="4">
        <v>353</v>
      </c>
      <c r="H255" s="4">
        <f>G255*AP255/1000</f>
        <v>21.18</v>
      </c>
      <c r="I255" s="4">
        <f>_xlfn.XLOOKUP(J255,数据!E:E,数据!S:S)*(H255/_xlfn.XLOOKUP(J255,数据!E:E,数据!X:X))</f>
        <v>1233.89173825702</v>
      </c>
      <c r="J255" t="s">
        <v>1641</v>
      </c>
      <c r="K255" t="s">
        <v>31</v>
      </c>
      <c r="L255" t="s">
        <v>2374</v>
      </c>
      <c r="M255" t="s">
        <v>4148</v>
      </c>
      <c r="N255" t="s">
        <v>2376</v>
      </c>
      <c r="O255" t="s">
        <v>2400</v>
      </c>
      <c r="P255" t="s">
        <v>2378</v>
      </c>
      <c r="Q255" t="s">
        <v>2379</v>
      </c>
      <c r="R255" t="s">
        <v>4149</v>
      </c>
      <c r="S255" t="s">
        <v>2511</v>
      </c>
      <c r="T255" s="3" t="s">
        <v>4150</v>
      </c>
      <c r="U255" t="s">
        <v>4151</v>
      </c>
      <c r="V255" t="s">
        <v>4152</v>
      </c>
      <c r="W255" t="s">
        <v>4153</v>
      </c>
      <c r="X255" t="s">
        <v>2403</v>
      </c>
      <c r="Y255" t="s">
        <v>4154</v>
      </c>
      <c r="Z255" t="s">
        <v>2405</v>
      </c>
      <c r="AA255" t="s">
        <v>4150</v>
      </c>
      <c r="AB255" t="s">
        <v>4155</v>
      </c>
      <c r="AC255" t="s">
        <v>4156</v>
      </c>
      <c r="AD255" t="s">
        <v>4122</v>
      </c>
      <c r="AH255" t="s">
        <v>4157</v>
      </c>
      <c r="AI255" t="s">
        <v>3861</v>
      </c>
      <c r="AJ255" t="s">
        <v>4163</v>
      </c>
      <c r="AK255" t="s">
        <v>4164</v>
      </c>
      <c r="AL255" t="s">
        <v>4165</v>
      </c>
      <c r="AM255" t="s">
        <v>2781</v>
      </c>
      <c r="AN255" t="s">
        <v>4166</v>
      </c>
      <c r="AO255" t="s">
        <v>4163</v>
      </c>
      <c r="AP255">
        <v>60</v>
      </c>
      <c r="AQ255">
        <v>60</v>
      </c>
      <c r="AR255">
        <v>60</v>
      </c>
      <c r="AS255" t="s">
        <v>4162</v>
      </c>
      <c r="AT255">
        <v>0</v>
      </c>
      <c r="AU255">
        <v>0</v>
      </c>
      <c r="AV255">
        <v>0</v>
      </c>
    </row>
    <row r="256" spans="1:48">
      <c r="A256" s="1">
        <f>_xlfn.XLOOKUP(J256,数据!E:E,数据!A:A)</f>
        <v>3</v>
      </c>
      <c r="B256" s="1">
        <f>_xlfn.XLOOKUP(J256,数据!E:E,数据!B:B)</f>
        <v>12</v>
      </c>
      <c r="C256" s="1" t="str">
        <f>_xlfn.XLOOKUP(J256,数据!E:E,数据!J:J)</f>
        <v>红单</v>
      </c>
      <c r="D256" s="1" t="str" cm="1">
        <f t="array" ref="D256">IF(OR(C256="红单",C256="空派"),_xlfn.IFS(E256="未开售","新品首批发货",F256&lt;E256,"新品首批发货",F256-E256&lt;=60,"新品期补货空运",F256-E256&gt;60,"老品应急空运"),"海运，不进行分析")</f>
        <v>新品首批发货</v>
      </c>
      <c r="E256" s="2">
        <v>46113</v>
      </c>
      <c r="F256" s="2">
        <f>_xlfn.XLOOKUP(J256,数据!E:E,数据!C:C)</f>
        <v>46101</v>
      </c>
      <c r="G256" s="4">
        <v>362</v>
      </c>
      <c r="H256" s="4">
        <f>G256*AP256/1000</f>
        <v>25.34</v>
      </c>
      <c r="I256" s="4">
        <f>_xlfn.XLOOKUP(J256,数据!E:E,数据!S:S)*(H256/_xlfn.XLOOKUP(J256,数据!E:E,数据!X:X))</f>
        <v>1476.24252348597</v>
      </c>
      <c r="J256" t="s">
        <v>1641</v>
      </c>
      <c r="K256" t="s">
        <v>31</v>
      </c>
      <c r="L256" t="s">
        <v>2374</v>
      </c>
      <c r="M256" t="s">
        <v>4148</v>
      </c>
      <c r="N256" t="s">
        <v>2376</v>
      </c>
      <c r="O256" t="s">
        <v>2400</v>
      </c>
      <c r="P256" t="s">
        <v>2378</v>
      </c>
      <c r="Q256" t="s">
        <v>2379</v>
      </c>
      <c r="R256" t="s">
        <v>4149</v>
      </c>
      <c r="S256" t="s">
        <v>2511</v>
      </c>
      <c r="T256" s="3" t="s">
        <v>4150</v>
      </c>
      <c r="U256" t="s">
        <v>4151</v>
      </c>
      <c r="V256" t="s">
        <v>4152</v>
      </c>
      <c r="W256" t="s">
        <v>4153</v>
      </c>
      <c r="X256" t="s">
        <v>2403</v>
      </c>
      <c r="Y256" t="s">
        <v>4154</v>
      </c>
      <c r="Z256" t="s">
        <v>2405</v>
      </c>
      <c r="AA256" t="s">
        <v>4150</v>
      </c>
      <c r="AB256" t="s">
        <v>4155</v>
      </c>
      <c r="AC256" t="s">
        <v>4156</v>
      </c>
      <c r="AD256" t="s">
        <v>4122</v>
      </c>
      <c r="AH256" t="s">
        <v>4157</v>
      </c>
      <c r="AI256" t="s">
        <v>3861</v>
      </c>
      <c r="AJ256" t="s">
        <v>4167</v>
      </c>
      <c r="AK256" t="s">
        <v>4168</v>
      </c>
      <c r="AL256" t="s">
        <v>4169</v>
      </c>
      <c r="AM256" t="s">
        <v>2781</v>
      </c>
      <c r="AN256" t="s">
        <v>4170</v>
      </c>
      <c r="AO256" t="s">
        <v>4167</v>
      </c>
      <c r="AP256">
        <v>70</v>
      </c>
      <c r="AQ256">
        <v>70</v>
      </c>
      <c r="AR256">
        <v>70</v>
      </c>
      <c r="AS256" t="s">
        <v>4171</v>
      </c>
      <c r="AT256">
        <v>0</v>
      </c>
      <c r="AU256">
        <v>0</v>
      </c>
      <c r="AV256">
        <v>0</v>
      </c>
    </row>
    <row r="257" spans="1:48">
      <c r="A257" s="1">
        <f>_xlfn.XLOOKUP(J257,数据!E:E,数据!A:A)</f>
        <v>3</v>
      </c>
      <c r="B257" s="1">
        <f>_xlfn.XLOOKUP(J257,数据!E:E,数据!B:B)</f>
        <v>12</v>
      </c>
      <c r="C257" s="1" t="str">
        <f>_xlfn.XLOOKUP(J257,数据!E:E,数据!J:J)</f>
        <v>红单</v>
      </c>
      <c r="D257" s="1" t="str" cm="1">
        <f t="array" ref="D257">IF(OR(C257="红单",C257="空派"),_xlfn.IFS(E257="未开售","新品首批发货",F257&lt;E257,"新品首批发货",F257-E257&lt;=60,"新品期补货空运",F257-E257&gt;60,"老品应急空运"),"海运，不进行分析")</f>
        <v>老品应急空运</v>
      </c>
      <c r="E257" s="2">
        <v>46029</v>
      </c>
      <c r="F257" s="2">
        <f>_xlfn.XLOOKUP(J257,数据!E:E,数据!C:C)</f>
        <v>46101</v>
      </c>
      <c r="G257" s="4">
        <v>235</v>
      </c>
      <c r="H257" s="4">
        <f>G257*AP257/1000</f>
        <v>23.5</v>
      </c>
      <c r="I257" s="4">
        <f>_xlfn.XLOOKUP(J257,数据!E:E,数据!S:S)*(H257/_xlfn.XLOOKUP(J257,数据!E:E,数据!X:X))</f>
        <v>1429.12958786139</v>
      </c>
      <c r="J257" t="s">
        <v>1642</v>
      </c>
      <c r="K257" t="s">
        <v>56</v>
      </c>
      <c r="L257" t="s">
        <v>2374</v>
      </c>
      <c r="M257" t="s">
        <v>4172</v>
      </c>
      <c r="N257" t="s">
        <v>2376</v>
      </c>
      <c r="O257" t="s">
        <v>2400</v>
      </c>
      <c r="P257" t="s">
        <v>2378</v>
      </c>
      <c r="Q257" t="s">
        <v>2379</v>
      </c>
      <c r="R257" t="s">
        <v>4149</v>
      </c>
      <c r="S257" t="s">
        <v>2511</v>
      </c>
      <c r="T257" s="3" t="s">
        <v>4173</v>
      </c>
      <c r="U257" t="s">
        <v>4174</v>
      </c>
      <c r="V257" t="s">
        <v>4175</v>
      </c>
      <c r="W257" t="s">
        <v>4176</v>
      </c>
      <c r="X257" t="s">
        <v>2403</v>
      </c>
      <c r="Y257" t="s">
        <v>4177</v>
      </c>
      <c r="Z257" t="s">
        <v>2387</v>
      </c>
      <c r="AA257" t="s">
        <v>4173</v>
      </c>
      <c r="AB257" t="s">
        <v>4178</v>
      </c>
      <c r="AC257" t="s">
        <v>4179</v>
      </c>
      <c r="AD257" t="s">
        <v>4122</v>
      </c>
      <c r="AH257" t="s">
        <v>4157</v>
      </c>
      <c r="AI257" t="s">
        <v>3861</v>
      </c>
      <c r="AJ257" t="s">
        <v>3970</v>
      </c>
      <c r="AK257" t="s">
        <v>3971</v>
      </c>
      <c r="AL257" t="s">
        <v>3972</v>
      </c>
      <c r="AM257" t="s">
        <v>2396</v>
      </c>
      <c r="AN257" t="s">
        <v>3973</v>
      </c>
      <c r="AO257" t="s">
        <v>3970</v>
      </c>
      <c r="AP257">
        <v>100</v>
      </c>
      <c r="AQ257">
        <v>100</v>
      </c>
      <c r="AR257">
        <v>100</v>
      </c>
      <c r="AS257" t="s">
        <v>4180</v>
      </c>
      <c r="AT257">
        <v>0</v>
      </c>
      <c r="AU257">
        <v>0</v>
      </c>
      <c r="AV257">
        <v>0</v>
      </c>
    </row>
    <row r="258" spans="1:48">
      <c r="A258" s="1">
        <f>_xlfn.XLOOKUP(J258,数据!E:E,数据!A:A)</f>
        <v>3</v>
      </c>
      <c r="B258" s="1">
        <f>_xlfn.XLOOKUP(J258,数据!E:E,数据!B:B)</f>
        <v>12</v>
      </c>
      <c r="C258" s="1" t="str">
        <f>_xlfn.XLOOKUP(J258,数据!E:E,数据!J:J)</f>
        <v>红单</v>
      </c>
      <c r="D258" s="1" t="str" cm="1">
        <f t="array" ref="D258">IF(OR(C258="红单",C258="空派"),_xlfn.IFS(E258="未开售","新品首批发货",F258&lt;E258,"新品首批发货",F258-E258&lt;=60,"新品期补货空运",F258-E258&gt;60,"老品应急空运"),"海运，不进行分析")</f>
        <v>老品应急空运</v>
      </c>
      <c r="E258" s="2">
        <v>46027</v>
      </c>
      <c r="F258" s="2">
        <f>_xlfn.XLOOKUP(J258,数据!E:E,数据!C:C)</f>
        <v>46101</v>
      </c>
      <c r="G258" s="4">
        <v>252.7</v>
      </c>
      <c r="H258" s="4">
        <f>G258*AP258/1000</f>
        <v>25.27</v>
      </c>
      <c r="I258" s="4">
        <f>_xlfn.XLOOKUP(J258,数据!E:E,数据!S:S)*(H258/_xlfn.XLOOKUP(J258,数据!E:E,数据!X:X))</f>
        <v>1536.77041213861</v>
      </c>
      <c r="J258" t="s">
        <v>1642</v>
      </c>
      <c r="K258" t="s">
        <v>56</v>
      </c>
      <c r="L258" t="s">
        <v>2374</v>
      </c>
      <c r="M258" t="s">
        <v>4172</v>
      </c>
      <c r="N258" t="s">
        <v>2376</v>
      </c>
      <c r="O258" t="s">
        <v>2400</v>
      </c>
      <c r="P258" t="s">
        <v>2378</v>
      </c>
      <c r="Q258" t="s">
        <v>2379</v>
      </c>
      <c r="R258" t="s">
        <v>4149</v>
      </c>
      <c r="S258" t="s">
        <v>2511</v>
      </c>
      <c r="T258" s="3" t="s">
        <v>4173</v>
      </c>
      <c r="U258" t="s">
        <v>4174</v>
      </c>
      <c r="V258" t="s">
        <v>4175</v>
      </c>
      <c r="W258" t="s">
        <v>4176</v>
      </c>
      <c r="X258" t="s">
        <v>2403</v>
      </c>
      <c r="Y258" t="s">
        <v>4177</v>
      </c>
      <c r="Z258" t="s">
        <v>2387</v>
      </c>
      <c r="AA258" t="s">
        <v>4173</v>
      </c>
      <c r="AB258" t="s">
        <v>4178</v>
      </c>
      <c r="AC258" t="s">
        <v>4179</v>
      </c>
      <c r="AD258" t="s">
        <v>4122</v>
      </c>
      <c r="AH258" t="s">
        <v>4157</v>
      </c>
      <c r="AI258" t="s">
        <v>3861</v>
      </c>
      <c r="AJ258" t="s">
        <v>4181</v>
      </c>
      <c r="AK258" t="s">
        <v>4182</v>
      </c>
      <c r="AL258" t="s">
        <v>4183</v>
      </c>
      <c r="AM258" t="s">
        <v>2396</v>
      </c>
      <c r="AN258" t="s">
        <v>4184</v>
      </c>
      <c r="AO258" t="s">
        <v>4181</v>
      </c>
      <c r="AP258">
        <v>100</v>
      </c>
      <c r="AQ258">
        <v>100</v>
      </c>
      <c r="AR258">
        <v>100</v>
      </c>
      <c r="AS258" t="s">
        <v>4180</v>
      </c>
      <c r="AT258">
        <v>0</v>
      </c>
      <c r="AU258">
        <v>0</v>
      </c>
      <c r="AV258">
        <v>0</v>
      </c>
    </row>
    <row r="259" spans="1:48">
      <c r="A259" s="1">
        <f>_xlfn.XLOOKUP(J259,数据!E:E,数据!A:A)</f>
        <v>3</v>
      </c>
      <c r="B259" s="1">
        <f>_xlfn.XLOOKUP(J259,数据!E:E,数据!B:B)</f>
        <v>12</v>
      </c>
      <c r="C259" s="1" t="str">
        <f>_xlfn.XLOOKUP(J259,数据!E:E,数据!J:J)</f>
        <v>红单</v>
      </c>
      <c r="D259" s="1" t="str" cm="1">
        <f t="array" ref="D259">IF(OR(C259="红单",C259="空派"),_xlfn.IFS(E259="未开售","新品首批发货",F259&lt;E259,"新品首批发货",F259-E259&lt;=60,"新品期补货空运",F259-E259&gt;60,"老品应急空运"),"海运，不进行分析")</f>
        <v>新品期补货空运</v>
      </c>
      <c r="E259" s="2">
        <v>46060</v>
      </c>
      <c r="F259" s="2">
        <f>_xlfn.XLOOKUP(J259,数据!E:E,数据!C:C)</f>
        <v>46100</v>
      </c>
      <c r="G259" s="4">
        <v>119</v>
      </c>
      <c r="H259" s="4">
        <f t="shared" ref="H259:H268" si="15">G259*AP259/1000</f>
        <v>5.95</v>
      </c>
      <c r="I259" s="4">
        <f>_xlfn.XLOOKUP(J259,数据!E:E,数据!S:S)*(H259/_xlfn.XLOOKUP(J259,数据!E:E,数据!X:X))</f>
        <v>374.574255952381</v>
      </c>
      <c r="J259" t="s">
        <v>1573</v>
      </c>
      <c r="K259" t="s">
        <v>31</v>
      </c>
      <c r="L259" t="s">
        <v>2374</v>
      </c>
      <c r="M259" t="s">
        <v>4185</v>
      </c>
      <c r="N259" t="s">
        <v>2376</v>
      </c>
      <c r="O259" t="s">
        <v>2400</v>
      </c>
      <c r="P259" t="s">
        <v>2378</v>
      </c>
      <c r="Q259" t="s">
        <v>2379</v>
      </c>
      <c r="R259" t="s">
        <v>4186</v>
      </c>
      <c r="S259" t="s">
        <v>3042</v>
      </c>
      <c r="T259" s="3" t="s">
        <v>4187</v>
      </c>
      <c r="U259" t="s">
        <v>4188</v>
      </c>
      <c r="V259" t="s">
        <v>2384</v>
      </c>
      <c r="W259" t="s">
        <v>2384</v>
      </c>
      <c r="X259" t="s">
        <v>2385</v>
      </c>
      <c r="Y259" t="s">
        <v>4189</v>
      </c>
      <c r="Z259" t="s">
        <v>2405</v>
      </c>
      <c r="AA259" t="s">
        <v>4187</v>
      </c>
      <c r="AB259" t="s">
        <v>3989</v>
      </c>
      <c r="AC259" t="s">
        <v>4190</v>
      </c>
      <c r="AD259" t="s">
        <v>3047</v>
      </c>
      <c r="AH259" t="s">
        <v>4157</v>
      </c>
      <c r="AI259" t="s">
        <v>3861</v>
      </c>
      <c r="AJ259" t="s">
        <v>4191</v>
      </c>
      <c r="AK259" t="s">
        <v>4192</v>
      </c>
      <c r="AL259" t="s">
        <v>4193</v>
      </c>
      <c r="AM259" t="s">
        <v>3113</v>
      </c>
      <c r="AN259" t="s">
        <v>4194</v>
      </c>
      <c r="AO259" t="s">
        <v>4191</v>
      </c>
      <c r="AP259">
        <v>50</v>
      </c>
      <c r="AQ259">
        <v>50</v>
      </c>
      <c r="AR259">
        <v>0</v>
      </c>
      <c r="AT259">
        <v>0</v>
      </c>
      <c r="AU259">
        <v>-50</v>
      </c>
      <c r="AV259">
        <v>50</v>
      </c>
    </row>
    <row r="260" spans="1:48">
      <c r="A260" s="1">
        <f>_xlfn.XLOOKUP(J260,数据!E:E,数据!A:A)</f>
        <v>3</v>
      </c>
      <c r="B260" s="1">
        <f>_xlfn.XLOOKUP(J260,数据!E:E,数据!B:B)</f>
        <v>12</v>
      </c>
      <c r="C260" s="1" t="str">
        <f>_xlfn.XLOOKUP(J260,数据!E:E,数据!J:J)</f>
        <v>红单</v>
      </c>
      <c r="D260" s="1" t="str" cm="1">
        <f t="array" ref="D260">IF(OR(C260="红单",C260="空派"),_xlfn.IFS(E260="未开售","新品首批发货",F260&lt;E260,"新品首批发货",F260-E260&lt;=60,"新品期补货空运",F260-E260&gt;60,"老品应急空运"),"海运，不进行分析")</f>
        <v>新品首批发货</v>
      </c>
      <c r="E260" s="2">
        <v>46133</v>
      </c>
      <c r="F260" s="2">
        <f>_xlfn.XLOOKUP(J260,数据!E:E,数据!C:C)</f>
        <v>46100</v>
      </c>
      <c r="G260" s="4">
        <v>251</v>
      </c>
      <c r="H260" s="4">
        <f t="shared" si="15"/>
        <v>17.57</v>
      </c>
      <c r="I260" s="4">
        <f>_xlfn.XLOOKUP(J260,数据!E:E,数据!S:S)*(H260/_xlfn.XLOOKUP(J260,数据!E:E,数据!X:X))</f>
        <v>1106.09574404762</v>
      </c>
      <c r="J260" t="s">
        <v>1573</v>
      </c>
      <c r="K260" t="s">
        <v>31</v>
      </c>
      <c r="L260" t="s">
        <v>2374</v>
      </c>
      <c r="M260" t="s">
        <v>4185</v>
      </c>
      <c r="N260" t="s">
        <v>2376</v>
      </c>
      <c r="O260" t="s">
        <v>2400</v>
      </c>
      <c r="P260" t="s">
        <v>2378</v>
      </c>
      <c r="Q260" t="s">
        <v>2379</v>
      </c>
      <c r="R260" t="s">
        <v>4186</v>
      </c>
      <c r="S260" t="s">
        <v>3042</v>
      </c>
      <c r="T260" s="3" t="s">
        <v>4187</v>
      </c>
      <c r="U260" t="s">
        <v>4188</v>
      </c>
      <c r="V260" t="s">
        <v>2384</v>
      </c>
      <c r="W260" t="s">
        <v>2384</v>
      </c>
      <c r="X260" t="s">
        <v>2385</v>
      </c>
      <c r="Y260" t="s">
        <v>4189</v>
      </c>
      <c r="Z260" t="s">
        <v>2405</v>
      </c>
      <c r="AA260" t="s">
        <v>4187</v>
      </c>
      <c r="AB260" t="s">
        <v>3989</v>
      </c>
      <c r="AC260" t="s">
        <v>4190</v>
      </c>
      <c r="AD260" t="s">
        <v>3047</v>
      </c>
      <c r="AH260" t="s">
        <v>4157</v>
      </c>
      <c r="AI260" t="s">
        <v>3861</v>
      </c>
      <c r="AJ260" t="s">
        <v>3121</v>
      </c>
      <c r="AK260" t="s">
        <v>3122</v>
      </c>
      <c r="AL260" t="s">
        <v>3123</v>
      </c>
      <c r="AM260" t="s">
        <v>3123</v>
      </c>
      <c r="AN260" t="s">
        <v>3124</v>
      </c>
      <c r="AO260" t="s">
        <v>3121</v>
      </c>
      <c r="AP260">
        <v>70</v>
      </c>
      <c r="AQ260">
        <v>70</v>
      </c>
      <c r="AR260">
        <v>0</v>
      </c>
      <c r="AT260">
        <v>0</v>
      </c>
      <c r="AU260">
        <v>-70</v>
      </c>
      <c r="AV260">
        <v>70</v>
      </c>
    </row>
    <row r="261" spans="1:48">
      <c r="A261" s="1">
        <f>_xlfn.XLOOKUP(J261,数据!E:E,数据!A:A)</f>
        <v>3</v>
      </c>
      <c r="B261" s="1">
        <f>_xlfn.XLOOKUP(J261,数据!E:E,数据!B:B)</f>
        <v>12</v>
      </c>
      <c r="C261" s="1" t="str">
        <f>_xlfn.XLOOKUP(J261,数据!E:E,数据!J:J)</f>
        <v>红单</v>
      </c>
      <c r="D261" s="1" t="str" cm="1">
        <f t="array" ref="D261">IF(OR(C261="红单",C261="空派"),_xlfn.IFS(E261="未开售","新品首批发货",F261&lt;E261,"新品首批发货",F261-E261&lt;=60,"新品期补货空运",F261-E261&gt;60,"老品应急空运"),"海运，不进行分析")</f>
        <v>新品期补货空运</v>
      </c>
      <c r="E261" s="2">
        <v>46092</v>
      </c>
      <c r="F261" s="2">
        <f>_xlfn.XLOOKUP(J261,数据!E:E,数据!C:C)</f>
        <v>46100</v>
      </c>
      <c r="G261" s="4">
        <v>115</v>
      </c>
      <c r="H261" s="4">
        <f t="shared" si="15"/>
        <v>9.775</v>
      </c>
      <c r="I261" s="4">
        <f>_xlfn.XLOOKUP(J261,数据!E:E,数据!S:S)*(H261/_xlfn.XLOOKUP(J261,数据!E:E,数据!X:X))</f>
        <v>692.691124014932</v>
      </c>
      <c r="J261" t="s">
        <v>1572</v>
      </c>
      <c r="K261" t="s">
        <v>51</v>
      </c>
      <c r="L261" t="s">
        <v>2374</v>
      </c>
      <c r="M261" t="s">
        <v>4195</v>
      </c>
      <c r="N261" t="s">
        <v>2376</v>
      </c>
      <c r="O261" t="s">
        <v>2400</v>
      </c>
      <c r="P261" t="s">
        <v>2378</v>
      </c>
      <c r="Q261" t="s">
        <v>2379</v>
      </c>
      <c r="R261" t="s">
        <v>4196</v>
      </c>
      <c r="S261" t="s">
        <v>3042</v>
      </c>
      <c r="T261" s="3" t="s">
        <v>4187</v>
      </c>
      <c r="U261" t="s">
        <v>4188</v>
      </c>
      <c r="V261" t="s">
        <v>2384</v>
      </c>
      <c r="W261" t="s">
        <v>2384</v>
      </c>
      <c r="X261" t="s">
        <v>2385</v>
      </c>
      <c r="Y261" t="s">
        <v>4197</v>
      </c>
      <c r="Z261" t="s">
        <v>2405</v>
      </c>
      <c r="AA261" t="s">
        <v>4187</v>
      </c>
      <c r="AB261" t="s">
        <v>4198</v>
      </c>
      <c r="AC261" t="s">
        <v>4199</v>
      </c>
      <c r="AD261" t="s">
        <v>3047</v>
      </c>
      <c r="AH261" t="s">
        <v>4157</v>
      </c>
      <c r="AI261" t="s">
        <v>3861</v>
      </c>
      <c r="AJ261" t="s">
        <v>3778</v>
      </c>
      <c r="AK261" t="s">
        <v>3779</v>
      </c>
      <c r="AL261" t="s">
        <v>3780</v>
      </c>
      <c r="AM261" t="s">
        <v>3781</v>
      </c>
      <c r="AN261" t="s">
        <v>3782</v>
      </c>
      <c r="AO261" t="s">
        <v>3778</v>
      </c>
      <c r="AP261">
        <v>85</v>
      </c>
      <c r="AQ261">
        <v>85</v>
      </c>
      <c r="AR261">
        <v>0</v>
      </c>
      <c r="AT261">
        <v>0</v>
      </c>
      <c r="AU261">
        <v>-85</v>
      </c>
      <c r="AV261">
        <v>85</v>
      </c>
    </row>
    <row r="262" spans="1:48">
      <c r="A262" s="1">
        <f>_xlfn.XLOOKUP(J262,数据!E:E,数据!A:A)</f>
        <v>3</v>
      </c>
      <c r="B262" s="1">
        <f>_xlfn.XLOOKUP(J262,数据!E:E,数据!B:B)</f>
        <v>12</v>
      </c>
      <c r="C262" s="1" t="str">
        <f>_xlfn.XLOOKUP(J262,数据!E:E,数据!J:J)</f>
        <v>红单</v>
      </c>
      <c r="D262" s="1" t="str" cm="1">
        <f t="array" ref="D262">IF(OR(C262="红单",C262="空派"),_xlfn.IFS(E262="未开售","新品首批发货",F262&lt;E262,"新品首批发货",F262-E262&lt;=60,"新品期补货空运",F262-E262&gt;60,"老品应急空运"),"海运，不进行分析")</f>
        <v>新品期补货空运</v>
      </c>
      <c r="E262" s="2">
        <v>46088</v>
      </c>
      <c r="F262" s="2">
        <f>_xlfn.XLOOKUP(J262,数据!E:E,数据!C:C)</f>
        <v>46100</v>
      </c>
      <c r="G262" s="4">
        <v>114</v>
      </c>
      <c r="H262" s="4">
        <f t="shared" si="15"/>
        <v>2.28</v>
      </c>
      <c r="I262" s="4">
        <f>_xlfn.XLOOKUP(J262,数据!E:E,数据!S:S)*(H262/_xlfn.XLOOKUP(J262,数据!E:E,数据!X:X))</f>
        <v>161.568875985068</v>
      </c>
      <c r="J262" t="s">
        <v>1572</v>
      </c>
      <c r="K262" t="s">
        <v>51</v>
      </c>
      <c r="L262" t="s">
        <v>2374</v>
      </c>
      <c r="M262" t="s">
        <v>4195</v>
      </c>
      <c r="N262" t="s">
        <v>2376</v>
      </c>
      <c r="O262" t="s">
        <v>2400</v>
      </c>
      <c r="P262" t="s">
        <v>2378</v>
      </c>
      <c r="Q262" t="s">
        <v>2379</v>
      </c>
      <c r="R262" t="s">
        <v>4196</v>
      </c>
      <c r="S262" t="s">
        <v>3042</v>
      </c>
      <c r="T262" s="3" t="s">
        <v>4187</v>
      </c>
      <c r="U262" t="s">
        <v>4188</v>
      </c>
      <c r="V262" t="s">
        <v>2384</v>
      </c>
      <c r="W262" t="s">
        <v>2384</v>
      </c>
      <c r="X262" t="s">
        <v>2385</v>
      </c>
      <c r="Y262" t="s">
        <v>4197</v>
      </c>
      <c r="Z262" t="s">
        <v>2405</v>
      </c>
      <c r="AA262" t="s">
        <v>4187</v>
      </c>
      <c r="AB262" t="s">
        <v>4198</v>
      </c>
      <c r="AC262" t="s">
        <v>4199</v>
      </c>
      <c r="AD262" t="s">
        <v>3047</v>
      </c>
      <c r="AH262" t="s">
        <v>4157</v>
      </c>
      <c r="AI262" t="s">
        <v>3861</v>
      </c>
      <c r="AJ262" t="s">
        <v>4128</v>
      </c>
      <c r="AK262" t="s">
        <v>4129</v>
      </c>
      <c r="AL262" t="s">
        <v>4130</v>
      </c>
      <c r="AM262" t="s">
        <v>3781</v>
      </c>
      <c r="AN262" t="s">
        <v>4131</v>
      </c>
      <c r="AO262" t="s">
        <v>4128</v>
      </c>
      <c r="AP262">
        <v>20</v>
      </c>
      <c r="AQ262">
        <v>20</v>
      </c>
      <c r="AR262">
        <v>0</v>
      </c>
      <c r="AT262">
        <v>0</v>
      </c>
      <c r="AU262">
        <v>-20</v>
      </c>
      <c r="AV262">
        <v>20</v>
      </c>
    </row>
    <row r="263" spans="1:48">
      <c r="A263" s="1">
        <f>_xlfn.XLOOKUP(J263,数据!E:E,数据!A:A)</f>
        <v>3</v>
      </c>
      <c r="B263" s="1">
        <f>_xlfn.XLOOKUP(J263,数据!E:E,数据!B:B)</f>
        <v>12</v>
      </c>
      <c r="C263" s="1" t="str">
        <f>_xlfn.XLOOKUP(J263,数据!E:E,数据!J:J)</f>
        <v>红单</v>
      </c>
      <c r="D263" s="1" t="str" cm="1">
        <f t="array" ref="D263">IF(OR(C263="红单",C263="空派"),_xlfn.IFS(E263="未开售","新品首批发货",F263&lt;E263,"新品首批发货",F263-E263&lt;=60,"新品期补货空运",F263-E263&gt;60,"老品应急空运"),"海运，不进行分析")</f>
        <v>新品期补货空运</v>
      </c>
      <c r="E263" s="2">
        <v>46058</v>
      </c>
      <c r="F263" s="2">
        <f>_xlfn.XLOOKUP(J263,数据!E:E,数据!C:C)</f>
        <v>46100</v>
      </c>
      <c r="G263" s="4">
        <v>87</v>
      </c>
      <c r="H263" s="4">
        <f t="shared" si="15"/>
        <v>6.438</v>
      </c>
      <c r="I263" s="4">
        <f>_xlfn.XLOOKUP(J263,数据!E:E,数据!S:S)*(H263/_xlfn.XLOOKUP(J263,数据!E:E,数据!X:X))</f>
        <v>464.815079260039</v>
      </c>
      <c r="J263" t="s">
        <v>1574</v>
      </c>
      <c r="K263" t="s">
        <v>54</v>
      </c>
      <c r="L263" t="s">
        <v>2374</v>
      </c>
      <c r="M263" t="s">
        <v>4200</v>
      </c>
      <c r="N263" t="s">
        <v>2376</v>
      </c>
      <c r="O263" t="s">
        <v>2400</v>
      </c>
      <c r="P263" t="s">
        <v>2378</v>
      </c>
      <c r="Q263" t="s">
        <v>2379</v>
      </c>
      <c r="R263" t="s">
        <v>4201</v>
      </c>
      <c r="S263" t="s">
        <v>3042</v>
      </c>
      <c r="T263" s="3" t="s">
        <v>4202</v>
      </c>
      <c r="U263" t="s">
        <v>4188</v>
      </c>
      <c r="V263" t="s">
        <v>2384</v>
      </c>
      <c r="W263" t="s">
        <v>2384</v>
      </c>
      <c r="X263" t="s">
        <v>2385</v>
      </c>
      <c r="Y263" t="s">
        <v>4203</v>
      </c>
      <c r="Z263" t="s">
        <v>2387</v>
      </c>
      <c r="AA263" t="s">
        <v>4202</v>
      </c>
      <c r="AB263" t="s">
        <v>4204</v>
      </c>
      <c r="AC263" t="s">
        <v>4205</v>
      </c>
      <c r="AD263" t="s">
        <v>3047</v>
      </c>
      <c r="AH263" t="s">
        <v>4157</v>
      </c>
      <c r="AI263" t="s">
        <v>3861</v>
      </c>
      <c r="AJ263" t="s">
        <v>4206</v>
      </c>
      <c r="AK263" t="s">
        <v>4207</v>
      </c>
      <c r="AL263" t="s">
        <v>4208</v>
      </c>
      <c r="AM263" t="s">
        <v>3546</v>
      </c>
      <c r="AN263" t="s">
        <v>4209</v>
      </c>
      <c r="AO263" t="s">
        <v>4206</v>
      </c>
      <c r="AP263">
        <v>74</v>
      </c>
      <c r="AQ263">
        <v>74</v>
      </c>
      <c r="AR263">
        <v>0</v>
      </c>
      <c r="AT263">
        <v>0</v>
      </c>
      <c r="AU263">
        <v>-74</v>
      </c>
      <c r="AV263">
        <v>74</v>
      </c>
    </row>
    <row r="264" spans="1:48">
      <c r="A264" s="1">
        <f>_xlfn.XLOOKUP(J264,数据!E:E,数据!A:A)</f>
        <v>3</v>
      </c>
      <c r="B264" s="1">
        <f>_xlfn.XLOOKUP(J264,数据!E:E,数据!B:B)</f>
        <v>12</v>
      </c>
      <c r="C264" s="1" t="str">
        <f>_xlfn.XLOOKUP(J264,数据!E:E,数据!J:J)</f>
        <v>红单</v>
      </c>
      <c r="D264" s="1" t="str" cm="1">
        <f t="array" ref="D264">IF(OR(C264="红单",C264="空派"),_xlfn.IFS(E264="未开售","新品首批发货",F264&lt;E264,"新品首批发货",F264-E264&lt;=60,"新品期补货空运",F264-E264&gt;60,"老品应急空运"),"海运，不进行分析")</f>
        <v>老品应急空运</v>
      </c>
      <c r="E264" s="2">
        <v>45964</v>
      </c>
      <c r="F264" s="2">
        <f>_xlfn.XLOOKUP(J264,数据!E:E,数据!C:C)</f>
        <v>46100</v>
      </c>
      <c r="G264" s="4">
        <v>458</v>
      </c>
      <c r="H264" s="4">
        <f t="shared" si="15"/>
        <v>4.58</v>
      </c>
      <c r="I264" s="4">
        <f>_xlfn.XLOOKUP(J264,数据!E:E,数据!S:S)*(H264/_xlfn.XLOOKUP(J264,数据!E:E,数据!X:X))</f>
        <v>330.669938336592</v>
      </c>
      <c r="J264" t="s">
        <v>1574</v>
      </c>
      <c r="K264" t="s">
        <v>54</v>
      </c>
      <c r="L264" t="s">
        <v>2374</v>
      </c>
      <c r="M264" t="s">
        <v>4200</v>
      </c>
      <c r="N264" t="s">
        <v>2376</v>
      </c>
      <c r="O264" t="s">
        <v>2400</v>
      </c>
      <c r="P264" t="s">
        <v>2378</v>
      </c>
      <c r="Q264" t="s">
        <v>2379</v>
      </c>
      <c r="R264" t="s">
        <v>4201</v>
      </c>
      <c r="S264" t="s">
        <v>3042</v>
      </c>
      <c r="T264" s="3" t="s">
        <v>4202</v>
      </c>
      <c r="U264" t="s">
        <v>4188</v>
      </c>
      <c r="V264" t="s">
        <v>2384</v>
      </c>
      <c r="W264" t="s">
        <v>2384</v>
      </c>
      <c r="X264" t="s">
        <v>2385</v>
      </c>
      <c r="Y264" t="s">
        <v>4203</v>
      </c>
      <c r="Z264" t="s">
        <v>2387</v>
      </c>
      <c r="AA264" t="s">
        <v>4202</v>
      </c>
      <c r="AB264" t="s">
        <v>4204</v>
      </c>
      <c r="AC264" t="s">
        <v>4205</v>
      </c>
      <c r="AD264" t="s">
        <v>3047</v>
      </c>
      <c r="AH264" t="s">
        <v>4157</v>
      </c>
      <c r="AI264" t="s">
        <v>3861</v>
      </c>
      <c r="AJ264" t="s">
        <v>4210</v>
      </c>
      <c r="AK264" t="s">
        <v>4211</v>
      </c>
      <c r="AL264" t="s">
        <v>4212</v>
      </c>
      <c r="AM264" t="s">
        <v>4212</v>
      </c>
      <c r="AN264" t="s">
        <v>4213</v>
      </c>
      <c r="AO264" t="s">
        <v>4210</v>
      </c>
      <c r="AP264">
        <v>10</v>
      </c>
      <c r="AQ264">
        <v>10</v>
      </c>
      <c r="AR264">
        <v>0</v>
      </c>
      <c r="AT264">
        <v>0</v>
      </c>
      <c r="AU264">
        <v>-10</v>
      </c>
      <c r="AV264">
        <v>10</v>
      </c>
    </row>
    <row r="265" spans="1:48">
      <c r="A265" s="1">
        <f>_xlfn.XLOOKUP(J265,数据!E:E,数据!A:A)</f>
        <v>3</v>
      </c>
      <c r="B265" s="1">
        <f>_xlfn.XLOOKUP(J265,数据!E:E,数据!B:B)</f>
        <v>12</v>
      </c>
      <c r="C265" s="1" t="str">
        <f>_xlfn.XLOOKUP(J265,数据!E:E,数据!J:J)</f>
        <v>红单</v>
      </c>
      <c r="D265" s="1" t="str" cm="1">
        <f t="array" ref="D265">IF(OR(C265="红单",C265="空派"),_xlfn.IFS(E265="未开售","新品首批发货",F265&lt;E265,"新品首批发货",F265-E265&lt;=60,"新品期补货空运",F265-E265&gt;60,"老品应急空运"),"海运，不进行分析")</f>
        <v>新品期补货空运</v>
      </c>
      <c r="E265" s="2">
        <v>46082</v>
      </c>
      <c r="F265" s="2">
        <f>_xlfn.XLOOKUP(J265,数据!E:E,数据!C:C)</f>
        <v>46100</v>
      </c>
      <c r="G265" s="4">
        <v>114</v>
      </c>
      <c r="H265" s="4">
        <f t="shared" si="15"/>
        <v>2.28</v>
      </c>
      <c r="I265" s="4">
        <f>_xlfn.XLOOKUP(J265,数据!E:E,数据!S:S)*(H265/_xlfn.XLOOKUP(J265,数据!E:E,数据!X:X))</f>
        <v>164.612982403369</v>
      </c>
      <c r="J265" t="s">
        <v>1574</v>
      </c>
      <c r="K265" t="s">
        <v>54</v>
      </c>
      <c r="L265" t="s">
        <v>2374</v>
      </c>
      <c r="M265" t="s">
        <v>4200</v>
      </c>
      <c r="N265" t="s">
        <v>2376</v>
      </c>
      <c r="O265" t="s">
        <v>2400</v>
      </c>
      <c r="P265" t="s">
        <v>2378</v>
      </c>
      <c r="Q265" t="s">
        <v>2379</v>
      </c>
      <c r="R265" t="s">
        <v>4201</v>
      </c>
      <c r="S265" t="s">
        <v>3042</v>
      </c>
      <c r="T265" s="3" t="s">
        <v>4202</v>
      </c>
      <c r="U265" t="s">
        <v>4188</v>
      </c>
      <c r="V265" t="s">
        <v>2384</v>
      </c>
      <c r="W265" t="s">
        <v>2384</v>
      </c>
      <c r="X265" t="s">
        <v>2385</v>
      </c>
      <c r="Y265" t="s">
        <v>4203</v>
      </c>
      <c r="Z265" t="s">
        <v>2387</v>
      </c>
      <c r="AA265" t="s">
        <v>4202</v>
      </c>
      <c r="AB265" t="s">
        <v>4204</v>
      </c>
      <c r="AC265" t="s">
        <v>4205</v>
      </c>
      <c r="AD265" t="s">
        <v>3047</v>
      </c>
      <c r="AH265" t="s">
        <v>4157</v>
      </c>
      <c r="AI265" t="s">
        <v>3861</v>
      </c>
      <c r="AJ265" t="s">
        <v>4214</v>
      </c>
      <c r="AK265" t="s">
        <v>4215</v>
      </c>
      <c r="AL265" t="s">
        <v>4216</v>
      </c>
      <c r="AM265" t="s">
        <v>3219</v>
      </c>
      <c r="AN265" t="s">
        <v>4217</v>
      </c>
      <c r="AO265" t="s">
        <v>4214</v>
      </c>
      <c r="AP265">
        <v>20</v>
      </c>
      <c r="AQ265">
        <v>20</v>
      </c>
      <c r="AR265">
        <v>0</v>
      </c>
      <c r="AT265">
        <v>0</v>
      </c>
      <c r="AU265">
        <v>-20</v>
      </c>
      <c r="AV265">
        <v>20</v>
      </c>
    </row>
    <row r="266" spans="1:48">
      <c r="A266" s="1">
        <f>_xlfn.XLOOKUP(J266,数据!E:E,数据!A:A)</f>
        <v>3</v>
      </c>
      <c r="B266" s="1">
        <f>_xlfn.XLOOKUP(J266,数据!E:E,数据!B:B)</f>
        <v>12</v>
      </c>
      <c r="C266" s="1" t="str">
        <f>_xlfn.XLOOKUP(J266,数据!E:E,数据!J:J)</f>
        <v>红单</v>
      </c>
      <c r="D266" s="1" t="str" cm="1">
        <f t="array" ref="D266">IF(OR(C266="红单",C266="空派"),_xlfn.IFS(E266="未开售","新品首批发货",F266&lt;E266,"新品首批发货",F266-E266&lt;=60,"新品期补货空运",F266-E266&gt;60,"老品应急空运"),"海运，不进行分析")</f>
        <v>新品首批发货</v>
      </c>
      <c r="E266" s="2" t="s">
        <v>2423</v>
      </c>
      <c r="F266" s="2">
        <f>_xlfn.XLOOKUP(J266,数据!E:E,数据!C:C)</f>
        <v>46100</v>
      </c>
      <c r="G266" s="4">
        <v>94</v>
      </c>
      <c r="H266" s="4">
        <f t="shared" si="15"/>
        <v>14.1</v>
      </c>
      <c r="I266" s="4">
        <f>_xlfn.XLOOKUP(J266,数据!E:E,数据!S:S)*(H266/_xlfn.XLOOKUP(J266,数据!E:E,数据!X:X))</f>
        <v>879.400819672131</v>
      </c>
      <c r="J266" t="s">
        <v>1571</v>
      </c>
      <c r="K266" t="s">
        <v>56</v>
      </c>
      <c r="L266" t="s">
        <v>2374</v>
      </c>
      <c r="M266" t="s">
        <v>4218</v>
      </c>
      <c r="N266" t="s">
        <v>2376</v>
      </c>
      <c r="O266" t="s">
        <v>2400</v>
      </c>
      <c r="P266" t="s">
        <v>2378</v>
      </c>
      <c r="Q266" t="s">
        <v>2379</v>
      </c>
      <c r="R266" t="s">
        <v>4219</v>
      </c>
      <c r="S266" t="s">
        <v>3042</v>
      </c>
      <c r="T266" s="3" t="s">
        <v>4202</v>
      </c>
      <c r="U266" t="s">
        <v>4188</v>
      </c>
      <c r="V266" t="s">
        <v>2384</v>
      </c>
      <c r="W266" t="s">
        <v>2384</v>
      </c>
      <c r="X266" t="s">
        <v>2385</v>
      </c>
      <c r="Y266" t="s">
        <v>4220</v>
      </c>
      <c r="Z266" t="s">
        <v>2387</v>
      </c>
      <c r="AA266" t="s">
        <v>4202</v>
      </c>
      <c r="AB266" t="s">
        <v>4221</v>
      </c>
      <c r="AC266" t="s">
        <v>4222</v>
      </c>
      <c r="AD266" t="s">
        <v>3047</v>
      </c>
      <c r="AH266" t="s">
        <v>4157</v>
      </c>
      <c r="AI266" t="s">
        <v>3861</v>
      </c>
      <c r="AJ266" t="s">
        <v>4223</v>
      </c>
      <c r="AK266" t="s">
        <v>4224</v>
      </c>
      <c r="AL266" t="s">
        <v>4225</v>
      </c>
      <c r="AM266" t="s">
        <v>4225</v>
      </c>
      <c r="AN266" t="s">
        <v>4226</v>
      </c>
      <c r="AO266" t="s">
        <v>4223</v>
      </c>
      <c r="AP266">
        <v>150</v>
      </c>
      <c r="AQ266">
        <v>150</v>
      </c>
      <c r="AR266">
        <v>0</v>
      </c>
      <c r="AT266">
        <v>0</v>
      </c>
      <c r="AU266">
        <v>-150</v>
      </c>
      <c r="AV266">
        <v>150</v>
      </c>
    </row>
    <row r="267" spans="1:48">
      <c r="A267" s="1">
        <f>_xlfn.XLOOKUP(J267,数据!E:E,数据!A:A)</f>
        <v>3</v>
      </c>
      <c r="B267" s="1">
        <f>_xlfn.XLOOKUP(J267,数据!E:E,数据!B:B)</f>
        <v>12</v>
      </c>
      <c r="C267" s="1" t="str">
        <f>_xlfn.XLOOKUP(J267,数据!E:E,数据!J:J)</f>
        <v>红单</v>
      </c>
      <c r="D267" s="1" t="str" cm="1">
        <f t="array" ref="D267">IF(OR(C267="红单",C267="空派"),_xlfn.IFS(E267="未开售","新品首批发货",F267&lt;E267,"新品首批发货",F267-E267&lt;=60,"新品期补货空运",F267-E267&gt;60,"老品应急空运"),"海运，不进行分析")</f>
        <v>新品首批发货</v>
      </c>
      <c r="E267" s="2">
        <v>46131</v>
      </c>
      <c r="F267" s="2">
        <f>_xlfn.XLOOKUP(J267,数据!E:E,数据!C:C)</f>
        <v>46100</v>
      </c>
      <c r="G267" s="4">
        <v>236</v>
      </c>
      <c r="H267" s="4">
        <f t="shared" si="15"/>
        <v>23.6</v>
      </c>
      <c r="I267" s="4">
        <f>_xlfn.XLOOKUP(J267,数据!E:E,数据!S:S)*(H267/_xlfn.XLOOKUP(J267,数据!E:E,数据!X:X))</f>
        <v>1471.90491803279</v>
      </c>
      <c r="J267" t="s">
        <v>1571</v>
      </c>
      <c r="K267" t="s">
        <v>56</v>
      </c>
      <c r="L267" t="s">
        <v>2374</v>
      </c>
      <c r="M267" t="s">
        <v>4218</v>
      </c>
      <c r="N267" t="s">
        <v>2376</v>
      </c>
      <c r="O267" t="s">
        <v>2400</v>
      </c>
      <c r="P267" t="s">
        <v>2378</v>
      </c>
      <c r="Q267" t="s">
        <v>2379</v>
      </c>
      <c r="R267" t="s">
        <v>4219</v>
      </c>
      <c r="S267" t="s">
        <v>3042</v>
      </c>
      <c r="T267" s="3" t="s">
        <v>4202</v>
      </c>
      <c r="U267" t="s">
        <v>4188</v>
      </c>
      <c r="V267" t="s">
        <v>2384</v>
      </c>
      <c r="W267" t="s">
        <v>2384</v>
      </c>
      <c r="X267" t="s">
        <v>2385</v>
      </c>
      <c r="Y267" t="s">
        <v>4220</v>
      </c>
      <c r="Z267" t="s">
        <v>2387</v>
      </c>
      <c r="AA267" t="s">
        <v>4202</v>
      </c>
      <c r="AB267" t="s">
        <v>4221</v>
      </c>
      <c r="AC267" t="s">
        <v>4222</v>
      </c>
      <c r="AD267" t="s">
        <v>3047</v>
      </c>
      <c r="AH267" t="s">
        <v>4157</v>
      </c>
      <c r="AI267" t="s">
        <v>3861</v>
      </c>
      <c r="AJ267" t="s">
        <v>4227</v>
      </c>
      <c r="AK267" t="s">
        <v>4228</v>
      </c>
      <c r="AL267" t="s">
        <v>4229</v>
      </c>
      <c r="AM267" t="s">
        <v>2396</v>
      </c>
      <c r="AN267" t="s">
        <v>4230</v>
      </c>
      <c r="AO267" t="s">
        <v>4227</v>
      </c>
      <c r="AP267">
        <v>100</v>
      </c>
      <c r="AQ267">
        <v>100</v>
      </c>
      <c r="AR267">
        <v>0</v>
      </c>
      <c r="AT267">
        <v>0</v>
      </c>
      <c r="AU267">
        <v>-100</v>
      </c>
      <c r="AV267">
        <v>100</v>
      </c>
    </row>
    <row r="268" spans="1:48">
      <c r="A268" s="1">
        <f>_xlfn.XLOOKUP(J268,数据!E:E,数据!A:A)</f>
        <v>3</v>
      </c>
      <c r="B268" s="1">
        <f>_xlfn.XLOOKUP(J268,数据!E:E,数据!B:B)</f>
        <v>12</v>
      </c>
      <c r="C268" s="1" t="str">
        <f>_xlfn.XLOOKUP(J268,数据!E:E,数据!J:J)</f>
        <v>红单</v>
      </c>
      <c r="D268" s="1" t="str" cm="1">
        <f t="array" ref="D268">IF(OR(C268="红单",C268="空派"),_xlfn.IFS(E268="未开售","新品首批发货",F268&lt;E268,"新品首批发货",F268-E268&lt;=60,"新品期补货空运",F268-E268&gt;60,"老品应急空运"),"海运，不进行分析")</f>
        <v>新品首批发货</v>
      </c>
      <c r="E268" s="2">
        <v>46133</v>
      </c>
      <c r="F268" s="2">
        <f>_xlfn.XLOOKUP(J268,数据!E:E,数据!C:C)</f>
        <v>46100</v>
      </c>
      <c r="G268" s="4">
        <v>233</v>
      </c>
      <c r="H268" s="4">
        <f t="shared" si="15"/>
        <v>23.3</v>
      </c>
      <c r="I268" s="4">
        <f>_xlfn.XLOOKUP(J268,数据!E:E,数据!S:S)*(H268/_xlfn.XLOOKUP(J268,数据!E:E,数据!X:X))</f>
        <v>1453.19426229508</v>
      </c>
      <c r="J268" t="s">
        <v>1571</v>
      </c>
      <c r="K268" t="s">
        <v>56</v>
      </c>
      <c r="L268" t="s">
        <v>2374</v>
      </c>
      <c r="M268" t="s">
        <v>4218</v>
      </c>
      <c r="N268" t="s">
        <v>2376</v>
      </c>
      <c r="O268" t="s">
        <v>2400</v>
      </c>
      <c r="P268" t="s">
        <v>2378</v>
      </c>
      <c r="Q268" t="s">
        <v>2379</v>
      </c>
      <c r="R268" t="s">
        <v>4219</v>
      </c>
      <c r="S268" t="s">
        <v>3042</v>
      </c>
      <c r="T268" s="3" t="s">
        <v>4202</v>
      </c>
      <c r="U268" t="s">
        <v>4188</v>
      </c>
      <c r="V268" t="s">
        <v>2384</v>
      </c>
      <c r="W268" t="s">
        <v>2384</v>
      </c>
      <c r="X268" t="s">
        <v>2385</v>
      </c>
      <c r="Y268" t="s">
        <v>4220</v>
      </c>
      <c r="Z268" t="s">
        <v>2387</v>
      </c>
      <c r="AA268" t="s">
        <v>4202</v>
      </c>
      <c r="AB268" t="s">
        <v>4221</v>
      </c>
      <c r="AC268" t="s">
        <v>4222</v>
      </c>
      <c r="AD268" t="s">
        <v>3047</v>
      </c>
      <c r="AH268" t="s">
        <v>4157</v>
      </c>
      <c r="AI268" t="s">
        <v>3861</v>
      </c>
      <c r="AJ268" t="s">
        <v>4231</v>
      </c>
      <c r="AK268" t="s">
        <v>4232</v>
      </c>
      <c r="AL268" t="s">
        <v>4233</v>
      </c>
      <c r="AM268" t="s">
        <v>2396</v>
      </c>
      <c r="AN268" t="s">
        <v>4234</v>
      </c>
      <c r="AO268" t="s">
        <v>4231</v>
      </c>
      <c r="AP268">
        <v>100</v>
      </c>
      <c r="AQ268">
        <v>100</v>
      </c>
      <c r="AR268">
        <v>0</v>
      </c>
      <c r="AT268">
        <v>0</v>
      </c>
      <c r="AU268">
        <v>-100</v>
      </c>
      <c r="AV268">
        <v>100</v>
      </c>
    </row>
    <row r="269" spans="1:48">
      <c r="A269" s="1">
        <f>_xlfn.XLOOKUP(J269,数据!E:E,数据!A:A)</f>
        <v>3</v>
      </c>
      <c r="B269" s="1">
        <f>_xlfn.XLOOKUP(J269,数据!E:E,数据!B:B)</f>
        <v>12</v>
      </c>
      <c r="C269" s="1" t="str">
        <f>_xlfn.XLOOKUP(J269,数据!E:E,数据!J:J)</f>
        <v>红单</v>
      </c>
      <c r="D269" s="1" t="str" cm="1">
        <f t="array" ref="D269">IF(OR(C269="红单",C269="空派"),_xlfn.IFS(E269="未开售","新品首批发货",F269&lt;E269,"新品首批发货",F269-E269&lt;=60,"新品期补货空运",F269-E269&gt;60,"老品应急空运"),"海运，不进行分析")</f>
        <v>老品应急空运</v>
      </c>
      <c r="E269" s="2">
        <v>45866</v>
      </c>
      <c r="F269" s="2">
        <f>_xlfn.XLOOKUP(J269,数据!E:E,数据!C:C)</f>
        <v>46099</v>
      </c>
      <c r="G269" s="4">
        <v>120</v>
      </c>
      <c r="H269" s="4">
        <f>G269*AP269/1000</f>
        <v>24</v>
      </c>
      <c r="I269" s="4">
        <f>_xlfn.XLOOKUP(J269,数据!E:E,数据!S:S)*(H269/_xlfn.XLOOKUP(J269,数据!E:E,数据!X:X))</f>
        <v>1708.96250077222</v>
      </c>
      <c r="J269" t="s">
        <v>1570</v>
      </c>
      <c r="K269" t="s">
        <v>78</v>
      </c>
      <c r="L269" t="s">
        <v>2374</v>
      </c>
      <c r="M269" t="s">
        <v>4235</v>
      </c>
      <c r="N269" t="s">
        <v>2376</v>
      </c>
      <c r="O269" t="s">
        <v>2400</v>
      </c>
      <c r="P269" t="s">
        <v>2378</v>
      </c>
      <c r="Q269" t="s">
        <v>2379</v>
      </c>
      <c r="R269" t="s">
        <v>4236</v>
      </c>
      <c r="S269" t="s">
        <v>2511</v>
      </c>
      <c r="T269" s="3" t="s">
        <v>4237</v>
      </c>
      <c r="U269" t="s">
        <v>4238</v>
      </c>
      <c r="V269" t="s">
        <v>4239</v>
      </c>
      <c r="W269" t="s">
        <v>4240</v>
      </c>
      <c r="X269" t="s">
        <v>2403</v>
      </c>
      <c r="Y269" t="s">
        <v>4241</v>
      </c>
      <c r="Z269" t="s">
        <v>2387</v>
      </c>
      <c r="AA269" t="s">
        <v>4237</v>
      </c>
      <c r="AB269" t="s">
        <v>4242</v>
      </c>
      <c r="AC269" t="s">
        <v>4243</v>
      </c>
      <c r="AD269" t="s">
        <v>4244</v>
      </c>
      <c r="AH269" t="s">
        <v>4157</v>
      </c>
      <c r="AI269" t="s">
        <v>3861</v>
      </c>
      <c r="AJ269" t="s">
        <v>4245</v>
      </c>
      <c r="AK269" t="s">
        <v>4246</v>
      </c>
      <c r="AL269" t="s">
        <v>4247</v>
      </c>
      <c r="AM269" t="s">
        <v>2856</v>
      </c>
      <c r="AN269" t="s">
        <v>4248</v>
      </c>
      <c r="AO269" t="s">
        <v>4245</v>
      </c>
      <c r="AP269">
        <v>200</v>
      </c>
      <c r="AQ269">
        <v>200</v>
      </c>
      <c r="AR269">
        <v>200</v>
      </c>
      <c r="AS269" t="s">
        <v>4249</v>
      </c>
      <c r="AT269">
        <v>0</v>
      </c>
      <c r="AU269">
        <v>0</v>
      </c>
      <c r="AV269">
        <v>0</v>
      </c>
    </row>
    <row r="270" spans="1:48">
      <c r="A270" s="1">
        <f>_xlfn.XLOOKUP(J270,数据!E:E,数据!A:A)</f>
        <v>3</v>
      </c>
      <c r="B270" s="1">
        <f>_xlfn.XLOOKUP(J270,数据!E:E,数据!B:B)</f>
        <v>12</v>
      </c>
      <c r="C270" s="1" t="str">
        <f>_xlfn.XLOOKUP(J270,数据!E:E,数据!J:J)</f>
        <v>红单</v>
      </c>
      <c r="D270" s="1" t="str" cm="1">
        <f t="array" ref="D270">IF(OR(C270="红单",C270="空派"),_xlfn.IFS(E270="未开售","新品首批发货",F270&lt;E270,"新品首批发货",F270-E270&lt;=60,"新品期补货空运",F270-E270&gt;60,"老品应急空运"),"海运，不进行分析")</f>
        <v>老品应急空运</v>
      </c>
      <c r="E270" s="2">
        <v>46020</v>
      </c>
      <c r="F270" s="2">
        <f>_xlfn.XLOOKUP(J270,数据!E:E,数据!C:C)</f>
        <v>46099</v>
      </c>
      <c r="G270" s="4">
        <v>106</v>
      </c>
      <c r="H270" s="4">
        <f>G270*AP270/1000</f>
        <v>8.374</v>
      </c>
      <c r="I270" s="4">
        <f>_xlfn.XLOOKUP(J270,数据!E:E,数据!S:S)*(H270/_xlfn.XLOOKUP(J270,数据!E:E,数据!X:X))</f>
        <v>596.285499227775</v>
      </c>
      <c r="J270" t="s">
        <v>1570</v>
      </c>
      <c r="K270" t="s">
        <v>78</v>
      </c>
      <c r="L270" t="s">
        <v>2374</v>
      </c>
      <c r="M270" t="s">
        <v>4235</v>
      </c>
      <c r="N270" t="s">
        <v>2376</v>
      </c>
      <c r="O270" t="s">
        <v>2400</v>
      </c>
      <c r="P270" t="s">
        <v>2378</v>
      </c>
      <c r="Q270" t="s">
        <v>2379</v>
      </c>
      <c r="R270" t="s">
        <v>4236</v>
      </c>
      <c r="S270" t="s">
        <v>2511</v>
      </c>
      <c r="T270" s="3" t="s">
        <v>4237</v>
      </c>
      <c r="U270" t="s">
        <v>4238</v>
      </c>
      <c r="V270" t="s">
        <v>4239</v>
      </c>
      <c r="W270" t="s">
        <v>4240</v>
      </c>
      <c r="X270" t="s">
        <v>2403</v>
      </c>
      <c r="Y270" t="s">
        <v>4241</v>
      </c>
      <c r="Z270" t="s">
        <v>2387</v>
      </c>
      <c r="AA270" t="s">
        <v>4237</v>
      </c>
      <c r="AB270" t="s">
        <v>4242</v>
      </c>
      <c r="AC270" t="s">
        <v>4243</v>
      </c>
      <c r="AD270" t="s">
        <v>4244</v>
      </c>
      <c r="AH270" t="s">
        <v>4157</v>
      </c>
      <c r="AI270" t="s">
        <v>3861</v>
      </c>
      <c r="AJ270" t="s">
        <v>4250</v>
      </c>
      <c r="AK270" t="s">
        <v>4251</v>
      </c>
      <c r="AL270" t="s">
        <v>4252</v>
      </c>
      <c r="AM270" t="s">
        <v>3138</v>
      </c>
      <c r="AN270" t="s">
        <v>4253</v>
      </c>
      <c r="AO270" t="s">
        <v>4250</v>
      </c>
      <c r="AP270">
        <v>79</v>
      </c>
      <c r="AQ270">
        <v>79</v>
      </c>
      <c r="AR270">
        <v>79</v>
      </c>
      <c r="AS270" t="s">
        <v>4254</v>
      </c>
      <c r="AT270">
        <v>0</v>
      </c>
      <c r="AU270">
        <v>0</v>
      </c>
      <c r="AV270">
        <v>0</v>
      </c>
    </row>
    <row r="271" spans="1:48">
      <c r="A271" s="1">
        <f>_xlfn.XLOOKUP(J271,数据!E:E,数据!A:A)</f>
        <v>3</v>
      </c>
      <c r="B271" s="1">
        <f>_xlfn.XLOOKUP(J271,数据!E:E,数据!B:B)</f>
        <v>12</v>
      </c>
      <c r="C271" s="1" t="str">
        <f>_xlfn.XLOOKUP(J271,数据!E:E,数据!J:J)</f>
        <v>空派</v>
      </c>
      <c r="D271" s="1" t="str" cm="1">
        <f t="array" ref="D271">IF(OR(C271="红单",C271="空派"),_xlfn.IFS(E271="未开售","新品首批发货",F271&lt;E271,"新品首批发货",F271-E271&lt;=60,"新品期补货空运",F271-E271&gt;60,"老品应急空运"),"海运，不进行分析")</f>
        <v>新品首批发货</v>
      </c>
      <c r="E271" s="2">
        <v>46115</v>
      </c>
      <c r="F271" s="2">
        <f>_xlfn.XLOOKUP(J271,数据!E:E,数据!C:C)</f>
        <v>46098</v>
      </c>
      <c r="G271" s="4">
        <v>96</v>
      </c>
      <c r="H271" s="4">
        <f t="shared" ref="H271:H291" si="16">G271*AP271/1000</f>
        <v>14.4</v>
      </c>
      <c r="I271" s="4">
        <f>_xlfn.XLOOKUP(J271,数据!E:E,数据!S:S)*(H271/_xlfn.XLOOKUP(J271,数据!E:E,数据!X:X))</f>
        <v>878.8</v>
      </c>
      <c r="J271" t="s">
        <v>1528</v>
      </c>
      <c r="K271" t="s">
        <v>78</v>
      </c>
      <c r="L271" t="s">
        <v>2374</v>
      </c>
      <c r="M271" t="s">
        <v>4255</v>
      </c>
      <c r="N271" t="s">
        <v>2376</v>
      </c>
      <c r="O271" t="s">
        <v>2377</v>
      </c>
      <c r="P271" t="s">
        <v>2378</v>
      </c>
      <c r="Q271" t="s">
        <v>2379</v>
      </c>
      <c r="S271" t="s">
        <v>2511</v>
      </c>
      <c r="T271" s="3" t="s">
        <v>4256</v>
      </c>
      <c r="U271" t="s">
        <v>4257</v>
      </c>
      <c r="V271" t="s">
        <v>4258</v>
      </c>
      <c r="W271" t="s">
        <v>4259</v>
      </c>
      <c r="X271" t="s">
        <v>2385</v>
      </c>
      <c r="Y271" t="s">
        <v>4260</v>
      </c>
      <c r="Z271" t="s">
        <v>2387</v>
      </c>
      <c r="AA271" t="s">
        <v>4256</v>
      </c>
      <c r="AB271" t="s">
        <v>4261</v>
      </c>
      <c r="AC271" t="s">
        <v>4262</v>
      </c>
      <c r="AD271" t="s">
        <v>4263</v>
      </c>
      <c r="AG271" t="s">
        <v>2432</v>
      </c>
      <c r="AH271" t="s">
        <v>4157</v>
      </c>
      <c r="AI271" t="s">
        <v>3861</v>
      </c>
      <c r="AJ271" t="s">
        <v>2458</v>
      </c>
      <c r="AK271" t="s">
        <v>2459</v>
      </c>
      <c r="AL271" t="s">
        <v>2460</v>
      </c>
      <c r="AM271" t="s">
        <v>2460</v>
      </c>
      <c r="AN271" t="s">
        <v>2461</v>
      </c>
      <c r="AO271" t="s">
        <v>2458</v>
      </c>
      <c r="AP271">
        <v>150</v>
      </c>
      <c r="AQ271">
        <v>150</v>
      </c>
      <c r="AR271">
        <v>148</v>
      </c>
      <c r="AS271" t="s">
        <v>4264</v>
      </c>
      <c r="AT271">
        <v>0</v>
      </c>
      <c r="AU271">
        <v>-2</v>
      </c>
      <c r="AV271">
        <v>2</v>
      </c>
    </row>
    <row r="272" spans="1:48">
      <c r="A272" s="1">
        <f>_xlfn.XLOOKUP(J272,数据!E:E,数据!A:A)</f>
        <v>3</v>
      </c>
      <c r="B272" s="1">
        <f>_xlfn.XLOOKUP(J272,数据!E:E,数据!B:B)</f>
        <v>12</v>
      </c>
      <c r="C272" s="1" t="str">
        <f>_xlfn.XLOOKUP(J272,数据!E:E,数据!J:J)</f>
        <v>空派</v>
      </c>
      <c r="D272" s="1" t="str" cm="1">
        <f t="array" ref="D272">IF(OR(C272="红单",C272="空派"),_xlfn.IFS(E272="未开售","新品首批发货",F272&lt;E272,"新品首批发货",F272-E272&lt;=60,"新品期补货空运",F272-E272&gt;60,"老品应急空运"),"海运，不进行分析")</f>
        <v>老品应急空运</v>
      </c>
      <c r="E272" s="2">
        <v>46032</v>
      </c>
      <c r="F272" s="2">
        <f>_xlfn.XLOOKUP(J272,数据!E:E,数据!C:C)</f>
        <v>46098</v>
      </c>
      <c r="G272" s="4">
        <v>97</v>
      </c>
      <c r="H272" s="4">
        <f t="shared" si="16"/>
        <v>4.365</v>
      </c>
      <c r="I272" s="4">
        <f>_xlfn.XLOOKUP(J272,数据!E:E,数据!S:S)*(H272/_xlfn.XLOOKUP(J272,数据!E:E,数据!X:X))</f>
        <v>284.046390073672</v>
      </c>
      <c r="J272" t="s">
        <v>1529</v>
      </c>
      <c r="K272" t="s">
        <v>54</v>
      </c>
      <c r="L272" t="s">
        <v>2374</v>
      </c>
      <c r="M272" t="s">
        <v>4265</v>
      </c>
      <c r="N272" t="s">
        <v>2376</v>
      </c>
      <c r="O272" t="s">
        <v>2400</v>
      </c>
      <c r="P272" t="s">
        <v>2378</v>
      </c>
      <c r="Q272" t="s">
        <v>2379</v>
      </c>
      <c r="S272" t="s">
        <v>2511</v>
      </c>
      <c r="T272" s="3" t="s">
        <v>4256</v>
      </c>
      <c r="U272" t="s">
        <v>4266</v>
      </c>
      <c r="V272" t="s">
        <v>4267</v>
      </c>
      <c r="W272" t="s">
        <v>4268</v>
      </c>
      <c r="X272" t="s">
        <v>2403</v>
      </c>
      <c r="Y272" t="s">
        <v>4269</v>
      </c>
      <c r="Z272" t="s">
        <v>2387</v>
      </c>
      <c r="AA272" t="s">
        <v>4256</v>
      </c>
      <c r="AB272" t="s">
        <v>3858</v>
      </c>
      <c r="AC272" t="s">
        <v>4270</v>
      </c>
      <c r="AD272" t="s">
        <v>4263</v>
      </c>
      <c r="AG272" t="s">
        <v>2432</v>
      </c>
      <c r="AH272" t="s">
        <v>4157</v>
      </c>
      <c r="AI272" t="s">
        <v>3861</v>
      </c>
      <c r="AJ272" t="s">
        <v>4271</v>
      </c>
      <c r="AK272" t="s">
        <v>4272</v>
      </c>
      <c r="AL272" t="s">
        <v>4273</v>
      </c>
      <c r="AM272" t="s">
        <v>2545</v>
      </c>
      <c r="AN272" t="s">
        <v>4274</v>
      </c>
      <c r="AO272" t="s">
        <v>4271</v>
      </c>
      <c r="AP272">
        <v>45</v>
      </c>
      <c r="AQ272">
        <v>45</v>
      </c>
      <c r="AR272">
        <v>45</v>
      </c>
      <c r="AS272" t="s">
        <v>4275</v>
      </c>
      <c r="AT272">
        <v>0</v>
      </c>
      <c r="AU272">
        <v>0</v>
      </c>
      <c r="AV272">
        <v>0</v>
      </c>
    </row>
    <row r="273" spans="1:48">
      <c r="A273" s="1">
        <f>_xlfn.XLOOKUP(J273,数据!E:E,数据!A:A)</f>
        <v>3</v>
      </c>
      <c r="B273" s="1">
        <f>_xlfn.XLOOKUP(J273,数据!E:E,数据!B:B)</f>
        <v>12</v>
      </c>
      <c r="C273" s="1" t="str">
        <f>_xlfn.XLOOKUP(J273,数据!E:E,数据!J:J)</f>
        <v>空派</v>
      </c>
      <c r="D273" s="1" t="str" cm="1">
        <f t="array" ref="D273">IF(OR(C273="红单",C273="空派"),_xlfn.IFS(E273="未开售","新品首批发货",F273&lt;E273,"新品首批发货",F273-E273&lt;=60,"新品期补货空运",F273-E273&gt;60,"老品应急空运"),"海运，不进行分析")</f>
        <v>老品应急空运</v>
      </c>
      <c r="E273" s="2">
        <v>46030</v>
      </c>
      <c r="F273" s="2">
        <f>_xlfn.XLOOKUP(J273,数据!E:E,数据!C:C)</f>
        <v>46098</v>
      </c>
      <c r="G273" s="4">
        <v>97</v>
      </c>
      <c r="H273" s="4">
        <f t="shared" si="16"/>
        <v>4.85</v>
      </c>
      <c r="I273" s="4">
        <f>_xlfn.XLOOKUP(J273,数据!E:E,数据!S:S)*(H273/_xlfn.XLOOKUP(J273,数据!E:E,数据!X:X))</f>
        <v>315.607100081858</v>
      </c>
      <c r="J273" t="s">
        <v>1529</v>
      </c>
      <c r="K273" t="s">
        <v>54</v>
      </c>
      <c r="L273" t="s">
        <v>2374</v>
      </c>
      <c r="M273" t="s">
        <v>4265</v>
      </c>
      <c r="N273" t="s">
        <v>2376</v>
      </c>
      <c r="O273" t="s">
        <v>2400</v>
      </c>
      <c r="P273" t="s">
        <v>2378</v>
      </c>
      <c r="Q273" t="s">
        <v>2379</v>
      </c>
      <c r="S273" t="s">
        <v>2511</v>
      </c>
      <c r="T273" s="3" t="s">
        <v>4256</v>
      </c>
      <c r="U273" t="s">
        <v>4266</v>
      </c>
      <c r="V273" t="s">
        <v>4267</v>
      </c>
      <c r="W273" t="s">
        <v>4268</v>
      </c>
      <c r="X273" t="s">
        <v>2403</v>
      </c>
      <c r="Y273" t="s">
        <v>4269</v>
      </c>
      <c r="Z273" t="s">
        <v>2387</v>
      </c>
      <c r="AA273" t="s">
        <v>4256</v>
      </c>
      <c r="AB273" t="s">
        <v>3858</v>
      </c>
      <c r="AC273" t="s">
        <v>4270</v>
      </c>
      <c r="AD273" t="s">
        <v>4263</v>
      </c>
      <c r="AG273" t="s">
        <v>2432</v>
      </c>
      <c r="AH273" t="s">
        <v>4157</v>
      </c>
      <c r="AI273" t="s">
        <v>3861</v>
      </c>
      <c r="AJ273" t="s">
        <v>4276</v>
      </c>
      <c r="AK273" t="s">
        <v>4277</v>
      </c>
      <c r="AL273" t="s">
        <v>4278</v>
      </c>
      <c r="AM273" t="s">
        <v>2545</v>
      </c>
      <c r="AN273" t="s">
        <v>4279</v>
      </c>
      <c r="AO273" t="s">
        <v>4276</v>
      </c>
      <c r="AP273">
        <v>50</v>
      </c>
      <c r="AQ273">
        <v>50</v>
      </c>
      <c r="AR273">
        <v>50</v>
      </c>
      <c r="AS273" t="s">
        <v>4280</v>
      </c>
      <c r="AT273">
        <v>0</v>
      </c>
      <c r="AU273">
        <v>0</v>
      </c>
      <c r="AV273">
        <v>0</v>
      </c>
    </row>
    <row r="274" spans="1:48">
      <c r="A274" s="1">
        <f>_xlfn.XLOOKUP(J274,数据!E:E,数据!A:A)</f>
        <v>3</v>
      </c>
      <c r="B274" s="1">
        <f>_xlfn.XLOOKUP(J274,数据!E:E,数据!B:B)</f>
        <v>12</v>
      </c>
      <c r="C274" s="1" t="str">
        <f>_xlfn.XLOOKUP(J274,数据!E:E,数据!J:J)</f>
        <v>空派</v>
      </c>
      <c r="D274" s="1" t="str" cm="1">
        <f t="array" ref="D274">IF(OR(C274="红单",C274="空派"),_xlfn.IFS(E274="未开售","新品首批发货",F274&lt;E274,"新品首批发货",F274-E274&lt;=60,"新品期补货空运",F274-E274&gt;60,"老品应急空运"),"海运，不进行分析")</f>
        <v>老品应急空运</v>
      </c>
      <c r="E274" s="2">
        <v>45910</v>
      </c>
      <c r="F274" s="2">
        <f>_xlfn.XLOOKUP(J274,数据!E:E,数据!C:C)</f>
        <v>46098</v>
      </c>
      <c r="G274" s="4">
        <v>97</v>
      </c>
      <c r="H274" s="4">
        <f t="shared" si="16"/>
        <v>7.76</v>
      </c>
      <c r="I274" s="4">
        <f>_xlfn.XLOOKUP(J274,数据!E:E,数据!S:S)*(H274/_xlfn.XLOOKUP(J274,数据!E:E,数据!X:X))</f>
        <v>504.971360130972</v>
      </c>
      <c r="J274" t="s">
        <v>1529</v>
      </c>
      <c r="K274" t="s">
        <v>54</v>
      </c>
      <c r="L274" t="s">
        <v>2374</v>
      </c>
      <c r="M274" t="s">
        <v>4265</v>
      </c>
      <c r="N274" t="s">
        <v>2376</v>
      </c>
      <c r="O274" t="s">
        <v>2400</v>
      </c>
      <c r="P274" t="s">
        <v>2378</v>
      </c>
      <c r="Q274" t="s">
        <v>2379</v>
      </c>
      <c r="S274" t="s">
        <v>2511</v>
      </c>
      <c r="T274" s="3" t="s">
        <v>4256</v>
      </c>
      <c r="U274" t="s">
        <v>4266</v>
      </c>
      <c r="V274" t="s">
        <v>4267</v>
      </c>
      <c r="W274" t="s">
        <v>4268</v>
      </c>
      <c r="X274" t="s">
        <v>2403</v>
      </c>
      <c r="Y274" t="s">
        <v>4269</v>
      </c>
      <c r="Z274" t="s">
        <v>2387</v>
      </c>
      <c r="AA274" t="s">
        <v>4256</v>
      </c>
      <c r="AB274" t="s">
        <v>3858</v>
      </c>
      <c r="AC274" t="s">
        <v>4270</v>
      </c>
      <c r="AD274" t="s">
        <v>4263</v>
      </c>
      <c r="AG274" t="s">
        <v>2432</v>
      </c>
      <c r="AH274" t="s">
        <v>4157</v>
      </c>
      <c r="AI274" t="s">
        <v>3861</v>
      </c>
      <c r="AJ274" t="s">
        <v>4281</v>
      </c>
      <c r="AK274" t="s">
        <v>4282</v>
      </c>
      <c r="AL274" t="s">
        <v>4283</v>
      </c>
      <c r="AM274" t="s">
        <v>2545</v>
      </c>
      <c r="AN274" t="s">
        <v>4284</v>
      </c>
      <c r="AO274" t="s">
        <v>4281</v>
      </c>
      <c r="AP274">
        <v>80</v>
      </c>
      <c r="AQ274">
        <v>80</v>
      </c>
      <c r="AR274">
        <v>80</v>
      </c>
      <c r="AS274" t="s">
        <v>4285</v>
      </c>
      <c r="AT274">
        <v>0</v>
      </c>
      <c r="AU274">
        <v>0</v>
      </c>
      <c r="AV274">
        <v>0</v>
      </c>
    </row>
    <row r="275" spans="1:48">
      <c r="A275" s="1">
        <f>_xlfn.XLOOKUP(J275,数据!E:E,数据!A:A)</f>
        <v>3</v>
      </c>
      <c r="B275" s="1">
        <f>_xlfn.XLOOKUP(J275,数据!E:E,数据!B:B)</f>
        <v>12</v>
      </c>
      <c r="C275" s="1" t="str">
        <f>_xlfn.XLOOKUP(J275,数据!E:E,数据!J:J)</f>
        <v>空派</v>
      </c>
      <c r="D275" s="1" t="str" cm="1">
        <f t="array" ref="D275">IF(OR(C275="红单",C275="空派"),_xlfn.IFS(E275="未开售","新品首批发货",F275&lt;E275,"新品首批发货",F275-E275&lt;=60,"新品期补货空运",F275-E275&gt;60,"老品应急空运"),"海运，不进行分析")</f>
        <v>新品期补货空运</v>
      </c>
      <c r="E275" s="2">
        <v>46072</v>
      </c>
      <c r="F275" s="2">
        <f>_xlfn.XLOOKUP(J275,数据!E:E,数据!C:C)</f>
        <v>46098</v>
      </c>
      <c r="G275" s="4">
        <v>114</v>
      </c>
      <c r="H275" s="4">
        <f t="shared" si="16"/>
        <v>3.534</v>
      </c>
      <c r="I275" s="4">
        <f>_xlfn.XLOOKUP(J275,数据!E:E,数据!S:S)*(H275/_xlfn.XLOOKUP(J275,数据!E:E,数据!X:X))</f>
        <v>229.970204472018</v>
      </c>
      <c r="J275" t="s">
        <v>1529</v>
      </c>
      <c r="K275" t="s">
        <v>54</v>
      </c>
      <c r="L275" t="s">
        <v>2374</v>
      </c>
      <c r="M275" t="s">
        <v>4265</v>
      </c>
      <c r="N275" t="s">
        <v>2376</v>
      </c>
      <c r="O275" t="s">
        <v>2400</v>
      </c>
      <c r="P275" t="s">
        <v>2378</v>
      </c>
      <c r="Q275" t="s">
        <v>2379</v>
      </c>
      <c r="S275" t="s">
        <v>2511</v>
      </c>
      <c r="T275" s="3" t="s">
        <v>4256</v>
      </c>
      <c r="U275" t="s">
        <v>4266</v>
      </c>
      <c r="V275" t="s">
        <v>4267</v>
      </c>
      <c r="W275" t="s">
        <v>4268</v>
      </c>
      <c r="X275" t="s">
        <v>2403</v>
      </c>
      <c r="Y275" t="s">
        <v>4269</v>
      </c>
      <c r="Z275" t="s">
        <v>2387</v>
      </c>
      <c r="AA275" t="s">
        <v>4256</v>
      </c>
      <c r="AB275" t="s">
        <v>3858</v>
      </c>
      <c r="AC275" t="s">
        <v>4270</v>
      </c>
      <c r="AD275" t="s">
        <v>4263</v>
      </c>
      <c r="AG275" t="s">
        <v>2432</v>
      </c>
      <c r="AH275" t="s">
        <v>4157</v>
      </c>
      <c r="AI275" t="s">
        <v>3861</v>
      </c>
      <c r="AJ275" t="s">
        <v>3876</v>
      </c>
      <c r="AK275" t="s">
        <v>3877</v>
      </c>
      <c r="AL275" t="s">
        <v>3878</v>
      </c>
      <c r="AM275" t="s">
        <v>3219</v>
      </c>
      <c r="AN275" t="s">
        <v>3879</v>
      </c>
      <c r="AO275" t="s">
        <v>3876</v>
      </c>
      <c r="AP275">
        <v>31</v>
      </c>
      <c r="AQ275">
        <v>31</v>
      </c>
      <c r="AR275">
        <v>31</v>
      </c>
      <c r="AS275" t="s">
        <v>4286</v>
      </c>
      <c r="AT275">
        <v>0</v>
      </c>
      <c r="AU275">
        <v>0</v>
      </c>
      <c r="AV275">
        <v>0</v>
      </c>
    </row>
    <row r="276" spans="1:48">
      <c r="A276" s="1">
        <f>_xlfn.XLOOKUP(J276,数据!E:E,数据!A:A)</f>
        <v>3</v>
      </c>
      <c r="B276" s="1">
        <f>_xlfn.XLOOKUP(J276,数据!E:E,数据!B:B)</f>
        <v>12</v>
      </c>
      <c r="C276" s="1" t="str">
        <f>_xlfn.XLOOKUP(J276,数据!E:E,数据!J:J)</f>
        <v>空派</v>
      </c>
      <c r="D276" s="1" t="str" cm="1">
        <f t="array" ref="D276">IF(OR(C276="红单",C276="空派"),_xlfn.IFS(E276="未开售","新品首批发货",F276&lt;E276,"新品首批发货",F276-E276&lt;=60,"新品期补货空运",F276-E276&gt;60,"老品应急空运"),"海运，不进行分析")</f>
        <v>老品应急空运</v>
      </c>
      <c r="E276" s="2">
        <v>46030</v>
      </c>
      <c r="F276" s="2">
        <f>_xlfn.XLOOKUP(J276,数据!E:E,数据!C:C)</f>
        <v>46098</v>
      </c>
      <c r="G276" s="4">
        <v>193</v>
      </c>
      <c r="H276" s="4">
        <f t="shared" si="16"/>
        <v>2.702</v>
      </c>
      <c r="I276" s="4">
        <f>_xlfn.XLOOKUP(J276,数据!E:E,数据!S:S)*(H276/_xlfn.XLOOKUP(J276,数据!E:E,数据!X:X))</f>
        <v>175.82894524148</v>
      </c>
      <c r="J276" t="s">
        <v>1529</v>
      </c>
      <c r="K276" t="s">
        <v>54</v>
      </c>
      <c r="L276" t="s">
        <v>2374</v>
      </c>
      <c r="M276" t="s">
        <v>4265</v>
      </c>
      <c r="N276" t="s">
        <v>2376</v>
      </c>
      <c r="O276" t="s">
        <v>2400</v>
      </c>
      <c r="P276" t="s">
        <v>2378</v>
      </c>
      <c r="Q276" t="s">
        <v>2379</v>
      </c>
      <c r="S276" t="s">
        <v>2511</v>
      </c>
      <c r="T276" s="3" t="s">
        <v>4256</v>
      </c>
      <c r="U276" t="s">
        <v>4266</v>
      </c>
      <c r="V276" t="s">
        <v>4267</v>
      </c>
      <c r="W276" t="s">
        <v>4268</v>
      </c>
      <c r="X276" t="s">
        <v>2403</v>
      </c>
      <c r="Y276" t="s">
        <v>4269</v>
      </c>
      <c r="Z276" t="s">
        <v>2387</v>
      </c>
      <c r="AA276" t="s">
        <v>4256</v>
      </c>
      <c r="AB276" t="s">
        <v>3858</v>
      </c>
      <c r="AC276" t="s">
        <v>4270</v>
      </c>
      <c r="AD276" t="s">
        <v>4263</v>
      </c>
      <c r="AG276" t="s">
        <v>2432</v>
      </c>
      <c r="AH276" t="s">
        <v>4157</v>
      </c>
      <c r="AI276" t="s">
        <v>3861</v>
      </c>
      <c r="AJ276" t="s">
        <v>4287</v>
      </c>
      <c r="AK276" t="s">
        <v>4288</v>
      </c>
      <c r="AL276" t="s">
        <v>4289</v>
      </c>
      <c r="AM276" t="s">
        <v>2555</v>
      </c>
      <c r="AN276" t="s">
        <v>4290</v>
      </c>
      <c r="AO276" t="s">
        <v>4287</v>
      </c>
      <c r="AP276">
        <v>14</v>
      </c>
      <c r="AQ276">
        <v>14</v>
      </c>
      <c r="AR276">
        <v>14</v>
      </c>
      <c r="AS276" t="s">
        <v>4291</v>
      </c>
      <c r="AT276">
        <v>0</v>
      </c>
      <c r="AU276">
        <v>0</v>
      </c>
      <c r="AV276">
        <v>0</v>
      </c>
    </row>
    <row r="277" spans="1:48">
      <c r="A277" s="1">
        <f>_xlfn.XLOOKUP(J277,数据!E:E,数据!A:A)</f>
        <v>3</v>
      </c>
      <c r="B277" s="1">
        <f>_xlfn.XLOOKUP(J277,数据!E:E,数据!B:B)</f>
        <v>12</v>
      </c>
      <c r="C277" s="1" t="str">
        <f>_xlfn.XLOOKUP(J277,数据!E:E,数据!J:J)</f>
        <v>空派</v>
      </c>
      <c r="D277" s="1" t="str" cm="1">
        <f t="array" ref="D277">IF(OR(C277="红单",C277="空派"),_xlfn.IFS(E277="未开售","新品首批发货",F277&lt;E277,"新品首批发货",F277-E277&lt;=60,"新品期补货空运",F277-E277&gt;60,"老品应急空运"),"海运，不进行分析")</f>
        <v>老品应急空运</v>
      </c>
      <c r="E277" s="2">
        <v>45817</v>
      </c>
      <c r="F277" s="2">
        <f>_xlfn.XLOOKUP(J277,数据!E:E,数据!C:C)</f>
        <v>46098</v>
      </c>
      <c r="G277" s="4">
        <v>162</v>
      </c>
      <c r="H277" s="4">
        <f t="shared" si="16"/>
        <v>5.67</v>
      </c>
      <c r="I277" s="4">
        <f>_xlfn.XLOOKUP(J277,数据!E:E,数据!S:S)*(H277/_xlfn.XLOOKUP(J277,数据!E:E,数据!X:X))</f>
        <v>353.449804100228</v>
      </c>
      <c r="J277" t="s">
        <v>1531</v>
      </c>
      <c r="K277" t="s">
        <v>51</v>
      </c>
      <c r="L277" t="s">
        <v>2374</v>
      </c>
      <c r="M277" t="s">
        <v>4292</v>
      </c>
      <c r="N277" t="s">
        <v>2376</v>
      </c>
      <c r="O277" t="s">
        <v>2400</v>
      </c>
      <c r="P277" t="s">
        <v>2378</v>
      </c>
      <c r="Q277" t="s">
        <v>2379</v>
      </c>
      <c r="S277" t="s">
        <v>2511</v>
      </c>
      <c r="T277" s="3" t="s">
        <v>4256</v>
      </c>
      <c r="U277" t="s">
        <v>4257</v>
      </c>
      <c r="V277" t="s">
        <v>4293</v>
      </c>
      <c r="W277" t="s">
        <v>4294</v>
      </c>
      <c r="X277" t="s">
        <v>2385</v>
      </c>
      <c r="Y277" t="s">
        <v>4295</v>
      </c>
      <c r="Z277" t="s">
        <v>2405</v>
      </c>
      <c r="AA277" t="s">
        <v>4256</v>
      </c>
      <c r="AB277" t="s">
        <v>4120</v>
      </c>
      <c r="AC277" t="s">
        <v>4296</v>
      </c>
      <c r="AD277" t="s">
        <v>4263</v>
      </c>
      <c r="AG277" t="s">
        <v>2432</v>
      </c>
      <c r="AH277" t="s">
        <v>4157</v>
      </c>
      <c r="AI277" t="s">
        <v>3861</v>
      </c>
      <c r="AJ277" t="s">
        <v>3524</v>
      </c>
      <c r="AK277" t="s">
        <v>3525</v>
      </c>
      <c r="AL277" t="s">
        <v>3526</v>
      </c>
      <c r="AM277" t="s">
        <v>3526</v>
      </c>
      <c r="AN277" t="s">
        <v>3527</v>
      </c>
      <c r="AO277" t="s">
        <v>3524</v>
      </c>
      <c r="AP277">
        <v>35</v>
      </c>
      <c r="AQ277">
        <v>35</v>
      </c>
      <c r="AR277">
        <v>33</v>
      </c>
      <c r="AS277" t="s">
        <v>4297</v>
      </c>
      <c r="AT277">
        <v>0</v>
      </c>
      <c r="AU277">
        <v>-2</v>
      </c>
      <c r="AV277">
        <v>2</v>
      </c>
    </row>
    <row r="278" spans="1:48">
      <c r="A278" s="1">
        <f>_xlfn.XLOOKUP(J278,数据!E:E,数据!A:A)</f>
        <v>3</v>
      </c>
      <c r="B278" s="1">
        <f>_xlfn.XLOOKUP(J278,数据!E:E,数据!B:B)</f>
        <v>12</v>
      </c>
      <c r="C278" s="1" t="str">
        <f>_xlfn.XLOOKUP(J278,数据!E:E,数据!J:J)</f>
        <v>空派</v>
      </c>
      <c r="D278" s="1" t="str" cm="1">
        <f t="array" ref="D278">IF(OR(C278="红单",C278="空派"),_xlfn.IFS(E278="未开售","新品首批发货",F278&lt;E278,"新品首批发货",F278-E278&lt;=60,"新品期补货空运",F278-E278&gt;60,"老品应急空运"),"海运，不进行分析")</f>
        <v>新品期补货空运</v>
      </c>
      <c r="E278" s="2">
        <v>46083</v>
      </c>
      <c r="F278" s="2">
        <f>_xlfn.XLOOKUP(J278,数据!E:E,数据!C:C)</f>
        <v>46098</v>
      </c>
      <c r="G278" s="4">
        <v>115</v>
      </c>
      <c r="H278" s="4">
        <f t="shared" si="16"/>
        <v>3.45</v>
      </c>
      <c r="I278" s="4">
        <f>_xlfn.XLOOKUP(J278,数据!E:E,数据!S:S)*(H278/_xlfn.XLOOKUP(J278,数据!E:E,数据!X:X))</f>
        <v>215.062050113895</v>
      </c>
      <c r="J278" t="s">
        <v>1531</v>
      </c>
      <c r="K278" t="s">
        <v>51</v>
      </c>
      <c r="L278" t="s">
        <v>2374</v>
      </c>
      <c r="M278" t="s">
        <v>4292</v>
      </c>
      <c r="N278" t="s">
        <v>2376</v>
      </c>
      <c r="O278" t="s">
        <v>2400</v>
      </c>
      <c r="P278" t="s">
        <v>2378</v>
      </c>
      <c r="Q278" t="s">
        <v>2379</v>
      </c>
      <c r="S278" t="s">
        <v>2511</v>
      </c>
      <c r="T278" s="3" t="s">
        <v>4256</v>
      </c>
      <c r="U278" t="s">
        <v>4257</v>
      </c>
      <c r="V278" t="s">
        <v>4293</v>
      </c>
      <c r="W278" t="s">
        <v>4294</v>
      </c>
      <c r="X278" t="s">
        <v>2385</v>
      </c>
      <c r="Y278" t="s">
        <v>4295</v>
      </c>
      <c r="Z278" t="s">
        <v>2405</v>
      </c>
      <c r="AA278" t="s">
        <v>4256</v>
      </c>
      <c r="AB278" t="s">
        <v>4120</v>
      </c>
      <c r="AC278" t="s">
        <v>4296</v>
      </c>
      <c r="AD278" t="s">
        <v>4263</v>
      </c>
      <c r="AG278" t="s">
        <v>2432</v>
      </c>
      <c r="AH278" t="s">
        <v>4157</v>
      </c>
      <c r="AI278" t="s">
        <v>3861</v>
      </c>
      <c r="AJ278" t="s">
        <v>4123</v>
      </c>
      <c r="AK278" t="s">
        <v>4124</v>
      </c>
      <c r="AL278" t="s">
        <v>4125</v>
      </c>
      <c r="AM278" t="s">
        <v>3781</v>
      </c>
      <c r="AN278" t="s">
        <v>4126</v>
      </c>
      <c r="AO278" t="s">
        <v>4123</v>
      </c>
      <c r="AP278">
        <v>30</v>
      </c>
      <c r="AQ278">
        <v>30</v>
      </c>
      <c r="AR278">
        <v>30</v>
      </c>
      <c r="AS278" t="s">
        <v>4298</v>
      </c>
      <c r="AT278">
        <v>0</v>
      </c>
      <c r="AU278">
        <v>0</v>
      </c>
      <c r="AV278">
        <v>0</v>
      </c>
    </row>
    <row r="279" spans="1:48">
      <c r="A279" s="1">
        <f>_xlfn.XLOOKUP(J279,数据!E:E,数据!A:A)</f>
        <v>3</v>
      </c>
      <c r="B279" s="1">
        <f>_xlfn.XLOOKUP(J279,数据!E:E,数据!B:B)</f>
        <v>12</v>
      </c>
      <c r="C279" s="1" t="str">
        <f>_xlfn.XLOOKUP(J279,数据!E:E,数据!J:J)</f>
        <v>空派</v>
      </c>
      <c r="D279" s="1" t="str" cm="1">
        <f t="array" ref="D279">IF(OR(C279="红单",C279="空派"),_xlfn.IFS(E279="未开售","新品首批发货",F279&lt;E279,"新品首批发货",F279-E279&lt;=60,"新品期补货空运",F279-E279&gt;60,"老品应急空运"),"海运，不进行分析")</f>
        <v>新品期补货空运</v>
      </c>
      <c r="E279" s="2">
        <v>46092</v>
      </c>
      <c r="F279" s="2">
        <f>_xlfn.XLOOKUP(J279,数据!E:E,数据!C:C)</f>
        <v>46098</v>
      </c>
      <c r="G279" s="4">
        <v>115</v>
      </c>
      <c r="H279" s="4">
        <f t="shared" si="16"/>
        <v>3.45</v>
      </c>
      <c r="I279" s="4">
        <f>_xlfn.XLOOKUP(J279,数据!E:E,数据!S:S)*(H279/_xlfn.XLOOKUP(J279,数据!E:E,数据!X:X))</f>
        <v>215.062050113895</v>
      </c>
      <c r="J279" t="s">
        <v>1531</v>
      </c>
      <c r="K279" t="s">
        <v>51</v>
      </c>
      <c r="L279" t="s">
        <v>2374</v>
      </c>
      <c r="M279" t="s">
        <v>4292</v>
      </c>
      <c r="N279" t="s">
        <v>2376</v>
      </c>
      <c r="O279" t="s">
        <v>2400</v>
      </c>
      <c r="P279" t="s">
        <v>2378</v>
      </c>
      <c r="Q279" t="s">
        <v>2379</v>
      </c>
      <c r="S279" t="s">
        <v>2511</v>
      </c>
      <c r="T279" s="3" t="s">
        <v>4256</v>
      </c>
      <c r="U279" t="s">
        <v>4257</v>
      </c>
      <c r="V279" t="s">
        <v>4293</v>
      </c>
      <c r="W279" t="s">
        <v>4294</v>
      </c>
      <c r="X279" t="s">
        <v>2385</v>
      </c>
      <c r="Y279" t="s">
        <v>4295</v>
      </c>
      <c r="Z279" t="s">
        <v>2405</v>
      </c>
      <c r="AA279" t="s">
        <v>4256</v>
      </c>
      <c r="AB279" t="s">
        <v>4120</v>
      </c>
      <c r="AC279" t="s">
        <v>4296</v>
      </c>
      <c r="AD279" t="s">
        <v>4263</v>
      </c>
      <c r="AG279" t="s">
        <v>2432</v>
      </c>
      <c r="AH279" t="s">
        <v>4157</v>
      </c>
      <c r="AI279" t="s">
        <v>3861</v>
      </c>
      <c r="AJ279" t="s">
        <v>3778</v>
      </c>
      <c r="AK279" t="s">
        <v>3779</v>
      </c>
      <c r="AL279" t="s">
        <v>3780</v>
      </c>
      <c r="AM279" t="s">
        <v>3781</v>
      </c>
      <c r="AN279" t="s">
        <v>3782</v>
      </c>
      <c r="AO279" t="s">
        <v>3778</v>
      </c>
      <c r="AP279">
        <v>30</v>
      </c>
      <c r="AQ279">
        <v>30</v>
      </c>
      <c r="AR279">
        <v>29</v>
      </c>
      <c r="AS279" t="s">
        <v>4299</v>
      </c>
      <c r="AT279">
        <v>0</v>
      </c>
      <c r="AU279">
        <v>-1</v>
      </c>
      <c r="AV279">
        <v>1</v>
      </c>
    </row>
    <row r="280" spans="1:48">
      <c r="A280" s="1">
        <f>_xlfn.XLOOKUP(J280,数据!E:E,数据!A:A)</f>
        <v>3</v>
      </c>
      <c r="B280" s="1">
        <f>_xlfn.XLOOKUP(J280,数据!E:E,数据!B:B)</f>
        <v>12</v>
      </c>
      <c r="C280" s="1" t="str">
        <f>_xlfn.XLOOKUP(J280,数据!E:E,数据!J:J)</f>
        <v>空派</v>
      </c>
      <c r="D280" s="1" t="str" cm="1">
        <f t="array" ref="D280">IF(OR(C280="红单",C280="空派"),_xlfn.IFS(E280="未开售","新品首批发货",F280&lt;E280,"新品首批发货",F280-E280&lt;=60,"新品期补货空运",F280-E280&gt;60,"老品应急空运"),"海运，不进行分析")</f>
        <v>老品应急空运</v>
      </c>
      <c r="E280" s="2">
        <v>46023</v>
      </c>
      <c r="F280" s="2">
        <f>_xlfn.XLOOKUP(J280,数据!E:E,数据!C:C)</f>
        <v>46098</v>
      </c>
      <c r="G280" s="4">
        <v>200</v>
      </c>
      <c r="H280" s="4">
        <f t="shared" si="16"/>
        <v>0.6</v>
      </c>
      <c r="I280" s="4">
        <f>_xlfn.XLOOKUP(J280,数据!E:E,数据!S:S)*(H280/_xlfn.XLOOKUP(J280,数据!E:E,数据!X:X))</f>
        <v>37.4020956719818</v>
      </c>
      <c r="J280" t="s">
        <v>1531</v>
      </c>
      <c r="K280" t="s">
        <v>51</v>
      </c>
      <c r="L280" t="s">
        <v>2374</v>
      </c>
      <c r="M280" t="s">
        <v>4292</v>
      </c>
      <c r="N280" t="s">
        <v>2376</v>
      </c>
      <c r="O280" t="s">
        <v>2400</v>
      </c>
      <c r="P280" t="s">
        <v>2378</v>
      </c>
      <c r="Q280" t="s">
        <v>2379</v>
      </c>
      <c r="S280" t="s">
        <v>2511</v>
      </c>
      <c r="T280" s="3" t="s">
        <v>4256</v>
      </c>
      <c r="U280" t="s">
        <v>4257</v>
      </c>
      <c r="V280" t="s">
        <v>4293</v>
      </c>
      <c r="W280" t="s">
        <v>4294</v>
      </c>
      <c r="X280" t="s">
        <v>2385</v>
      </c>
      <c r="Y280" t="s">
        <v>4295</v>
      </c>
      <c r="Z280" t="s">
        <v>2405</v>
      </c>
      <c r="AA280" t="s">
        <v>4256</v>
      </c>
      <c r="AB280" t="s">
        <v>4120</v>
      </c>
      <c r="AC280" t="s">
        <v>4296</v>
      </c>
      <c r="AD280" t="s">
        <v>4263</v>
      </c>
      <c r="AG280" t="s">
        <v>2432</v>
      </c>
      <c r="AH280" t="s">
        <v>4157</v>
      </c>
      <c r="AI280" t="s">
        <v>3861</v>
      </c>
      <c r="AJ280" t="s">
        <v>4300</v>
      </c>
      <c r="AK280" t="s">
        <v>4301</v>
      </c>
      <c r="AL280" t="s">
        <v>4302</v>
      </c>
      <c r="AM280" t="s">
        <v>4303</v>
      </c>
      <c r="AN280" t="s">
        <v>4304</v>
      </c>
      <c r="AO280" t="s">
        <v>4300</v>
      </c>
      <c r="AP280">
        <v>3</v>
      </c>
      <c r="AQ280">
        <v>3</v>
      </c>
      <c r="AR280">
        <v>3</v>
      </c>
      <c r="AS280" t="s">
        <v>4305</v>
      </c>
      <c r="AT280">
        <v>0</v>
      </c>
      <c r="AU280">
        <v>0</v>
      </c>
      <c r="AV280">
        <v>0</v>
      </c>
    </row>
    <row r="281" spans="1:48">
      <c r="A281" s="1">
        <f>_xlfn.XLOOKUP(J281,数据!E:E,数据!A:A)</f>
        <v>3</v>
      </c>
      <c r="B281" s="1">
        <f>_xlfn.XLOOKUP(J281,数据!E:E,数据!B:B)</f>
        <v>12</v>
      </c>
      <c r="C281" s="1" t="str">
        <f>_xlfn.XLOOKUP(J281,数据!E:E,数据!J:J)</f>
        <v>空派</v>
      </c>
      <c r="D281" s="1" t="str" cm="1">
        <f t="array" ref="D281">IF(OR(C281="红单",C281="空派"),_xlfn.IFS(E281="未开售","新品首批发货",F281&lt;E281,"新品首批发货",F281-E281&lt;=60,"新品期补货空运",F281-E281&gt;60,"老品应急空运"),"海运，不进行分析")</f>
        <v>老品应急空运</v>
      </c>
      <c r="E281" s="2">
        <v>46030</v>
      </c>
      <c r="F281" s="2">
        <f>_xlfn.XLOOKUP(J281,数据!E:E,数据!C:C)</f>
        <v>46098</v>
      </c>
      <c r="G281" s="4">
        <v>146</v>
      </c>
      <c r="H281" s="4">
        <f t="shared" si="16"/>
        <v>7.3</v>
      </c>
      <c r="I281" s="4">
        <f>_xlfn.XLOOKUP(J281,数据!E:E,数据!S:S)*(H281/_xlfn.XLOOKUP(J281,数据!E:E,数据!X:X))</f>
        <v>400.519584849133</v>
      </c>
      <c r="J281" t="s">
        <v>1530</v>
      </c>
      <c r="K281" t="s">
        <v>31</v>
      </c>
      <c r="L281" t="s">
        <v>2374</v>
      </c>
      <c r="M281" t="s">
        <v>4306</v>
      </c>
      <c r="N281" t="s">
        <v>2376</v>
      </c>
      <c r="O281" t="s">
        <v>2400</v>
      </c>
      <c r="P281" t="s">
        <v>2378</v>
      </c>
      <c r="Q281" t="s">
        <v>2379</v>
      </c>
      <c r="S281" t="s">
        <v>2511</v>
      </c>
      <c r="T281" s="3" t="s">
        <v>4307</v>
      </c>
      <c r="U281" t="s">
        <v>4308</v>
      </c>
      <c r="V281" t="s">
        <v>4309</v>
      </c>
      <c r="W281" t="s">
        <v>4310</v>
      </c>
      <c r="X281" t="s">
        <v>2403</v>
      </c>
      <c r="Y281" t="s">
        <v>4311</v>
      </c>
      <c r="Z281" t="s">
        <v>2405</v>
      </c>
      <c r="AA281" t="s">
        <v>4307</v>
      </c>
      <c r="AB281" t="s">
        <v>4312</v>
      </c>
      <c r="AC281" t="s">
        <v>4313</v>
      </c>
      <c r="AD281" t="s">
        <v>4263</v>
      </c>
      <c r="AG281" t="s">
        <v>2432</v>
      </c>
      <c r="AH281" t="s">
        <v>4157</v>
      </c>
      <c r="AI281" t="s">
        <v>3861</v>
      </c>
      <c r="AJ281" t="s">
        <v>4314</v>
      </c>
      <c r="AK281" t="s">
        <v>4315</v>
      </c>
      <c r="AL281" t="s">
        <v>4316</v>
      </c>
      <c r="AM281" t="s">
        <v>2787</v>
      </c>
      <c r="AN281" t="s">
        <v>4317</v>
      </c>
      <c r="AO281" t="s">
        <v>4314</v>
      </c>
      <c r="AP281">
        <v>50</v>
      </c>
      <c r="AQ281">
        <v>50</v>
      </c>
      <c r="AR281">
        <v>50</v>
      </c>
      <c r="AS281" t="s">
        <v>4318</v>
      </c>
      <c r="AT281">
        <v>0</v>
      </c>
      <c r="AU281">
        <v>0</v>
      </c>
      <c r="AV281">
        <v>0</v>
      </c>
    </row>
    <row r="282" spans="1:48">
      <c r="A282" s="1">
        <f>_xlfn.XLOOKUP(J282,数据!E:E,数据!A:A)</f>
        <v>3</v>
      </c>
      <c r="B282" s="1">
        <f>_xlfn.XLOOKUP(J282,数据!E:E,数据!B:B)</f>
        <v>12</v>
      </c>
      <c r="C282" s="1" t="str">
        <f>_xlfn.XLOOKUP(J282,数据!E:E,数据!J:J)</f>
        <v>空派</v>
      </c>
      <c r="D282" s="1" t="str" cm="1">
        <f t="array" ref="D282">IF(OR(C282="红单",C282="空派"),_xlfn.IFS(E282="未开售","新品首批发货",F282&lt;E282,"新品首批发货",F282-E282&lt;=60,"新品期补货空运",F282-E282&gt;60,"老品应急空运"),"海运，不进行分析")</f>
        <v>老品应急空运</v>
      </c>
      <c r="E282" s="2">
        <v>46028</v>
      </c>
      <c r="F282" s="2">
        <f>_xlfn.XLOOKUP(J282,数据!E:E,数据!C:C)</f>
        <v>46098</v>
      </c>
      <c r="G282" s="4">
        <v>143.3</v>
      </c>
      <c r="H282" s="4">
        <f t="shared" si="16"/>
        <v>14.33</v>
      </c>
      <c r="I282" s="4">
        <f>_xlfn.XLOOKUP(J282,数据!E:E,数据!S:S)*(H282/_xlfn.XLOOKUP(J282,数据!E:E,数据!X:X))</f>
        <v>786.225431628504</v>
      </c>
      <c r="J282" t="s">
        <v>1530</v>
      </c>
      <c r="K282" t="s">
        <v>31</v>
      </c>
      <c r="L282" t="s">
        <v>2374</v>
      </c>
      <c r="M282" t="s">
        <v>4306</v>
      </c>
      <c r="N282" t="s">
        <v>2376</v>
      </c>
      <c r="O282" t="s">
        <v>2400</v>
      </c>
      <c r="P282" t="s">
        <v>2378</v>
      </c>
      <c r="Q282" t="s">
        <v>2379</v>
      </c>
      <c r="S282" t="s">
        <v>2511</v>
      </c>
      <c r="T282" s="3" t="s">
        <v>4307</v>
      </c>
      <c r="U282" t="s">
        <v>4308</v>
      </c>
      <c r="V282" t="s">
        <v>4309</v>
      </c>
      <c r="W282" t="s">
        <v>4310</v>
      </c>
      <c r="X282" t="s">
        <v>2403</v>
      </c>
      <c r="Y282" t="s">
        <v>4311</v>
      </c>
      <c r="Z282" t="s">
        <v>2405</v>
      </c>
      <c r="AA282" t="s">
        <v>4307</v>
      </c>
      <c r="AB282" t="s">
        <v>4312</v>
      </c>
      <c r="AC282" t="s">
        <v>4313</v>
      </c>
      <c r="AD282" t="s">
        <v>4263</v>
      </c>
      <c r="AG282" t="s">
        <v>2432</v>
      </c>
      <c r="AH282" t="s">
        <v>4157</v>
      </c>
      <c r="AI282" t="s">
        <v>3861</v>
      </c>
      <c r="AJ282" t="s">
        <v>4319</v>
      </c>
      <c r="AK282" t="s">
        <v>4320</v>
      </c>
      <c r="AL282" t="s">
        <v>4321</v>
      </c>
      <c r="AM282" t="s">
        <v>2787</v>
      </c>
      <c r="AN282" t="s">
        <v>4322</v>
      </c>
      <c r="AO282" t="s">
        <v>4319</v>
      </c>
      <c r="AP282">
        <v>100</v>
      </c>
      <c r="AQ282">
        <v>100</v>
      </c>
      <c r="AR282">
        <v>100</v>
      </c>
      <c r="AS282" t="s">
        <v>4323</v>
      </c>
      <c r="AT282">
        <v>0</v>
      </c>
      <c r="AU282">
        <v>0</v>
      </c>
      <c r="AV282">
        <v>0</v>
      </c>
    </row>
    <row r="283" spans="1:48">
      <c r="A283" s="1">
        <f>_xlfn.XLOOKUP(J283,数据!E:E,数据!A:A)</f>
        <v>3</v>
      </c>
      <c r="B283" s="1">
        <f>_xlfn.XLOOKUP(J283,数据!E:E,数据!B:B)</f>
        <v>12</v>
      </c>
      <c r="C283" s="1" t="str">
        <f>_xlfn.XLOOKUP(J283,数据!E:E,数据!J:J)</f>
        <v>空派</v>
      </c>
      <c r="D283" s="1" t="str" cm="1">
        <f t="array" ref="D283">IF(OR(C283="红单",C283="空派"),_xlfn.IFS(E283="未开售","新品首批发货",F283&lt;E283,"新品首批发货",F283-E283&lt;=60,"新品期补货空运",F283-E283&gt;60,"老品应急空运"),"海运，不进行分析")</f>
        <v>老品应急空运</v>
      </c>
      <c r="E283" s="2">
        <v>46029</v>
      </c>
      <c r="F283" s="2">
        <f>_xlfn.XLOOKUP(J283,数据!E:E,数据!C:C)</f>
        <v>46098</v>
      </c>
      <c r="G283" s="4">
        <v>502</v>
      </c>
      <c r="H283" s="4">
        <f t="shared" si="16"/>
        <v>25.1</v>
      </c>
      <c r="I283" s="4">
        <f>_xlfn.XLOOKUP(J283,数据!E:E,数据!S:S)*(H283/_xlfn.XLOOKUP(J283,数据!E:E,数据!X:X))</f>
        <v>1377.12898352236</v>
      </c>
      <c r="J283" t="s">
        <v>1530</v>
      </c>
      <c r="K283" t="s">
        <v>31</v>
      </c>
      <c r="L283" t="s">
        <v>2374</v>
      </c>
      <c r="M283" t="s">
        <v>4306</v>
      </c>
      <c r="N283" t="s">
        <v>2376</v>
      </c>
      <c r="O283" t="s">
        <v>2400</v>
      </c>
      <c r="P283" t="s">
        <v>2378</v>
      </c>
      <c r="Q283" t="s">
        <v>2379</v>
      </c>
      <c r="S283" t="s">
        <v>2511</v>
      </c>
      <c r="T283" s="3" t="s">
        <v>4307</v>
      </c>
      <c r="U283" t="s">
        <v>4308</v>
      </c>
      <c r="V283" t="s">
        <v>4309</v>
      </c>
      <c r="W283" t="s">
        <v>4310</v>
      </c>
      <c r="X283" t="s">
        <v>2403</v>
      </c>
      <c r="Y283" t="s">
        <v>4311</v>
      </c>
      <c r="Z283" t="s">
        <v>2405</v>
      </c>
      <c r="AA283" t="s">
        <v>4307</v>
      </c>
      <c r="AB283" t="s">
        <v>4312</v>
      </c>
      <c r="AC283" t="s">
        <v>4313</v>
      </c>
      <c r="AD283" t="s">
        <v>4263</v>
      </c>
      <c r="AG283" t="s">
        <v>2432</v>
      </c>
      <c r="AH283" t="s">
        <v>4157</v>
      </c>
      <c r="AI283" t="s">
        <v>3861</v>
      </c>
      <c r="AJ283" t="s">
        <v>3352</v>
      </c>
      <c r="AK283" t="s">
        <v>3353</v>
      </c>
      <c r="AL283" t="s">
        <v>3354</v>
      </c>
      <c r="AM283" t="s">
        <v>3107</v>
      </c>
      <c r="AN283" t="s">
        <v>3355</v>
      </c>
      <c r="AO283" t="s">
        <v>3352</v>
      </c>
      <c r="AP283">
        <v>50</v>
      </c>
      <c r="AQ283">
        <v>50</v>
      </c>
      <c r="AR283">
        <v>50</v>
      </c>
      <c r="AS283" t="s">
        <v>4318</v>
      </c>
      <c r="AT283">
        <v>0</v>
      </c>
      <c r="AU283">
        <v>0</v>
      </c>
      <c r="AV283">
        <v>0</v>
      </c>
    </row>
    <row r="284" spans="1:48">
      <c r="A284" s="1">
        <f>_xlfn.XLOOKUP(J284,数据!E:E,数据!A:A)</f>
        <v>3</v>
      </c>
      <c r="B284" s="1">
        <f>_xlfn.XLOOKUP(J284,数据!E:E,数据!B:B)</f>
        <v>12</v>
      </c>
      <c r="C284" s="1" t="str">
        <f>_xlfn.XLOOKUP(J284,数据!E:E,数据!J:J)</f>
        <v>红单</v>
      </c>
      <c r="D284" s="1" t="str" cm="1">
        <f t="array" ref="D284">IF(OR(C284="红单",C284="空派"),_xlfn.IFS(E284="未开售","新品首批发货",F284&lt;E284,"新品首批发货",F284-E284&lt;=60,"新品期补货空运",F284-E284&gt;60,"老品应急空运"),"海运，不进行分析")</f>
        <v>新品期补货空运</v>
      </c>
      <c r="E284" s="2">
        <v>46058</v>
      </c>
      <c r="F284" s="2">
        <f>_xlfn.XLOOKUP(J284,数据!E:E,数据!C:C)</f>
        <v>46097</v>
      </c>
      <c r="G284" s="4">
        <v>71</v>
      </c>
      <c r="H284" s="4">
        <f t="shared" si="16"/>
        <v>3.55</v>
      </c>
      <c r="I284" s="4">
        <f>_xlfn.XLOOKUP(J284,数据!E:E,数据!S:S)*(H284/_xlfn.XLOOKUP(J284,数据!E:E,数据!X:X))</f>
        <v>269.480210470929</v>
      </c>
      <c r="J284" t="s">
        <v>1526</v>
      </c>
      <c r="K284" t="s">
        <v>46</v>
      </c>
      <c r="L284" t="s">
        <v>2374</v>
      </c>
      <c r="M284" t="s">
        <v>4324</v>
      </c>
      <c r="N284" t="s">
        <v>2376</v>
      </c>
      <c r="O284" t="s">
        <v>2400</v>
      </c>
      <c r="P284" t="s">
        <v>2378</v>
      </c>
      <c r="Q284" t="s">
        <v>2379</v>
      </c>
      <c r="R284" t="s">
        <v>4325</v>
      </c>
      <c r="S284" t="s">
        <v>2511</v>
      </c>
      <c r="T284" s="3" t="s">
        <v>4326</v>
      </c>
      <c r="U284" t="s">
        <v>4327</v>
      </c>
      <c r="V284" t="s">
        <v>4328</v>
      </c>
      <c r="W284" t="s">
        <v>4329</v>
      </c>
      <c r="X284" t="s">
        <v>2403</v>
      </c>
      <c r="Y284" t="s">
        <v>4330</v>
      </c>
      <c r="Z284" t="s">
        <v>2387</v>
      </c>
      <c r="AA284" t="s">
        <v>4326</v>
      </c>
      <c r="AB284" t="s">
        <v>3838</v>
      </c>
      <c r="AC284" t="s">
        <v>4331</v>
      </c>
      <c r="AD284" t="s">
        <v>4122</v>
      </c>
      <c r="AH284" t="s">
        <v>4157</v>
      </c>
      <c r="AI284" t="s">
        <v>3861</v>
      </c>
      <c r="AJ284" t="s">
        <v>3442</v>
      </c>
      <c r="AK284" t="s">
        <v>3443</v>
      </c>
      <c r="AL284" t="s">
        <v>3444</v>
      </c>
      <c r="AM284" t="s">
        <v>3445</v>
      </c>
      <c r="AN284" t="s">
        <v>3446</v>
      </c>
      <c r="AO284" t="s">
        <v>3442</v>
      </c>
      <c r="AP284">
        <v>50</v>
      </c>
      <c r="AQ284">
        <v>50</v>
      </c>
      <c r="AR284">
        <v>50</v>
      </c>
      <c r="AS284" t="s">
        <v>4332</v>
      </c>
      <c r="AT284">
        <v>0</v>
      </c>
      <c r="AU284">
        <v>0</v>
      </c>
      <c r="AV284">
        <v>0</v>
      </c>
    </row>
    <row r="285" spans="1:48">
      <c r="A285" s="1">
        <f>_xlfn.XLOOKUP(J285,数据!E:E,数据!A:A)</f>
        <v>3</v>
      </c>
      <c r="B285" s="1">
        <f>_xlfn.XLOOKUP(J285,数据!E:E,数据!B:B)</f>
        <v>12</v>
      </c>
      <c r="C285" s="1" t="str">
        <f>_xlfn.XLOOKUP(J285,数据!E:E,数据!J:J)</f>
        <v>红单</v>
      </c>
      <c r="D285" s="1" t="str" cm="1">
        <f t="array" ref="D285">IF(OR(C285="红单",C285="空派"),_xlfn.IFS(E285="未开售","新品首批发货",F285&lt;E285,"新品首批发货",F285-E285&lt;=60,"新品期补货空运",F285-E285&gt;60,"老品应急空运"),"海运，不进行分析")</f>
        <v>新品首批发货</v>
      </c>
      <c r="E285" s="2">
        <v>46115</v>
      </c>
      <c r="F285" s="2">
        <f>_xlfn.XLOOKUP(J285,数据!E:E,数据!C:C)</f>
        <v>46097</v>
      </c>
      <c r="G285" s="4">
        <v>120</v>
      </c>
      <c r="H285" s="4">
        <f t="shared" si="16"/>
        <v>9.12</v>
      </c>
      <c r="I285" s="4">
        <f>_xlfn.XLOOKUP(J285,数据!E:E,数据!S:S)*(H285/_xlfn.XLOOKUP(J285,数据!E:E,数据!X:X))</f>
        <v>692.298456195738</v>
      </c>
      <c r="J285" t="s">
        <v>1526</v>
      </c>
      <c r="K285" t="s">
        <v>46</v>
      </c>
      <c r="L285" t="s">
        <v>2374</v>
      </c>
      <c r="M285" t="s">
        <v>4324</v>
      </c>
      <c r="N285" t="s">
        <v>2376</v>
      </c>
      <c r="O285" t="s">
        <v>2400</v>
      </c>
      <c r="P285" t="s">
        <v>2378</v>
      </c>
      <c r="Q285" t="s">
        <v>2379</v>
      </c>
      <c r="R285" t="s">
        <v>4325</v>
      </c>
      <c r="S285" t="s">
        <v>2511</v>
      </c>
      <c r="T285" s="3" t="s">
        <v>4326</v>
      </c>
      <c r="U285" t="s">
        <v>4327</v>
      </c>
      <c r="V285" t="s">
        <v>4328</v>
      </c>
      <c r="W285" t="s">
        <v>4329</v>
      </c>
      <c r="X285" t="s">
        <v>2403</v>
      </c>
      <c r="Y285" t="s">
        <v>4330</v>
      </c>
      <c r="Z285" t="s">
        <v>2387</v>
      </c>
      <c r="AA285" t="s">
        <v>4326</v>
      </c>
      <c r="AB285" t="s">
        <v>3838</v>
      </c>
      <c r="AC285" t="s">
        <v>4331</v>
      </c>
      <c r="AD285" t="s">
        <v>4122</v>
      </c>
      <c r="AH285" t="s">
        <v>4157</v>
      </c>
      <c r="AI285" t="s">
        <v>3861</v>
      </c>
      <c r="AJ285" t="s">
        <v>2965</v>
      </c>
      <c r="AK285" t="s">
        <v>2966</v>
      </c>
      <c r="AL285" t="s">
        <v>2967</v>
      </c>
      <c r="AM285" t="s">
        <v>2967</v>
      </c>
      <c r="AN285" t="s">
        <v>2968</v>
      </c>
      <c r="AO285" t="s">
        <v>2965</v>
      </c>
      <c r="AP285">
        <v>76</v>
      </c>
      <c r="AQ285">
        <v>76</v>
      </c>
      <c r="AR285">
        <v>76</v>
      </c>
      <c r="AS285" t="s">
        <v>4333</v>
      </c>
      <c r="AT285">
        <v>0</v>
      </c>
      <c r="AU285">
        <v>0</v>
      </c>
      <c r="AV285">
        <v>0</v>
      </c>
    </row>
    <row r="286" spans="1:48">
      <c r="A286" s="1">
        <f>_xlfn.XLOOKUP(J286,数据!E:E,数据!A:A)</f>
        <v>3</v>
      </c>
      <c r="B286" s="1">
        <f>_xlfn.XLOOKUP(J286,数据!E:E,数据!B:B)</f>
        <v>12</v>
      </c>
      <c r="C286" s="1" t="str">
        <f>_xlfn.XLOOKUP(J286,数据!E:E,数据!J:J)</f>
        <v>红单</v>
      </c>
      <c r="D286" s="1" t="str" cm="1">
        <f t="array" ref="D286">IF(OR(C286="红单",C286="空派"),_xlfn.IFS(E286="未开售","新品首批发货",F286&lt;E286,"新品首批发货",F286-E286&lt;=60,"新品期补货空运",F286-E286&gt;60,"老品应急空运"),"海运，不进行分析")</f>
        <v>新品期补货空运</v>
      </c>
      <c r="E286" s="2">
        <v>46058</v>
      </c>
      <c r="F286" s="2">
        <f>_xlfn.XLOOKUP(J286,数据!E:E,数据!C:C)</f>
        <v>46097</v>
      </c>
      <c r="G286" s="4">
        <v>71</v>
      </c>
      <c r="H286" s="4">
        <f t="shared" si="16"/>
        <v>3.55</v>
      </c>
      <c r="I286" s="4">
        <f>_xlfn.XLOOKUP(J286,数据!E:E,数据!S:S)*(H286/_xlfn.XLOOKUP(J286,数据!E:E,数据!X:X))</f>
        <v>267.260505603336</v>
      </c>
      <c r="J286" t="s">
        <v>1525</v>
      </c>
      <c r="K286" t="s">
        <v>46</v>
      </c>
      <c r="L286" t="s">
        <v>2374</v>
      </c>
      <c r="M286" t="s">
        <v>4334</v>
      </c>
      <c r="N286" t="s">
        <v>2376</v>
      </c>
      <c r="O286" t="s">
        <v>2400</v>
      </c>
      <c r="P286" t="s">
        <v>2378</v>
      </c>
      <c r="Q286" t="s">
        <v>2379</v>
      </c>
      <c r="R286" t="s">
        <v>4335</v>
      </c>
      <c r="S286" t="s">
        <v>2511</v>
      </c>
      <c r="T286" s="3" t="s">
        <v>4326</v>
      </c>
      <c r="U286" t="s">
        <v>4327</v>
      </c>
      <c r="V286" t="s">
        <v>4336</v>
      </c>
      <c r="W286" t="s">
        <v>4337</v>
      </c>
      <c r="X286" t="s">
        <v>2403</v>
      </c>
      <c r="Y286" t="s">
        <v>4338</v>
      </c>
      <c r="Z286" t="s">
        <v>2387</v>
      </c>
      <c r="AA286" t="s">
        <v>4326</v>
      </c>
      <c r="AB286" t="s">
        <v>3838</v>
      </c>
      <c r="AC286" t="s">
        <v>4339</v>
      </c>
      <c r="AD286" t="s">
        <v>4122</v>
      </c>
      <c r="AH286" t="s">
        <v>4157</v>
      </c>
      <c r="AI286" t="s">
        <v>3861</v>
      </c>
      <c r="AJ286" t="s">
        <v>3442</v>
      </c>
      <c r="AK286" t="s">
        <v>3443</v>
      </c>
      <c r="AL286" t="s">
        <v>3444</v>
      </c>
      <c r="AM286" t="s">
        <v>3445</v>
      </c>
      <c r="AN286" t="s">
        <v>3446</v>
      </c>
      <c r="AO286" t="s">
        <v>3442</v>
      </c>
      <c r="AP286">
        <v>50</v>
      </c>
      <c r="AQ286">
        <v>50</v>
      </c>
      <c r="AR286">
        <v>50</v>
      </c>
      <c r="AS286" t="s">
        <v>4340</v>
      </c>
      <c r="AT286">
        <v>0</v>
      </c>
      <c r="AU286">
        <v>0</v>
      </c>
      <c r="AV286">
        <v>0</v>
      </c>
    </row>
    <row r="287" spans="1:48">
      <c r="A287" s="1">
        <f>_xlfn.XLOOKUP(J287,数据!E:E,数据!A:A)</f>
        <v>3</v>
      </c>
      <c r="B287" s="1">
        <f>_xlfn.XLOOKUP(J287,数据!E:E,数据!B:B)</f>
        <v>12</v>
      </c>
      <c r="C287" s="1" t="str">
        <f>_xlfn.XLOOKUP(J287,数据!E:E,数据!J:J)</f>
        <v>红单</v>
      </c>
      <c r="D287" s="1" t="str" cm="1">
        <f t="array" ref="D287">IF(OR(C287="红单",C287="空派"),_xlfn.IFS(E287="未开售","新品首批发货",F287&lt;E287,"新品首批发货",F287-E287&lt;=60,"新品期补货空运",F287-E287&gt;60,"老品应急空运"),"海运，不进行分析")</f>
        <v>新品首批发货</v>
      </c>
      <c r="E287" s="2">
        <v>46115</v>
      </c>
      <c r="F287" s="2">
        <f>_xlfn.XLOOKUP(J287,数据!E:E,数据!C:C)</f>
        <v>46097</v>
      </c>
      <c r="G287" s="4">
        <v>120</v>
      </c>
      <c r="H287" s="4">
        <f t="shared" si="16"/>
        <v>9.24</v>
      </c>
      <c r="I287" s="4">
        <f>_xlfn.XLOOKUP(J287,数据!E:E,数据!S:S)*(H287/_xlfn.XLOOKUP(J287,数据!E:E,数据!X:X))</f>
        <v>695.630161063331</v>
      </c>
      <c r="J287" t="s">
        <v>1525</v>
      </c>
      <c r="K287" t="s">
        <v>46</v>
      </c>
      <c r="L287" t="s">
        <v>2374</v>
      </c>
      <c r="M287" t="s">
        <v>4334</v>
      </c>
      <c r="N287" t="s">
        <v>2376</v>
      </c>
      <c r="O287" t="s">
        <v>2400</v>
      </c>
      <c r="P287" t="s">
        <v>2378</v>
      </c>
      <c r="Q287" t="s">
        <v>2379</v>
      </c>
      <c r="R287" t="s">
        <v>4335</v>
      </c>
      <c r="S287" t="s">
        <v>2511</v>
      </c>
      <c r="T287" s="3" t="s">
        <v>4326</v>
      </c>
      <c r="U287" t="s">
        <v>4327</v>
      </c>
      <c r="V287" t="s">
        <v>4336</v>
      </c>
      <c r="W287" t="s">
        <v>4337</v>
      </c>
      <c r="X287" t="s">
        <v>2403</v>
      </c>
      <c r="Y287" t="s">
        <v>4338</v>
      </c>
      <c r="Z287" t="s">
        <v>2387</v>
      </c>
      <c r="AA287" t="s">
        <v>4326</v>
      </c>
      <c r="AB287" t="s">
        <v>3838</v>
      </c>
      <c r="AC287" t="s">
        <v>4339</v>
      </c>
      <c r="AD287" t="s">
        <v>4122</v>
      </c>
      <c r="AH287" t="s">
        <v>4157</v>
      </c>
      <c r="AI287" t="s">
        <v>3861</v>
      </c>
      <c r="AJ287" t="s">
        <v>2965</v>
      </c>
      <c r="AK287" t="s">
        <v>2966</v>
      </c>
      <c r="AL287" t="s">
        <v>2967</v>
      </c>
      <c r="AM287" t="s">
        <v>2967</v>
      </c>
      <c r="AN287" t="s">
        <v>2968</v>
      </c>
      <c r="AO287" t="s">
        <v>2965</v>
      </c>
      <c r="AP287">
        <v>77</v>
      </c>
      <c r="AQ287">
        <v>77</v>
      </c>
      <c r="AR287">
        <v>77</v>
      </c>
      <c r="AS287" t="s">
        <v>4341</v>
      </c>
      <c r="AT287">
        <v>0</v>
      </c>
      <c r="AU287">
        <v>0</v>
      </c>
      <c r="AV287">
        <v>0</v>
      </c>
    </row>
    <row r="288" spans="1:48">
      <c r="A288" s="1">
        <f>_xlfn.XLOOKUP(J288,数据!E:E,数据!A:A)</f>
        <v>3</v>
      </c>
      <c r="B288" s="1">
        <f>_xlfn.XLOOKUP(J288,数据!E:E,数据!B:B)</f>
        <v>12</v>
      </c>
      <c r="C288" s="1" t="str">
        <f>_xlfn.XLOOKUP(J288,数据!E:E,数据!J:J)</f>
        <v>红单</v>
      </c>
      <c r="D288" s="1" t="str" cm="1">
        <f t="array" ref="D288">IF(OR(C288="红单",C288="空派"),_xlfn.IFS(E288="未开售","新品首批发货",F288&lt;E288,"新品首批发货",F288-E288&lt;=60,"新品期补货空运",F288-E288&gt;60,"老品应急空运"),"海运，不进行分析")</f>
        <v>新品期补货空运</v>
      </c>
      <c r="E288" s="2">
        <v>46058</v>
      </c>
      <c r="F288" s="2">
        <f>_xlfn.XLOOKUP(J288,数据!E:E,数据!C:C)</f>
        <v>46097</v>
      </c>
      <c r="G288" s="4">
        <v>90</v>
      </c>
      <c r="H288" s="4">
        <f t="shared" si="16"/>
        <v>3.6</v>
      </c>
      <c r="I288" s="4">
        <f>_xlfn.XLOOKUP(J288,数据!E:E,数据!S:S)*(H288/_xlfn.XLOOKUP(J288,数据!E:E,数据!X:X))</f>
        <v>213.953633070531</v>
      </c>
      <c r="J288" t="s">
        <v>1527</v>
      </c>
      <c r="K288" t="s">
        <v>54</v>
      </c>
      <c r="L288" t="s">
        <v>2374</v>
      </c>
      <c r="M288" t="s">
        <v>4342</v>
      </c>
      <c r="N288" t="s">
        <v>2376</v>
      </c>
      <c r="O288" t="s">
        <v>2400</v>
      </c>
      <c r="P288" t="s">
        <v>2378</v>
      </c>
      <c r="Q288" t="s">
        <v>2379</v>
      </c>
      <c r="R288" t="s">
        <v>4343</v>
      </c>
      <c r="S288" t="s">
        <v>2511</v>
      </c>
      <c r="T288" s="3" t="s">
        <v>4326</v>
      </c>
      <c r="U288" t="s">
        <v>4344</v>
      </c>
      <c r="V288" t="s">
        <v>4345</v>
      </c>
      <c r="W288" t="s">
        <v>4346</v>
      </c>
      <c r="X288" t="s">
        <v>2385</v>
      </c>
      <c r="Y288" t="s">
        <v>4347</v>
      </c>
      <c r="Z288" t="s">
        <v>2387</v>
      </c>
      <c r="AA288" t="s">
        <v>4326</v>
      </c>
      <c r="AB288" t="s">
        <v>3858</v>
      </c>
      <c r="AC288" t="s">
        <v>4348</v>
      </c>
      <c r="AD288" t="s">
        <v>4122</v>
      </c>
      <c r="AH288" t="s">
        <v>4157</v>
      </c>
      <c r="AI288" t="s">
        <v>3861</v>
      </c>
      <c r="AJ288" t="s">
        <v>4349</v>
      </c>
      <c r="AK288" t="s">
        <v>4350</v>
      </c>
      <c r="AL288" t="s">
        <v>4351</v>
      </c>
      <c r="AM288" t="s">
        <v>3546</v>
      </c>
      <c r="AN288" t="s">
        <v>4352</v>
      </c>
      <c r="AO288" t="s">
        <v>4349</v>
      </c>
      <c r="AP288">
        <v>40</v>
      </c>
      <c r="AQ288">
        <v>40</v>
      </c>
      <c r="AR288">
        <v>39</v>
      </c>
      <c r="AS288" t="s">
        <v>4353</v>
      </c>
      <c r="AT288">
        <v>0</v>
      </c>
      <c r="AU288">
        <v>-1</v>
      </c>
      <c r="AV288">
        <v>1</v>
      </c>
    </row>
    <row r="289" spans="1:48">
      <c r="A289" s="1">
        <f>_xlfn.XLOOKUP(J289,数据!E:E,数据!A:A)</f>
        <v>3</v>
      </c>
      <c r="B289" s="1">
        <f>_xlfn.XLOOKUP(J289,数据!E:E,数据!B:B)</f>
        <v>12</v>
      </c>
      <c r="C289" s="1" t="str">
        <f>_xlfn.XLOOKUP(J289,数据!E:E,数据!J:J)</f>
        <v>红单</v>
      </c>
      <c r="D289" s="1" t="str" cm="1">
        <f t="array" ref="D289">IF(OR(C289="红单",C289="空派"),_xlfn.IFS(E289="未开售","新品首批发货",F289&lt;E289,"新品首批发货",F289-E289&lt;=60,"新品期补货空运",F289-E289&gt;60,"老品应急空运"),"海运，不进行分析")</f>
        <v>新品首批发货</v>
      </c>
      <c r="E289" s="2">
        <v>46115</v>
      </c>
      <c r="F289" s="2">
        <f>_xlfn.XLOOKUP(J289,数据!E:E,数据!C:C)</f>
        <v>46097</v>
      </c>
      <c r="G289" s="4">
        <v>257</v>
      </c>
      <c r="H289" s="4">
        <f t="shared" si="16"/>
        <v>25.7</v>
      </c>
      <c r="I289" s="4">
        <f>_xlfn.XLOOKUP(J289,数据!E:E,数据!S:S)*(H289/_xlfn.XLOOKUP(J289,数据!E:E,数据!X:X))</f>
        <v>1527.39121386462</v>
      </c>
      <c r="J289" t="s">
        <v>1527</v>
      </c>
      <c r="K289" t="s">
        <v>54</v>
      </c>
      <c r="L289" t="s">
        <v>2374</v>
      </c>
      <c r="M289" t="s">
        <v>4342</v>
      </c>
      <c r="N289" t="s">
        <v>2376</v>
      </c>
      <c r="O289" t="s">
        <v>2400</v>
      </c>
      <c r="P289" t="s">
        <v>2378</v>
      </c>
      <c r="Q289" t="s">
        <v>2379</v>
      </c>
      <c r="R289" t="s">
        <v>4343</v>
      </c>
      <c r="S289" t="s">
        <v>2511</v>
      </c>
      <c r="T289" s="3" t="s">
        <v>4326</v>
      </c>
      <c r="U289" t="s">
        <v>4344</v>
      </c>
      <c r="V289" t="s">
        <v>4345</v>
      </c>
      <c r="W289" t="s">
        <v>4346</v>
      </c>
      <c r="X289" t="s">
        <v>2385</v>
      </c>
      <c r="Y289" t="s">
        <v>4347</v>
      </c>
      <c r="Z289" t="s">
        <v>2387</v>
      </c>
      <c r="AA289" t="s">
        <v>4326</v>
      </c>
      <c r="AB289" t="s">
        <v>3858</v>
      </c>
      <c r="AC289" t="s">
        <v>4348</v>
      </c>
      <c r="AD289" t="s">
        <v>4122</v>
      </c>
      <c r="AH289" t="s">
        <v>4157</v>
      </c>
      <c r="AI289" t="s">
        <v>3861</v>
      </c>
      <c r="AJ289" t="s">
        <v>4354</v>
      </c>
      <c r="AK289" t="s">
        <v>4355</v>
      </c>
      <c r="AL289" t="s">
        <v>4356</v>
      </c>
      <c r="AM289" t="s">
        <v>4356</v>
      </c>
      <c r="AN289" t="s">
        <v>4357</v>
      </c>
      <c r="AO289" t="s">
        <v>4354</v>
      </c>
      <c r="AP289">
        <v>100</v>
      </c>
      <c r="AQ289">
        <v>100</v>
      </c>
      <c r="AR289">
        <v>99</v>
      </c>
      <c r="AS289" t="s">
        <v>4358</v>
      </c>
      <c r="AT289">
        <v>0</v>
      </c>
      <c r="AU289">
        <v>-1</v>
      </c>
      <c r="AV289">
        <v>1</v>
      </c>
    </row>
    <row r="290" spans="1:48">
      <c r="A290" s="1">
        <f>_xlfn.XLOOKUP(J290,数据!E:E,数据!A:A)</f>
        <v>3</v>
      </c>
      <c r="B290" s="1">
        <f>_xlfn.XLOOKUP(J290,数据!E:E,数据!B:B)</f>
        <v>12</v>
      </c>
      <c r="C290" s="1" t="str">
        <f>_xlfn.XLOOKUP(J290,数据!E:E,数据!J:J)</f>
        <v>红单</v>
      </c>
      <c r="D290" s="1" t="str" cm="1">
        <f t="array" ref="D290">IF(OR(C290="红单",C290="空派"),_xlfn.IFS(E290="未开售","新品首批发货",F290&lt;E290,"新品首批发货",F290-E290&lt;=60,"新品期补货空运",F290-E290&gt;60,"老品应急空运"),"海运，不进行分析")</f>
        <v>新品期补货空运</v>
      </c>
      <c r="E290" s="2">
        <v>46082</v>
      </c>
      <c r="F290" s="2">
        <f>_xlfn.XLOOKUP(J290,数据!E:E,数据!C:C)</f>
        <v>46097</v>
      </c>
      <c r="G290" s="4">
        <v>114</v>
      </c>
      <c r="H290" s="4">
        <f t="shared" si="16"/>
        <v>2.394</v>
      </c>
      <c r="I290" s="4">
        <f>_xlfn.XLOOKUP(J290,数据!E:E,数据!S:S)*(H290/_xlfn.XLOOKUP(J290,数据!E:E,数据!X:X))</f>
        <v>142.279165991903</v>
      </c>
      <c r="J290" t="s">
        <v>1527</v>
      </c>
      <c r="K290" t="s">
        <v>54</v>
      </c>
      <c r="L290" t="s">
        <v>2374</v>
      </c>
      <c r="M290" t="s">
        <v>4342</v>
      </c>
      <c r="N290" t="s">
        <v>2376</v>
      </c>
      <c r="O290" t="s">
        <v>2400</v>
      </c>
      <c r="P290" t="s">
        <v>2378</v>
      </c>
      <c r="Q290" t="s">
        <v>2379</v>
      </c>
      <c r="R290" t="s">
        <v>4343</v>
      </c>
      <c r="S290" t="s">
        <v>2511</v>
      </c>
      <c r="T290" s="3" t="s">
        <v>4326</v>
      </c>
      <c r="U290" t="s">
        <v>4344</v>
      </c>
      <c r="V290" t="s">
        <v>4345</v>
      </c>
      <c r="W290" t="s">
        <v>4346</v>
      </c>
      <c r="X290" t="s">
        <v>2385</v>
      </c>
      <c r="Y290" t="s">
        <v>4347</v>
      </c>
      <c r="Z290" t="s">
        <v>2387</v>
      </c>
      <c r="AA290" t="s">
        <v>4326</v>
      </c>
      <c r="AB290" t="s">
        <v>3858</v>
      </c>
      <c r="AC290" t="s">
        <v>4348</v>
      </c>
      <c r="AD290" t="s">
        <v>4122</v>
      </c>
      <c r="AH290" t="s">
        <v>4157</v>
      </c>
      <c r="AI290" t="s">
        <v>3861</v>
      </c>
      <c r="AJ290" t="s">
        <v>4214</v>
      </c>
      <c r="AK290" t="s">
        <v>4215</v>
      </c>
      <c r="AL290" t="s">
        <v>4216</v>
      </c>
      <c r="AM290" t="s">
        <v>3219</v>
      </c>
      <c r="AN290" t="s">
        <v>4217</v>
      </c>
      <c r="AO290" t="s">
        <v>4214</v>
      </c>
      <c r="AP290">
        <v>21</v>
      </c>
      <c r="AQ290">
        <v>21</v>
      </c>
      <c r="AR290">
        <v>21</v>
      </c>
      <c r="AS290" t="s">
        <v>4359</v>
      </c>
      <c r="AT290">
        <v>0</v>
      </c>
      <c r="AU290">
        <v>0</v>
      </c>
      <c r="AV290">
        <v>0</v>
      </c>
    </row>
    <row r="291" spans="1:48">
      <c r="A291" s="1">
        <f>_xlfn.XLOOKUP(J291,数据!E:E,数据!A:A)</f>
        <v>3</v>
      </c>
      <c r="B291" s="1">
        <f>_xlfn.XLOOKUP(J291,数据!E:E,数据!B:B)</f>
        <v>12</v>
      </c>
      <c r="C291" s="1" t="str">
        <f>_xlfn.XLOOKUP(J291,数据!E:E,数据!J:J)</f>
        <v>红单</v>
      </c>
      <c r="D291" s="1" t="str" cm="1">
        <f t="array" ref="D291">IF(OR(C291="红单",C291="空派"),_xlfn.IFS(E291="未开售","新品首批发货",F291&lt;E291,"新品首批发货",F291-E291&lt;=60,"新品期补货空运",F291-E291&gt;60,"老品应急空运"),"海运，不进行分析")</f>
        <v>新品期补货空运</v>
      </c>
      <c r="E291" s="2">
        <v>46082</v>
      </c>
      <c r="F291" s="2">
        <f>_xlfn.XLOOKUP(J291,数据!E:E,数据!C:C)</f>
        <v>46097</v>
      </c>
      <c r="G291" s="4">
        <v>117</v>
      </c>
      <c r="H291" s="4">
        <f t="shared" si="16"/>
        <v>5.85</v>
      </c>
      <c r="I291" s="4">
        <f>_xlfn.XLOOKUP(J291,数据!E:E,数据!S:S)*(H291/_xlfn.XLOOKUP(J291,数据!E:E,数据!X:X))</f>
        <v>347.674653739613</v>
      </c>
      <c r="J291" t="s">
        <v>1527</v>
      </c>
      <c r="K291" t="s">
        <v>54</v>
      </c>
      <c r="L291" t="s">
        <v>2374</v>
      </c>
      <c r="M291" t="s">
        <v>4342</v>
      </c>
      <c r="N291" t="s">
        <v>2376</v>
      </c>
      <c r="O291" t="s">
        <v>2400</v>
      </c>
      <c r="P291" t="s">
        <v>2378</v>
      </c>
      <c r="Q291" t="s">
        <v>2379</v>
      </c>
      <c r="R291" t="s">
        <v>4343</v>
      </c>
      <c r="S291" t="s">
        <v>2511</v>
      </c>
      <c r="T291" s="3" t="s">
        <v>4326</v>
      </c>
      <c r="U291" t="s">
        <v>4344</v>
      </c>
      <c r="V291" t="s">
        <v>4345</v>
      </c>
      <c r="W291" t="s">
        <v>4346</v>
      </c>
      <c r="X291" t="s">
        <v>2385</v>
      </c>
      <c r="Y291" t="s">
        <v>4347</v>
      </c>
      <c r="Z291" t="s">
        <v>2387</v>
      </c>
      <c r="AA291" t="s">
        <v>4326</v>
      </c>
      <c r="AB291" t="s">
        <v>3858</v>
      </c>
      <c r="AC291" t="s">
        <v>4348</v>
      </c>
      <c r="AD291" t="s">
        <v>4122</v>
      </c>
      <c r="AH291" t="s">
        <v>4157</v>
      </c>
      <c r="AI291" t="s">
        <v>3861</v>
      </c>
      <c r="AJ291" t="s">
        <v>4360</v>
      </c>
      <c r="AK291" t="s">
        <v>4361</v>
      </c>
      <c r="AL291" t="s">
        <v>4362</v>
      </c>
      <c r="AM291" t="s">
        <v>4362</v>
      </c>
      <c r="AN291" t="s">
        <v>4363</v>
      </c>
      <c r="AO291" t="s">
        <v>4360</v>
      </c>
      <c r="AP291">
        <v>50</v>
      </c>
      <c r="AQ291">
        <v>50</v>
      </c>
      <c r="AR291">
        <v>49</v>
      </c>
      <c r="AS291" t="s">
        <v>4364</v>
      </c>
      <c r="AT291">
        <v>0</v>
      </c>
      <c r="AU291">
        <v>-1</v>
      </c>
      <c r="AV291">
        <v>1</v>
      </c>
    </row>
    <row r="292" spans="1:48">
      <c r="A292" s="1">
        <f>_xlfn.XLOOKUP(J292,数据!E:E,数据!A:A)</f>
        <v>3</v>
      </c>
      <c r="B292" s="1">
        <f>_xlfn.XLOOKUP(J292,数据!E:E,数据!B:B)</f>
        <v>11</v>
      </c>
      <c r="C292" s="1" t="str">
        <f>_xlfn.XLOOKUP(J292,数据!E:E,数据!J:J)</f>
        <v>空派</v>
      </c>
      <c r="D292" s="1" t="str" cm="1">
        <f t="array" ref="D292">IF(OR(C292="红单",C292="空派"),_xlfn.IFS(E292="未开售","新品首批发货",F292&lt;E292,"新品首批发货",F292-E292&lt;=60,"新品期补货空运",F292-E292&gt;60,"老品应急空运"),"海运，不进行分析")</f>
        <v>老品应急空运</v>
      </c>
      <c r="E292" s="2">
        <v>44819</v>
      </c>
      <c r="F292" s="2">
        <f>_xlfn.XLOOKUP(J292,数据!E:E,数据!C:C)</f>
        <v>46094</v>
      </c>
      <c r="G292" s="4">
        <v>108</v>
      </c>
      <c r="H292" s="4">
        <f>G292*AP292/1000</f>
        <v>6.48</v>
      </c>
      <c r="I292" s="4">
        <f>_xlfn.XLOOKUP(J292,数据!E:E,数据!S:S)*(H292/_xlfn.XLOOKUP(J292,数据!E:E,数据!X:X))</f>
        <v>322.480967644391</v>
      </c>
      <c r="J292" t="s">
        <v>1524</v>
      </c>
      <c r="K292" t="s">
        <v>39</v>
      </c>
      <c r="L292" t="s">
        <v>2374</v>
      </c>
      <c r="M292" t="s">
        <v>4365</v>
      </c>
      <c r="N292" t="s">
        <v>2376</v>
      </c>
      <c r="O292" t="s">
        <v>2400</v>
      </c>
      <c r="P292" t="s">
        <v>2378</v>
      </c>
      <c r="Q292" t="s">
        <v>2379</v>
      </c>
      <c r="S292" t="s">
        <v>2511</v>
      </c>
      <c r="T292" s="3" t="s">
        <v>4366</v>
      </c>
      <c r="U292" t="s">
        <v>4367</v>
      </c>
      <c r="V292" t="s">
        <v>4368</v>
      </c>
      <c r="W292" t="s">
        <v>4369</v>
      </c>
      <c r="X292" t="s">
        <v>2385</v>
      </c>
      <c r="Y292" t="s">
        <v>4370</v>
      </c>
      <c r="Z292" t="s">
        <v>2405</v>
      </c>
      <c r="AA292" t="s">
        <v>4366</v>
      </c>
      <c r="AB292" t="s">
        <v>4371</v>
      </c>
      <c r="AC292" t="s">
        <v>4372</v>
      </c>
      <c r="AD292" t="s">
        <v>4373</v>
      </c>
      <c r="AG292" t="s">
        <v>2432</v>
      </c>
      <c r="AH292" t="s">
        <v>4157</v>
      </c>
      <c r="AI292" t="s">
        <v>3861</v>
      </c>
      <c r="AJ292" t="s">
        <v>4374</v>
      </c>
      <c r="AK292" t="s">
        <v>4375</v>
      </c>
      <c r="AL292" t="s">
        <v>4376</v>
      </c>
      <c r="AM292" t="s">
        <v>4376</v>
      </c>
      <c r="AN292" t="s">
        <v>4377</v>
      </c>
      <c r="AO292" t="s">
        <v>4374</v>
      </c>
      <c r="AP292">
        <v>60</v>
      </c>
      <c r="AQ292">
        <v>60</v>
      </c>
      <c r="AR292">
        <v>60</v>
      </c>
      <c r="AS292" t="s">
        <v>4378</v>
      </c>
      <c r="AT292">
        <v>0</v>
      </c>
      <c r="AU292">
        <v>0</v>
      </c>
      <c r="AV292">
        <v>0</v>
      </c>
    </row>
    <row r="293" spans="1:48">
      <c r="A293" s="1">
        <f>_xlfn.XLOOKUP(J293,数据!E:E,数据!A:A)</f>
        <v>3</v>
      </c>
      <c r="B293" s="1">
        <f>_xlfn.XLOOKUP(J293,数据!E:E,数据!B:B)</f>
        <v>11</v>
      </c>
      <c r="C293" s="1" t="str">
        <f>_xlfn.XLOOKUP(J293,数据!E:E,数据!J:J)</f>
        <v>空派</v>
      </c>
      <c r="D293" s="1" t="str" cm="1">
        <f t="array" ref="D293">IF(OR(C293="红单",C293="空派"),_xlfn.IFS(E293="未开售","新品首批发货",F293&lt;E293,"新品首批发货",F293-E293&lt;=60,"新品期补货空运",F293-E293&gt;60,"老品应急空运"),"海运，不进行分析")</f>
        <v>老品应急空运</v>
      </c>
      <c r="E293" s="2">
        <v>46017</v>
      </c>
      <c r="F293" s="2">
        <f>_xlfn.XLOOKUP(J293,数据!E:E,数据!C:C)</f>
        <v>46094</v>
      </c>
      <c r="G293" s="4">
        <v>463</v>
      </c>
      <c r="H293" s="4">
        <f>G293*AP293/1000</f>
        <v>18.057</v>
      </c>
      <c r="I293" s="4">
        <f>_xlfn.XLOOKUP(J293,数据!E:E,数据!S:S)*(H293/_xlfn.XLOOKUP(J293,数据!E:E,数据!X:X))</f>
        <v>898.617103820179</v>
      </c>
      <c r="J293" t="s">
        <v>1524</v>
      </c>
      <c r="K293" t="s">
        <v>39</v>
      </c>
      <c r="L293" t="s">
        <v>2374</v>
      </c>
      <c r="M293" t="s">
        <v>4365</v>
      </c>
      <c r="N293" t="s">
        <v>2376</v>
      </c>
      <c r="O293" t="s">
        <v>2400</v>
      </c>
      <c r="P293" t="s">
        <v>2378</v>
      </c>
      <c r="Q293" t="s">
        <v>2379</v>
      </c>
      <c r="S293" t="s">
        <v>2511</v>
      </c>
      <c r="T293" s="3" t="s">
        <v>4366</v>
      </c>
      <c r="U293" t="s">
        <v>4367</v>
      </c>
      <c r="V293" t="s">
        <v>4368</v>
      </c>
      <c r="W293" t="s">
        <v>4369</v>
      </c>
      <c r="X293" t="s">
        <v>2385</v>
      </c>
      <c r="Y293" t="s">
        <v>4370</v>
      </c>
      <c r="Z293" t="s">
        <v>2405</v>
      </c>
      <c r="AA293" t="s">
        <v>4366</v>
      </c>
      <c r="AB293" t="s">
        <v>4371</v>
      </c>
      <c r="AC293" t="s">
        <v>4372</v>
      </c>
      <c r="AD293" t="s">
        <v>4373</v>
      </c>
      <c r="AG293" t="s">
        <v>2432</v>
      </c>
      <c r="AH293" t="s">
        <v>4157</v>
      </c>
      <c r="AI293" t="s">
        <v>3861</v>
      </c>
      <c r="AJ293" t="s">
        <v>4379</v>
      </c>
      <c r="AK293" t="s">
        <v>4380</v>
      </c>
      <c r="AL293" t="s">
        <v>4381</v>
      </c>
      <c r="AM293" t="s">
        <v>4382</v>
      </c>
      <c r="AN293" t="s">
        <v>4383</v>
      </c>
      <c r="AO293" t="s">
        <v>4379</v>
      </c>
      <c r="AP293">
        <v>39</v>
      </c>
      <c r="AQ293">
        <v>39</v>
      </c>
      <c r="AR293">
        <v>38</v>
      </c>
      <c r="AS293" t="s">
        <v>4384</v>
      </c>
      <c r="AT293">
        <v>0</v>
      </c>
      <c r="AU293">
        <v>-1</v>
      </c>
      <c r="AV293">
        <v>1</v>
      </c>
    </row>
    <row r="294" spans="1:48">
      <c r="A294" s="1">
        <f>_xlfn.XLOOKUP(J294,数据!E:E,数据!A:A)</f>
        <v>3</v>
      </c>
      <c r="B294" s="1">
        <f>_xlfn.XLOOKUP(J294,数据!E:E,数据!B:B)</f>
        <v>11</v>
      </c>
      <c r="C294" s="1" t="str">
        <f>_xlfn.XLOOKUP(J294,数据!E:E,数据!J:J)</f>
        <v>空派</v>
      </c>
      <c r="D294" s="1" t="str" cm="1">
        <f t="array" ref="D294">IF(OR(C294="红单",C294="空派"),_xlfn.IFS(E294="未开售","新品首批发货",F294&lt;E294,"新品首批发货",F294-E294&lt;=60,"新品期补货空运",F294-E294&gt;60,"老品应急空运"),"海运，不进行分析")</f>
        <v>新品期补货空运</v>
      </c>
      <c r="E294" s="2">
        <v>46079</v>
      </c>
      <c r="F294" s="2">
        <f>_xlfn.XLOOKUP(J294,数据!E:E,数据!C:C)</f>
        <v>46094</v>
      </c>
      <c r="G294" s="4">
        <v>134</v>
      </c>
      <c r="H294" s="4">
        <f>G294*AP294/1000</f>
        <v>5.226</v>
      </c>
      <c r="I294" s="4">
        <f>_xlfn.XLOOKUP(J294,数据!E:E,数据!S:S)*(H294/_xlfn.XLOOKUP(J294,数据!E:E,数据!X:X))</f>
        <v>260.07492853543</v>
      </c>
      <c r="J294" t="s">
        <v>1524</v>
      </c>
      <c r="K294" t="s">
        <v>39</v>
      </c>
      <c r="L294" t="s">
        <v>2374</v>
      </c>
      <c r="M294" t="s">
        <v>4365</v>
      </c>
      <c r="N294" t="s">
        <v>2376</v>
      </c>
      <c r="O294" t="s">
        <v>2400</v>
      </c>
      <c r="P294" t="s">
        <v>2378</v>
      </c>
      <c r="Q294" t="s">
        <v>2379</v>
      </c>
      <c r="S294" t="s">
        <v>2511</v>
      </c>
      <c r="T294" s="3" t="s">
        <v>4366</v>
      </c>
      <c r="U294" t="s">
        <v>4367</v>
      </c>
      <c r="V294" t="s">
        <v>4368</v>
      </c>
      <c r="W294" t="s">
        <v>4369</v>
      </c>
      <c r="X294" t="s">
        <v>2385</v>
      </c>
      <c r="Y294" t="s">
        <v>4370</v>
      </c>
      <c r="Z294" t="s">
        <v>2405</v>
      </c>
      <c r="AA294" t="s">
        <v>4366</v>
      </c>
      <c r="AB294" t="s">
        <v>4371</v>
      </c>
      <c r="AC294" t="s">
        <v>4372</v>
      </c>
      <c r="AD294" t="s">
        <v>4373</v>
      </c>
      <c r="AG294" t="s">
        <v>2432</v>
      </c>
      <c r="AH294" t="s">
        <v>4157</v>
      </c>
      <c r="AI294" t="s">
        <v>3861</v>
      </c>
      <c r="AJ294" t="s">
        <v>3665</v>
      </c>
      <c r="AK294" t="s">
        <v>3666</v>
      </c>
      <c r="AL294" t="s">
        <v>3667</v>
      </c>
      <c r="AM294" t="s">
        <v>3667</v>
      </c>
      <c r="AN294" t="s">
        <v>3668</v>
      </c>
      <c r="AO294" t="s">
        <v>3665</v>
      </c>
      <c r="AP294">
        <v>39</v>
      </c>
      <c r="AQ294">
        <v>39</v>
      </c>
      <c r="AR294">
        <v>40</v>
      </c>
      <c r="AS294" t="s">
        <v>4385</v>
      </c>
      <c r="AT294">
        <v>0</v>
      </c>
      <c r="AU294">
        <v>1</v>
      </c>
      <c r="AV294">
        <v>-1</v>
      </c>
    </row>
    <row r="295" spans="1:48">
      <c r="A295" s="1">
        <f>_xlfn.XLOOKUP(J295,数据!E:E,数据!A:A)</f>
        <v>3</v>
      </c>
      <c r="B295" s="1">
        <f>_xlfn.XLOOKUP(J295,数据!E:E,数据!B:B)</f>
        <v>11</v>
      </c>
      <c r="C295" s="1" t="str">
        <f>_xlfn.XLOOKUP(J295,数据!E:E,数据!J:J)</f>
        <v>空派</v>
      </c>
      <c r="D295" s="1" t="str" cm="1">
        <f t="array" ref="D295">IF(OR(C295="红单",C295="空派"),_xlfn.IFS(E295="未开售","新品首批发货",F295&lt;E295,"新品首批发货",F295-E295&lt;=60,"新品期补货空运",F295-E295&gt;60,"老品应急空运"),"海运，不进行分析")</f>
        <v>老品应急空运</v>
      </c>
      <c r="E295" s="2">
        <v>46028</v>
      </c>
      <c r="F295" s="2">
        <f>_xlfn.XLOOKUP(J295,数据!E:E,数据!C:C)</f>
        <v>46094</v>
      </c>
      <c r="G295" s="4">
        <v>143.3</v>
      </c>
      <c r="H295" s="4">
        <f>G295*AP295/1000</f>
        <v>14.33</v>
      </c>
      <c r="I295" s="4">
        <f>_xlfn.XLOOKUP(J295,数据!E:E,数据!S:S)*(H295/_xlfn.XLOOKUP(J295,数据!E:E,数据!X:X))</f>
        <v>704.948743359216</v>
      </c>
      <c r="J295" t="s">
        <v>1522</v>
      </c>
      <c r="K295" t="s">
        <v>31</v>
      </c>
      <c r="L295" t="s">
        <v>2374</v>
      </c>
      <c r="M295" t="s">
        <v>4386</v>
      </c>
      <c r="N295" t="s">
        <v>2376</v>
      </c>
      <c r="O295" t="s">
        <v>2400</v>
      </c>
      <c r="P295" t="s">
        <v>2378</v>
      </c>
      <c r="Q295" t="s">
        <v>2379</v>
      </c>
      <c r="S295" t="s">
        <v>2511</v>
      </c>
      <c r="T295" s="3" t="s">
        <v>4387</v>
      </c>
      <c r="U295" t="s">
        <v>4388</v>
      </c>
      <c r="V295" t="s">
        <v>4389</v>
      </c>
      <c r="W295" t="s">
        <v>4390</v>
      </c>
      <c r="X295" t="s">
        <v>2403</v>
      </c>
      <c r="Y295" t="s">
        <v>4391</v>
      </c>
      <c r="Z295" t="s">
        <v>2405</v>
      </c>
      <c r="AA295" t="s">
        <v>4387</v>
      </c>
      <c r="AB295" t="s">
        <v>4392</v>
      </c>
      <c r="AC295" t="s">
        <v>4393</v>
      </c>
      <c r="AD295" t="s">
        <v>3861</v>
      </c>
      <c r="AG295" t="s">
        <v>2541</v>
      </c>
      <c r="AH295" t="s">
        <v>4157</v>
      </c>
      <c r="AI295" t="s">
        <v>3861</v>
      </c>
      <c r="AJ295" t="s">
        <v>4319</v>
      </c>
      <c r="AK295" t="s">
        <v>4320</v>
      </c>
      <c r="AL295" t="s">
        <v>4321</v>
      </c>
      <c r="AM295" t="s">
        <v>2787</v>
      </c>
      <c r="AN295" t="s">
        <v>4322</v>
      </c>
      <c r="AO295" t="s">
        <v>4319</v>
      </c>
      <c r="AP295">
        <v>100</v>
      </c>
      <c r="AQ295">
        <v>100</v>
      </c>
      <c r="AR295">
        <v>100</v>
      </c>
      <c r="AS295" t="s">
        <v>4394</v>
      </c>
      <c r="AT295">
        <v>0</v>
      </c>
      <c r="AU295">
        <v>0</v>
      </c>
      <c r="AV295">
        <v>0</v>
      </c>
    </row>
    <row r="296" spans="1:48">
      <c r="A296" s="1">
        <f>_xlfn.XLOOKUP(J296,数据!E:E,数据!A:A)</f>
        <v>3</v>
      </c>
      <c r="B296" s="1">
        <f>_xlfn.XLOOKUP(J296,数据!E:E,数据!B:B)</f>
        <v>11</v>
      </c>
      <c r="C296" s="1" t="str">
        <f>_xlfn.XLOOKUP(J296,数据!E:E,数据!J:J)</f>
        <v>空派</v>
      </c>
      <c r="D296" s="1" t="str" cm="1">
        <f t="array" ref="D296">IF(OR(C296="红单",C296="空派"),_xlfn.IFS(E296="未开售","新品首批发货",F296&lt;E296,"新品首批发货",F296-E296&lt;=60,"新品期补货空运",F296-E296&gt;60,"老品应急空运"),"海运，不进行分析")</f>
        <v>老品应急空运</v>
      </c>
      <c r="E296" s="2">
        <v>46030</v>
      </c>
      <c r="F296" s="2">
        <f>_xlfn.XLOOKUP(J296,数据!E:E,数据!C:C)</f>
        <v>46094</v>
      </c>
      <c r="G296" s="4">
        <v>146</v>
      </c>
      <c r="H296" s="4">
        <f t="shared" ref="H296:H310" si="17">G296*AP296/1000</f>
        <v>10.95</v>
      </c>
      <c r="I296" s="4">
        <f>_xlfn.XLOOKUP(J296,数据!E:E,数据!S:S)*(H296/_xlfn.XLOOKUP(J296,数据!E:E,数据!X:X))</f>
        <v>538.673324478954</v>
      </c>
      <c r="J296" t="s">
        <v>1522</v>
      </c>
      <c r="K296" t="s">
        <v>31</v>
      </c>
      <c r="L296" t="s">
        <v>2374</v>
      </c>
      <c r="M296" t="s">
        <v>4386</v>
      </c>
      <c r="N296" t="s">
        <v>2376</v>
      </c>
      <c r="O296" t="s">
        <v>2400</v>
      </c>
      <c r="P296" t="s">
        <v>2378</v>
      </c>
      <c r="Q296" t="s">
        <v>2379</v>
      </c>
      <c r="S296" t="s">
        <v>2511</v>
      </c>
      <c r="T296" s="3" t="s">
        <v>4387</v>
      </c>
      <c r="U296" t="s">
        <v>4388</v>
      </c>
      <c r="V296" t="s">
        <v>4389</v>
      </c>
      <c r="W296" t="s">
        <v>4390</v>
      </c>
      <c r="X296" t="s">
        <v>2403</v>
      </c>
      <c r="Y296" t="s">
        <v>4391</v>
      </c>
      <c r="Z296" t="s">
        <v>2405</v>
      </c>
      <c r="AA296" t="s">
        <v>4387</v>
      </c>
      <c r="AB296" t="s">
        <v>4392</v>
      </c>
      <c r="AC296" t="s">
        <v>4393</v>
      </c>
      <c r="AD296" t="s">
        <v>3861</v>
      </c>
      <c r="AG296" t="s">
        <v>2541</v>
      </c>
      <c r="AH296" t="s">
        <v>4157</v>
      </c>
      <c r="AI296" t="s">
        <v>3861</v>
      </c>
      <c r="AJ296" t="s">
        <v>4314</v>
      </c>
      <c r="AK296" t="s">
        <v>4315</v>
      </c>
      <c r="AL296" t="s">
        <v>4316</v>
      </c>
      <c r="AM296" t="s">
        <v>2787</v>
      </c>
      <c r="AN296" t="s">
        <v>4317</v>
      </c>
      <c r="AO296" t="s">
        <v>4314</v>
      </c>
      <c r="AP296">
        <v>75</v>
      </c>
      <c r="AQ296">
        <v>75</v>
      </c>
      <c r="AR296">
        <v>75</v>
      </c>
      <c r="AS296" t="s">
        <v>4395</v>
      </c>
      <c r="AT296">
        <v>0</v>
      </c>
      <c r="AU296">
        <v>0</v>
      </c>
      <c r="AV296">
        <v>0</v>
      </c>
    </row>
    <row r="297" spans="1:48">
      <c r="A297" s="1">
        <f>_xlfn.XLOOKUP(J297,数据!E:E,数据!A:A)</f>
        <v>3</v>
      </c>
      <c r="B297" s="1">
        <f>_xlfn.XLOOKUP(J297,数据!E:E,数据!B:B)</f>
        <v>11</v>
      </c>
      <c r="C297" s="1" t="str">
        <f>_xlfn.XLOOKUP(J297,数据!E:E,数据!J:J)</f>
        <v>空派</v>
      </c>
      <c r="D297" s="1" t="str" cm="1">
        <f t="array" ref="D297">IF(OR(C297="红单",C297="空派"),_xlfn.IFS(E297="未开售","新品首批发货",F297&lt;E297,"新品首批发货",F297-E297&lt;=60,"新品期补货空运",F297-E297&gt;60,"老品应急空运"),"海运，不进行分析")</f>
        <v>老品应急空运</v>
      </c>
      <c r="E297" s="2">
        <v>46033</v>
      </c>
      <c r="F297" s="2">
        <f>_xlfn.XLOOKUP(J297,数据!E:E,数据!C:C)</f>
        <v>46094</v>
      </c>
      <c r="G297" s="4">
        <v>148</v>
      </c>
      <c r="H297" s="4">
        <f t="shared" si="17"/>
        <v>7.4</v>
      </c>
      <c r="I297" s="4">
        <f>_xlfn.XLOOKUP(J297,数据!E:E,数据!S:S)*(H297/_xlfn.XLOOKUP(J297,数据!E:E,数据!X:X))</f>
        <v>364.034940743768</v>
      </c>
      <c r="J297" t="s">
        <v>1522</v>
      </c>
      <c r="K297" t="s">
        <v>31</v>
      </c>
      <c r="L297" t="s">
        <v>2374</v>
      </c>
      <c r="M297" t="s">
        <v>4386</v>
      </c>
      <c r="N297" t="s">
        <v>2376</v>
      </c>
      <c r="O297" t="s">
        <v>2400</v>
      </c>
      <c r="P297" t="s">
        <v>2378</v>
      </c>
      <c r="Q297" t="s">
        <v>2379</v>
      </c>
      <c r="S297" t="s">
        <v>2511</v>
      </c>
      <c r="T297" s="3" t="s">
        <v>4387</v>
      </c>
      <c r="U297" t="s">
        <v>4388</v>
      </c>
      <c r="V297" t="s">
        <v>4389</v>
      </c>
      <c r="W297" t="s">
        <v>4390</v>
      </c>
      <c r="X297" t="s">
        <v>2403</v>
      </c>
      <c r="Y297" t="s">
        <v>4391</v>
      </c>
      <c r="Z297" t="s">
        <v>2405</v>
      </c>
      <c r="AA297" t="s">
        <v>4387</v>
      </c>
      <c r="AB297" t="s">
        <v>4392</v>
      </c>
      <c r="AC297" t="s">
        <v>4393</v>
      </c>
      <c r="AD297" t="s">
        <v>3861</v>
      </c>
      <c r="AG297" t="s">
        <v>2541</v>
      </c>
      <c r="AH297" t="s">
        <v>4157</v>
      </c>
      <c r="AI297" t="s">
        <v>3861</v>
      </c>
      <c r="AJ297" t="s">
        <v>3166</v>
      </c>
      <c r="AK297" t="s">
        <v>3167</v>
      </c>
      <c r="AL297" t="s">
        <v>3168</v>
      </c>
      <c r="AM297" t="s">
        <v>2787</v>
      </c>
      <c r="AN297" t="s">
        <v>3169</v>
      </c>
      <c r="AO297" t="s">
        <v>3166</v>
      </c>
      <c r="AP297">
        <v>50</v>
      </c>
      <c r="AQ297">
        <v>50</v>
      </c>
      <c r="AR297">
        <v>50</v>
      </c>
      <c r="AS297" t="s">
        <v>4396</v>
      </c>
      <c r="AT297">
        <v>0</v>
      </c>
      <c r="AU297">
        <v>0</v>
      </c>
      <c r="AV297">
        <v>0</v>
      </c>
    </row>
    <row r="298" spans="1:48">
      <c r="A298" s="1">
        <f>_xlfn.XLOOKUP(J298,数据!E:E,数据!A:A)</f>
        <v>3</v>
      </c>
      <c r="B298" s="1">
        <f>_xlfn.XLOOKUP(J298,数据!E:E,数据!B:B)</f>
        <v>11</v>
      </c>
      <c r="C298" s="1" t="str">
        <f>_xlfn.XLOOKUP(J298,数据!E:E,数据!J:J)</f>
        <v>空派</v>
      </c>
      <c r="D298" s="1" t="str" cm="1">
        <f t="array" ref="D298">IF(OR(C298="红单",C298="空派"),_xlfn.IFS(E298="未开售","新品首批发货",F298&lt;E298,"新品首批发货",F298-E298&lt;=60,"新品期补货空运",F298-E298&gt;60,"老品应急空运"),"海运，不进行分析")</f>
        <v>老品应急空运</v>
      </c>
      <c r="E298" s="2">
        <v>46033</v>
      </c>
      <c r="F298" s="2">
        <f>_xlfn.XLOOKUP(J298,数据!E:E,数据!C:C)</f>
        <v>46094</v>
      </c>
      <c r="G298" s="4">
        <v>146</v>
      </c>
      <c r="H298" s="4">
        <f t="shared" si="17"/>
        <v>21.9</v>
      </c>
      <c r="I298" s="4">
        <f>_xlfn.XLOOKUP(J298,数据!E:E,数据!S:S)*(H298/_xlfn.XLOOKUP(J298,数据!E:E,数据!X:X))</f>
        <v>1077.34664895791</v>
      </c>
      <c r="J298" t="s">
        <v>1522</v>
      </c>
      <c r="K298" t="s">
        <v>31</v>
      </c>
      <c r="L298" t="s">
        <v>2374</v>
      </c>
      <c r="M298" t="s">
        <v>4386</v>
      </c>
      <c r="N298" t="s">
        <v>2376</v>
      </c>
      <c r="O298" t="s">
        <v>2400</v>
      </c>
      <c r="P298" t="s">
        <v>2378</v>
      </c>
      <c r="Q298" t="s">
        <v>2379</v>
      </c>
      <c r="S298" t="s">
        <v>2511</v>
      </c>
      <c r="T298" s="3" t="s">
        <v>4387</v>
      </c>
      <c r="U298" t="s">
        <v>4388</v>
      </c>
      <c r="V298" t="s">
        <v>4389</v>
      </c>
      <c r="W298" t="s">
        <v>4390</v>
      </c>
      <c r="X298" t="s">
        <v>2403</v>
      </c>
      <c r="Y298" t="s">
        <v>4391</v>
      </c>
      <c r="Z298" t="s">
        <v>2405</v>
      </c>
      <c r="AA298" t="s">
        <v>4387</v>
      </c>
      <c r="AB298" t="s">
        <v>4392</v>
      </c>
      <c r="AC298" t="s">
        <v>4393</v>
      </c>
      <c r="AD298" t="s">
        <v>3861</v>
      </c>
      <c r="AG298" t="s">
        <v>2541</v>
      </c>
      <c r="AH298" t="s">
        <v>4157</v>
      </c>
      <c r="AI298" t="s">
        <v>3861</v>
      </c>
      <c r="AJ298" t="s">
        <v>3744</v>
      </c>
      <c r="AK298" t="s">
        <v>3745</v>
      </c>
      <c r="AL298" t="s">
        <v>3746</v>
      </c>
      <c r="AM298" t="s">
        <v>2787</v>
      </c>
      <c r="AN298" t="s">
        <v>3747</v>
      </c>
      <c r="AO298" t="s">
        <v>3744</v>
      </c>
      <c r="AP298">
        <v>150</v>
      </c>
      <c r="AQ298">
        <v>150</v>
      </c>
      <c r="AR298">
        <v>150</v>
      </c>
      <c r="AS298" t="s">
        <v>4397</v>
      </c>
      <c r="AT298">
        <v>0</v>
      </c>
      <c r="AU298">
        <v>0</v>
      </c>
      <c r="AV298">
        <v>0</v>
      </c>
    </row>
    <row r="299" spans="1:48">
      <c r="A299" s="1">
        <f>_xlfn.XLOOKUP(J299,数据!E:E,数据!A:A)</f>
        <v>3</v>
      </c>
      <c r="B299" s="1">
        <f>_xlfn.XLOOKUP(J299,数据!E:E,数据!B:B)</f>
        <v>11</v>
      </c>
      <c r="C299" s="1" t="str">
        <f>_xlfn.XLOOKUP(J299,数据!E:E,数据!J:J)</f>
        <v>空派</v>
      </c>
      <c r="D299" s="1" t="str" cm="1">
        <f t="array" ref="D299">IF(OR(C299="红单",C299="空派"),_xlfn.IFS(E299="未开售","新品首批发货",F299&lt;E299,"新品首批发货",F299-E299&lt;=60,"新品期补货空运",F299-E299&gt;60,"老品应急空运"),"海运，不进行分析")</f>
        <v>老品应急空运</v>
      </c>
      <c r="E299" s="2">
        <v>46029</v>
      </c>
      <c r="F299" s="2">
        <f>_xlfn.XLOOKUP(J299,数据!E:E,数据!C:C)</f>
        <v>46094</v>
      </c>
      <c r="G299" s="4">
        <v>146</v>
      </c>
      <c r="H299" s="4">
        <f t="shared" si="17"/>
        <v>21.9</v>
      </c>
      <c r="I299" s="4">
        <f>_xlfn.XLOOKUP(J299,数据!E:E,数据!S:S)*(H299/_xlfn.XLOOKUP(J299,数据!E:E,数据!X:X))</f>
        <v>1077.34664895791</v>
      </c>
      <c r="J299" t="s">
        <v>1522</v>
      </c>
      <c r="K299" t="s">
        <v>31</v>
      </c>
      <c r="L299" t="s">
        <v>2374</v>
      </c>
      <c r="M299" t="s">
        <v>4386</v>
      </c>
      <c r="N299" t="s">
        <v>2376</v>
      </c>
      <c r="O299" t="s">
        <v>2400</v>
      </c>
      <c r="P299" t="s">
        <v>2378</v>
      </c>
      <c r="Q299" t="s">
        <v>2379</v>
      </c>
      <c r="S299" t="s">
        <v>2511</v>
      </c>
      <c r="T299" s="3" t="s">
        <v>4387</v>
      </c>
      <c r="U299" t="s">
        <v>4388</v>
      </c>
      <c r="V299" t="s">
        <v>4389</v>
      </c>
      <c r="W299" t="s">
        <v>4390</v>
      </c>
      <c r="X299" t="s">
        <v>2403</v>
      </c>
      <c r="Y299" t="s">
        <v>4391</v>
      </c>
      <c r="Z299" t="s">
        <v>2405</v>
      </c>
      <c r="AA299" t="s">
        <v>4387</v>
      </c>
      <c r="AB299" t="s">
        <v>4392</v>
      </c>
      <c r="AC299" t="s">
        <v>4393</v>
      </c>
      <c r="AD299" t="s">
        <v>3861</v>
      </c>
      <c r="AG299" t="s">
        <v>2541</v>
      </c>
      <c r="AH299" t="s">
        <v>4157</v>
      </c>
      <c r="AI299" t="s">
        <v>3861</v>
      </c>
      <c r="AJ299" t="s">
        <v>4398</v>
      </c>
      <c r="AK299" t="s">
        <v>4399</v>
      </c>
      <c r="AL299" t="s">
        <v>4400</v>
      </c>
      <c r="AM299" t="s">
        <v>2787</v>
      </c>
      <c r="AN299" t="s">
        <v>4401</v>
      </c>
      <c r="AO299" t="s">
        <v>4398</v>
      </c>
      <c r="AP299">
        <v>150</v>
      </c>
      <c r="AQ299">
        <v>150</v>
      </c>
      <c r="AR299">
        <v>150</v>
      </c>
      <c r="AS299" t="s">
        <v>4402</v>
      </c>
      <c r="AT299">
        <v>0</v>
      </c>
      <c r="AU299">
        <v>0</v>
      </c>
      <c r="AV299">
        <v>0</v>
      </c>
    </row>
    <row r="300" spans="1:48">
      <c r="A300" s="1">
        <f>_xlfn.XLOOKUP(J300,数据!E:E,数据!A:A)</f>
        <v>3</v>
      </c>
      <c r="B300" s="1">
        <f>_xlfn.XLOOKUP(J300,数据!E:E,数据!B:B)</f>
        <v>11</v>
      </c>
      <c r="C300" s="1" t="str">
        <f>_xlfn.XLOOKUP(J300,数据!E:E,数据!J:J)</f>
        <v>空派</v>
      </c>
      <c r="D300" s="1" t="str" cm="1">
        <f t="array" ref="D300">IF(OR(C300="红单",C300="空派"),_xlfn.IFS(E300="未开售","新品首批发货",F300&lt;E300,"新品首批发货",F300-E300&lt;=60,"新品期补货空运",F300-E300&gt;60,"老品应急空运"),"海运，不进行分析")</f>
        <v>老品应急空运</v>
      </c>
      <c r="E300" s="2">
        <v>46031</v>
      </c>
      <c r="F300" s="2">
        <f>_xlfn.XLOOKUP(J300,数据!E:E,数据!C:C)</f>
        <v>46094</v>
      </c>
      <c r="G300" s="4">
        <v>142</v>
      </c>
      <c r="H300" s="4">
        <f t="shared" si="17"/>
        <v>14.2</v>
      </c>
      <c r="I300" s="4">
        <f>_xlfn.XLOOKUP(J300,数据!E:E,数据!S:S)*(H300/_xlfn.XLOOKUP(J300,数据!E:E,数据!X:X))</f>
        <v>698.553534940744</v>
      </c>
      <c r="J300" t="s">
        <v>1522</v>
      </c>
      <c r="K300" t="s">
        <v>31</v>
      </c>
      <c r="L300" t="s">
        <v>2374</v>
      </c>
      <c r="M300" t="s">
        <v>4386</v>
      </c>
      <c r="N300" t="s">
        <v>2376</v>
      </c>
      <c r="O300" t="s">
        <v>2400</v>
      </c>
      <c r="P300" t="s">
        <v>2378</v>
      </c>
      <c r="Q300" t="s">
        <v>2379</v>
      </c>
      <c r="S300" t="s">
        <v>2511</v>
      </c>
      <c r="T300" s="3" t="s">
        <v>4387</v>
      </c>
      <c r="U300" t="s">
        <v>4388</v>
      </c>
      <c r="V300" t="s">
        <v>4389</v>
      </c>
      <c r="W300" t="s">
        <v>4390</v>
      </c>
      <c r="X300" t="s">
        <v>2403</v>
      </c>
      <c r="Y300" t="s">
        <v>4391</v>
      </c>
      <c r="Z300" t="s">
        <v>2405</v>
      </c>
      <c r="AA300" t="s">
        <v>4387</v>
      </c>
      <c r="AB300" t="s">
        <v>4392</v>
      </c>
      <c r="AC300" t="s">
        <v>4393</v>
      </c>
      <c r="AD300" t="s">
        <v>3861</v>
      </c>
      <c r="AG300" t="s">
        <v>2541</v>
      </c>
      <c r="AH300" t="s">
        <v>4157</v>
      </c>
      <c r="AI300" t="s">
        <v>3861</v>
      </c>
      <c r="AJ300" t="s">
        <v>4403</v>
      </c>
      <c r="AK300" t="s">
        <v>4404</v>
      </c>
      <c r="AL300" t="s">
        <v>4405</v>
      </c>
      <c r="AM300" t="s">
        <v>2787</v>
      </c>
      <c r="AN300" t="s">
        <v>4406</v>
      </c>
      <c r="AO300" t="s">
        <v>4403</v>
      </c>
      <c r="AP300">
        <v>100</v>
      </c>
      <c r="AQ300">
        <v>100</v>
      </c>
      <c r="AR300">
        <v>100</v>
      </c>
      <c r="AS300" t="s">
        <v>4407</v>
      </c>
      <c r="AT300">
        <v>0</v>
      </c>
      <c r="AU300">
        <v>0</v>
      </c>
      <c r="AV300">
        <v>0</v>
      </c>
    </row>
    <row r="301" spans="1:48">
      <c r="A301" s="1">
        <f>_xlfn.XLOOKUP(J301,数据!E:E,数据!A:A)</f>
        <v>3</v>
      </c>
      <c r="B301" s="1">
        <f>_xlfn.XLOOKUP(J301,数据!E:E,数据!B:B)</f>
        <v>11</v>
      </c>
      <c r="C301" s="1" t="str">
        <f>_xlfn.XLOOKUP(J301,数据!E:E,数据!J:J)</f>
        <v>空派</v>
      </c>
      <c r="D301" s="1" t="str" cm="1">
        <f t="array" ref="D301">IF(OR(C301="红单",C301="空派"),_xlfn.IFS(E301="未开售","新品首批发货",F301&lt;E301,"新品首批发货",F301-E301&lt;=60,"新品期补货空运",F301-E301&gt;60,"老品应急空运"),"海运，不进行分析")</f>
        <v>老品应急空运</v>
      </c>
      <c r="E301" s="2">
        <v>46031</v>
      </c>
      <c r="F301" s="2">
        <f>_xlfn.XLOOKUP(J301,数据!E:E,数据!C:C)</f>
        <v>46094</v>
      </c>
      <c r="G301" s="4">
        <v>144</v>
      </c>
      <c r="H301" s="4">
        <f t="shared" si="17"/>
        <v>7.2</v>
      </c>
      <c r="I301" s="4">
        <f>_xlfn.XLOOKUP(J301,数据!E:E,数据!S:S)*(H301/_xlfn.XLOOKUP(J301,数据!E:E,数据!X:X))</f>
        <v>354.196158561504</v>
      </c>
      <c r="J301" t="s">
        <v>1522</v>
      </c>
      <c r="K301" t="s">
        <v>31</v>
      </c>
      <c r="L301" t="s">
        <v>2374</v>
      </c>
      <c r="M301" t="s">
        <v>4386</v>
      </c>
      <c r="N301" t="s">
        <v>2376</v>
      </c>
      <c r="O301" t="s">
        <v>2400</v>
      </c>
      <c r="P301" t="s">
        <v>2378</v>
      </c>
      <c r="Q301" t="s">
        <v>2379</v>
      </c>
      <c r="S301" t="s">
        <v>2511</v>
      </c>
      <c r="T301" s="3" t="s">
        <v>4387</v>
      </c>
      <c r="U301" t="s">
        <v>4388</v>
      </c>
      <c r="V301" t="s">
        <v>4389</v>
      </c>
      <c r="W301" t="s">
        <v>4390</v>
      </c>
      <c r="X301" t="s">
        <v>2403</v>
      </c>
      <c r="Y301" t="s">
        <v>4391</v>
      </c>
      <c r="Z301" t="s">
        <v>2405</v>
      </c>
      <c r="AA301" t="s">
        <v>4387</v>
      </c>
      <c r="AB301" t="s">
        <v>4392</v>
      </c>
      <c r="AC301" t="s">
        <v>4393</v>
      </c>
      <c r="AD301" t="s">
        <v>3861</v>
      </c>
      <c r="AG301" t="s">
        <v>2541</v>
      </c>
      <c r="AH301" t="s">
        <v>4157</v>
      </c>
      <c r="AI301" t="s">
        <v>3861</v>
      </c>
      <c r="AJ301" t="s">
        <v>3739</v>
      </c>
      <c r="AK301" t="s">
        <v>3740</v>
      </c>
      <c r="AL301" t="s">
        <v>3741</v>
      </c>
      <c r="AM301" t="s">
        <v>2989</v>
      </c>
      <c r="AN301" t="s">
        <v>3742</v>
      </c>
      <c r="AO301" t="s">
        <v>3739</v>
      </c>
      <c r="AP301">
        <v>50</v>
      </c>
      <c r="AQ301">
        <v>50</v>
      </c>
      <c r="AR301">
        <v>50</v>
      </c>
      <c r="AS301" t="s">
        <v>4396</v>
      </c>
      <c r="AT301">
        <v>0</v>
      </c>
      <c r="AU301">
        <v>0</v>
      </c>
      <c r="AV301">
        <v>0</v>
      </c>
    </row>
    <row r="302" spans="1:48">
      <c r="A302" s="1">
        <f>_xlfn.XLOOKUP(J302,数据!E:E,数据!A:A)</f>
        <v>3</v>
      </c>
      <c r="B302" s="1">
        <f>_xlfn.XLOOKUP(J302,数据!E:E,数据!B:B)</f>
        <v>11</v>
      </c>
      <c r="C302" s="1" t="str">
        <f>_xlfn.XLOOKUP(J302,数据!E:E,数据!J:J)</f>
        <v>空派</v>
      </c>
      <c r="D302" s="1" t="str" cm="1">
        <f t="array" ref="D302">IF(OR(C302="红单",C302="空派"),_xlfn.IFS(E302="未开售","新品首批发货",F302&lt;E302,"新品首批发货",F302-E302&lt;=60,"新品期补货空运",F302-E302&gt;60,"老品应急空运"),"海运，不进行分析")</f>
        <v>老品应急空运</v>
      </c>
      <c r="E302" s="2">
        <v>46020</v>
      </c>
      <c r="F302" s="2">
        <f>_xlfn.XLOOKUP(J302,数据!E:E,数据!C:C)</f>
        <v>46094</v>
      </c>
      <c r="G302" s="4">
        <v>204</v>
      </c>
      <c r="H302" s="4">
        <f t="shared" si="17"/>
        <v>22.44</v>
      </c>
      <c r="I302" s="4">
        <f>_xlfn.XLOOKUP(J302,数据!E:E,数据!S:S)*(H302/_xlfn.XLOOKUP(J302,数据!E:E,数据!X:X))</f>
        <v>1131.20057683215</v>
      </c>
      <c r="J302" t="s">
        <v>1523</v>
      </c>
      <c r="K302" t="s">
        <v>51</v>
      </c>
      <c r="L302" t="s">
        <v>2374</v>
      </c>
      <c r="M302" t="s">
        <v>4408</v>
      </c>
      <c r="N302" t="s">
        <v>2376</v>
      </c>
      <c r="O302" t="s">
        <v>2400</v>
      </c>
      <c r="P302" t="s">
        <v>2378</v>
      </c>
      <c r="Q302" t="s">
        <v>2379</v>
      </c>
      <c r="S302" t="s">
        <v>2511</v>
      </c>
      <c r="T302" s="3" t="s">
        <v>4387</v>
      </c>
      <c r="U302" t="s">
        <v>4409</v>
      </c>
      <c r="V302" t="s">
        <v>4410</v>
      </c>
      <c r="W302" t="s">
        <v>4411</v>
      </c>
      <c r="X302" t="s">
        <v>2403</v>
      </c>
      <c r="Y302" t="s">
        <v>4412</v>
      </c>
      <c r="Z302" t="s">
        <v>2405</v>
      </c>
      <c r="AA302" t="s">
        <v>4387</v>
      </c>
      <c r="AB302" t="s">
        <v>4413</v>
      </c>
      <c r="AC302" t="s">
        <v>4414</v>
      </c>
      <c r="AD302" t="s">
        <v>4373</v>
      </c>
      <c r="AG302" t="s">
        <v>2432</v>
      </c>
      <c r="AH302" t="s">
        <v>4157</v>
      </c>
      <c r="AI302" t="s">
        <v>3861</v>
      </c>
      <c r="AJ302" t="s">
        <v>4415</v>
      </c>
      <c r="AK302" t="s">
        <v>4416</v>
      </c>
      <c r="AL302" t="s">
        <v>4417</v>
      </c>
      <c r="AM302" t="s">
        <v>4303</v>
      </c>
      <c r="AN302" t="s">
        <v>4418</v>
      </c>
      <c r="AO302" t="s">
        <v>4415</v>
      </c>
      <c r="AP302">
        <v>110</v>
      </c>
      <c r="AQ302">
        <v>110</v>
      </c>
      <c r="AR302">
        <v>110</v>
      </c>
      <c r="AS302" t="s">
        <v>4419</v>
      </c>
      <c r="AT302">
        <v>0</v>
      </c>
      <c r="AU302">
        <v>0</v>
      </c>
      <c r="AV302">
        <v>0</v>
      </c>
    </row>
    <row r="303" spans="1:48">
      <c r="A303" s="1">
        <f>_xlfn.XLOOKUP(J303,数据!E:E,数据!A:A)</f>
        <v>3</v>
      </c>
      <c r="B303" s="1">
        <f>_xlfn.XLOOKUP(J303,数据!E:E,数据!B:B)</f>
        <v>11</v>
      </c>
      <c r="C303" s="1" t="str">
        <f>_xlfn.XLOOKUP(J303,数据!E:E,数据!J:J)</f>
        <v>空派</v>
      </c>
      <c r="D303" s="1" t="str" cm="1">
        <f t="array" ref="D303">IF(OR(C303="红单",C303="空派"),_xlfn.IFS(E303="未开售","新品首批发货",F303&lt;E303,"新品首批发货",F303-E303&lt;=60,"新品期补货空运",F303-E303&gt;60,"老品应急空运"),"海运，不进行分析")</f>
        <v>新品首批发货</v>
      </c>
      <c r="E303" s="2">
        <v>46116</v>
      </c>
      <c r="F303" s="2">
        <f>_xlfn.XLOOKUP(J303,数据!E:E,数据!C:C)</f>
        <v>46094</v>
      </c>
      <c r="G303" s="4">
        <v>118</v>
      </c>
      <c r="H303" s="4">
        <f t="shared" si="17"/>
        <v>9.44</v>
      </c>
      <c r="I303" s="4">
        <f>_xlfn.XLOOKUP(J303,数据!E:E,数据!S:S)*(H303/_xlfn.XLOOKUP(J303,数据!E:E,数据!X:X))</f>
        <v>475.870474389283</v>
      </c>
      <c r="J303" t="s">
        <v>1523</v>
      </c>
      <c r="K303" t="s">
        <v>51</v>
      </c>
      <c r="L303" t="s">
        <v>2374</v>
      </c>
      <c r="M303" t="s">
        <v>4408</v>
      </c>
      <c r="N303" t="s">
        <v>2376</v>
      </c>
      <c r="O303" t="s">
        <v>2400</v>
      </c>
      <c r="P303" t="s">
        <v>2378</v>
      </c>
      <c r="Q303" t="s">
        <v>2379</v>
      </c>
      <c r="S303" t="s">
        <v>2511</v>
      </c>
      <c r="T303" s="3" t="s">
        <v>4387</v>
      </c>
      <c r="U303" t="s">
        <v>4409</v>
      </c>
      <c r="V303" t="s">
        <v>4410</v>
      </c>
      <c r="W303" t="s">
        <v>4411</v>
      </c>
      <c r="X303" t="s">
        <v>2403</v>
      </c>
      <c r="Y303" t="s">
        <v>4412</v>
      </c>
      <c r="Z303" t="s">
        <v>2405</v>
      </c>
      <c r="AA303" t="s">
        <v>4387</v>
      </c>
      <c r="AB303" t="s">
        <v>4413</v>
      </c>
      <c r="AC303" t="s">
        <v>4414</v>
      </c>
      <c r="AD303" t="s">
        <v>4373</v>
      </c>
      <c r="AG303" t="s">
        <v>2432</v>
      </c>
      <c r="AH303" t="s">
        <v>4157</v>
      </c>
      <c r="AI303" t="s">
        <v>3861</v>
      </c>
      <c r="AJ303" t="s">
        <v>4420</v>
      </c>
      <c r="AK303" t="s">
        <v>4421</v>
      </c>
      <c r="AL303" t="s">
        <v>4422</v>
      </c>
      <c r="AM303" t="s">
        <v>3891</v>
      </c>
      <c r="AN303" t="s">
        <v>4423</v>
      </c>
      <c r="AO303" t="s">
        <v>4420</v>
      </c>
      <c r="AP303">
        <v>80</v>
      </c>
      <c r="AQ303">
        <v>80</v>
      </c>
      <c r="AR303">
        <v>80</v>
      </c>
      <c r="AS303" t="s">
        <v>4424</v>
      </c>
      <c r="AT303">
        <v>0</v>
      </c>
      <c r="AU303">
        <v>0</v>
      </c>
      <c r="AV303">
        <v>0</v>
      </c>
    </row>
    <row r="304" spans="1:48">
      <c r="A304" s="1">
        <f>_xlfn.XLOOKUP(J304,数据!E:E,数据!A:A)</f>
        <v>3</v>
      </c>
      <c r="B304" s="1">
        <f>_xlfn.XLOOKUP(J304,数据!E:E,数据!B:B)</f>
        <v>11</v>
      </c>
      <c r="C304" s="1" t="str">
        <f>_xlfn.XLOOKUP(J304,数据!E:E,数据!J:J)</f>
        <v>空派</v>
      </c>
      <c r="D304" s="1" t="str" cm="1">
        <f t="array" ref="D304">IF(OR(C304="红单",C304="空派"),_xlfn.IFS(E304="未开售","新品首批发货",F304&lt;E304,"新品首批发货",F304-E304&lt;=60,"新品期补货空运",F304-E304&gt;60,"老品应急空运"),"海运，不进行分析")</f>
        <v>新品首批发货</v>
      </c>
      <c r="E304" s="2">
        <v>46119</v>
      </c>
      <c r="F304" s="2">
        <f>_xlfn.XLOOKUP(J304,数据!E:E,数据!C:C)</f>
        <v>46094</v>
      </c>
      <c r="G304" s="4">
        <v>118</v>
      </c>
      <c r="H304" s="4">
        <f t="shared" si="17"/>
        <v>9.44</v>
      </c>
      <c r="I304" s="4">
        <f>_xlfn.XLOOKUP(J304,数据!E:E,数据!S:S)*(H304/_xlfn.XLOOKUP(J304,数据!E:E,数据!X:X))</f>
        <v>475.870474389283</v>
      </c>
      <c r="J304" t="s">
        <v>1523</v>
      </c>
      <c r="K304" t="s">
        <v>51</v>
      </c>
      <c r="L304" t="s">
        <v>2374</v>
      </c>
      <c r="M304" t="s">
        <v>4408</v>
      </c>
      <c r="N304" t="s">
        <v>2376</v>
      </c>
      <c r="O304" t="s">
        <v>2400</v>
      </c>
      <c r="P304" t="s">
        <v>2378</v>
      </c>
      <c r="Q304" t="s">
        <v>2379</v>
      </c>
      <c r="S304" t="s">
        <v>2511</v>
      </c>
      <c r="T304" s="3" t="s">
        <v>4387</v>
      </c>
      <c r="U304" t="s">
        <v>4409</v>
      </c>
      <c r="V304" t="s">
        <v>4410</v>
      </c>
      <c r="W304" t="s">
        <v>4411</v>
      </c>
      <c r="X304" t="s">
        <v>2403</v>
      </c>
      <c r="Y304" t="s">
        <v>4412</v>
      </c>
      <c r="Z304" t="s">
        <v>2405</v>
      </c>
      <c r="AA304" t="s">
        <v>4387</v>
      </c>
      <c r="AB304" t="s">
        <v>4413</v>
      </c>
      <c r="AC304" t="s">
        <v>4414</v>
      </c>
      <c r="AD304" t="s">
        <v>4373</v>
      </c>
      <c r="AG304" t="s">
        <v>2432</v>
      </c>
      <c r="AH304" t="s">
        <v>4157</v>
      </c>
      <c r="AI304" t="s">
        <v>3861</v>
      </c>
      <c r="AJ304" t="s">
        <v>4425</v>
      </c>
      <c r="AK304" t="s">
        <v>4426</v>
      </c>
      <c r="AL304" t="s">
        <v>4427</v>
      </c>
      <c r="AM304" t="s">
        <v>3891</v>
      </c>
      <c r="AN304" t="s">
        <v>4428</v>
      </c>
      <c r="AO304" t="s">
        <v>4425</v>
      </c>
      <c r="AP304">
        <v>80</v>
      </c>
      <c r="AQ304">
        <v>80</v>
      </c>
      <c r="AR304">
        <v>80</v>
      </c>
      <c r="AS304" t="s">
        <v>4424</v>
      </c>
      <c r="AT304">
        <v>0</v>
      </c>
      <c r="AU304">
        <v>0</v>
      </c>
      <c r="AV304">
        <v>0</v>
      </c>
    </row>
    <row r="305" spans="1:48">
      <c r="A305" s="1">
        <f>_xlfn.XLOOKUP(J305,数据!E:E,数据!A:A)</f>
        <v>3</v>
      </c>
      <c r="B305" s="1">
        <f>_xlfn.XLOOKUP(J305,数据!E:E,数据!B:B)</f>
        <v>11</v>
      </c>
      <c r="C305" s="1" t="str">
        <f>_xlfn.XLOOKUP(J305,数据!E:E,数据!J:J)</f>
        <v>空派</v>
      </c>
      <c r="D305" s="1" t="str" cm="1">
        <f t="array" ref="D305">IF(OR(C305="红单",C305="空派"),_xlfn.IFS(E305="未开售","新品首批发货",F305&lt;E305,"新品首批发货",F305-E305&lt;=60,"新品期补货空运",F305-E305&gt;60,"老品应急空运"),"海运，不进行分析")</f>
        <v>新品首批发货</v>
      </c>
      <c r="E305" s="2">
        <v>46112</v>
      </c>
      <c r="F305" s="2">
        <f>_xlfn.XLOOKUP(J305,数据!E:E,数据!C:C)</f>
        <v>46094</v>
      </c>
      <c r="G305" s="4">
        <v>118</v>
      </c>
      <c r="H305" s="4">
        <f t="shared" si="17"/>
        <v>9.44</v>
      </c>
      <c r="I305" s="4">
        <f>_xlfn.XLOOKUP(J305,数据!E:E,数据!S:S)*(H305/_xlfn.XLOOKUP(J305,数据!E:E,数据!X:X))</f>
        <v>475.870474389283</v>
      </c>
      <c r="J305" t="s">
        <v>1523</v>
      </c>
      <c r="K305" t="s">
        <v>51</v>
      </c>
      <c r="L305" t="s">
        <v>2374</v>
      </c>
      <c r="M305" t="s">
        <v>4408</v>
      </c>
      <c r="N305" t="s">
        <v>2376</v>
      </c>
      <c r="O305" t="s">
        <v>2400</v>
      </c>
      <c r="P305" t="s">
        <v>2378</v>
      </c>
      <c r="Q305" t="s">
        <v>2379</v>
      </c>
      <c r="S305" t="s">
        <v>2511</v>
      </c>
      <c r="T305" s="3" t="s">
        <v>4387</v>
      </c>
      <c r="U305" t="s">
        <v>4409</v>
      </c>
      <c r="V305" t="s">
        <v>4410</v>
      </c>
      <c r="W305" t="s">
        <v>4411</v>
      </c>
      <c r="X305" t="s">
        <v>2403</v>
      </c>
      <c r="Y305" t="s">
        <v>4412</v>
      </c>
      <c r="Z305" t="s">
        <v>2405</v>
      </c>
      <c r="AA305" t="s">
        <v>4387</v>
      </c>
      <c r="AB305" t="s">
        <v>4413</v>
      </c>
      <c r="AC305" t="s">
        <v>4414</v>
      </c>
      <c r="AD305" t="s">
        <v>4373</v>
      </c>
      <c r="AG305" t="s">
        <v>2432</v>
      </c>
      <c r="AH305" t="s">
        <v>4157</v>
      </c>
      <c r="AI305" t="s">
        <v>3861</v>
      </c>
      <c r="AJ305" t="s">
        <v>4429</v>
      </c>
      <c r="AK305" t="s">
        <v>4430</v>
      </c>
      <c r="AL305" t="s">
        <v>4431</v>
      </c>
      <c r="AM305" t="s">
        <v>3891</v>
      </c>
      <c r="AN305" t="s">
        <v>4432</v>
      </c>
      <c r="AO305" t="s">
        <v>4429</v>
      </c>
      <c r="AP305">
        <v>80</v>
      </c>
      <c r="AQ305">
        <v>80</v>
      </c>
      <c r="AR305">
        <v>80</v>
      </c>
      <c r="AS305" t="s">
        <v>4433</v>
      </c>
      <c r="AT305">
        <v>0</v>
      </c>
      <c r="AU305">
        <v>0</v>
      </c>
      <c r="AV305">
        <v>0</v>
      </c>
    </row>
    <row r="306" spans="1:48">
      <c r="A306" s="1">
        <f>_xlfn.XLOOKUP(J306,数据!E:E,数据!A:A)</f>
        <v>3</v>
      </c>
      <c r="B306" s="1">
        <f>_xlfn.XLOOKUP(J306,数据!E:E,数据!B:B)</f>
        <v>11</v>
      </c>
      <c r="C306" s="1" t="str">
        <f>_xlfn.XLOOKUP(J306,数据!E:E,数据!J:J)</f>
        <v>空派</v>
      </c>
      <c r="D306" s="1" t="str" cm="1">
        <f t="array" ref="D306">IF(OR(C306="红单",C306="空派"),_xlfn.IFS(E306="未开售","新品首批发货",F306&lt;E306,"新品首批发货",F306-E306&lt;=60,"新品期补货空运",F306-E306&gt;60,"老品应急空运"),"海运，不进行分析")</f>
        <v>新品期补货空运</v>
      </c>
      <c r="E306" s="2">
        <v>46073</v>
      </c>
      <c r="F306" s="2">
        <f>_xlfn.XLOOKUP(J306,数据!E:E,数据!C:C)</f>
        <v>46094</v>
      </c>
      <c r="G306" s="4">
        <v>117</v>
      </c>
      <c r="H306" s="4">
        <f t="shared" si="17"/>
        <v>5.265</v>
      </c>
      <c r="I306" s="4">
        <f>_xlfn.XLOOKUP(J306,数据!E:E,数据!S:S)*(H306/_xlfn.XLOOKUP(J306,数据!E:E,数据!X:X))</f>
        <v>254.40843373494</v>
      </c>
      <c r="J306" t="s">
        <v>1521</v>
      </c>
      <c r="K306" t="s">
        <v>37</v>
      </c>
      <c r="L306" t="s">
        <v>2374</v>
      </c>
      <c r="M306" t="s">
        <v>4434</v>
      </c>
      <c r="N306" t="s">
        <v>2376</v>
      </c>
      <c r="O306" t="s">
        <v>2400</v>
      </c>
      <c r="P306" t="s">
        <v>2378</v>
      </c>
      <c r="Q306" t="s">
        <v>2379</v>
      </c>
      <c r="S306" t="s">
        <v>2511</v>
      </c>
      <c r="T306" s="3" t="s">
        <v>4387</v>
      </c>
      <c r="U306" t="s">
        <v>4435</v>
      </c>
      <c r="V306" t="s">
        <v>4410</v>
      </c>
      <c r="W306" t="s">
        <v>4436</v>
      </c>
      <c r="X306" t="s">
        <v>2403</v>
      </c>
      <c r="Y306" t="s">
        <v>4437</v>
      </c>
      <c r="Z306" t="s">
        <v>2405</v>
      </c>
      <c r="AA306" t="s">
        <v>4387</v>
      </c>
      <c r="AB306" t="s">
        <v>4438</v>
      </c>
      <c r="AC306" t="s">
        <v>4439</v>
      </c>
      <c r="AD306" t="s">
        <v>4373</v>
      </c>
      <c r="AG306" t="s">
        <v>2432</v>
      </c>
      <c r="AH306" t="s">
        <v>4157</v>
      </c>
      <c r="AI306" t="s">
        <v>3861</v>
      </c>
      <c r="AJ306" t="s">
        <v>4440</v>
      </c>
      <c r="AK306" t="s">
        <v>4441</v>
      </c>
      <c r="AL306" t="s">
        <v>4442</v>
      </c>
      <c r="AM306" t="s">
        <v>4093</v>
      </c>
      <c r="AN306" t="s">
        <v>4443</v>
      </c>
      <c r="AO306" t="s">
        <v>4440</v>
      </c>
      <c r="AP306">
        <v>45</v>
      </c>
      <c r="AQ306">
        <v>45</v>
      </c>
      <c r="AR306">
        <v>45</v>
      </c>
      <c r="AS306" t="s">
        <v>4444</v>
      </c>
      <c r="AT306">
        <v>0</v>
      </c>
      <c r="AU306">
        <v>0</v>
      </c>
      <c r="AV306">
        <v>0</v>
      </c>
    </row>
    <row r="307" spans="1:48">
      <c r="A307" s="1">
        <f>_xlfn.XLOOKUP(J307,数据!E:E,数据!A:A)</f>
        <v>3</v>
      </c>
      <c r="B307" s="1">
        <f>_xlfn.XLOOKUP(J307,数据!E:E,数据!B:B)</f>
        <v>11</v>
      </c>
      <c r="C307" s="1" t="str">
        <f>_xlfn.XLOOKUP(J307,数据!E:E,数据!J:J)</f>
        <v>空派</v>
      </c>
      <c r="D307" s="1" t="str" cm="1">
        <f t="array" ref="D307">IF(OR(C307="红单",C307="空派"),_xlfn.IFS(E307="未开售","新品首批发货",F307&lt;E307,"新品首批发货",F307-E307&lt;=60,"新品期补货空运",F307-E307&gt;60,"老品应急空运"),"海运，不进行分析")</f>
        <v>新品首批发货</v>
      </c>
      <c r="E307" s="2">
        <v>46113</v>
      </c>
      <c r="F307" s="2">
        <f>_xlfn.XLOOKUP(J307,数据!E:E,数据!C:C)</f>
        <v>46094</v>
      </c>
      <c r="G307" s="4">
        <v>270</v>
      </c>
      <c r="H307" s="4">
        <f t="shared" si="17"/>
        <v>28.35</v>
      </c>
      <c r="I307" s="4">
        <f>_xlfn.XLOOKUP(J307,数据!E:E,数据!S:S)*(H307/_xlfn.XLOOKUP(J307,数据!E:E,数据!X:X))</f>
        <v>1369.89156626506</v>
      </c>
      <c r="J307" t="s">
        <v>1521</v>
      </c>
      <c r="K307" t="s">
        <v>37</v>
      </c>
      <c r="L307" t="s">
        <v>2374</v>
      </c>
      <c r="M307" t="s">
        <v>4434</v>
      </c>
      <c r="N307" t="s">
        <v>2376</v>
      </c>
      <c r="O307" t="s">
        <v>2400</v>
      </c>
      <c r="P307" t="s">
        <v>2378</v>
      </c>
      <c r="Q307" t="s">
        <v>2379</v>
      </c>
      <c r="S307" t="s">
        <v>2511</v>
      </c>
      <c r="T307" s="3" t="s">
        <v>4387</v>
      </c>
      <c r="U307" t="s">
        <v>4435</v>
      </c>
      <c r="V307" t="s">
        <v>4410</v>
      </c>
      <c r="W307" t="s">
        <v>4436</v>
      </c>
      <c r="X307" t="s">
        <v>2403</v>
      </c>
      <c r="Y307" t="s">
        <v>4437</v>
      </c>
      <c r="Z307" t="s">
        <v>2405</v>
      </c>
      <c r="AA307" t="s">
        <v>4387</v>
      </c>
      <c r="AB307" t="s">
        <v>4438</v>
      </c>
      <c r="AC307" t="s">
        <v>4439</v>
      </c>
      <c r="AD307" t="s">
        <v>4373</v>
      </c>
      <c r="AG307" t="s">
        <v>2432</v>
      </c>
      <c r="AH307" t="s">
        <v>4157</v>
      </c>
      <c r="AI307" t="s">
        <v>3861</v>
      </c>
      <c r="AJ307" t="s">
        <v>2408</v>
      </c>
      <c r="AK307" t="s">
        <v>2409</v>
      </c>
      <c r="AL307" t="s">
        <v>2410</v>
      </c>
      <c r="AM307" t="s">
        <v>2410</v>
      </c>
      <c r="AN307" t="s">
        <v>2411</v>
      </c>
      <c r="AO307" t="s">
        <v>2408</v>
      </c>
      <c r="AP307">
        <v>105</v>
      </c>
      <c r="AQ307">
        <v>105</v>
      </c>
      <c r="AR307">
        <v>105</v>
      </c>
      <c r="AS307" t="s">
        <v>4445</v>
      </c>
      <c r="AT307">
        <v>0</v>
      </c>
      <c r="AU307">
        <v>0</v>
      </c>
      <c r="AV307">
        <v>0</v>
      </c>
    </row>
    <row r="308" spans="1:48">
      <c r="A308" s="1">
        <f>_xlfn.XLOOKUP(J308,数据!E:E,数据!A:A)</f>
        <v>3</v>
      </c>
      <c r="B308" s="1">
        <f>_xlfn.XLOOKUP(J308,数据!E:E,数据!B:B)</f>
        <v>11</v>
      </c>
      <c r="C308" s="1" t="str">
        <f>_xlfn.XLOOKUP(J308,数据!E:E,数据!J:J)</f>
        <v>红单</v>
      </c>
      <c r="D308" s="1" t="str" cm="1">
        <f t="array" ref="D308">IF(OR(C308="红单",C308="空派"),_xlfn.IFS(E308="未开售","新品首批发货",F308&lt;E308,"新品首批发货",F308-E308&lt;=60,"新品期补货空运",F308-E308&gt;60,"老品应急空运"),"海运，不进行分析")</f>
        <v>老品应急空运</v>
      </c>
      <c r="E308" s="2">
        <v>46028</v>
      </c>
      <c r="F308" s="2">
        <f>_xlfn.XLOOKUP(J308,数据!E:E,数据!C:C)</f>
        <v>46094</v>
      </c>
      <c r="G308" s="4">
        <v>143.3</v>
      </c>
      <c r="H308" s="4">
        <f t="shared" si="17"/>
        <v>13.6135</v>
      </c>
      <c r="I308" s="4">
        <f>_xlfn.XLOOKUP(J308,数据!E:E,数据!S:S)*(H308/_xlfn.XLOOKUP(J308,数据!E:E,数据!X:X))</f>
        <v>904.28589933216</v>
      </c>
      <c r="J308" t="s">
        <v>1520</v>
      </c>
      <c r="K308" t="s">
        <v>31</v>
      </c>
      <c r="L308" t="s">
        <v>2374</v>
      </c>
      <c r="M308" t="s">
        <v>4446</v>
      </c>
      <c r="N308" t="s">
        <v>2376</v>
      </c>
      <c r="O308" t="s">
        <v>2400</v>
      </c>
      <c r="P308" t="s">
        <v>2378</v>
      </c>
      <c r="Q308" t="s">
        <v>2379</v>
      </c>
      <c r="R308" t="s">
        <v>1520</v>
      </c>
      <c r="S308" t="s">
        <v>2511</v>
      </c>
      <c r="T308" s="3" t="s">
        <v>4447</v>
      </c>
      <c r="U308" t="s">
        <v>4448</v>
      </c>
      <c r="V308" t="s">
        <v>4449</v>
      </c>
      <c r="W308" t="s">
        <v>4450</v>
      </c>
      <c r="X308" t="s">
        <v>2403</v>
      </c>
      <c r="Y308" t="s">
        <v>4451</v>
      </c>
      <c r="Z308" t="s">
        <v>2405</v>
      </c>
      <c r="AA308" t="s">
        <v>4447</v>
      </c>
      <c r="AB308" t="s">
        <v>4452</v>
      </c>
      <c r="AC308" t="s">
        <v>4453</v>
      </c>
      <c r="AD308" t="s">
        <v>4454</v>
      </c>
      <c r="AH308" t="s">
        <v>4455</v>
      </c>
      <c r="AI308" t="s">
        <v>4157</v>
      </c>
      <c r="AJ308" t="s">
        <v>4319</v>
      </c>
      <c r="AK308" t="s">
        <v>4320</v>
      </c>
      <c r="AL308" t="s">
        <v>4321</v>
      </c>
      <c r="AM308" t="s">
        <v>2787</v>
      </c>
      <c r="AN308" t="s">
        <v>4322</v>
      </c>
      <c r="AO308" t="s">
        <v>4319</v>
      </c>
      <c r="AP308">
        <v>95</v>
      </c>
      <c r="AQ308">
        <v>95</v>
      </c>
      <c r="AR308">
        <v>95</v>
      </c>
      <c r="AS308" t="s">
        <v>4456</v>
      </c>
      <c r="AT308">
        <v>0</v>
      </c>
      <c r="AU308">
        <v>0</v>
      </c>
      <c r="AV308">
        <v>0</v>
      </c>
    </row>
    <row r="309" spans="1:48">
      <c r="A309" s="1">
        <f>_xlfn.XLOOKUP(J309,数据!E:E,数据!A:A)</f>
        <v>3</v>
      </c>
      <c r="B309" s="1">
        <f>_xlfn.XLOOKUP(J309,数据!E:E,数据!B:B)</f>
        <v>11</v>
      </c>
      <c r="C309" s="1" t="str">
        <f>_xlfn.XLOOKUP(J309,数据!E:E,数据!J:J)</f>
        <v>红单</v>
      </c>
      <c r="D309" s="1" t="str" cm="1">
        <f t="array" ref="D309">IF(OR(C309="红单",C309="空派"),_xlfn.IFS(E309="未开售","新品首批发货",F309&lt;E309,"新品首批发货",F309-E309&lt;=60,"新品期补货空运",F309-E309&gt;60,"老品应急空运"),"海运，不进行分析")</f>
        <v>老品应急空运</v>
      </c>
      <c r="E309" s="2">
        <v>46030</v>
      </c>
      <c r="F309" s="2">
        <f>_xlfn.XLOOKUP(J309,数据!E:E,数据!C:C)</f>
        <v>46094</v>
      </c>
      <c r="G309" s="4">
        <v>146</v>
      </c>
      <c r="H309" s="4">
        <f t="shared" si="17"/>
        <v>10.95</v>
      </c>
      <c r="I309" s="4">
        <f>_xlfn.XLOOKUP(J309,数据!E:E,数据!S:S)*(H309/_xlfn.XLOOKUP(J309,数据!E:E,数据!X:X))</f>
        <v>727.361119307096</v>
      </c>
      <c r="J309" t="s">
        <v>1520</v>
      </c>
      <c r="K309" t="s">
        <v>31</v>
      </c>
      <c r="L309" t="s">
        <v>2374</v>
      </c>
      <c r="M309" t="s">
        <v>4446</v>
      </c>
      <c r="N309" t="s">
        <v>2376</v>
      </c>
      <c r="O309" t="s">
        <v>2400</v>
      </c>
      <c r="P309" t="s">
        <v>2378</v>
      </c>
      <c r="Q309" t="s">
        <v>2379</v>
      </c>
      <c r="R309" t="s">
        <v>1520</v>
      </c>
      <c r="S309" t="s">
        <v>2511</v>
      </c>
      <c r="T309" s="3" t="s">
        <v>4447</v>
      </c>
      <c r="U309" t="s">
        <v>4448</v>
      </c>
      <c r="V309" t="s">
        <v>4449</v>
      </c>
      <c r="W309" t="s">
        <v>4450</v>
      </c>
      <c r="X309" t="s">
        <v>2403</v>
      </c>
      <c r="Y309" t="s">
        <v>4451</v>
      </c>
      <c r="Z309" t="s">
        <v>2405</v>
      </c>
      <c r="AA309" t="s">
        <v>4447</v>
      </c>
      <c r="AB309" t="s">
        <v>4452</v>
      </c>
      <c r="AC309" t="s">
        <v>4453</v>
      </c>
      <c r="AD309" t="s">
        <v>4454</v>
      </c>
      <c r="AH309" t="s">
        <v>4455</v>
      </c>
      <c r="AI309" t="s">
        <v>4157</v>
      </c>
      <c r="AJ309" t="s">
        <v>4314</v>
      </c>
      <c r="AK309" t="s">
        <v>4315</v>
      </c>
      <c r="AL309" t="s">
        <v>4316</v>
      </c>
      <c r="AM309" t="s">
        <v>2787</v>
      </c>
      <c r="AN309" t="s">
        <v>4317</v>
      </c>
      <c r="AO309" t="s">
        <v>4314</v>
      </c>
      <c r="AP309">
        <v>75</v>
      </c>
      <c r="AQ309">
        <v>75</v>
      </c>
      <c r="AR309">
        <v>75</v>
      </c>
      <c r="AS309" t="s">
        <v>4457</v>
      </c>
      <c r="AT309">
        <v>0</v>
      </c>
      <c r="AU309">
        <v>0</v>
      </c>
      <c r="AV309">
        <v>0</v>
      </c>
    </row>
    <row r="310" spans="1:48">
      <c r="A310" s="1">
        <f>_xlfn.XLOOKUP(J310,数据!E:E,数据!A:A)</f>
        <v>3</v>
      </c>
      <c r="B310" s="1">
        <f>_xlfn.XLOOKUP(J310,数据!E:E,数据!B:B)</f>
        <v>11</v>
      </c>
      <c r="C310" s="1" t="str">
        <f>_xlfn.XLOOKUP(J310,数据!E:E,数据!J:J)</f>
        <v>红单</v>
      </c>
      <c r="D310" s="1" t="str" cm="1">
        <f t="array" ref="D310">IF(OR(C310="红单",C310="空派"),_xlfn.IFS(E310="未开售","新品首批发货",F310&lt;E310,"新品首批发货",F310-E310&lt;=60,"新品期补货空运",F310-E310&gt;60,"老品应急空运"),"海运，不进行分析")</f>
        <v>老品应急空运</v>
      </c>
      <c r="E310" s="2">
        <v>46033</v>
      </c>
      <c r="F310" s="2">
        <f>_xlfn.XLOOKUP(J310,数据!E:E,数据!C:C)</f>
        <v>46094</v>
      </c>
      <c r="G310" s="4">
        <v>148</v>
      </c>
      <c r="H310" s="4">
        <f t="shared" si="17"/>
        <v>6.956</v>
      </c>
      <c r="I310" s="4">
        <f>_xlfn.XLOOKUP(J310,数据!E:E,数据!S:S)*(H310/_xlfn.XLOOKUP(J310,数据!E:E,数据!X:X))</f>
        <v>462.056981360745</v>
      </c>
      <c r="J310" t="s">
        <v>1520</v>
      </c>
      <c r="K310" t="s">
        <v>31</v>
      </c>
      <c r="L310" t="s">
        <v>2374</v>
      </c>
      <c r="M310" t="s">
        <v>4446</v>
      </c>
      <c r="N310" t="s">
        <v>2376</v>
      </c>
      <c r="O310" t="s">
        <v>2400</v>
      </c>
      <c r="P310" t="s">
        <v>2378</v>
      </c>
      <c r="Q310" t="s">
        <v>2379</v>
      </c>
      <c r="R310" t="s">
        <v>1520</v>
      </c>
      <c r="S310" t="s">
        <v>2511</v>
      </c>
      <c r="T310" s="3" t="s">
        <v>4447</v>
      </c>
      <c r="U310" t="s">
        <v>4448</v>
      </c>
      <c r="V310" t="s">
        <v>4449</v>
      </c>
      <c r="W310" t="s">
        <v>4450</v>
      </c>
      <c r="X310" t="s">
        <v>2403</v>
      </c>
      <c r="Y310" t="s">
        <v>4451</v>
      </c>
      <c r="Z310" t="s">
        <v>2405</v>
      </c>
      <c r="AA310" t="s">
        <v>4447</v>
      </c>
      <c r="AB310" t="s">
        <v>4452</v>
      </c>
      <c r="AC310" t="s">
        <v>4453</v>
      </c>
      <c r="AD310" t="s">
        <v>4454</v>
      </c>
      <c r="AH310" t="s">
        <v>4455</v>
      </c>
      <c r="AI310" t="s">
        <v>4157</v>
      </c>
      <c r="AJ310" t="s">
        <v>3166</v>
      </c>
      <c r="AK310" t="s">
        <v>3167</v>
      </c>
      <c r="AL310" t="s">
        <v>3168</v>
      </c>
      <c r="AM310" t="s">
        <v>2787</v>
      </c>
      <c r="AN310" t="s">
        <v>3169</v>
      </c>
      <c r="AO310" t="s">
        <v>3166</v>
      </c>
      <c r="AP310">
        <v>47</v>
      </c>
      <c r="AQ310">
        <v>47</v>
      </c>
      <c r="AR310">
        <v>47</v>
      </c>
      <c r="AS310" t="s">
        <v>4458</v>
      </c>
      <c r="AT310">
        <v>0</v>
      </c>
      <c r="AU310">
        <v>0</v>
      </c>
      <c r="AV310">
        <v>0</v>
      </c>
    </row>
    <row r="311" spans="1:48">
      <c r="A311" s="1">
        <f>_xlfn.XLOOKUP(J311,数据!E:E,数据!A:A)</f>
        <v>3</v>
      </c>
      <c r="B311" s="1">
        <f>_xlfn.XLOOKUP(J311,数据!E:E,数据!B:B)</f>
        <v>11</v>
      </c>
      <c r="C311" s="1" t="str">
        <f>_xlfn.XLOOKUP(J311,数据!E:E,数据!J:J)</f>
        <v>空派</v>
      </c>
      <c r="D311" s="1" t="str" cm="1">
        <f t="array" ref="D311">IF(OR(C311="红单",C311="空派"),_xlfn.IFS(E311="未开售","新品首批发货",F311&lt;E311,"新品首批发货",F311-E311&lt;=60,"新品期补货空运",F311-E311&gt;60,"老品应急空运"),"海运，不进行分析")</f>
        <v>新品期补货空运</v>
      </c>
      <c r="E311" s="2">
        <v>46075</v>
      </c>
      <c r="F311" s="2">
        <f>_xlfn.XLOOKUP(J311,数据!E:E,数据!C:C)</f>
        <v>46092</v>
      </c>
      <c r="G311" s="4">
        <v>164</v>
      </c>
      <c r="H311" s="4">
        <f>G311*AP311/1000</f>
        <v>14.596</v>
      </c>
      <c r="I311" s="4">
        <f>_xlfn.XLOOKUP(J311,数据!E:E,数据!S:S)*(H311/_xlfn.XLOOKUP(J311,数据!E:E,数据!X:X))</f>
        <v>710.394956766125</v>
      </c>
      <c r="J311" t="s">
        <v>1448</v>
      </c>
      <c r="K311" t="s">
        <v>56</v>
      </c>
      <c r="L311" t="s">
        <v>2374</v>
      </c>
      <c r="M311" t="s">
        <v>4459</v>
      </c>
      <c r="N311" t="s">
        <v>2376</v>
      </c>
      <c r="O311" t="s">
        <v>2400</v>
      </c>
      <c r="P311" t="s">
        <v>2378</v>
      </c>
      <c r="Q311" t="s">
        <v>2379</v>
      </c>
      <c r="R311" t="s">
        <v>4460</v>
      </c>
      <c r="S311" t="s">
        <v>2511</v>
      </c>
      <c r="T311" s="3" t="s">
        <v>4461</v>
      </c>
      <c r="U311" t="s">
        <v>4462</v>
      </c>
      <c r="V311" t="s">
        <v>4463</v>
      </c>
      <c r="W311" t="s">
        <v>4464</v>
      </c>
      <c r="X311" t="s">
        <v>2403</v>
      </c>
      <c r="Y311" t="s">
        <v>4465</v>
      </c>
      <c r="Z311" t="s">
        <v>2387</v>
      </c>
      <c r="AA311" t="s">
        <v>4461</v>
      </c>
      <c r="AB311" t="s">
        <v>4466</v>
      </c>
      <c r="AC311" t="s">
        <v>4467</v>
      </c>
      <c r="AD311" t="s">
        <v>4468</v>
      </c>
      <c r="AH311" t="s">
        <v>4455</v>
      </c>
      <c r="AI311" t="s">
        <v>4157</v>
      </c>
      <c r="AJ311" t="s">
        <v>4469</v>
      </c>
      <c r="AK311" t="s">
        <v>4470</v>
      </c>
      <c r="AL311" t="s">
        <v>4471</v>
      </c>
      <c r="AM311" t="s">
        <v>4471</v>
      </c>
      <c r="AN311" t="s">
        <v>4472</v>
      </c>
      <c r="AO311" t="s">
        <v>4469</v>
      </c>
      <c r="AP311">
        <v>89</v>
      </c>
      <c r="AQ311">
        <v>89</v>
      </c>
      <c r="AR311">
        <v>89</v>
      </c>
      <c r="AS311" t="s">
        <v>4473</v>
      </c>
      <c r="AT311">
        <v>0</v>
      </c>
      <c r="AU311">
        <v>0</v>
      </c>
      <c r="AV311">
        <v>0</v>
      </c>
    </row>
    <row r="312" spans="1:48">
      <c r="A312" s="1">
        <f>_xlfn.XLOOKUP(J312,数据!E:E,数据!A:A)</f>
        <v>3</v>
      </c>
      <c r="B312" s="1">
        <f>_xlfn.XLOOKUP(J312,数据!E:E,数据!B:B)</f>
        <v>11</v>
      </c>
      <c r="C312" s="1" t="str">
        <f>_xlfn.XLOOKUP(J312,数据!E:E,数据!J:J)</f>
        <v>空派</v>
      </c>
      <c r="D312" s="1" t="str" cm="1">
        <f t="array" ref="D312">IF(OR(C312="红单",C312="空派"),_xlfn.IFS(E312="未开售","新品首批发货",F312&lt;E312,"新品首批发货",F312-E312&lt;=60,"新品期补货空运",F312-E312&gt;60,"老品应急空运"),"海运，不进行分析")</f>
        <v>新品首批发货</v>
      </c>
      <c r="E312" s="2">
        <v>46109</v>
      </c>
      <c r="F312" s="2">
        <f>_xlfn.XLOOKUP(J312,数据!E:E,数据!C:C)</f>
        <v>46092</v>
      </c>
      <c r="G312" s="4">
        <v>238</v>
      </c>
      <c r="H312" s="4">
        <f>G312*AP312/1000</f>
        <v>23.8</v>
      </c>
      <c r="I312" s="4">
        <f>_xlfn.XLOOKUP(J312,数据!E:E,数据!S:S)*(H312/_xlfn.XLOOKUP(J312,数据!E:E,数据!X:X))</f>
        <v>1158.35845238653</v>
      </c>
      <c r="J312" t="s">
        <v>1448</v>
      </c>
      <c r="K312" t="s">
        <v>56</v>
      </c>
      <c r="L312" t="s">
        <v>2374</v>
      </c>
      <c r="M312" t="s">
        <v>4459</v>
      </c>
      <c r="N312" t="s">
        <v>2376</v>
      </c>
      <c r="O312" t="s">
        <v>2400</v>
      </c>
      <c r="P312" t="s">
        <v>2378</v>
      </c>
      <c r="Q312" t="s">
        <v>2379</v>
      </c>
      <c r="R312" t="s">
        <v>4460</v>
      </c>
      <c r="S312" t="s">
        <v>2511</v>
      </c>
      <c r="T312" s="3" t="s">
        <v>4461</v>
      </c>
      <c r="U312" t="s">
        <v>4462</v>
      </c>
      <c r="V312" t="s">
        <v>4463</v>
      </c>
      <c r="W312" t="s">
        <v>4464</v>
      </c>
      <c r="X312" t="s">
        <v>2403</v>
      </c>
      <c r="Y312" t="s">
        <v>4465</v>
      </c>
      <c r="Z312" t="s">
        <v>2387</v>
      </c>
      <c r="AA312" t="s">
        <v>4461</v>
      </c>
      <c r="AB312" t="s">
        <v>4466</v>
      </c>
      <c r="AC312" t="s">
        <v>4467</v>
      </c>
      <c r="AD312" t="s">
        <v>4468</v>
      </c>
      <c r="AH312" t="s">
        <v>4455</v>
      </c>
      <c r="AI312" t="s">
        <v>4157</v>
      </c>
      <c r="AJ312" t="s">
        <v>4474</v>
      </c>
      <c r="AK312" t="s">
        <v>4475</v>
      </c>
      <c r="AL312" t="s">
        <v>4476</v>
      </c>
      <c r="AM312" t="s">
        <v>2396</v>
      </c>
      <c r="AN312" t="s">
        <v>4477</v>
      </c>
      <c r="AO312" t="s">
        <v>4474</v>
      </c>
      <c r="AP312">
        <v>100</v>
      </c>
      <c r="AQ312">
        <v>100</v>
      </c>
      <c r="AR312">
        <v>100</v>
      </c>
      <c r="AS312" t="s">
        <v>4478</v>
      </c>
      <c r="AT312">
        <v>0</v>
      </c>
      <c r="AU312">
        <v>0</v>
      </c>
      <c r="AV312">
        <v>0</v>
      </c>
    </row>
    <row r="313" spans="1:48">
      <c r="A313" s="1">
        <f>_xlfn.XLOOKUP(J313,数据!E:E,数据!A:A)</f>
        <v>3</v>
      </c>
      <c r="B313" s="1">
        <f>_xlfn.XLOOKUP(J313,数据!E:E,数据!B:B)</f>
        <v>11</v>
      </c>
      <c r="C313" s="1" t="str">
        <f>_xlfn.XLOOKUP(J313,数据!E:E,数据!J:J)</f>
        <v>空派</v>
      </c>
      <c r="D313" s="1" t="str" cm="1">
        <f t="array" ref="D313">IF(OR(C313="红单",C313="空派"),_xlfn.IFS(E313="未开售","新品首批发货",F313&lt;E313,"新品首批发货",F313-E313&lt;=60,"新品期补货空运",F313-E313&gt;60,"老品应急空运"),"海运，不进行分析")</f>
        <v>新品首批发货</v>
      </c>
      <c r="E313" s="2">
        <v>46110</v>
      </c>
      <c r="F313" s="2">
        <f>_xlfn.XLOOKUP(J313,数据!E:E,数据!C:C)</f>
        <v>46092</v>
      </c>
      <c r="G313" s="4">
        <v>235</v>
      </c>
      <c r="H313" s="4">
        <f>G313*AP313/1000</f>
        <v>23.5</v>
      </c>
      <c r="I313" s="4">
        <f>_xlfn.XLOOKUP(J313,数据!E:E,数据!S:S)*(H313/_xlfn.XLOOKUP(J313,数据!E:E,数据!X:X))</f>
        <v>1143.75729542367</v>
      </c>
      <c r="J313" t="s">
        <v>1448</v>
      </c>
      <c r="K313" t="s">
        <v>56</v>
      </c>
      <c r="L313" t="s">
        <v>2374</v>
      </c>
      <c r="M313" t="s">
        <v>4459</v>
      </c>
      <c r="N313" t="s">
        <v>2376</v>
      </c>
      <c r="O313" t="s">
        <v>2400</v>
      </c>
      <c r="P313" t="s">
        <v>2378</v>
      </c>
      <c r="Q313" t="s">
        <v>2379</v>
      </c>
      <c r="R313" t="s">
        <v>4460</v>
      </c>
      <c r="S313" t="s">
        <v>2511</v>
      </c>
      <c r="T313" s="3" t="s">
        <v>4461</v>
      </c>
      <c r="U313" t="s">
        <v>4462</v>
      </c>
      <c r="V313" t="s">
        <v>4463</v>
      </c>
      <c r="W313" t="s">
        <v>4464</v>
      </c>
      <c r="X313" t="s">
        <v>2403</v>
      </c>
      <c r="Y313" t="s">
        <v>4465</v>
      </c>
      <c r="Z313" t="s">
        <v>2387</v>
      </c>
      <c r="AA313" t="s">
        <v>4461</v>
      </c>
      <c r="AB313" t="s">
        <v>4466</v>
      </c>
      <c r="AC313" t="s">
        <v>4467</v>
      </c>
      <c r="AD313" t="s">
        <v>4468</v>
      </c>
      <c r="AH313" t="s">
        <v>4455</v>
      </c>
      <c r="AI313" t="s">
        <v>4157</v>
      </c>
      <c r="AJ313" t="s">
        <v>2393</v>
      </c>
      <c r="AK313" t="s">
        <v>2394</v>
      </c>
      <c r="AL313" t="s">
        <v>2395</v>
      </c>
      <c r="AM313" t="s">
        <v>2396</v>
      </c>
      <c r="AN313" t="s">
        <v>2397</v>
      </c>
      <c r="AO313" t="s">
        <v>2393</v>
      </c>
      <c r="AP313">
        <v>100</v>
      </c>
      <c r="AQ313">
        <v>100</v>
      </c>
      <c r="AR313">
        <v>100</v>
      </c>
      <c r="AS313" t="s">
        <v>4479</v>
      </c>
      <c r="AT313">
        <v>0</v>
      </c>
      <c r="AU313">
        <v>0</v>
      </c>
      <c r="AV313">
        <v>0</v>
      </c>
    </row>
    <row r="314" spans="1:48">
      <c r="A314" s="1">
        <f>_xlfn.XLOOKUP(J314,数据!E:E,数据!A:A)</f>
        <v>3</v>
      </c>
      <c r="B314" s="1">
        <f>_xlfn.XLOOKUP(J314,数据!E:E,数据!B:B)</f>
        <v>11</v>
      </c>
      <c r="C314" s="1" t="str">
        <f>_xlfn.XLOOKUP(J314,数据!E:E,数据!J:J)</f>
        <v>空派</v>
      </c>
      <c r="D314" s="1" t="str" cm="1">
        <f t="array" ref="D314">IF(OR(C314="红单",C314="空派"),_xlfn.IFS(E314="未开售","新品首批发货",F314&lt;E314,"新品首批发货",F314-E314&lt;=60,"新品期补货空运",F314-E314&gt;60,"老品应急空运"),"海运，不进行分析")</f>
        <v>新品首批发货</v>
      </c>
      <c r="E314" s="2">
        <v>46114</v>
      </c>
      <c r="F314" s="2">
        <f>_xlfn.XLOOKUP(J314,数据!E:E,数据!C:C)</f>
        <v>46092</v>
      </c>
      <c r="G314" s="4">
        <v>235</v>
      </c>
      <c r="H314" s="4">
        <f>G314*AP314/1000</f>
        <v>23.5</v>
      </c>
      <c r="I314" s="4">
        <f>_xlfn.XLOOKUP(J314,数据!E:E,数据!S:S)*(H314/_xlfn.XLOOKUP(J314,数据!E:E,数据!X:X))</f>
        <v>1143.75729542367</v>
      </c>
      <c r="J314" t="s">
        <v>1448</v>
      </c>
      <c r="K314" t="s">
        <v>56</v>
      </c>
      <c r="L314" t="s">
        <v>2374</v>
      </c>
      <c r="M314" t="s">
        <v>4459</v>
      </c>
      <c r="N314" t="s">
        <v>2376</v>
      </c>
      <c r="O314" t="s">
        <v>2400</v>
      </c>
      <c r="P314" t="s">
        <v>2378</v>
      </c>
      <c r="Q314" t="s">
        <v>2379</v>
      </c>
      <c r="R314" t="s">
        <v>4460</v>
      </c>
      <c r="S314" t="s">
        <v>2511</v>
      </c>
      <c r="T314" s="3" t="s">
        <v>4461</v>
      </c>
      <c r="U314" t="s">
        <v>4462</v>
      </c>
      <c r="V314" t="s">
        <v>4463</v>
      </c>
      <c r="W314" t="s">
        <v>4464</v>
      </c>
      <c r="X314" t="s">
        <v>2403</v>
      </c>
      <c r="Y314" t="s">
        <v>4465</v>
      </c>
      <c r="Z314" t="s">
        <v>2387</v>
      </c>
      <c r="AA314" t="s">
        <v>4461</v>
      </c>
      <c r="AB314" t="s">
        <v>4466</v>
      </c>
      <c r="AC314" t="s">
        <v>4467</v>
      </c>
      <c r="AD314" t="s">
        <v>4468</v>
      </c>
      <c r="AH314" t="s">
        <v>4455</v>
      </c>
      <c r="AI314" t="s">
        <v>4157</v>
      </c>
      <c r="AJ314" t="s">
        <v>4480</v>
      </c>
      <c r="AK314" t="s">
        <v>4481</v>
      </c>
      <c r="AL314" t="s">
        <v>4482</v>
      </c>
      <c r="AM314" t="s">
        <v>2396</v>
      </c>
      <c r="AN314" t="s">
        <v>4483</v>
      </c>
      <c r="AO314" t="s">
        <v>4480</v>
      </c>
      <c r="AP314">
        <v>100</v>
      </c>
      <c r="AQ314">
        <v>100</v>
      </c>
      <c r="AR314">
        <v>100</v>
      </c>
      <c r="AS314" t="s">
        <v>4484</v>
      </c>
      <c r="AT314">
        <v>0</v>
      </c>
      <c r="AU314">
        <v>0</v>
      </c>
      <c r="AV314">
        <v>0</v>
      </c>
    </row>
    <row r="315" spans="1:48">
      <c r="A315" s="1">
        <f>_xlfn.XLOOKUP(J315,数据!E:E,数据!A:A)</f>
        <v>3</v>
      </c>
      <c r="B315" s="1">
        <f>_xlfn.XLOOKUP(J315,数据!E:E,数据!B:B)</f>
        <v>11</v>
      </c>
      <c r="C315" s="1" t="str">
        <f>_xlfn.XLOOKUP(J315,数据!E:E,数据!J:J)</f>
        <v>空派</v>
      </c>
      <c r="D315" s="1" t="str" cm="1">
        <f t="array" ref="D315">IF(OR(C315="红单",C315="空派"),_xlfn.IFS(E315="未开售","新品首批发货",F315&lt;E315,"新品首批发货",F315-E315&lt;=60,"新品期补货空运",F315-E315&gt;60,"老品应急空运"),"海运，不进行分析")</f>
        <v>新品期补货空运</v>
      </c>
      <c r="E315" s="2">
        <v>46038</v>
      </c>
      <c r="F315" s="2">
        <f>_xlfn.XLOOKUP(J315,数据!E:E,数据!C:C)</f>
        <v>46092</v>
      </c>
      <c r="G315" s="4">
        <v>75</v>
      </c>
      <c r="H315" s="4">
        <f>G315*AP315/1000</f>
        <v>12</v>
      </c>
      <c r="I315" s="4">
        <f>_xlfn.XLOOKUP(J315,数据!E:E,数据!S:S)*(H315/_xlfn.XLOOKUP(J315,数据!E:E,数据!X:X))</f>
        <v>778.92</v>
      </c>
      <c r="J315" t="s">
        <v>1447</v>
      </c>
      <c r="K315" t="s">
        <v>59</v>
      </c>
      <c r="L315" t="s">
        <v>2374</v>
      </c>
      <c r="M315" t="s">
        <v>4485</v>
      </c>
      <c r="N315" t="s">
        <v>2376</v>
      </c>
      <c r="O315" t="s">
        <v>2377</v>
      </c>
      <c r="P315" t="s">
        <v>2378</v>
      </c>
      <c r="Q315" t="s">
        <v>2379</v>
      </c>
      <c r="R315" t="s">
        <v>4486</v>
      </c>
      <c r="S315" t="s">
        <v>2511</v>
      </c>
      <c r="T315" s="3" t="s">
        <v>4487</v>
      </c>
      <c r="U315" t="s">
        <v>4462</v>
      </c>
      <c r="V315" t="s">
        <v>4488</v>
      </c>
      <c r="W315" t="s">
        <v>4489</v>
      </c>
      <c r="X315" t="s">
        <v>2385</v>
      </c>
      <c r="Y315" t="s">
        <v>4490</v>
      </c>
      <c r="Z315" t="s">
        <v>2387</v>
      </c>
      <c r="AA315" t="s">
        <v>4487</v>
      </c>
      <c r="AB315" t="s">
        <v>4491</v>
      </c>
      <c r="AC315" t="s">
        <v>4492</v>
      </c>
      <c r="AD315" t="s">
        <v>4468</v>
      </c>
      <c r="AH315" t="s">
        <v>4455</v>
      </c>
      <c r="AI315" t="s">
        <v>4157</v>
      </c>
      <c r="AJ315" t="s">
        <v>4493</v>
      </c>
      <c r="AK315" t="s">
        <v>4494</v>
      </c>
      <c r="AL315" t="s">
        <v>4495</v>
      </c>
      <c r="AM315" t="s">
        <v>2940</v>
      </c>
      <c r="AN315" t="s">
        <v>4496</v>
      </c>
      <c r="AO315" t="s">
        <v>4493</v>
      </c>
      <c r="AP315">
        <v>160</v>
      </c>
      <c r="AQ315">
        <v>160</v>
      </c>
      <c r="AR315">
        <v>158</v>
      </c>
      <c r="AS315" t="s">
        <v>4497</v>
      </c>
      <c r="AT315">
        <v>0</v>
      </c>
      <c r="AU315">
        <v>-2</v>
      </c>
      <c r="AV315">
        <v>2</v>
      </c>
    </row>
    <row r="316" spans="1:48">
      <c r="A316" s="1">
        <f>_xlfn.XLOOKUP(J316,数据!E:E,数据!A:A)</f>
        <v>3</v>
      </c>
      <c r="B316" s="1">
        <f>_xlfn.XLOOKUP(J316,数据!E:E,数据!B:B)</f>
        <v>11</v>
      </c>
      <c r="C316" s="1" t="str">
        <f>_xlfn.XLOOKUP(J316,数据!E:E,数据!J:J)</f>
        <v>空派</v>
      </c>
      <c r="D316" s="1" t="str" cm="1">
        <f t="array" ref="D316">IF(OR(C316="红单",C316="空派"),_xlfn.IFS(E316="未开售","新品首批发货",F316&lt;E316,"新品首批发货",F316-E316&lt;=60,"新品期补货空运",F316-E316&gt;60,"老品应急空运"),"海运，不进行分析")</f>
        <v>新品期补货空运</v>
      </c>
      <c r="E316" s="2">
        <v>46036</v>
      </c>
      <c r="F316" s="2">
        <f>_xlfn.XLOOKUP(J316,数据!E:E,数据!C:C)</f>
        <v>46092</v>
      </c>
      <c r="G316" s="4">
        <v>120</v>
      </c>
      <c r="H316" s="4">
        <f>G316*AP316/1000</f>
        <v>24</v>
      </c>
      <c r="I316" s="4">
        <f>_xlfn.XLOOKUP(J316,数据!E:E,数据!S:S)*(H316/_xlfn.XLOOKUP(J316,数据!E:E,数据!X:X))</f>
        <v>1336.9</v>
      </c>
      <c r="J316" t="s">
        <v>1449</v>
      </c>
      <c r="K316" t="s">
        <v>78</v>
      </c>
      <c r="L316" t="s">
        <v>2374</v>
      </c>
      <c r="M316" t="s">
        <v>4498</v>
      </c>
      <c r="N316" t="s">
        <v>2376</v>
      </c>
      <c r="O316" t="s">
        <v>2377</v>
      </c>
      <c r="P316" t="s">
        <v>2378</v>
      </c>
      <c r="Q316" t="s">
        <v>2379</v>
      </c>
      <c r="R316" t="s">
        <v>4499</v>
      </c>
      <c r="S316" t="s">
        <v>2511</v>
      </c>
      <c r="T316" s="3" t="s">
        <v>4487</v>
      </c>
      <c r="U316" t="s">
        <v>4500</v>
      </c>
      <c r="V316" t="s">
        <v>4501</v>
      </c>
      <c r="W316" t="s">
        <v>4502</v>
      </c>
      <c r="X316" t="s">
        <v>2403</v>
      </c>
      <c r="Y316" t="s">
        <v>4503</v>
      </c>
      <c r="Z316" t="s">
        <v>2387</v>
      </c>
      <c r="AA316" t="s">
        <v>4487</v>
      </c>
      <c r="AB316" t="s">
        <v>4261</v>
      </c>
      <c r="AC316" t="s">
        <v>4504</v>
      </c>
      <c r="AD316" t="s">
        <v>4468</v>
      </c>
      <c r="AH316" t="s">
        <v>4455</v>
      </c>
      <c r="AI316" t="s">
        <v>4157</v>
      </c>
      <c r="AJ316" t="s">
        <v>2853</v>
      </c>
      <c r="AK316" t="s">
        <v>2854</v>
      </c>
      <c r="AL316" t="s">
        <v>2855</v>
      </c>
      <c r="AM316" t="s">
        <v>2856</v>
      </c>
      <c r="AN316" t="s">
        <v>2857</v>
      </c>
      <c r="AO316" t="s">
        <v>2853</v>
      </c>
      <c r="AP316">
        <v>200</v>
      </c>
      <c r="AQ316">
        <v>200</v>
      </c>
      <c r="AR316">
        <v>200</v>
      </c>
      <c r="AS316" t="s">
        <v>4505</v>
      </c>
      <c r="AT316">
        <v>0</v>
      </c>
      <c r="AU316">
        <v>0</v>
      </c>
      <c r="AV316">
        <v>0</v>
      </c>
    </row>
    <row r="317" spans="1:48">
      <c r="A317" s="1">
        <f>_xlfn.XLOOKUP(J317,数据!E:E,数据!A:A)</f>
        <v>3</v>
      </c>
      <c r="B317" s="1">
        <f>_xlfn.XLOOKUP(J317,数据!E:E,数据!B:B)</f>
        <v>11</v>
      </c>
      <c r="C317" s="1" t="str">
        <f>_xlfn.XLOOKUP(J317,数据!E:E,数据!J:J)</f>
        <v>空派</v>
      </c>
      <c r="D317" s="1" t="str" cm="1">
        <f t="array" ref="D317">IF(OR(C317="红单",C317="空派"),_xlfn.IFS(E317="未开售","新品首批发货",F317&lt;E317,"新品首批发货",F317-E317&lt;=60,"新品期补货空运",F317-E317&gt;60,"老品应急空运"),"海运，不进行分析")</f>
        <v>老品应急空运</v>
      </c>
      <c r="E317" s="2">
        <v>45956</v>
      </c>
      <c r="F317" s="2">
        <f>_xlfn.XLOOKUP(J317,数据!E:E,数据!C:C)</f>
        <v>46092</v>
      </c>
      <c r="G317" s="4">
        <v>435</v>
      </c>
      <c r="H317" s="4">
        <f>G317*AP317/1000</f>
        <v>4.35</v>
      </c>
      <c r="I317" s="4">
        <f>_xlfn.XLOOKUP(J317,数据!E:E,数据!S:S)*(H317/_xlfn.XLOOKUP(J317,数据!E:E,数据!X:X))</f>
        <v>220.385712383489</v>
      </c>
      <c r="J317" t="s">
        <v>1446</v>
      </c>
      <c r="K317" t="s">
        <v>31</v>
      </c>
      <c r="L317" t="s">
        <v>2374</v>
      </c>
      <c r="M317" t="s">
        <v>4506</v>
      </c>
      <c r="N317" t="s">
        <v>2376</v>
      </c>
      <c r="O317" t="s">
        <v>2400</v>
      </c>
      <c r="P317" t="s">
        <v>2378</v>
      </c>
      <c r="Q317" t="s">
        <v>2379</v>
      </c>
      <c r="R317" t="s">
        <v>4507</v>
      </c>
      <c r="S317" t="s">
        <v>2511</v>
      </c>
      <c r="T317" s="3" t="s">
        <v>4508</v>
      </c>
      <c r="U317" t="s">
        <v>4462</v>
      </c>
      <c r="V317" t="s">
        <v>4509</v>
      </c>
      <c r="W317" t="s">
        <v>4510</v>
      </c>
      <c r="X317" t="s">
        <v>2385</v>
      </c>
      <c r="Y317" t="s">
        <v>4511</v>
      </c>
      <c r="Z317" t="s">
        <v>2405</v>
      </c>
      <c r="AA317" t="s">
        <v>4508</v>
      </c>
      <c r="AB317" t="s">
        <v>4392</v>
      </c>
      <c r="AC317" t="s">
        <v>4512</v>
      </c>
      <c r="AD317" t="s">
        <v>4468</v>
      </c>
      <c r="AH317" t="s">
        <v>4455</v>
      </c>
      <c r="AI317" t="s">
        <v>4157</v>
      </c>
      <c r="AJ317" t="s">
        <v>4513</v>
      </c>
      <c r="AK317" t="s">
        <v>4514</v>
      </c>
      <c r="AL317" t="s">
        <v>4515</v>
      </c>
      <c r="AM317" t="s">
        <v>4516</v>
      </c>
      <c r="AN317" t="s">
        <v>4517</v>
      </c>
      <c r="AO317" t="s">
        <v>4513</v>
      </c>
      <c r="AP317">
        <v>10</v>
      </c>
      <c r="AQ317">
        <v>10</v>
      </c>
      <c r="AR317">
        <v>10</v>
      </c>
      <c r="AS317" t="s">
        <v>4518</v>
      </c>
      <c r="AT317">
        <v>0</v>
      </c>
      <c r="AU317">
        <v>0</v>
      </c>
      <c r="AV317">
        <v>0</v>
      </c>
    </row>
    <row r="318" spans="1:48">
      <c r="A318" s="1">
        <f>_xlfn.XLOOKUP(J318,数据!E:E,数据!A:A)</f>
        <v>3</v>
      </c>
      <c r="B318" s="1">
        <f>_xlfn.XLOOKUP(J318,数据!E:E,数据!B:B)</f>
        <v>11</v>
      </c>
      <c r="C318" s="1" t="str">
        <f>_xlfn.XLOOKUP(J318,数据!E:E,数据!J:J)</f>
        <v>空派</v>
      </c>
      <c r="D318" s="1" t="str" cm="1">
        <f t="array" ref="D318">IF(OR(C318="红单",C318="空派"),_xlfn.IFS(E318="未开售","新品首批发货",F318&lt;E318,"新品首批发货",F318-E318&lt;=60,"新品期补货空运",F318-E318&gt;60,"老品应急空运"),"海运，不进行分析")</f>
        <v>新品首批发货</v>
      </c>
      <c r="E318" s="2">
        <v>46106</v>
      </c>
      <c r="F318" s="2">
        <f>_xlfn.XLOOKUP(J318,数据!E:E,数据!C:C)</f>
        <v>46092</v>
      </c>
      <c r="G318" s="4">
        <v>165</v>
      </c>
      <c r="H318" s="4">
        <f>G318*AP318/1000</f>
        <v>16.5</v>
      </c>
      <c r="I318" s="4">
        <f>_xlfn.XLOOKUP(J318,数据!E:E,数据!S:S)*(H318/_xlfn.XLOOKUP(J318,数据!E:E,数据!X:X))</f>
        <v>835.945805592543</v>
      </c>
      <c r="J318" t="s">
        <v>1446</v>
      </c>
      <c r="K318" t="s">
        <v>31</v>
      </c>
      <c r="L318" t="s">
        <v>2374</v>
      </c>
      <c r="M318" t="s">
        <v>4506</v>
      </c>
      <c r="N318" t="s">
        <v>2376</v>
      </c>
      <c r="O318" t="s">
        <v>2400</v>
      </c>
      <c r="P318" t="s">
        <v>2378</v>
      </c>
      <c r="Q318" t="s">
        <v>2379</v>
      </c>
      <c r="R318" t="s">
        <v>4507</v>
      </c>
      <c r="S318" t="s">
        <v>2511</v>
      </c>
      <c r="T318" s="3" t="s">
        <v>4508</v>
      </c>
      <c r="U318" t="s">
        <v>4462</v>
      </c>
      <c r="V318" t="s">
        <v>4509</v>
      </c>
      <c r="W318" t="s">
        <v>4510</v>
      </c>
      <c r="X318" t="s">
        <v>2385</v>
      </c>
      <c r="Y318" t="s">
        <v>4511</v>
      </c>
      <c r="Z318" t="s">
        <v>2405</v>
      </c>
      <c r="AA318" t="s">
        <v>4508</v>
      </c>
      <c r="AB318" t="s">
        <v>4392</v>
      </c>
      <c r="AC318" t="s">
        <v>4512</v>
      </c>
      <c r="AD318" t="s">
        <v>4468</v>
      </c>
      <c r="AH318" t="s">
        <v>4455</v>
      </c>
      <c r="AI318" t="s">
        <v>4157</v>
      </c>
      <c r="AJ318" t="s">
        <v>4519</v>
      </c>
      <c r="AK318" t="s">
        <v>4520</v>
      </c>
      <c r="AL318" t="s">
        <v>4521</v>
      </c>
      <c r="AM318" t="s">
        <v>4522</v>
      </c>
      <c r="AN318" t="s">
        <v>4523</v>
      </c>
      <c r="AO318" t="s">
        <v>4519</v>
      </c>
      <c r="AP318">
        <v>100</v>
      </c>
      <c r="AQ318">
        <v>100</v>
      </c>
      <c r="AR318">
        <v>99</v>
      </c>
      <c r="AS318" t="s">
        <v>4524</v>
      </c>
      <c r="AT318">
        <v>0</v>
      </c>
      <c r="AU318">
        <v>-1</v>
      </c>
      <c r="AV318">
        <v>1</v>
      </c>
    </row>
    <row r="319" spans="1:48">
      <c r="A319" s="1">
        <f>_xlfn.XLOOKUP(J319,数据!E:E,数据!A:A)</f>
        <v>3</v>
      </c>
      <c r="B319" s="1">
        <f>_xlfn.XLOOKUP(J319,数据!E:E,数据!B:B)</f>
        <v>11</v>
      </c>
      <c r="C319" s="1" t="str">
        <f>_xlfn.XLOOKUP(J319,数据!E:E,数据!J:J)</f>
        <v>空派</v>
      </c>
      <c r="D319" s="1" t="str" cm="1">
        <f t="array" ref="D319">IF(OR(C319="红单",C319="空派"),_xlfn.IFS(E319="未开售","新品首批发货",F319&lt;E319,"新品首批发货",F319-E319&lt;=60,"新品期补货空运",F319-E319&gt;60,"老品应急空运"),"海运，不进行分析")</f>
        <v>新品首批发货</v>
      </c>
      <c r="E319" s="2">
        <v>46106</v>
      </c>
      <c r="F319" s="2">
        <f>_xlfn.XLOOKUP(J319,数据!E:E,数据!C:C)</f>
        <v>46092</v>
      </c>
      <c r="G319" s="4">
        <v>167</v>
      </c>
      <c r="H319" s="4">
        <f>G319*AP319/1000</f>
        <v>16.7</v>
      </c>
      <c r="I319" s="4">
        <f>_xlfn.XLOOKUP(J319,数据!E:E,数据!S:S)*(H319/_xlfn.XLOOKUP(J319,数据!E:E,数据!X:X))</f>
        <v>846.078482023968</v>
      </c>
      <c r="J319" t="s">
        <v>1446</v>
      </c>
      <c r="K319" t="s">
        <v>31</v>
      </c>
      <c r="L319" t="s">
        <v>2374</v>
      </c>
      <c r="M319" t="s">
        <v>4506</v>
      </c>
      <c r="N319" t="s">
        <v>2376</v>
      </c>
      <c r="O319" t="s">
        <v>2400</v>
      </c>
      <c r="P319" t="s">
        <v>2378</v>
      </c>
      <c r="Q319" t="s">
        <v>2379</v>
      </c>
      <c r="R319" t="s">
        <v>4507</v>
      </c>
      <c r="S319" t="s">
        <v>2511</v>
      </c>
      <c r="T319" s="3" t="s">
        <v>4508</v>
      </c>
      <c r="U319" t="s">
        <v>4462</v>
      </c>
      <c r="V319" t="s">
        <v>4509</v>
      </c>
      <c r="W319" t="s">
        <v>4510</v>
      </c>
      <c r="X319" t="s">
        <v>2385</v>
      </c>
      <c r="Y319" t="s">
        <v>4511</v>
      </c>
      <c r="Z319" t="s">
        <v>2405</v>
      </c>
      <c r="AA319" t="s">
        <v>4508</v>
      </c>
      <c r="AB319" t="s">
        <v>4392</v>
      </c>
      <c r="AC319" t="s">
        <v>4512</v>
      </c>
      <c r="AD319" t="s">
        <v>4468</v>
      </c>
      <c r="AH319" t="s">
        <v>4455</v>
      </c>
      <c r="AI319" t="s">
        <v>4157</v>
      </c>
      <c r="AJ319" t="s">
        <v>4525</v>
      </c>
      <c r="AK319" t="s">
        <v>4526</v>
      </c>
      <c r="AL319" t="s">
        <v>4527</v>
      </c>
      <c r="AM319" t="s">
        <v>4522</v>
      </c>
      <c r="AN319" t="s">
        <v>4528</v>
      </c>
      <c r="AO319" t="s">
        <v>4525</v>
      </c>
      <c r="AP319">
        <v>100</v>
      </c>
      <c r="AQ319">
        <v>100</v>
      </c>
      <c r="AR319">
        <v>100</v>
      </c>
      <c r="AS319" t="s">
        <v>4529</v>
      </c>
      <c r="AT319">
        <v>0</v>
      </c>
      <c r="AU319">
        <v>0</v>
      </c>
      <c r="AV319">
        <v>0</v>
      </c>
    </row>
    <row r="320" spans="1:48">
      <c r="A320" s="1">
        <f>_xlfn.XLOOKUP(J320,数据!E:E,数据!A:A)</f>
        <v>3</v>
      </c>
      <c r="B320" s="1">
        <f>_xlfn.XLOOKUP(J320,数据!E:E,数据!B:B)</f>
        <v>11</v>
      </c>
      <c r="C320" s="1" t="str">
        <f>_xlfn.XLOOKUP(J320,数据!E:E,数据!J:J)</f>
        <v>空派</v>
      </c>
      <c r="D320" s="1" t="str" cm="1">
        <f t="array" ref="D320">IF(OR(C320="红单",C320="空派"),_xlfn.IFS(E320="未开售","新品首批发货",F320&lt;E320,"新品首批发货",F320-E320&lt;=60,"新品期补货空运",F320-E320&gt;60,"老品应急空运"),"海运，不进行分析")</f>
        <v>老品应急空运</v>
      </c>
      <c r="E320" s="2">
        <v>45910</v>
      </c>
      <c r="F320" s="2">
        <f>_xlfn.XLOOKUP(J320,数据!E:E,数据!C:C)</f>
        <v>46091</v>
      </c>
      <c r="G320" s="4">
        <v>95</v>
      </c>
      <c r="H320" s="4">
        <f t="shared" ref="H320:H333" si="18">G320*AP320/1000</f>
        <v>21.85</v>
      </c>
      <c r="I320" s="4">
        <f>_xlfn.XLOOKUP(J320,数据!E:E,数据!S:S)*(H320/_xlfn.XLOOKUP(J320,数据!E:E,数据!X:X))</f>
        <v>1249.8993723828</v>
      </c>
      <c r="J320" t="s">
        <v>1445</v>
      </c>
      <c r="K320" t="s">
        <v>54</v>
      </c>
      <c r="L320" t="s">
        <v>2374</v>
      </c>
      <c r="M320" t="s">
        <v>4530</v>
      </c>
      <c r="N320" t="s">
        <v>2376</v>
      </c>
      <c r="O320" t="s">
        <v>2400</v>
      </c>
      <c r="P320" t="s">
        <v>2378</v>
      </c>
      <c r="Q320" t="s">
        <v>2379</v>
      </c>
      <c r="R320" t="s">
        <v>4531</v>
      </c>
      <c r="S320" t="s">
        <v>2511</v>
      </c>
      <c r="T320" s="3" t="s">
        <v>4532</v>
      </c>
      <c r="U320" t="s">
        <v>4533</v>
      </c>
      <c r="V320" t="s">
        <v>4534</v>
      </c>
      <c r="W320" t="s">
        <v>4535</v>
      </c>
      <c r="X320" t="s">
        <v>2385</v>
      </c>
      <c r="Y320" t="s">
        <v>4536</v>
      </c>
      <c r="Z320" t="s">
        <v>2387</v>
      </c>
      <c r="AA320" t="s">
        <v>4532</v>
      </c>
      <c r="AB320" t="s">
        <v>3858</v>
      </c>
      <c r="AC320" t="s">
        <v>4537</v>
      </c>
      <c r="AD320" t="s">
        <v>4454</v>
      </c>
      <c r="AH320" t="s">
        <v>4455</v>
      </c>
      <c r="AI320" t="s">
        <v>4157</v>
      </c>
      <c r="AJ320" t="s">
        <v>2548</v>
      </c>
      <c r="AK320" t="s">
        <v>2549</v>
      </c>
      <c r="AL320" t="s">
        <v>2550</v>
      </c>
      <c r="AM320" t="s">
        <v>2545</v>
      </c>
      <c r="AN320" t="s">
        <v>2551</v>
      </c>
      <c r="AO320" t="s">
        <v>2548</v>
      </c>
      <c r="AP320">
        <v>230</v>
      </c>
      <c r="AQ320">
        <v>230</v>
      </c>
      <c r="AR320">
        <v>228</v>
      </c>
      <c r="AS320" t="s">
        <v>4538</v>
      </c>
      <c r="AT320">
        <v>0</v>
      </c>
      <c r="AU320">
        <v>-2</v>
      </c>
      <c r="AV320">
        <v>2</v>
      </c>
    </row>
    <row r="321" spans="1:48">
      <c r="A321" s="1">
        <f>_xlfn.XLOOKUP(J321,数据!E:E,数据!A:A)</f>
        <v>3</v>
      </c>
      <c r="B321" s="1">
        <f>_xlfn.XLOOKUP(J321,数据!E:E,数据!B:B)</f>
        <v>11</v>
      </c>
      <c r="C321" s="1" t="str">
        <f>_xlfn.XLOOKUP(J321,数据!E:E,数据!J:J)</f>
        <v>空派</v>
      </c>
      <c r="D321" s="1" t="str" cm="1">
        <f t="array" ref="D321">IF(OR(C321="红单",C321="空派"),_xlfn.IFS(E321="未开售","新品首批发货",F321&lt;E321,"新品首批发货",F321-E321&lt;=60,"新品期补货空运",F321-E321&gt;60,"老品应急空运"),"海运，不进行分析")</f>
        <v>新品首批发货</v>
      </c>
      <c r="E321" s="2">
        <v>46107</v>
      </c>
      <c r="F321" s="2">
        <f>_xlfn.XLOOKUP(J321,数据!E:E,数据!C:C)</f>
        <v>46091</v>
      </c>
      <c r="G321" s="4">
        <v>165</v>
      </c>
      <c r="H321" s="4">
        <f t="shared" si="18"/>
        <v>8.25</v>
      </c>
      <c r="I321" s="4">
        <f>_xlfn.XLOOKUP(J321,数据!E:E,数据!S:S)*(H321/_xlfn.XLOOKUP(J321,数据!E:E,数据!X:X))</f>
        <v>471.929968977486</v>
      </c>
      <c r="J321" t="s">
        <v>1445</v>
      </c>
      <c r="K321" t="s">
        <v>54</v>
      </c>
      <c r="L321" t="s">
        <v>2374</v>
      </c>
      <c r="M321" t="s">
        <v>4530</v>
      </c>
      <c r="N321" t="s">
        <v>2376</v>
      </c>
      <c r="O321" t="s">
        <v>2400</v>
      </c>
      <c r="P321" t="s">
        <v>2378</v>
      </c>
      <c r="Q321" t="s">
        <v>2379</v>
      </c>
      <c r="R321" t="s">
        <v>4531</v>
      </c>
      <c r="S321" t="s">
        <v>2511</v>
      </c>
      <c r="T321" s="3" t="s">
        <v>4532</v>
      </c>
      <c r="U321" t="s">
        <v>4533</v>
      </c>
      <c r="V321" t="s">
        <v>4534</v>
      </c>
      <c r="W321" t="s">
        <v>4535</v>
      </c>
      <c r="X321" t="s">
        <v>2385</v>
      </c>
      <c r="Y321" t="s">
        <v>4536</v>
      </c>
      <c r="Z321" t="s">
        <v>2387</v>
      </c>
      <c r="AA321" t="s">
        <v>4532</v>
      </c>
      <c r="AB321" t="s">
        <v>3858</v>
      </c>
      <c r="AC321" t="s">
        <v>4537</v>
      </c>
      <c r="AD321" t="s">
        <v>4454</v>
      </c>
      <c r="AH321" t="s">
        <v>4455</v>
      </c>
      <c r="AI321" t="s">
        <v>4157</v>
      </c>
      <c r="AJ321" t="s">
        <v>4539</v>
      </c>
      <c r="AK321" t="s">
        <v>4540</v>
      </c>
      <c r="AL321" t="s">
        <v>4541</v>
      </c>
      <c r="AM321" t="s">
        <v>4542</v>
      </c>
      <c r="AN321" t="s">
        <v>4543</v>
      </c>
      <c r="AO321" t="s">
        <v>4539</v>
      </c>
      <c r="AP321">
        <v>50</v>
      </c>
      <c r="AQ321">
        <v>50</v>
      </c>
      <c r="AR321">
        <v>50</v>
      </c>
      <c r="AS321" t="s">
        <v>4544</v>
      </c>
      <c r="AT321">
        <v>0</v>
      </c>
      <c r="AU321">
        <v>0</v>
      </c>
      <c r="AV321">
        <v>0</v>
      </c>
    </row>
    <row r="322" spans="1:48">
      <c r="A322" s="1">
        <f>_xlfn.XLOOKUP(J322,数据!E:E,数据!A:A)</f>
        <v>3</v>
      </c>
      <c r="B322" s="1">
        <f>_xlfn.XLOOKUP(J322,数据!E:E,数据!B:B)</f>
        <v>11</v>
      </c>
      <c r="C322" s="1" t="str">
        <f>_xlfn.XLOOKUP(J322,数据!E:E,数据!J:J)</f>
        <v>空派</v>
      </c>
      <c r="D322" s="1" t="str" cm="1">
        <f t="array" ref="D322">IF(OR(C322="红单",C322="空派"),_xlfn.IFS(E322="未开售","新品首批发货",F322&lt;E322,"新品首批发货",F322-E322&lt;=60,"新品期补货空运",F322-E322&gt;60,"老品应急空运"),"海运，不进行分析")</f>
        <v>新品期补货空运</v>
      </c>
      <c r="E322" s="2">
        <v>46082</v>
      </c>
      <c r="F322" s="2">
        <f>_xlfn.XLOOKUP(J322,数据!E:E,数据!C:C)</f>
        <v>46091</v>
      </c>
      <c r="G322" s="4">
        <v>117</v>
      </c>
      <c r="H322" s="4">
        <f t="shared" si="18"/>
        <v>2.457</v>
      </c>
      <c r="I322" s="4">
        <f>_xlfn.XLOOKUP(J322,数据!E:E,数据!S:S)*(H322/_xlfn.XLOOKUP(J322,数据!E:E,数据!X:X))</f>
        <v>140.549325306386</v>
      </c>
      <c r="J322" t="s">
        <v>1445</v>
      </c>
      <c r="K322" t="s">
        <v>54</v>
      </c>
      <c r="L322" t="s">
        <v>2374</v>
      </c>
      <c r="M322" t="s">
        <v>4530</v>
      </c>
      <c r="N322" t="s">
        <v>2376</v>
      </c>
      <c r="O322" t="s">
        <v>2400</v>
      </c>
      <c r="P322" t="s">
        <v>2378</v>
      </c>
      <c r="Q322" t="s">
        <v>2379</v>
      </c>
      <c r="R322" t="s">
        <v>4531</v>
      </c>
      <c r="S322" t="s">
        <v>2511</v>
      </c>
      <c r="T322" s="3" t="s">
        <v>4532</v>
      </c>
      <c r="U322" t="s">
        <v>4533</v>
      </c>
      <c r="V322" t="s">
        <v>4534</v>
      </c>
      <c r="W322" t="s">
        <v>4535</v>
      </c>
      <c r="X322" t="s">
        <v>2385</v>
      </c>
      <c r="Y322" t="s">
        <v>4536</v>
      </c>
      <c r="Z322" t="s">
        <v>2387</v>
      </c>
      <c r="AA322" t="s">
        <v>4532</v>
      </c>
      <c r="AB322" t="s">
        <v>3858</v>
      </c>
      <c r="AC322" t="s">
        <v>4537</v>
      </c>
      <c r="AD322" t="s">
        <v>4454</v>
      </c>
      <c r="AH322" t="s">
        <v>4455</v>
      </c>
      <c r="AI322" t="s">
        <v>4157</v>
      </c>
      <c r="AJ322" t="s">
        <v>4360</v>
      </c>
      <c r="AK322" t="s">
        <v>4361</v>
      </c>
      <c r="AL322" t="s">
        <v>4362</v>
      </c>
      <c r="AM322" t="s">
        <v>4362</v>
      </c>
      <c r="AN322" t="s">
        <v>4363</v>
      </c>
      <c r="AO322" t="s">
        <v>4360</v>
      </c>
      <c r="AP322">
        <v>21</v>
      </c>
      <c r="AQ322">
        <v>21</v>
      </c>
      <c r="AR322">
        <v>21</v>
      </c>
      <c r="AS322" t="s">
        <v>4545</v>
      </c>
      <c r="AT322">
        <v>0</v>
      </c>
      <c r="AU322">
        <v>0</v>
      </c>
      <c r="AV322">
        <v>0</v>
      </c>
    </row>
    <row r="323" spans="1:48">
      <c r="A323" s="1">
        <f>_xlfn.XLOOKUP(J323,数据!E:E,数据!A:A)</f>
        <v>3</v>
      </c>
      <c r="B323" s="1">
        <f>_xlfn.XLOOKUP(J323,数据!E:E,数据!B:B)</f>
        <v>11</v>
      </c>
      <c r="C323" s="1" t="str">
        <f>_xlfn.XLOOKUP(J323,数据!E:E,数据!J:J)</f>
        <v>空派</v>
      </c>
      <c r="D323" s="1" t="str" cm="1">
        <f t="array" ref="D323">IF(OR(C323="红单",C323="空派"),_xlfn.IFS(E323="未开售","新品首批发货",F323&lt;E323,"新品首批发货",F323-E323&lt;=60,"新品期补货空运",F323-E323&gt;60,"老品应急空运"),"海运，不进行分析")</f>
        <v>老品应急空运</v>
      </c>
      <c r="E323" s="2">
        <v>46020</v>
      </c>
      <c r="F323" s="2">
        <f>_xlfn.XLOOKUP(J323,数据!E:E,数据!C:C)</f>
        <v>46091</v>
      </c>
      <c r="G323" s="4">
        <v>161</v>
      </c>
      <c r="H323" s="4">
        <f t="shared" si="18"/>
        <v>3.22</v>
      </c>
      <c r="I323" s="4">
        <f>_xlfn.XLOOKUP(J323,数据!E:E,数据!S:S)*(H323/_xlfn.XLOOKUP(J323,数据!E:E,数据!X:X))</f>
        <v>163.898702008032</v>
      </c>
      <c r="J323" t="s">
        <v>1443</v>
      </c>
      <c r="K323" t="s">
        <v>56</v>
      </c>
      <c r="L323" t="s">
        <v>2374</v>
      </c>
      <c r="M323" t="s">
        <v>4546</v>
      </c>
      <c r="N323" t="s">
        <v>2376</v>
      </c>
      <c r="O323" t="s">
        <v>2400</v>
      </c>
      <c r="P323" t="s">
        <v>2378</v>
      </c>
      <c r="Q323" t="s">
        <v>2379</v>
      </c>
      <c r="R323" t="s">
        <v>4547</v>
      </c>
      <c r="S323" t="s">
        <v>2511</v>
      </c>
      <c r="T323" s="3" t="s">
        <v>4532</v>
      </c>
      <c r="U323" t="s">
        <v>4548</v>
      </c>
      <c r="V323" t="s">
        <v>4549</v>
      </c>
      <c r="W323" t="s">
        <v>4550</v>
      </c>
      <c r="X323" t="s">
        <v>2403</v>
      </c>
      <c r="Y323" t="s">
        <v>4551</v>
      </c>
      <c r="Z323" t="s">
        <v>2387</v>
      </c>
      <c r="AA323" t="s">
        <v>4532</v>
      </c>
      <c r="AB323" t="s">
        <v>4552</v>
      </c>
      <c r="AC323" t="s">
        <v>4553</v>
      </c>
      <c r="AD323" t="s">
        <v>4454</v>
      </c>
      <c r="AH323" t="s">
        <v>4455</v>
      </c>
      <c r="AI323" t="s">
        <v>4157</v>
      </c>
      <c r="AJ323" t="s">
        <v>4554</v>
      </c>
      <c r="AK323" t="s">
        <v>4555</v>
      </c>
      <c r="AL323" t="s">
        <v>4556</v>
      </c>
      <c r="AM323" t="s">
        <v>2821</v>
      </c>
      <c r="AN323" t="s">
        <v>4557</v>
      </c>
      <c r="AO323" t="s">
        <v>4554</v>
      </c>
      <c r="AP323">
        <v>20</v>
      </c>
      <c r="AQ323">
        <v>20</v>
      </c>
      <c r="AR323">
        <v>20</v>
      </c>
      <c r="AS323" t="s">
        <v>4558</v>
      </c>
      <c r="AT323">
        <v>0</v>
      </c>
      <c r="AU323">
        <v>0</v>
      </c>
      <c r="AV323">
        <v>0</v>
      </c>
    </row>
    <row r="324" spans="1:48">
      <c r="A324" s="1">
        <f>_xlfn.XLOOKUP(J324,数据!E:E,数据!A:A)</f>
        <v>3</v>
      </c>
      <c r="B324" s="1">
        <f>_xlfn.XLOOKUP(J324,数据!E:E,数据!B:B)</f>
        <v>11</v>
      </c>
      <c r="C324" s="1" t="str">
        <f>_xlfn.XLOOKUP(J324,数据!E:E,数据!J:J)</f>
        <v>空派</v>
      </c>
      <c r="D324" s="1" t="str" cm="1">
        <f t="array" ref="D324">IF(OR(C324="红单",C324="空派"),_xlfn.IFS(E324="未开售","新品首批发货",F324&lt;E324,"新品首批发货",F324-E324&lt;=60,"新品期补货空运",F324-E324&gt;60,"老品应急空运"),"海运，不进行分析")</f>
        <v>老品应急空运</v>
      </c>
      <c r="E324" s="2">
        <v>46017</v>
      </c>
      <c r="F324" s="2">
        <f>_xlfn.XLOOKUP(J324,数据!E:E,数据!C:C)</f>
        <v>46091</v>
      </c>
      <c r="G324" s="4">
        <v>166</v>
      </c>
      <c r="H324" s="4">
        <f t="shared" si="18"/>
        <v>4.98</v>
      </c>
      <c r="I324" s="4">
        <f>_xlfn.XLOOKUP(J324,数据!E:E,数据!S:S)*(H324/_xlfn.XLOOKUP(J324,数据!E:E,数据!X:X))</f>
        <v>253.483085714286</v>
      </c>
      <c r="J324" t="s">
        <v>1443</v>
      </c>
      <c r="K324" t="s">
        <v>56</v>
      </c>
      <c r="L324" t="s">
        <v>2374</v>
      </c>
      <c r="M324" t="s">
        <v>4546</v>
      </c>
      <c r="N324" t="s">
        <v>2376</v>
      </c>
      <c r="O324" t="s">
        <v>2400</v>
      </c>
      <c r="P324" t="s">
        <v>2378</v>
      </c>
      <c r="Q324" t="s">
        <v>2379</v>
      </c>
      <c r="R324" t="s">
        <v>4547</v>
      </c>
      <c r="S324" t="s">
        <v>2511</v>
      </c>
      <c r="T324" s="3" t="s">
        <v>4532</v>
      </c>
      <c r="U324" t="s">
        <v>4548</v>
      </c>
      <c r="V324" t="s">
        <v>4549</v>
      </c>
      <c r="W324" t="s">
        <v>4550</v>
      </c>
      <c r="X324" t="s">
        <v>2403</v>
      </c>
      <c r="Y324" t="s">
        <v>4551</v>
      </c>
      <c r="Z324" t="s">
        <v>2387</v>
      </c>
      <c r="AA324" t="s">
        <v>4532</v>
      </c>
      <c r="AB324" t="s">
        <v>4552</v>
      </c>
      <c r="AC324" t="s">
        <v>4553</v>
      </c>
      <c r="AD324" t="s">
        <v>4454</v>
      </c>
      <c r="AH324" t="s">
        <v>4455</v>
      </c>
      <c r="AI324" t="s">
        <v>4157</v>
      </c>
      <c r="AJ324" t="s">
        <v>4559</v>
      </c>
      <c r="AK324" t="s">
        <v>4560</v>
      </c>
      <c r="AL324" t="s">
        <v>4561</v>
      </c>
      <c r="AM324" t="s">
        <v>4561</v>
      </c>
      <c r="AN324" t="s">
        <v>4562</v>
      </c>
      <c r="AO324" t="s">
        <v>4559</v>
      </c>
      <c r="AP324">
        <v>30</v>
      </c>
      <c r="AQ324">
        <v>30</v>
      </c>
      <c r="AR324">
        <v>30</v>
      </c>
      <c r="AS324" t="s">
        <v>4563</v>
      </c>
      <c r="AT324">
        <v>0</v>
      </c>
      <c r="AU324">
        <v>0</v>
      </c>
      <c r="AV324">
        <v>0</v>
      </c>
    </row>
    <row r="325" spans="1:48">
      <c r="A325" s="1">
        <f>_xlfn.XLOOKUP(J325,数据!E:E,数据!A:A)</f>
        <v>3</v>
      </c>
      <c r="B325" s="1">
        <f>_xlfn.XLOOKUP(J325,数据!E:E,数据!B:B)</f>
        <v>11</v>
      </c>
      <c r="C325" s="1" t="str">
        <f>_xlfn.XLOOKUP(J325,数据!E:E,数据!J:J)</f>
        <v>空派</v>
      </c>
      <c r="D325" s="1" t="str" cm="1">
        <f t="array" ref="D325">IF(OR(C325="红单",C325="空派"),_xlfn.IFS(E325="未开售","新品首批发货",F325&lt;E325,"新品首批发货",F325-E325&lt;=60,"新品期补货空运",F325-E325&gt;60,"老品应急空运"),"海运，不进行分析")</f>
        <v>新品首批发货</v>
      </c>
      <c r="E325" s="2">
        <v>46114</v>
      </c>
      <c r="F325" s="2">
        <f>_xlfn.XLOOKUP(J325,数据!E:E,数据!C:C)</f>
        <v>46091</v>
      </c>
      <c r="G325" s="4">
        <v>238</v>
      </c>
      <c r="H325" s="4">
        <f t="shared" si="18"/>
        <v>23.8</v>
      </c>
      <c r="I325" s="4">
        <f>_xlfn.XLOOKUP(J325,数据!E:E,数据!S:S)*(H325/_xlfn.XLOOKUP(J325,数据!E:E,数据!X:X))</f>
        <v>1211.42518875502</v>
      </c>
      <c r="J325" t="s">
        <v>1443</v>
      </c>
      <c r="K325" t="s">
        <v>56</v>
      </c>
      <c r="L325" t="s">
        <v>2374</v>
      </c>
      <c r="M325" t="s">
        <v>4546</v>
      </c>
      <c r="N325" t="s">
        <v>2376</v>
      </c>
      <c r="O325" t="s">
        <v>2400</v>
      </c>
      <c r="P325" t="s">
        <v>2378</v>
      </c>
      <c r="Q325" t="s">
        <v>2379</v>
      </c>
      <c r="R325" t="s">
        <v>4547</v>
      </c>
      <c r="S325" t="s">
        <v>2511</v>
      </c>
      <c r="T325" s="3" t="s">
        <v>4532</v>
      </c>
      <c r="U325" t="s">
        <v>4548</v>
      </c>
      <c r="V325" t="s">
        <v>4549</v>
      </c>
      <c r="W325" t="s">
        <v>4550</v>
      </c>
      <c r="X325" t="s">
        <v>2403</v>
      </c>
      <c r="Y325" t="s">
        <v>4551</v>
      </c>
      <c r="Z325" t="s">
        <v>2387</v>
      </c>
      <c r="AA325" t="s">
        <v>4532</v>
      </c>
      <c r="AB325" t="s">
        <v>4552</v>
      </c>
      <c r="AC325" t="s">
        <v>4553</v>
      </c>
      <c r="AD325" t="s">
        <v>4454</v>
      </c>
      <c r="AH325" t="s">
        <v>4455</v>
      </c>
      <c r="AI325" t="s">
        <v>4157</v>
      </c>
      <c r="AJ325" t="s">
        <v>2840</v>
      </c>
      <c r="AK325" t="s">
        <v>2841</v>
      </c>
      <c r="AL325" t="s">
        <v>2842</v>
      </c>
      <c r="AM325" t="s">
        <v>2396</v>
      </c>
      <c r="AN325" t="s">
        <v>2843</v>
      </c>
      <c r="AO325" t="s">
        <v>2840</v>
      </c>
      <c r="AP325">
        <v>100</v>
      </c>
      <c r="AQ325">
        <v>100</v>
      </c>
      <c r="AR325">
        <v>100</v>
      </c>
      <c r="AS325" t="s">
        <v>4484</v>
      </c>
      <c r="AT325">
        <v>0</v>
      </c>
      <c r="AU325">
        <v>0</v>
      </c>
      <c r="AV325">
        <v>0</v>
      </c>
    </row>
    <row r="326" spans="1:48">
      <c r="A326" s="1">
        <f>_xlfn.XLOOKUP(J326,数据!E:E,数据!A:A)</f>
        <v>3</v>
      </c>
      <c r="B326" s="1">
        <f>_xlfn.XLOOKUP(J326,数据!E:E,数据!B:B)</f>
        <v>11</v>
      </c>
      <c r="C326" s="1" t="str">
        <f>_xlfn.XLOOKUP(J326,数据!E:E,数据!J:J)</f>
        <v>空派</v>
      </c>
      <c r="D326" s="1" t="str" cm="1">
        <f t="array" ref="D326">IF(OR(C326="红单",C326="空派"),_xlfn.IFS(E326="未开售","新品首批发货",F326&lt;E326,"新品首批发货",F326-E326&lt;=60,"新品期补货空运",F326-E326&gt;60,"老品应急空运"),"海运，不进行分析")</f>
        <v>新品首批发货</v>
      </c>
      <c r="E326" s="2">
        <v>46112</v>
      </c>
      <c r="F326" s="2">
        <f>_xlfn.XLOOKUP(J326,数据!E:E,数据!C:C)</f>
        <v>46091</v>
      </c>
      <c r="G326" s="4">
        <v>261</v>
      </c>
      <c r="H326" s="4">
        <f t="shared" si="18"/>
        <v>26.1</v>
      </c>
      <c r="I326" s="4">
        <f>_xlfn.XLOOKUP(J326,数据!E:E,数据!S:S)*(H326/_xlfn.XLOOKUP(J326,数据!E:E,数据!X:X))</f>
        <v>1328.49569018933</v>
      </c>
      <c r="J326" t="s">
        <v>1443</v>
      </c>
      <c r="K326" t="s">
        <v>56</v>
      </c>
      <c r="L326" t="s">
        <v>2374</v>
      </c>
      <c r="M326" t="s">
        <v>4546</v>
      </c>
      <c r="N326" t="s">
        <v>2376</v>
      </c>
      <c r="O326" t="s">
        <v>2400</v>
      </c>
      <c r="P326" t="s">
        <v>2378</v>
      </c>
      <c r="Q326" t="s">
        <v>2379</v>
      </c>
      <c r="R326" t="s">
        <v>4547</v>
      </c>
      <c r="S326" t="s">
        <v>2511</v>
      </c>
      <c r="T326" s="3" t="s">
        <v>4532</v>
      </c>
      <c r="U326" t="s">
        <v>4548</v>
      </c>
      <c r="V326" t="s">
        <v>4549</v>
      </c>
      <c r="W326" t="s">
        <v>4550</v>
      </c>
      <c r="X326" t="s">
        <v>2403</v>
      </c>
      <c r="Y326" t="s">
        <v>4551</v>
      </c>
      <c r="Z326" t="s">
        <v>2387</v>
      </c>
      <c r="AA326" t="s">
        <v>4532</v>
      </c>
      <c r="AB326" t="s">
        <v>4552</v>
      </c>
      <c r="AC326" t="s">
        <v>4553</v>
      </c>
      <c r="AD326" t="s">
        <v>4454</v>
      </c>
      <c r="AH326" t="s">
        <v>4455</v>
      </c>
      <c r="AI326" t="s">
        <v>4157</v>
      </c>
      <c r="AJ326" t="s">
        <v>2824</v>
      </c>
      <c r="AK326" t="s">
        <v>2825</v>
      </c>
      <c r="AL326" t="s">
        <v>2826</v>
      </c>
      <c r="AM326" t="s">
        <v>2826</v>
      </c>
      <c r="AN326" t="s">
        <v>2827</v>
      </c>
      <c r="AO326" t="s">
        <v>2824</v>
      </c>
      <c r="AP326">
        <v>100</v>
      </c>
      <c r="AQ326">
        <v>100</v>
      </c>
      <c r="AR326">
        <v>100</v>
      </c>
      <c r="AS326" t="s">
        <v>4484</v>
      </c>
      <c r="AT326">
        <v>0</v>
      </c>
      <c r="AU326">
        <v>0</v>
      </c>
      <c r="AV326">
        <v>0</v>
      </c>
    </row>
    <row r="327" spans="1:48">
      <c r="A327" s="1">
        <f>_xlfn.XLOOKUP(J327,数据!E:E,数据!A:A)</f>
        <v>3</v>
      </c>
      <c r="B327" s="1">
        <f>_xlfn.XLOOKUP(J327,数据!E:E,数据!B:B)</f>
        <v>11</v>
      </c>
      <c r="C327" s="1" t="str">
        <f>_xlfn.XLOOKUP(J327,数据!E:E,数据!J:J)</f>
        <v>空派</v>
      </c>
      <c r="D327" s="1" t="str" cm="1">
        <f t="array" ref="D327">IF(OR(C327="红单",C327="空派"),_xlfn.IFS(E327="未开售","新品首批发货",F327&lt;E327,"新品首批发货",F327-E327&lt;=60,"新品期补货空运",F327-E327&gt;60,"老品应急空运"),"海运，不进行分析")</f>
        <v>新品首批发货</v>
      </c>
      <c r="E327" s="2">
        <v>46113</v>
      </c>
      <c r="F327" s="2">
        <f>_xlfn.XLOOKUP(J327,数据!E:E,数据!C:C)</f>
        <v>46091</v>
      </c>
      <c r="G327" s="4">
        <v>142</v>
      </c>
      <c r="H327" s="4">
        <f t="shared" si="18"/>
        <v>14.2</v>
      </c>
      <c r="I327" s="4">
        <f>_xlfn.XLOOKUP(J327,数据!E:E,数据!S:S)*(H327/_xlfn.XLOOKUP(J327,数据!E:E,数据!X:X))</f>
        <v>728.974998921253</v>
      </c>
      <c r="J327" t="s">
        <v>1444</v>
      </c>
      <c r="K327" t="s">
        <v>31</v>
      </c>
      <c r="L327" t="s">
        <v>2374</v>
      </c>
      <c r="M327" t="s">
        <v>4564</v>
      </c>
      <c r="N327" t="s">
        <v>2376</v>
      </c>
      <c r="O327" t="s">
        <v>2377</v>
      </c>
      <c r="P327" t="s">
        <v>2378</v>
      </c>
      <c r="Q327" t="s">
        <v>2379</v>
      </c>
      <c r="R327" t="s">
        <v>4565</v>
      </c>
      <c r="S327" t="s">
        <v>2511</v>
      </c>
      <c r="T327" s="3" t="s">
        <v>4532</v>
      </c>
      <c r="U327" t="s">
        <v>4548</v>
      </c>
      <c r="V327" t="s">
        <v>4566</v>
      </c>
      <c r="W327" t="s">
        <v>4567</v>
      </c>
      <c r="X327" t="s">
        <v>2385</v>
      </c>
      <c r="Y327" t="s">
        <v>4568</v>
      </c>
      <c r="Z327" t="s">
        <v>2405</v>
      </c>
      <c r="AA327" t="s">
        <v>4532</v>
      </c>
      <c r="AB327" t="s">
        <v>4569</v>
      </c>
      <c r="AC327" t="s">
        <v>4570</v>
      </c>
      <c r="AD327" t="s">
        <v>4454</v>
      </c>
      <c r="AH327" t="s">
        <v>4455</v>
      </c>
      <c r="AI327" t="s">
        <v>4157</v>
      </c>
      <c r="AJ327" t="s">
        <v>4571</v>
      </c>
      <c r="AK327" t="s">
        <v>4572</v>
      </c>
      <c r="AL327" t="s">
        <v>4573</v>
      </c>
      <c r="AM327" t="s">
        <v>2787</v>
      </c>
      <c r="AN327" t="s">
        <v>4574</v>
      </c>
      <c r="AO327" t="s">
        <v>4571</v>
      </c>
      <c r="AP327">
        <v>100</v>
      </c>
      <c r="AQ327">
        <v>100</v>
      </c>
      <c r="AR327">
        <v>100</v>
      </c>
      <c r="AS327" t="s">
        <v>4484</v>
      </c>
      <c r="AT327">
        <v>0</v>
      </c>
      <c r="AU327">
        <v>0</v>
      </c>
      <c r="AV327">
        <v>0</v>
      </c>
    </row>
    <row r="328" spans="1:48">
      <c r="A328" s="1">
        <f>_xlfn.XLOOKUP(J328,数据!E:E,数据!A:A)</f>
        <v>3</v>
      </c>
      <c r="B328" s="1">
        <f>_xlfn.XLOOKUP(J328,数据!E:E,数据!B:B)</f>
        <v>11</v>
      </c>
      <c r="C328" s="1" t="str">
        <f>_xlfn.XLOOKUP(J328,数据!E:E,数据!J:J)</f>
        <v>空派</v>
      </c>
      <c r="D328" s="1" t="str" cm="1">
        <f t="array" ref="D328">IF(OR(C328="红单",C328="空派"),_xlfn.IFS(E328="未开售","新品首批发货",F328&lt;E328,"新品首批发货",F328-E328&lt;=60,"新品期补货空运",F328-E328&gt;60,"老品应急空运"),"海运，不进行分析")</f>
        <v>新品首批发货</v>
      </c>
      <c r="E328" s="2">
        <v>46112</v>
      </c>
      <c r="F328" s="2">
        <f>_xlfn.XLOOKUP(J328,数据!E:E,数据!C:C)</f>
        <v>46091</v>
      </c>
      <c r="G328" s="4">
        <v>167</v>
      </c>
      <c r="H328" s="4">
        <f t="shared" si="18"/>
        <v>16.7</v>
      </c>
      <c r="I328" s="4">
        <f>_xlfn.XLOOKUP(J328,数据!E:E,数据!S:S)*(H328/_xlfn.XLOOKUP(J328,数据!E:E,数据!X:X))</f>
        <v>857.315667745417</v>
      </c>
      <c r="J328" t="s">
        <v>1444</v>
      </c>
      <c r="K328" t="s">
        <v>31</v>
      </c>
      <c r="L328" t="s">
        <v>2374</v>
      </c>
      <c r="M328" t="s">
        <v>4564</v>
      </c>
      <c r="N328" t="s">
        <v>2376</v>
      </c>
      <c r="O328" t="s">
        <v>2377</v>
      </c>
      <c r="P328" t="s">
        <v>2378</v>
      </c>
      <c r="Q328" t="s">
        <v>2379</v>
      </c>
      <c r="R328" t="s">
        <v>4565</v>
      </c>
      <c r="S328" t="s">
        <v>2511</v>
      </c>
      <c r="T328" s="3" t="s">
        <v>4532</v>
      </c>
      <c r="U328" t="s">
        <v>4548</v>
      </c>
      <c r="V328" t="s">
        <v>4566</v>
      </c>
      <c r="W328" t="s">
        <v>4567</v>
      </c>
      <c r="X328" t="s">
        <v>2385</v>
      </c>
      <c r="Y328" t="s">
        <v>4568</v>
      </c>
      <c r="Z328" t="s">
        <v>2405</v>
      </c>
      <c r="AA328" t="s">
        <v>4532</v>
      </c>
      <c r="AB328" t="s">
        <v>4569</v>
      </c>
      <c r="AC328" t="s">
        <v>4570</v>
      </c>
      <c r="AD328" t="s">
        <v>4454</v>
      </c>
      <c r="AH328" t="s">
        <v>4455</v>
      </c>
      <c r="AI328" t="s">
        <v>4157</v>
      </c>
      <c r="AJ328" t="s">
        <v>2784</v>
      </c>
      <c r="AK328" t="s">
        <v>2785</v>
      </c>
      <c r="AL328" t="s">
        <v>2786</v>
      </c>
      <c r="AM328" t="s">
        <v>2787</v>
      </c>
      <c r="AN328" t="s">
        <v>2788</v>
      </c>
      <c r="AO328" t="s">
        <v>2784</v>
      </c>
      <c r="AP328">
        <v>100</v>
      </c>
      <c r="AQ328">
        <v>100</v>
      </c>
      <c r="AR328">
        <v>99</v>
      </c>
      <c r="AS328" t="s">
        <v>4575</v>
      </c>
      <c r="AT328">
        <v>0</v>
      </c>
      <c r="AU328">
        <v>-1</v>
      </c>
      <c r="AV328">
        <v>1</v>
      </c>
    </row>
    <row r="329" spans="1:48">
      <c r="A329" s="1">
        <f>_xlfn.XLOOKUP(J329,数据!E:E,数据!A:A)</f>
        <v>3</v>
      </c>
      <c r="B329" s="1">
        <f>_xlfn.XLOOKUP(J329,数据!E:E,数据!B:B)</f>
        <v>11</v>
      </c>
      <c r="C329" s="1" t="str">
        <f>_xlfn.XLOOKUP(J329,数据!E:E,数据!J:J)</f>
        <v>红单</v>
      </c>
      <c r="D329" s="1" t="str" cm="1">
        <f t="array" ref="D329">IF(OR(C329="红单",C329="空派"),_xlfn.IFS(E329="未开售","新品首批发货",F329&lt;E329,"新品首批发货",F329-E329&lt;=60,"新品期补货空运",F329-E329&gt;60,"老品应急空运"),"海运，不进行分析")</f>
        <v>老品应急空运</v>
      </c>
      <c r="E329" s="2">
        <v>45945</v>
      </c>
      <c r="F329" s="2">
        <f>_xlfn.XLOOKUP(J329,数据!E:E,数据!C:C)</f>
        <v>46091</v>
      </c>
      <c r="G329" s="4">
        <v>95</v>
      </c>
      <c r="H329" s="4">
        <f t="shared" si="18"/>
        <v>2.85</v>
      </c>
      <c r="I329" s="4">
        <f>_xlfn.XLOOKUP(J329,数据!E:E,数据!S:S)*(H329/_xlfn.XLOOKUP(J329,数据!E:E,数据!X:X))</f>
        <v>214.203769520732</v>
      </c>
      <c r="J329" t="s">
        <v>1442</v>
      </c>
      <c r="K329" t="s">
        <v>37</v>
      </c>
      <c r="L329" t="s">
        <v>2374</v>
      </c>
      <c r="M329" t="s">
        <v>4576</v>
      </c>
      <c r="N329" t="s">
        <v>2376</v>
      </c>
      <c r="O329" t="s">
        <v>2400</v>
      </c>
      <c r="P329" t="s">
        <v>2378</v>
      </c>
      <c r="Q329" t="s">
        <v>2379</v>
      </c>
      <c r="R329" t="s">
        <v>4577</v>
      </c>
      <c r="S329" t="s">
        <v>2511</v>
      </c>
      <c r="T329" s="3" t="s">
        <v>4578</v>
      </c>
      <c r="U329" t="s">
        <v>4579</v>
      </c>
      <c r="V329" t="s">
        <v>4580</v>
      </c>
      <c r="W329" t="s">
        <v>4581</v>
      </c>
      <c r="X329" t="s">
        <v>2385</v>
      </c>
      <c r="Y329" t="s">
        <v>4582</v>
      </c>
      <c r="Z329" t="s">
        <v>2405</v>
      </c>
      <c r="AA329" t="s">
        <v>4578</v>
      </c>
      <c r="AB329" t="s">
        <v>4583</v>
      </c>
      <c r="AC329" t="s">
        <v>4584</v>
      </c>
      <c r="AD329" t="s">
        <v>4585</v>
      </c>
      <c r="AH329" t="s">
        <v>4455</v>
      </c>
      <c r="AI329" t="s">
        <v>4157</v>
      </c>
      <c r="AJ329" t="s">
        <v>4586</v>
      </c>
      <c r="AK329" t="s">
        <v>4587</v>
      </c>
      <c r="AL329" t="s">
        <v>4588</v>
      </c>
      <c r="AM329" t="s">
        <v>3492</v>
      </c>
      <c r="AN329" t="s">
        <v>4589</v>
      </c>
      <c r="AO329" t="s">
        <v>4586</v>
      </c>
      <c r="AP329">
        <v>30</v>
      </c>
      <c r="AQ329">
        <v>30</v>
      </c>
      <c r="AR329">
        <v>30</v>
      </c>
      <c r="AS329" t="s">
        <v>4590</v>
      </c>
      <c r="AT329">
        <v>0</v>
      </c>
      <c r="AU329">
        <v>0</v>
      </c>
      <c r="AV329">
        <v>0</v>
      </c>
    </row>
    <row r="330" spans="1:48">
      <c r="A330" s="1">
        <f>_xlfn.XLOOKUP(J330,数据!E:E,数据!A:A)</f>
        <v>3</v>
      </c>
      <c r="B330" s="1">
        <f>_xlfn.XLOOKUP(J330,数据!E:E,数据!B:B)</f>
        <v>11</v>
      </c>
      <c r="C330" s="1" t="str">
        <f>_xlfn.XLOOKUP(J330,数据!E:E,数据!J:J)</f>
        <v>红单</v>
      </c>
      <c r="D330" s="1" t="str" cm="1">
        <f t="array" ref="D330">IF(OR(C330="红单",C330="空派"),_xlfn.IFS(E330="未开售","新品首批发货",F330&lt;E330,"新品首批发货",F330-E330&lt;=60,"新品期补货空运",F330-E330&gt;60,"老品应急空运"),"海运，不进行分析")</f>
        <v>新品期补货空运</v>
      </c>
      <c r="E330" s="2">
        <v>46073</v>
      </c>
      <c r="F330" s="2">
        <f>_xlfn.XLOOKUP(J330,数据!E:E,数据!C:C)</f>
        <v>46091</v>
      </c>
      <c r="G330" s="4">
        <v>117</v>
      </c>
      <c r="H330" s="4">
        <f t="shared" si="18"/>
        <v>6.435</v>
      </c>
      <c r="I330" s="4">
        <f>_xlfn.XLOOKUP(J330,数据!E:E,数据!S:S)*(H330/_xlfn.XLOOKUP(J330,数据!E:E,数据!X:X))</f>
        <v>483.649563812601</v>
      </c>
      <c r="J330" t="s">
        <v>1442</v>
      </c>
      <c r="K330" t="s">
        <v>37</v>
      </c>
      <c r="L330" t="s">
        <v>2374</v>
      </c>
      <c r="M330" t="s">
        <v>4576</v>
      </c>
      <c r="N330" t="s">
        <v>2376</v>
      </c>
      <c r="O330" t="s">
        <v>2400</v>
      </c>
      <c r="P330" t="s">
        <v>2378</v>
      </c>
      <c r="Q330" t="s">
        <v>2379</v>
      </c>
      <c r="R330" t="s">
        <v>4577</v>
      </c>
      <c r="S330" t="s">
        <v>2511</v>
      </c>
      <c r="T330" s="3" t="s">
        <v>4578</v>
      </c>
      <c r="U330" t="s">
        <v>4579</v>
      </c>
      <c r="V330" t="s">
        <v>4580</v>
      </c>
      <c r="W330" t="s">
        <v>4581</v>
      </c>
      <c r="X330" t="s">
        <v>2385</v>
      </c>
      <c r="Y330" t="s">
        <v>4582</v>
      </c>
      <c r="Z330" t="s">
        <v>2405</v>
      </c>
      <c r="AA330" t="s">
        <v>4578</v>
      </c>
      <c r="AB330" t="s">
        <v>4583</v>
      </c>
      <c r="AC330" t="s">
        <v>4584</v>
      </c>
      <c r="AD330" t="s">
        <v>4585</v>
      </c>
      <c r="AH330" t="s">
        <v>4455</v>
      </c>
      <c r="AI330" t="s">
        <v>4157</v>
      </c>
      <c r="AJ330" t="s">
        <v>4440</v>
      </c>
      <c r="AK330" t="s">
        <v>4441</v>
      </c>
      <c r="AL330" t="s">
        <v>4442</v>
      </c>
      <c r="AM330" t="s">
        <v>4093</v>
      </c>
      <c r="AN330" t="s">
        <v>4443</v>
      </c>
      <c r="AO330" t="s">
        <v>4440</v>
      </c>
      <c r="AP330">
        <v>55</v>
      </c>
      <c r="AQ330">
        <v>55</v>
      </c>
      <c r="AR330">
        <v>54</v>
      </c>
      <c r="AS330" t="s">
        <v>4591</v>
      </c>
      <c r="AT330">
        <v>0</v>
      </c>
      <c r="AU330">
        <v>-1</v>
      </c>
      <c r="AV330">
        <v>1</v>
      </c>
    </row>
    <row r="331" spans="1:48">
      <c r="A331" s="1">
        <f>_xlfn.XLOOKUP(J331,数据!E:E,数据!A:A)</f>
        <v>3</v>
      </c>
      <c r="B331" s="1">
        <f>_xlfn.XLOOKUP(J331,数据!E:E,数据!B:B)</f>
        <v>11</v>
      </c>
      <c r="C331" s="1" t="str">
        <f>_xlfn.XLOOKUP(J331,数据!E:E,数据!J:J)</f>
        <v>红单</v>
      </c>
      <c r="D331" s="1" t="str" cm="1">
        <f t="array" ref="D331">IF(OR(C331="红单",C331="空派"),_xlfn.IFS(E331="未开售","新品首批发货",F331&lt;E331,"新品首批发货",F331-E331&lt;=60,"新品期补货空运",F331-E331&gt;60,"老品应急空运"),"海运，不进行分析")</f>
        <v>新品期补货空运</v>
      </c>
      <c r="E331" s="2">
        <v>46036</v>
      </c>
      <c r="F331" s="2">
        <f>_xlfn.XLOOKUP(J331,数据!E:E,数据!C:C)</f>
        <v>46091</v>
      </c>
      <c r="G331" s="4">
        <v>120</v>
      </c>
      <c r="H331" s="4">
        <f t="shared" si="18"/>
        <v>12</v>
      </c>
      <c r="I331" s="4">
        <f>_xlfn.XLOOKUP(J331,数据!E:E,数据!S:S)*(H331/_xlfn.XLOOKUP(J331,数据!E:E,数据!X:X))</f>
        <v>856.645333333333</v>
      </c>
      <c r="J331" t="s">
        <v>1440</v>
      </c>
      <c r="K331" t="s">
        <v>78</v>
      </c>
      <c r="L331" t="s">
        <v>2374</v>
      </c>
      <c r="M331" t="s">
        <v>4592</v>
      </c>
      <c r="N331" t="s">
        <v>2376</v>
      </c>
      <c r="O331" t="s">
        <v>2377</v>
      </c>
      <c r="P331" t="s">
        <v>2378</v>
      </c>
      <c r="Q331" t="s">
        <v>2379</v>
      </c>
      <c r="R331" t="s">
        <v>4593</v>
      </c>
      <c r="S331" t="s">
        <v>2511</v>
      </c>
      <c r="T331" s="3" t="s">
        <v>4594</v>
      </c>
      <c r="U331" t="s">
        <v>4595</v>
      </c>
      <c r="V331" t="s">
        <v>4596</v>
      </c>
      <c r="W331" t="s">
        <v>4597</v>
      </c>
      <c r="X331" t="s">
        <v>2403</v>
      </c>
      <c r="Y331" t="s">
        <v>4598</v>
      </c>
      <c r="Z331" t="s">
        <v>2387</v>
      </c>
      <c r="AA331" t="s">
        <v>4594</v>
      </c>
      <c r="AB331" t="s">
        <v>4599</v>
      </c>
      <c r="AC331" t="s">
        <v>4600</v>
      </c>
      <c r="AD331" t="s">
        <v>4585</v>
      </c>
      <c r="AH331" t="s">
        <v>4455</v>
      </c>
      <c r="AI331" t="s">
        <v>4157</v>
      </c>
      <c r="AJ331" t="s">
        <v>2853</v>
      </c>
      <c r="AK331" t="s">
        <v>2854</v>
      </c>
      <c r="AL331" t="s">
        <v>2855</v>
      </c>
      <c r="AM331" t="s">
        <v>2856</v>
      </c>
      <c r="AN331" t="s">
        <v>2857</v>
      </c>
      <c r="AO331" t="s">
        <v>2853</v>
      </c>
      <c r="AP331">
        <v>100</v>
      </c>
      <c r="AQ331">
        <v>100</v>
      </c>
      <c r="AR331">
        <v>100</v>
      </c>
      <c r="AS331" t="s">
        <v>4601</v>
      </c>
      <c r="AT331">
        <v>0</v>
      </c>
      <c r="AU331">
        <v>0</v>
      </c>
      <c r="AV331">
        <v>0</v>
      </c>
    </row>
    <row r="332" spans="1:48">
      <c r="A332" s="1">
        <f>_xlfn.XLOOKUP(J332,数据!E:E,数据!A:A)</f>
        <v>3</v>
      </c>
      <c r="B332" s="1">
        <f>_xlfn.XLOOKUP(J332,数据!E:E,数据!B:B)</f>
        <v>11</v>
      </c>
      <c r="C332" s="1" t="str">
        <f>_xlfn.XLOOKUP(J332,数据!E:E,数据!J:J)</f>
        <v>红单</v>
      </c>
      <c r="D332" s="1" t="str" cm="1">
        <f t="array" ref="D332">IF(OR(C332="红单",C332="空派"),_xlfn.IFS(E332="未开售","新品首批发货",F332&lt;E332,"新品首批发货",F332-E332&lt;=60,"新品期补货空运",F332-E332&gt;60,"老品应急空运"),"海运，不进行分析")</f>
        <v>老品应急空运</v>
      </c>
      <c r="E332" s="2">
        <v>46029</v>
      </c>
      <c r="F332" s="2">
        <f>_xlfn.XLOOKUP(J332,数据!E:E,数据!C:C)</f>
        <v>46091</v>
      </c>
      <c r="G332" s="4">
        <v>76</v>
      </c>
      <c r="H332" s="4">
        <f t="shared" si="18"/>
        <v>7.98</v>
      </c>
      <c r="I332" s="4">
        <f>_xlfn.XLOOKUP(J332,数据!E:E,数据!S:S)*(H332/_xlfn.XLOOKUP(J332,数据!E:E,数据!X:X))</f>
        <v>586.121624850655</v>
      </c>
      <c r="J332" t="s">
        <v>1441</v>
      </c>
      <c r="K332" t="s">
        <v>59</v>
      </c>
      <c r="L332" t="s">
        <v>2374</v>
      </c>
      <c r="M332" t="s">
        <v>4602</v>
      </c>
      <c r="N332" t="s">
        <v>2376</v>
      </c>
      <c r="O332" t="s">
        <v>2400</v>
      </c>
      <c r="P332" t="s">
        <v>2378</v>
      </c>
      <c r="Q332" t="s">
        <v>2379</v>
      </c>
      <c r="R332" t="s">
        <v>4603</v>
      </c>
      <c r="S332" t="s">
        <v>2511</v>
      </c>
      <c r="T332" s="3" t="s">
        <v>4594</v>
      </c>
      <c r="U332" t="s">
        <v>4604</v>
      </c>
      <c r="V332" t="s">
        <v>4605</v>
      </c>
      <c r="W332" t="s">
        <v>4606</v>
      </c>
      <c r="X332" t="s">
        <v>2385</v>
      </c>
      <c r="Y332" t="s">
        <v>4607</v>
      </c>
      <c r="Z332" t="s">
        <v>2387</v>
      </c>
      <c r="AA332" t="s">
        <v>4594</v>
      </c>
      <c r="AB332" t="s">
        <v>4491</v>
      </c>
      <c r="AC332" t="s">
        <v>4608</v>
      </c>
      <c r="AD332" t="s">
        <v>4585</v>
      </c>
      <c r="AH332" t="s">
        <v>4455</v>
      </c>
      <c r="AI332" t="s">
        <v>4157</v>
      </c>
      <c r="AJ332" t="s">
        <v>4609</v>
      </c>
      <c r="AK332" t="s">
        <v>4610</v>
      </c>
      <c r="AL332" t="s">
        <v>4611</v>
      </c>
      <c r="AM332" t="s">
        <v>4612</v>
      </c>
      <c r="AN332" t="s">
        <v>4613</v>
      </c>
      <c r="AO332" t="s">
        <v>4609</v>
      </c>
      <c r="AP332">
        <v>105</v>
      </c>
      <c r="AQ332">
        <v>105</v>
      </c>
      <c r="AR332">
        <v>88</v>
      </c>
      <c r="AS332" t="s">
        <v>4614</v>
      </c>
      <c r="AT332">
        <v>0</v>
      </c>
      <c r="AU332">
        <v>-17</v>
      </c>
      <c r="AV332">
        <v>17</v>
      </c>
    </row>
    <row r="333" spans="1:48">
      <c r="A333" s="1">
        <f>_xlfn.XLOOKUP(J333,数据!E:E,数据!A:A)</f>
        <v>3</v>
      </c>
      <c r="B333" s="1">
        <f>_xlfn.XLOOKUP(J333,数据!E:E,数据!B:B)</f>
        <v>11</v>
      </c>
      <c r="C333" s="1" t="str">
        <f>_xlfn.XLOOKUP(J333,数据!E:E,数据!J:J)</f>
        <v>红单</v>
      </c>
      <c r="D333" s="1" t="str" cm="1">
        <f t="array" ref="D333">IF(OR(C333="红单",C333="空派"),_xlfn.IFS(E333="未开售","新品首批发货",F333&lt;E333,"新品首批发货",F333-E333&lt;=60,"新品期补货空运",F333-E333&gt;60,"老品应急空运"),"海运，不进行分析")</f>
        <v>新品期补货空运</v>
      </c>
      <c r="E333" s="2">
        <v>46033</v>
      </c>
      <c r="F333" s="2">
        <f>_xlfn.XLOOKUP(J333,数据!E:E,数据!C:C)</f>
        <v>46091</v>
      </c>
      <c r="G333" s="4">
        <v>73</v>
      </c>
      <c r="H333" s="4">
        <f t="shared" si="18"/>
        <v>8.76</v>
      </c>
      <c r="I333" s="4">
        <f>_xlfn.XLOOKUP(J333,数据!E:E,数据!S:S)*(H333/_xlfn.XLOOKUP(J333,数据!E:E,数据!X:X))</f>
        <v>643.411708482674</v>
      </c>
      <c r="J333" t="s">
        <v>1441</v>
      </c>
      <c r="K333" t="s">
        <v>59</v>
      </c>
      <c r="L333" t="s">
        <v>2374</v>
      </c>
      <c r="M333" t="s">
        <v>4602</v>
      </c>
      <c r="N333" t="s">
        <v>2376</v>
      </c>
      <c r="O333" t="s">
        <v>2400</v>
      </c>
      <c r="P333" t="s">
        <v>2378</v>
      </c>
      <c r="Q333" t="s">
        <v>2379</v>
      </c>
      <c r="R333" t="s">
        <v>4603</v>
      </c>
      <c r="S333" t="s">
        <v>2511</v>
      </c>
      <c r="T333" s="3" t="s">
        <v>4594</v>
      </c>
      <c r="U333" t="s">
        <v>4604</v>
      </c>
      <c r="V333" t="s">
        <v>4605</v>
      </c>
      <c r="W333" t="s">
        <v>4606</v>
      </c>
      <c r="X333" t="s">
        <v>2385</v>
      </c>
      <c r="Y333" t="s">
        <v>4607</v>
      </c>
      <c r="Z333" t="s">
        <v>2387</v>
      </c>
      <c r="AA333" t="s">
        <v>4594</v>
      </c>
      <c r="AB333" t="s">
        <v>4491</v>
      </c>
      <c r="AC333" t="s">
        <v>4608</v>
      </c>
      <c r="AD333" t="s">
        <v>4585</v>
      </c>
      <c r="AH333" t="s">
        <v>4455</v>
      </c>
      <c r="AI333" t="s">
        <v>4157</v>
      </c>
      <c r="AJ333" t="s">
        <v>4615</v>
      </c>
      <c r="AK333" t="s">
        <v>4616</v>
      </c>
      <c r="AL333" t="s">
        <v>4617</v>
      </c>
      <c r="AM333" t="s">
        <v>2940</v>
      </c>
      <c r="AN333" t="s">
        <v>4618</v>
      </c>
      <c r="AO333" t="s">
        <v>4615</v>
      </c>
      <c r="AP333">
        <v>120</v>
      </c>
      <c r="AQ333">
        <v>120</v>
      </c>
      <c r="AR333">
        <v>80</v>
      </c>
      <c r="AS333" t="s">
        <v>4619</v>
      </c>
      <c r="AT333">
        <v>0</v>
      </c>
      <c r="AU333">
        <v>-40</v>
      </c>
      <c r="AV333">
        <v>40</v>
      </c>
    </row>
    <row r="334" spans="1:48">
      <c r="A334" s="1">
        <f>_xlfn.XLOOKUP(J334,数据!E:E,数据!A:A)</f>
        <v>3</v>
      </c>
      <c r="B334" s="1">
        <f>_xlfn.XLOOKUP(J334,数据!E:E,数据!B:B)</f>
        <v>10</v>
      </c>
      <c r="C334" s="1" t="str">
        <f>_xlfn.XLOOKUP(J334,数据!E:E,数据!J:J)</f>
        <v>红单</v>
      </c>
      <c r="D334" s="1" t="str" cm="1">
        <f t="array" ref="D334">IF(OR(C334="红单",C334="空派"),_xlfn.IFS(E334="未开售","新品首批发货",F334&lt;E334,"新品首批发货",F334-E334&lt;=60,"新品期补货空运",F334-E334&gt;60,"老品应急空运"),"海运，不进行分析")</f>
        <v>新品期补货空运</v>
      </c>
      <c r="E334" s="2">
        <v>46061</v>
      </c>
      <c r="F334" s="2">
        <f>_xlfn.XLOOKUP(J334,数据!E:E,数据!C:C)</f>
        <v>46087</v>
      </c>
      <c r="G334" s="4">
        <v>156</v>
      </c>
      <c r="H334" s="4">
        <f t="shared" ref="H334:H350" si="19">G334*AP334/1000</f>
        <v>20.28</v>
      </c>
      <c r="I334" s="4">
        <f>_xlfn.XLOOKUP(J334,数据!E:E,数据!S:S)*(H334/_xlfn.XLOOKUP(J334,数据!E:E,数据!X:X))</f>
        <v>1712.072</v>
      </c>
      <c r="J334" t="s">
        <v>1330</v>
      </c>
      <c r="K334" t="s">
        <v>51</v>
      </c>
      <c r="L334" t="s">
        <v>2374</v>
      </c>
      <c r="M334" t="s">
        <v>4620</v>
      </c>
      <c r="N334" t="s">
        <v>2376</v>
      </c>
      <c r="O334" t="s">
        <v>2377</v>
      </c>
      <c r="P334" t="s">
        <v>2378</v>
      </c>
      <c r="Q334" t="s">
        <v>2379</v>
      </c>
      <c r="R334" t="s">
        <v>4621</v>
      </c>
      <c r="S334" t="s">
        <v>2511</v>
      </c>
      <c r="T334" s="3" t="s">
        <v>4622</v>
      </c>
      <c r="U334" t="s">
        <v>4623</v>
      </c>
      <c r="V334" t="s">
        <v>4624</v>
      </c>
      <c r="W334" t="s">
        <v>4625</v>
      </c>
      <c r="X334" t="s">
        <v>2403</v>
      </c>
      <c r="Y334" t="s">
        <v>4626</v>
      </c>
      <c r="Z334" t="s">
        <v>2405</v>
      </c>
      <c r="AA334" t="s">
        <v>4622</v>
      </c>
      <c r="AB334" t="s">
        <v>4627</v>
      </c>
      <c r="AC334" t="s">
        <v>4628</v>
      </c>
      <c r="AD334" t="s">
        <v>4629</v>
      </c>
      <c r="AH334" t="s">
        <v>4630</v>
      </c>
      <c r="AI334" t="s">
        <v>4455</v>
      </c>
      <c r="AJ334" t="s">
        <v>4631</v>
      </c>
      <c r="AK334" t="s">
        <v>4632</v>
      </c>
      <c r="AL334" t="s">
        <v>4633</v>
      </c>
      <c r="AM334" t="s">
        <v>4633</v>
      </c>
      <c r="AN334" t="s">
        <v>4634</v>
      </c>
      <c r="AO334" t="s">
        <v>4631</v>
      </c>
      <c r="AP334">
        <v>130</v>
      </c>
      <c r="AQ334">
        <v>130</v>
      </c>
      <c r="AR334">
        <v>130</v>
      </c>
      <c r="AS334" t="s">
        <v>4635</v>
      </c>
      <c r="AT334">
        <v>0</v>
      </c>
      <c r="AU334">
        <v>0</v>
      </c>
      <c r="AV334">
        <v>0</v>
      </c>
    </row>
    <row r="335" spans="1:48">
      <c r="A335" s="1">
        <f>_xlfn.XLOOKUP(J335,数据!E:E,数据!A:A)</f>
        <v>3</v>
      </c>
      <c r="B335" s="1">
        <f>_xlfn.XLOOKUP(J335,数据!E:E,数据!B:B)</f>
        <v>10</v>
      </c>
      <c r="C335" s="1" t="str">
        <f>_xlfn.XLOOKUP(J335,数据!E:E,数据!J:J)</f>
        <v>空派</v>
      </c>
      <c r="D335" s="1" t="str" cm="1">
        <f t="array" ref="D335">IF(OR(C335="红单",C335="空派"),_xlfn.IFS(E335="未开售","新品首批发货",F335&lt;E335,"新品首批发货",F335-E335&lt;=60,"新品期补货空运",F335-E335&gt;60,"老品应急空运"),"海运，不进行分析")</f>
        <v>新品期补货空运</v>
      </c>
      <c r="E335" s="2">
        <v>46083</v>
      </c>
      <c r="F335" s="2">
        <f>_xlfn.XLOOKUP(J335,数据!E:E,数据!C:C)</f>
        <v>46087</v>
      </c>
      <c r="G335" s="4">
        <v>115</v>
      </c>
      <c r="H335" s="4">
        <f t="shared" si="19"/>
        <v>2.3</v>
      </c>
      <c r="I335" s="4">
        <f>_xlfn.XLOOKUP(J335,数据!E:E,数据!S:S)*(H335/_xlfn.XLOOKUP(J335,数据!E:E,数据!X:X))</f>
        <v>126.373333333333</v>
      </c>
      <c r="J335" t="s">
        <v>1334</v>
      </c>
      <c r="K335" t="s">
        <v>51</v>
      </c>
      <c r="L335" t="s">
        <v>2374</v>
      </c>
      <c r="M335" t="s">
        <v>4636</v>
      </c>
      <c r="N335" t="s">
        <v>2376</v>
      </c>
      <c r="O335" t="s">
        <v>2400</v>
      </c>
      <c r="P335" t="s">
        <v>2378</v>
      </c>
      <c r="Q335" t="s">
        <v>2379</v>
      </c>
      <c r="R335" t="s">
        <v>4637</v>
      </c>
      <c r="S335" t="s">
        <v>2511</v>
      </c>
      <c r="T335" s="3" t="s">
        <v>4638</v>
      </c>
      <c r="U335" t="s">
        <v>4639</v>
      </c>
      <c r="V335" t="s">
        <v>4640</v>
      </c>
      <c r="W335" t="s">
        <v>4641</v>
      </c>
      <c r="X335" t="s">
        <v>2385</v>
      </c>
      <c r="Y335" t="s">
        <v>4642</v>
      </c>
      <c r="Z335" t="s">
        <v>2405</v>
      </c>
      <c r="AA335" t="s">
        <v>4638</v>
      </c>
      <c r="AB335" t="s">
        <v>4120</v>
      </c>
      <c r="AC335" t="s">
        <v>4643</v>
      </c>
      <c r="AD335" t="s">
        <v>4644</v>
      </c>
      <c r="AH335" t="s">
        <v>4630</v>
      </c>
      <c r="AI335" t="s">
        <v>4455</v>
      </c>
      <c r="AJ335" t="s">
        <v>4123</v>
      </c>
      <c r="AK335" t="s">
        <v>4124</v>
      </c>
      <c r="AL335" t="s">
        <v>4125</v>
      </c>
      <c r="AM335" t="s">
        <v>3781</v>
      </c>
      <c r="AN335" t="s">
        <v>4126</v>
      </c>
      <c r="AO335" t="s">
        <v>4123</v>
      </c>
      <c r="AP335">
        <v>20</v>
      </c>
      <c r="AQ335">
        <v>20</v>
      </c>
      <c r="AR335">
        <v>20</v>
      </c>
      <c r="AS335" t="s">
        <v>4645</v>
      </c>
      <c r="AT335">
        <v>0</v>
      </c>
      <c r="AU335">
        <v>0</v>
      </c>
      <c r="AV335">
        <v>0</v>
      </c>
    </row>
    <row r="336" spans="1:48">
      <c r="A336" s="1">
        <f>_xlfn.XLOOKUP(J336,数据!E:E,数据!A:A)</f>
        <v>3</v>
      </c>
      <c r="B336" s="1">
        <f>_xlfn.XLOOKUP(J336,数据!E:E,数据!B:B)</f>
        <v>10</v>
      </c>
      <c r="C336" s="1" t="str">
        <f>_xlfn.XLOOKUP(J336,数据!E:E,数据!J:J)</f>
        <v>空派</v>
      </c>
      <c r="D336" s="1" t="str" cm="1">
        <f t="array" ref="D336">IF(OR(C336="红单",C336="空派"),_xlfn.IFS(E336="未开售","新品首批发货",F336&lt;E336,"新品首批发货",F336-E336&lt;=60,"新品期补货空运",F336-E336&gt;60,"老品应急空运"),"海运，不进行分析")</f>
        <v>新品期补货空运</v>
      </c>
      <c r="E336" s="2">
        <v>46072</v>
      </c>
      <c r="F336" s="2">
        <f>_xlfn.XLOOKUP(J336,数据!E:E,数据!C:C)</f>
        <v>46087</v>
      </c>
      <c r="G336" s="4">
        <v>115</v>
      </c>
      <c r="H336" s="4">
        <f t="shared" si="19"/>
        <v>8.05</v>
      </c>
      <c r="I336" s="4">
        <f>_xlfn.XLOOKUP(J336,数据!E:E,数据!S:S)*(H336/_xlfn.XLOOKUP(J336,数据!E:E,数据!X:X))</f>
        <v>442.306666666666</v>
      </c>
      <c r="J336" t="s">
        <v>1334</v>
      </c>
      <c r="K336" t="s">
        <v>51</v>
      </c>
      <c r="L336" t="s">
        <v>2374</v>
      </c>
      <c r="M336" t="s">
        <v>4636</v>
      </c>
      <c r="N336" t="s">
        <v>2376</v>
      </c>
      <c r="O336" t="s">
        <v>2400</v>
      </c>
      <c r="P336" t="s">
        <v>2378</v>
      </c>
      <c r="Q336" t="s">
        <v>2379</v>
      </c>
      <c r="R336" t="s">
        <v>4637</v>
      </c>
      <c r="S336" t="s">
        <v>2511</v>
      </c>
      <c r="T336" s="3" t="s">
        <v>4638</v>
      </c>
      <c r="U336" t="s">
        <v>4639</v>
      </c>
      <c r="V336" t="s">
        <v>4640</v>
      </c>
      <c r="W336" t="s">
        <v>4641</v>
      </c>
      <c r="X336" t="s">
        <v>2385</v>
      </c>
      <c r="Y336" t="s">
        <v>4642</v>
      </c>
      <c r="Z336" t="s">
        <v>2405</v>
      </c>
      <c r="AA336" t="s">
        <v>4638</v>
      </c>
      <c r="AB336" t="s">
        <v>4120</v>
      </c>
      <c r="AC336" t="s">
        <v>4643</v>
      </c>
      <c r="AD336" t="s">
        <v>4644</v>
      </c>
      <c r="AH336" t="s">
        <v>4630</v>
      </c>
      <c r="AI336" t="s">
        <v>4455</v>
      </c>
      <c r="AJ336" t="s">
        <v>4646</v>
      </c>
      <c r="AK336" t="s">
        <v>4647</v>
      </c>
      <c r="AL336" t="s">
        <v>4648</v>
      </c>
      <c r="AM336" t="s">
        <v>3781</v>
      </c>
      <c r="AN336" t="s">
        <v>4649</v>
      </c>
      <c r="AO336" t="s">
        <v>4646</v>
      </c>
      <c r="AP336">
        <v>70</v>
      </c>
      <c r="AQ336">
        <v>70</v>
      </c>
      <c r="AR336">
        <v>69</v>
      </c>
      <c r="AS336" t="s">
        <v>4650</v>
      </c>
      <c r="AT336">
        <v>0</v>
      </c>
      <c r="AU336">
        <v>-1</v>
      </c>
      <c r="AV336">
        <v>1</v>
      </c>
    </row>
    <row r="337" spans="1:48">
      <c r="A337" s="1">
        <f>_xlfn.XLOOKUP(J337,数据!E:E,数据!A:A)</f>
        <v>3</v>
      </c>
      <c r="B337" s="1">
        <f>_xlfn.XLOOKUP(J337,数据!E:E,数据!B:B)</f>
        <v>10</v>
      </c>
      <c r="C337" s="1" t="str">
        <f>_xlfn.XLOOKUP(J337,数据!E:E,数据!J:J)</f>
        <v>空派</v>
      </c>
      <c r="D337" s="1" t="str" cm="1">
        <f t="array" ref="D337">IF(OR(C337="红单",C337="空派"),_xlfn.IFS(E337="未开售","新品首批发货",F337&lt;E337,"新品首批发货",F337-E337&lt;=60,"新品期补货空运",F337-E337&gt;60,"老品应急空运"),"海运，不进行分析")</f>
        <v>新品期补货空运</v>
      </c>
      <c r="E337" s="2">
        <v>46072</v>
      </c>
      <c r="F337" s="2">
        <f>_xlfn.XLOOKUP(J337,数据!E:E,数据!C:C)</f>
        <v>46087</v>
      </c>
      <c r="G337" s="4">
        <v>115</v>
      </c>
      <c r="H337" s="4">
        <f t="shared" si="19"/>
        <v>2.3</v>
      </c>
      <c r="I337" s="4">
        <f>_xlfn.XLOOKUP(J337,数据!E:E,数据!S:S)*(H337/_xlfn.XLOOKUP(J337,数据!E:E,数据!X:X))</f>
        <v>126.373333333333</v>
      </c>
      <c r="J337" t="s">
        <v>1334</v>
      </c>
      <c r="K337" t="s">
        <v>51</v>
      </c>
      <c r="L337" t="s">
        <v>2374</v>
      </c>
      <c r="M337" t="s">
        <v>4636</v>
      </c>
      <c r="N337" t="s">
        <v>2376</v>
      </c>
      <c r="O337" t="s">
        <v>2400</v>
      </c>
      <c r="P337" t="s">
        <v>2378</v>
      </c>
      <c r="Q337" t="s">
        <v>2379</v>
      </c>
      <c r="R337" t="s">
        <v>4637</v>
      </c>
      <c r="S337" t="s">
        <v>2511</v>
      </c>
      <c r="T337" s="3" t="s">
        <v>4638</v>
      </c>
      <c r="U337" t="s">
        <v>4639</v>
      </c>
      <c r="V337" t="s">
        <v>4640</v>
      </c>
      <c r="W337" t="s">
        <v>4641</v>
      </c>
      <c r="X337" t="s">
        <v>2385</v>
      </c>
      <c r="Y337" t="s">
        <v>4642</v>
      </c>
      <c r="Z337" t="s">
        <v>2405</v>
      </c>
      <c r="AA337" t="s">
        <v>4638</v>
      </c>
      <c r="AB337" t="s">
        <v>4120</v>
      </c>
      <c r="AC337" t="s">
        <v>4643</v>
      </c>
      <c r="AD337" t="s">
        <v>4644</v>
      </c>
      <c r="AH337" t="s">
        <v>4630</v>
      </c>
      <c r="AI337" t="s">
        <v>4455</v>
      </c>
      <c r="AJ337" t="s">
        <v>4651</v>
      </c>
      <c r="AK337" t="s">
        <v>4652</v>
      </c>
      <c r="AL337" t="s">
        <v>4653</v>
      </c>
      <c r="AM337" t="s">
        <v>3781</v>
      </c>
      <c r="AN337" t="s">
        <v>4654</v>
      </c>
      <c r="AO337" t="s">
        <v>4651</v>
      </c>
      <c r="AP337">
        <v>20</v>
      </c>
      <c r="AQ337">
        <v>20</v>
      </c>
      <c r="AR337">
        <v>20</v>
      </c>
      <c r="AS337" t="s">
        <v>4655</v>
      </c>
      <c r="AT337">
        <v>0</v>
      </c>
      <c r="AU337">
        <v>0</v>
      </c>
      <c r="AV337">
        <v>0</v>
      </c>
    </row>
    <row r="338" spans="1:48">
      <c r="A338" s="1">
        <f>_xlfn.XLOOKUP(J338,数据!E:E,数据!A:A)</f>
        <v>3</v>
      </c>
      <c r="B338" s="1">
        <f>_xlfn.XLOOKUP(J338,数据!E:E,数据!B:B)</f>
        <v>10</v>
      </c>
      <c r="C338" s="1" t="str">
        <f>_xlfn.XLOOKUP(J338,数据!E:E,数据!J:J)</f>
        <v>空派</v>
      </c>
      <c r="D338" s="1" t="str" cm="1">
        <f t="array" ref="D338">IF(OR(C338="红单",C338="空派"),_xlfn.IFS(E338="未开售","新品首批发货",F338&lt;E338,"新品首批发货",F338-E338&lt;=60,"新品期补货空运",F338-E338&gt;60,"老品应急空运"),"海运，不进行分析")</f>
        <v>新品首批发货</v>
      </c>
      <c r="E338" s="2">
        <v>46107</v>
      </c>
      <c r="F338" s="2">
        <f>_xlfn.XLOOKUP(J338,数据!E:E,数据!C:C)</f>
        <v>46087</v>
      </c>
      <c r="G338" s="4">
        <v>116</v>
      </c>
      <c r="H338" s="4">
        <f t="shared" si="19"/>
        <v>17.4</v>
      </c>
      <c r="I338" s="4">
        <f>_xlfn.XLOOKUP(J338,数据!E:E,数据!S:S)*(H338/_xlfn.XLOOKUP(J338,数据!E:E,数据!X:X))</f>
        <v>876.902934690414</v>
      </c>
      <c r="J338" t="s">
        <v>1332</v>
      </c>
      <c r="K338" t="s">
        <v>37</v>
      </c>
      <c r="L338" t="s">
        <v>2374</v>
      </c>
      <c r="M338" t="s">
        <v>4656</v>
      </c>
      <c r="N338" t="s">
        <v>2376</v>
      </c>
      <c r="O338" t="s">
        <v>2377</v>
      </c>
      <c r="P338" t="s">
        <v>2378</v>
      </c>
      <c r="Q338" t="s">
        <v>2379</v>
      </c>
      <c r="R338" t="s">
        <v>4657</v>
      </c>
      <c r="S338" t="s">
        <v>2511</v>
      </c>
      <c r="T338" s="3" t="s">
        <v>4638</v>
      </c>
      <c r="U338" t="s">
        <v>4639</v>
      </c>
      <c r="V338" t="s">
        <v>4658</v>
      </c>
      <c r="W338" t="s">
        <v>4659</v>
      </c>
      <c r="X338" t="s">
        <v>2385</v>
      </c>
      <c r="Y338" t="s">
        <v>4660</v>
      </c>
      <c r="Z338" t="s">
        <v>2405</v>
      </c>
      <c r="AA338" t="s">
        <v>4638</v>
      </c>
      <c r="AB338" t="s">
        <v>4661</v>
      </c>
      <c r="AC338" t="s">
        <v>4662</v>
      </c>
      <c r="AD338" t="s">
        <v>4644</v>
      </c>
      <c r="AH338" t="s">
        <v>4630</v>
      </c>
      <c r="AI338" t="s">
        <v>4455</v>
      </c>
      <c r="AJ338" t="s">
        <v>2884</v>
      </c>
      <c r="AK338" t="s">
        <v>2885</v>
      </c>
      <c r="AL338" t="s">
        <v>2886</v>
      </c>
      <c r="AM338" t="s">
        <v>2887</v>
      </c>
      <c r="AN338" t="s">
        <v>2888</v>
      </c>
      <c r="AO338" t="s">
        <v>2884</v>
      </c>
      <c r="AP338">
        <v>150</v>
      </c>
      <c r="AQ338">
        <v>150</v>
      </c>
      <c r="AR338">
        <v>149</v>
      </c>
      <c r="AS338" t="s">
        <v>4663</v>
      </c>
      <c r="AT338">
        <v>0</v>
      </c>
      <c r="AU338">
        <v>-1</v>
      </c>
      <c r="AV338">
        <v>1</v>
      </c>
    </row>
    <row r="339" spans="1:48">
      <c r="A339" s="1">
        <f>_xlfn.XLOOKUP(J339,数据!E:E,数据!A:A)</f>
        <v>3</v>
      </c>
      <c r="B339" s="1">
        <f>_xlfn.XLOOKUP(J339,数据!E:E,数据!B:B)</f>
        <v>10</v>
      </c>
      <c r="C339" s="1" t="str">
        <f>_xlfn.XLOOKUP(J339,数据!E:E,数据!J:J)</f>
        <v>空派</v>
      </c>
      <c r="D339" s="1" t="str" cm="1">
        <f t="array" ref="D339">IF(OR(C339="红单",C339="空派"),_xlfn.IFS(E339="未开售","新品首批发货",F339&lt;E339,"新品首批发货",F339-E339&lt;=60,"新品期补货空运",F339-E339&gt;60,"老品应急空运"),"海运，不进行分析")</f>
        <v>新品首批发货</v>
      </c>
      <c r="E339" s="2">
        <v>46104</v>
      </c>
      <c r="F339" s="2">
        <f>_xlfn.XLOOKUP(J339,数据!E:E,数据!C:C)</f>
        <v>46087</v>
      </c>
      <c r="G339" s="4">
        <v>108</v>
      </c>
      <c r="H339" s="4">
        <f t="shared" si="19"/>
        <v>16.2</v>
      </c>
      <c r="I339" s="4">
        <f>_xlfn.XLOOKUP(J339,数据!E:E,数据!S:S)*(H339/_xlfn.XLOOKUP(J339,数据!E:E,数据!X:X))</f>
        <v>816.426870229007</v>
      </c>
      <c r="J339" t="s">
        <v>1332</v>
      </c>
      <c r="K339" t="s">
        <v>37</v>
      </c>
      <c r="L339" t="s">
        <v>2374</v>
      </c>
      <c r="M339" t="s">
        <v>4656</v>
      </c>
      <c r="N339" t="s">
        <v>2376</v>
      </c>
      <c r="O339" t="s">
        <v>2377</v>
      </c>
      <c r="P339" t="s">
        <v>2378</v>
      </c>
      <c r="Q339" t="s">
        <v>2379</v>
      </c>
      <c r="R339" t="s">
        <v>4657</v>
      </c>
      <c r="S339" t="s">
        <v>2511</v>
      </c>
      <c r="T339" s="3" t="s">
        <v>4638</v>
      </c>
      <c r="U339" t="s">
        <v>4639</v>
      </c>
      <c r="V339" t="s">
        <v>4658</v>
      </c>
      <c r="W339" t="s">
        <v>4659</v>
      </c>
      <c r="X339" t="s">
        <v>2385</v>
      </c>
      <c r="Y339" t="s">
        <v>4660</v>
      </c>
      <c r="Z339" t="s">
        <v>2405</v>
      </c>
      <c r="AA339" t="s">
        <v>4638</v>
      </c>
      <c r="AB339" t="s">
        <v>4661</v>
      </c>
      <c r="AC339" t="s">
        <v>4662</v>
      </c>
      <c r="AD339" t="s">
        <v>4644</v>
      </c>
      <c r="AH339" t="s">
        <v>4630</v>
      </c>
      <c r="AI339" t="s">
        <v>4455</v>
      </c>
      <c r="AJ339" t="s">
        <v>4664</v>
      </c>
      <c r="AK339" t="s">
        <v>4665</v>
      </c>
      <c r="AL339" t="s">
        <v>4666</v>
      </c>
      <c r="AM339" t="s">
        <v>4079</v>
      </c>
      <c r="AN339" t="s">
        <v>4667</v>
      </c>
      <c r="AO339" t="s">
        <v>4664</v>
      </c>
      <c r="AP339">
        <v>150</v>
      </c>
      <c r="AQ339">
        <v>150</v>
      </c>
      <c r="AR339">
        <v>149</v>
      </c>
      <c r="AS339" t="s">
        <v>4668</v>
      </c>
      <c r="AT339">
        <v>0</v>
      </c>
      <c r="AU339">
        <v>-1</v>
      </c>
      <c r="AV339">
        <v>1</v>
      </c>
    </row>
    <row r="340" spans="1:48">
      <c r="A340" s="1">
        <f>_xlfn.XLOOKUP(J340,数据!E:E,数据!A:A)</f>
        <v>3</v>
      </c>
      <c r="B340" s="1">
        <f>_xlfn.XLOOKUP(J340,数据!E:E,数据!B:B)</f>
        <v>10</v>
      </c>
      <c r="C340" s="1" t="str">
        <f>_xlfn.XLOOKUP(J340,数据!E:E,数据!J:J)</f>
        <v>空派</v>
      </c>
      <c r="D340" s="1" t="str" cm="1">
        <f t="array" ref="D340">IF(OR(C340="红单",C340="空派"),_xlfn.IFS(E340="未开售","新品首批发货",F340&lt;E340,"新品首批发货",F340-E340&lt;=60,"新品期补货空运",F340-E340&gt;60,"老品应急空运"),"海运，不进行分析")</f>
        <v>新品首批发货</v>
      </c>
      <c r="E340" s="2">
        <v>46108</v>
      </c>
      <c r="F340" s="2">
        <f>_xlfn.XLOOKUP(J340,数据!E:E,数据!C:C)</f>
        <v>46087</v>
      </c>
      <c r="G340" s="4">
        <v>113</v>
      </c>
      <c r="H340" s="4">
        <f t="shared" si="19"/>
        <v>13.56</v>
      </c>
      <c r="I340" s="4">
        <f>_xlfn.XLOOKUP(J340,数据!E:E,数据!S:S)*(H340/_xlfn.XLOOKUP(J340,数据!E:E,数据!X:X))</f>
        <v>683.379528413909</v>
      </c>
      <c r="J340" t="s">
        <v>1332</v>
      </c>
      <c r="K340" t="s">
        <v>37</v>
      </c>
      <c r="L340" t="s">
        <v>2374</v>
      </c>
      <c r="M340" t="s">
        <v>4656</v>
      </c>
      <c r="N340" t="s">
        <v>2376</v>
      </c>
      <c r="O340" t="s">
        <v>2377</v>
      </c>
      <c r="P340" t="s">
        <v>2378</v>
      </c>
      <c r="Q340" t="s">
        <v>2379</v>
      </c>
      <c r="R340" t="s">
        <v>4657</v>
      </c>
      <c r="S340" t="s">
        <v>2511</v>
      </c>
      <c r="T340" s="3" t="s">
        <v>4638</v>
      </c>
      <c r="U340" t="s">
        <v>4639</v>
      </c>
      <c r="V340" t="s">
        <v>4658</v>
      </c>
      <c r="W340" t="s">
        <v>4659</v>
      </c>
      <c r="X340" t="s">
        <v>2385</v>
      </c>
      <c r="Y340" t="s">
        <v>4660</v>
      </c>
      <c r="Z340" t="s">
        <v>2405</v>
      </c>
      <c r="AA340" t="s">
        <v>4638</v>
      </c>
      <c r="AB340" t="s">
        <v>4661</v>
      </c>
      <c r="AC340" t="s">
        <v>4662</v>
      </c>
      <c r="AD340" t="s">
        <v>4644</v>
      </c>
      <c r="AH340" t="s">
        <v>4630</v>
      </c>
      <c r="AI340" t="s">
        <v>4455</v>
      </c>
      <c r="AJ340" t="s">
        <v>4669</v>
      </c>
      <c r="AK340" t="s">
        <v>4670</v>
      </c>
      <c r="AL340" t="s">
        <v>4671</v>
      </c>
      <c r="AM340" t="s">
        <v>4671</v>
      </c>
      <c r="AN340" t="s">
        <v>4672</v>
      </c>
      <c r="AO340" t="s">
        <v>4669</v>
      </c>
      <c r="AP340">
        <v>120</v>
      </c>
      <c r="AQ340">
        <v>120</v>
      </c>
      <c r="AR340">
        <v>121</v>
      </c>
      <c r="AS340" t="s">
        <v>4673</v>
      </c>
      <c r="AT340">
        <v>0</v>
      </c>
      <c r="AU340">
        <v>1</v>
      </c>
      <c r="AV340">
        <v>-1</v>
      </c>
    </row>
    <row r="341" spans="1:48">
      <c r="A341" s="1">
        <f>_xlfn.XLOOKUP(J341,数据!E:E,数据!A:A)</f>
        <v>3</v>
      </c>
      <c r="B341" s="1">
        <f>_xlfn.XLOOKUP(J341,数据!E:E,数据!B:B)</f>
        <v>10</v>
      </c>
      <c r="C341" s="1" t="str">
        <f>_xlfn.XLOOKUP(J341,数据!E:E,数据!J:J)</f>
        <v>空派</v>
      </c>
      <c r="D341" s="1" t="str" cm="1">
        <f t="array" ref="D341">IF(OR(C341="红单",C341="空派"),_xlfn.IFS(E341="未开售","新品首批发货",F341&lt;E341,"新品首批发货",F341-E341&lt;=60,"新品期补货空运",F341-E341&gt;60,"老品应急空运"),"海运，不进行分析")</f>
        <v>新品首批发货</v>
      </c>
      <c r="E341" s="2">
        <v>46106</v>
      </c>
      <c r="F341" s="2">
        <f>_xlfn.XLOOKUP(J341,数据!E:E,数据!C:C)</f>
        <v>46087</v>
      </c>
      <c r="G341" s="4">
        <v>140</v>
      </c>
      <c r="H341" s="4">
        <f t="shared" si="19"/>
        <v>14</v>
      </c>
      <c r="I341" s="4">
        <f>_xlfn.XLOOKUP(J341,数据!E:E,数据!S:S)*(H341/_xlfn.XLOOKUP(J341,数据!E:E,数据!X:X))</f>
        <v>703.283333333333</v>
      </c>
      <c r="J341" t="s">
        <v>1331</v>
      </c>
      <c r="K341" t="s">
        <v>31</v>
      </c>
      <c r="L341" t="s">
        <v>2374</v>
      </c>
      <c r="M341" t="s">
        <v>4674</v>
      </c>
      <c r="N341" t="s">
        <v>2376</v>
      </c>
      <c r="O341" t="s">
        <v>2400</v>
      </c>
      <c r="P341" t="s">
        <v>2378</v>
      </c>
      <c r="Q341" t="s">
        <v>2379</v>
      </c>
      <c r="R341" t="s">
        <v>4675</v>
      </c>
      <c r="S341" t="s">
        <v>2511</v>
      </c>
      <c r="T341" s="3" t="s">
        <v>4638</v>
      </c>
      <c r="U341" t="s">
        <v>4676</v>
      </c>
      <c r="V341" t="s">
        <v>4677</v>
      </c>
      <c r="W341" t="s">
        <v>4678</v>
      </c>
      <c r="X341" t="s">
        <v>2403</v>
      </c>
      <c r="Y341" t="s">
        <v>4679</v>
      </c>
      <c r="Z341" t="s">
        <v>2405</v>
      </c>
      <c r="AA341" t="s">
        <v>4638</v>
      </c>
      <c r="AB341" t="s">
        <v>4392</v>
      </c>
      <c r="AC341" t="s">
        <v>4680</v>
      </c>
      <c r="AD341" t="s">
        <v>4644</v>
      </c>
      <c r="AH341" t="s">
        <v>4630</v>
      </c>
      <c r="AI341" t="s">
        <v>4455</v>
      </c>
      <c r="AJ341" t="s">
        <v>3331</v>
      </c>
      <c r="AK341" t="s">
        <v>3332</v>
      </c>
      <c r="AL341" t="s">
        <v>3333</v>
      </c>
      <c r="AM341" t="s">
        <v>2607</v>
      </c>
      <c r="AN341" t="s">
        <v>3334</v>
      </c>
      <c r="AO341" t="s">
        <v>3331</v>
      </c>
      <c r="AP341">
        <v>100</v>
      </c>
      <c r="AQ341">
        <v>100</v>
      </c>
      <c r="AR341">
        <v>100</v>
      </c>
      <c r="AS341" t="s">
        <v>4681</v>
      </c>
      <c r="AT341">
        <v>0</v>
      </c>
      <c r="AU341">
        <v>0</v>
      </c>
      <c r="AV341">
        <v>0</v>
      </c>
    </row>
    <row r="342" spans="1:48">
      <c r="A342" s="1">
        <f>_xlfn.XLOOKUP(J342,数据!E:E,数据!A:A)</f>
        <v>3</v>
      </c>
      <c r="B342" s="1">
        <f>_xlfn.XLOOKUP(J342,数据!E:E,数据!B:B)</f>
        <v>10</v>
      </c>
      <c r="C342" s="1" t="str">
        <f>_xlfn.XLOOKUP(J342,数据!E:E,数据!J:J)</f>
        <v>空派</v>
      </c>
      <c r="D342" s="1" t="str" cm="1">
        <f t="array" ref="D342">IF(OR(C342="红单",C342="空派"),_xlfn.IFS(E342="未开售","新品首批发货",F342&lt;E342,"新品首批发货",F342-E342&lt;=60,"新品期补货空运",F342-E342&gt;60,"老品应急空运"),"海运，不进行分析")</f>
        <v>新品首批发货</v>
      </c>
      <c r="E342" s="2">
        <v>46108</v>
      </c>
      <c r="F342" s="2">
        <f>_xlfn.XLOOKUP(J342,数据!E:E,数据!C:C)</f>
        <v>46087</v>
      </c>
      <c r="G342" s="4">
        <v>140</v>
      </c>
      <c r="H342" s="4">
        <f t="shared" si="19"/>
        <v>14</v>
      </c>
      <c r="I342" s="4">
        <f>_xlfn.XLOOKUP(J342,数据!E:E,数据!S:S)*(H342/_xlfn.XLOOKUP(J342,数据!E:E,数据!X:X))</f>
        <v>703.283333333333</v>
      </c>
      <c r="J342" t="s">
        <v>1331</v>
      </c>
      <c r="K342" t="s">
        <v>31</v>
      </c>
      <c r="L342" t="s">
        <v>2374</v>
      </c>
      <c r="M342" t="s">
        <v>4674</v>
      </c>
      <c r="N342" t="s">
        <v>2376</v>
      </c>
      <c r="O342" t="s">
        <v>2400</v>
      </c>
      <c r="P342" t="s">
        <v>2378</v>
      </c>
      <c r="Q342" t="s">
        <v>2379</v>
      </c>
      <c r="R342" t="s">
        <v>4675</v>
      </c>
      <c r="S342" t="s">
        <v>2511</v>
      </c>
      <c r="T342" s="3" t="s">
        <v>4638</v>
      </c>
      <c r="U342" t="s">
        <v>4676</v>
      </c>
      <c r="V342" t="s">
        <v>4677</v>
      </c>
      <c r="W342" t="s">
        <v>4678</v>
      </c>
      <c r="X342" t="s">
        <v>2403</v>
      </c>
      <c r="Y342" t="s">
        <v>4679</v>
      </c>
      <c r="Z342" t="s">
        <v>2405</v>
      </c>
      <c r="AA342" t="s">
        <v>4638</v>
      </c>
      <c r="AB342" t="s">
        <v>4392</v>
      </c>
      <c r="AC342" t="s">
        <v>4680</v>
      </c>
      <c r="AD342" t="s">
        <v>4644</v>
      </c>
      <c r="AH342" t="s">
        <v>4630</v>
      </c>
      <c r="AI342" t="s">
        <v>4455</v>
      </c>
      <c r="AJ342" t="s">
        <v>4682</v>
      </c>
      <c r="AK342" t="s">
        <v>4683</v>
      </c>
      <c r="AL342" t="s">
        <v>4684</v>
      </c>
      <c r="AM342" t="s">
        <v>2607</v>
      </c>
      <c r="AN342" t="s">
        <v>4685</v>
      </c>
      <c r="AO342" t="s">
        <v>4682</v>
      </c>
      <c r="AP342">
        <v>100</v>
      </c>
      <c r="AQ342">
        <v>100</v>
      </c>
      <c r="AR342">
        <v>100</v>
      </c>
      <c r="AS342" t="s">
        <v>4686</v>
      </c>
      <c r="AT342">
        <v>0</v>
      </c>
      <c r="AU342">
        <v>0</v>
      </c>
      <c r="AV342">
        <v>0</v>
      </c>
    </row>
    <row r="343" spans="1:48">
      <c r="A343" s="1">
        <f>_xlfn.XLOOKUP(J343,数据!E:E,数据!A:A)</f>
        <v>3</v>
      </c>
      <c r="B343" s="1">
        <f>_xlfn.XLOOKUP(J343,数据!E:E,数据!B:B)</f>
        <v>10</v>
      </c>
      <c r="C343" s="1" t="str">
        <f>_xlfn.XLOOKUP(J343,数据!E:E,数据!J:J)</f>
        <v>空派</v>
      </c>
      <c r="D343" s="1" t="str" cm="1">
        <f t="array" ref="D343">IF(OR(C343="红单",C343="空派"),_xlfn.IFS(E343="未开售","新品首批发货",F343&lt;E343,"新品首批发货",F343-E343&lt;=60,"新品期补货空运",F343-E343&gt;60,"老品应急空运"),"海运，不进行分析")</f>
        <v>新品首批发货</v>
      </c>
      <c r="E343" s="2">
        <v>46109</v>
      </c>
      <c r="F343" s="2">
        <f>_xlfn.XLOOKUP(J343,数据!E:E,数据!C:C)</f>
        <v>46087</v>
      </c>
      <c r="G343" s="4">
        <v>140</v>
      </c>
      <c r="H343" s="4">
        <f t="shared" si="19"/>
        <v>14</v>
      </c>
      <c r="I343" s="4">
        <f>_xlfn.XLOOKUP(J343,数据!E:E,数据!S:S)*(H343/_xlfn.XLOOKUP(J343,数据!E:E,数据!X:X))</f>
        <v>703.283333333333</v>
      </c>
      <c r="J343" t="s">
        <v>1331</v>
      </c>
      <c r="K343" t="s">
        <v>31</v>
      </c>
      <c r="L343" t="s">
        <v>2374</v>
      </c>
      <c r="M343" t="s">
        <v>4674</v>
      </c>
      <c r="N343" t="s">
        <v>2376</v>
      </c>
      <c r="O343" t="s">
        <v>2400</v>
      </c>
      <c r="P343" t="s">
        <v>2378</v>
      </c>
      <c r="Q343" t="s">
        <v>2379</v>
      </c>
      <c r="R343" t="s">
        <v>4675</v>
      </c>
      <c r="S343" t="s">
        <v>2511</v>
      </c>
      <c r="T343" s="3" t="s">
        <v>4638</v>
      </c>
      <c r="U343" t="s">
        <v>4676</v>
      </c>
      <c r="V343" t="s">
        <v>4677</v>
      </c>
      <c r="W343" t="s">
        <v>4678</v>
      </c>
      <c r="X343" t="s">
        <v>2403</v>
      </c>
      <c r="Y343" t="s">
        <v>4679</v>
      </c>
      <c r="Z343" t="s">
        <v>2405</v>
      </c>
      <c r="AA343" t="s">
        <v>4638</v>
      </c>
      <c r="AB343" t="s">
        <v>4392</v>
      </c>
      <c r="AC343" t="s">
        <v>4680</v>
      </c>
      <c r="AD343" t="s">
        <v>4644</v>
      </c>
      <c r="AH343" t="s">
        <v>4630</v>
      </c>
      <c r="AI343" t="s">
        <v>4455</v>
      </c>
      <c r="AJ343" t="s">
        <v>3172</v>
      </c>
      <c r="AK343" t="s">
        <v>3173</v>
      </c>
      <c r="AL343" t="s">
        <v>3174</v>
      </c>
      <c r="AM343" t="s">
        <v>2607</v>
      </c>
      <c r="AN343" t="s">
        <v>3175</v>
      </c>
      <c r="AO343" t="s">
        <v>3172</v>
      </c>
      <c r="AP343">
        <v>100</v>
      </c>
      <c r="AQ343">
        <v>100</v>
      </c>
      <c r="AR343">
        <v>100</v>
      </c>
      <c r="AS343" t="s">
        <v>4687</v>
      </c>
      <c r="AT343">
        <v>0</v>
      </c>
      <c r="AU343">
        <v>0</v>
      </c>
      <c r="AV343">
        <v>0</v>
      </c>
    </row>
    <row r="344" spans="1:48">
      <c r="A344" s="1">
        <f>_xlfn.XLOOKUP(J344,数据!E:E,数据!A:A)</f>
        <v>3</v>
      </c>
      <c r="B344" s="1">
        <f>_xlfn.XLOOKUP(J344,数据!E:E,数据!B:B)</f>
        <v>10</v>
      </c>
      <c r="C344" s="1" t="str">
        <f>_xlfn.XLOOKUP(J344,数据!E:E,数据!J:J)</f>
        <v>空派</v>
      </c>
      <c r="D344" s="1" t="str" cm="1">
        <f t="array" ref="D344">IF(OR(C344="红单",C344="空派"),_xlfn.IFS(E344="未开售","新品首批发货",F344&lt;E344,"新品首批发货",F344-E344&lt;=60,"新品期补货空运",F344-E344&gt;60,"老品应急空运"),"海运，不进行分析")</f>
        <v>新品首批发货</v>
      </c>
      <c r="E344" s="2">
        <v>46110</v>
      </c>
      <c r="F344" s="2">
        <f>_xlfn.XLOOKUP(J344,数据!E:E,数据!C:C)</f>
        <v>46087</v>
      </c>
      <c r="G344" s="4">
        <v>140</v>
      </c>
      <c r="H344" s="4">
        <f t="shared" si="19"/>
        <v>14</v>
      </c>
      <c r="I344" s="4">
        <f>_xlfn.XLOOKUP(J344,数据!E:E,数据!S:S)*(H344/_xlfn.XLOOKUP(J344,数据!E:E,数据!X:X))</f>
        <v>703.283333333333</v>
      </c>
      <c r="J344" t="s">
        <v>1331</v>
      </c>
      <c r="K344" t="s">
        <v>31</v>
      </c>
      <c r="L344" t="s">
        <v>2374</v>
      </c>
      <c r="M344" t="s">
        <v>4674</v>
      </c>
      <c r="N344" t="s">
        <v>2376</v>
      </c>
      <c r="O344" t="s">
        <v>2400</v>
      </c>
      <c r="P344" t="s">
        <v>2378</v>
      </c>
      <c r="Q344" t="s">
        <v>2379</v>
      </c>
      <c r="R344" t="s">
        <v>4675</v>
      </c>
      <c r="S344" t="s">
        <v>2511</v>
      </c>
      <c r="T344" s="3" t="s">
        <v>4638</v>
      </c>
      <c r="U344" t="s">
        <v>4676</v>
      </c>
      <c r="V344" t="s">
        <v>4677</v>
      </c>
      <c r="W344" t="s">
        <v>4678</v>
      </c>
      <c r="X344" t="s">
        <v>2403</v>
      </c>
      <c r="Y344" t="s">
        <v>4679</v>
      </c>
      <c r="Z344" t="s">
        <v>2405</v>
      </c>
      <c r="AA344" t="s">
        <v>4638</v>
      </c>
      <c r="AB344" t="s">
        <v>4392</v>
      </c>
      <c r="AC344" t="s">
        <v>4680</v>
      </c>
      <c r="AD344" t="s">
        <v>4644</v>
      </c>
      <c r="AH344" t="s">
        <v>4630</v>
      </c>
      <c r="AI344" t="s">
        <v>4455</v>
      </c>
      <c r="AJ344" t="s">
        <v>3161</v>
      </c>
      <c r="AK344" t="s">
        <v>3162</v>
      </c>
      <c r="AL344" t="s">
        <v>3163</v>
      </c>
      <c r="AM344" t="s">
        <v>2607</v>
      </c>
      <c r="AN344" t="s">
        <v>3164</v>
      </c>
      <c r="AO344" t="s">
        <v>3161</v>
      </c>
      <c r="AP344">
        <v>100</v>
      </c>
      <c r="AQ344">
        <v>100</v>
      </c>
      <c r="AR344">
        <v>100</v>
      </c>
      <c r="AS344" t="s">
        <v>4688</v>
      </c>
      <c r="AT344">
        <v>0</v>
      </c>
      <c r="AU344">
        <v>0</v>
      </c>
      <c r="AV344">
        <v>0</v>
      </c>
    </row>
    <row r="345" spans="1:48">
      <c r="A345" s="1">
        <f>_xlfn.XLOOKUP(J345,数据!E:E,数据!A:A)</f>
        <v>3</v>
      </c>
      <c r="B345" s="1">
        <f>_xlfn.XLOOKUP(J345,数据!E:E,数据!B:B)</f>
        <v>10</v>
      </c>
      <c r="C345" s="1" t="str">
        <f>_xlfn.XLOOKUP(J345,数据!E:E,数据!J:J)</f>
        <v>空派</v>
      </c>
      <c r="D345" s="1" t="str" cm="1">
        <f t="array" ref="D345">IF(OR(C345="红单",C345="空派"),_xlfn.IFS(E345="未开售","新品首批发货",F345&lt;E345,"新品首批发货",F345-E345&lt;=60,"新品期补货空运",F345-E345&gt;60,"老品应急空运"),"海运，不进行分析")</f>
        <v>新品首批发货</v>
      </c>
      <c r="E345" s="2">
        <v>46115</v>
      </c>
      <c r="F345" s="2">
        <f>_xlfn.XLOOKUP(J345,数据!E:E,数据!C:C)</f>
        <v>46087</v>
      </c>
      <c r="G345" s="4">
        <v>360</v>
      </c>
      <c r="H345" s="4">
        <f t="shared" si="19"/>
        <v>28.8</v>
      </c>
      <c r="I345" s="4">
        <f>_xlfn.XLOOKUP(J345,数据!E:E,数据!S:S)*(H345/_xlfn.XLOOKUP(J345,数据!E:E,数据!X:X))</f>
        <v>1354.13733333333</v>
      </c>
      <c r="J345" t="s">
        <v>1333</v>
      </c>
      <c r="K345" t="s">
        <v>31</v>
      </c>
      <c r="L345" t="s">
        <v>2374</v>
      </c>
      <c r="M345" t="s">
        <v>4689</v>
      </c>
      <c r="N345" t="s">
        <v>2376</v>
      </c>
      <c r="O345" t="s">
        <v>2377</v>
      </c>
      <c r="P345" t="s">
        <v>2378</v>
      </c>
      <c r="Q345" t="s">
        <v>2379</v>
      </c>
      <c r="R345" t="s">
        <v>4690</v>
      </c>
      <c r="S345" t="s">
        <v>2511</v>
      </c>
      <c r="T345" s="3" t="s">
        <v>4638</v>
      </c>
      <c r="U345" t="s">
        <v>4676</v>
      </c>
      <c r="V345" t="s">
        <v>4691</v>
      </c>
      <c r="W345" t="s">
        <v>4692</v>
      </c>
      <c r="X345" t="s">
        <v>2403</v>
      </c>
      <c r="Y345" t="s">
        <v>4693</v>
      </c>
      <c r="Z345" t="s">
        <v>2405</v>
      </c>
      <c r="AA345" t="s">
        <v>4638</v>
      </c>
      <c r="AB345" t="s">
        <v>4694</v>
      </c>
      <c r="AC345" t="s">
        <v>4695</v>
      </c>
      <c r="AD345" t="s">
        <v>4696</v>
      </c>
      <c r="AH345" t="s">
        <v>4630</v>
      </c>
      <c r="AI345" t="s">
        <v>4455</v>
      </c>
      <c r="AJ345" t="s">
        <v>4697</v>
      </c>
      <c r="AK345" t="s">
        <v>4698</v>
      </c>
      <c r="AL345" t="s">
        <v>4699</v>
      </c>
      <c r="AM345" t="s">
        <v>2781</v>
      </c>
      <c r="AN345" t="s">
        <v>4700</v>
      </c>
      <c r="AO345" t="s">
        <v>4697</v>
      </c>
      <c r="AP345">
        <v>80</v>
      </c>
      <c r="AQ345">
        <v>80</v>
      </c>
      <c r="AR345">
        <v>80</v>
      </c>
      <c r="AS345" t="s">
        <v>4701</v>
      </c>
      <c r="AT345">
        <v>0</v>
      </c>
      <c r="AU345">
        <v>0</v>
      </c>
      <c r="AV345">
        <v>0</v>
      </c>
    </row>
    <row r="346" spans="1:48">
      <c r="A346" s="1">
        <f>_xlfn.XLOOKUP(J346,数据!E:E,数据!A:A)</f>
        <v>3</v>
      </c>
      <c r="B346" s="1">
        <f>_xlfn.XLOOKUP(J346,数据!E:E,数据!B:B)</f>
        <v>10</v>
      </c>
      <c r="C346" s="1" t="str">
        <f>_xlfn.XLOOKUP(J346,数据!E:E,数据!J:J)</f>
        <v>空派</v>
      </c>
      <c r="D346" s="1" t="str" cm="1">
        <f t="array" ref="D346">IF(OR(C346="红单",C346="空派"),_xlfn.IFS(E346="未开售","新品首批发货",F346&lt;E346,"新品首批发货",F346-E346&lt;=60,"新品期补货空运",F346-E346&gt;60,"老品应急空运"),"海运，不进行分析")</f>
        <v>老品应急空运</v>
      </c>
      <c r="E346" s="2">
        <v>46019</v>
      </c>
      <c r="F346" s="2">
        <f>_xlfn.XLOOKUP(J346,数据!E:E,数据!C:C)</f>
        <v>46087</v>
      </c>
      <c r="G346" s="4">
        <v>230</v>
      </c>
      <c r="H346" s="4">
        <f t="shared" si="19"/>
        <v>23</v>
      </c>
      <c r="I346" s="4">
        <f>_xlfn.XLOOKUP(J346,数据!E:E,数据!S:S)*(H346/_xlfn.XLOOKUP(J346,数据!E:E,数据!X:X))</f>
        <v>1180.79086398132</v>
      </c>
      <c r="J346" t="s">
        <v>1336</v>
      </c>
      <c r="K346" t="s">
        <v>56</v>
      </c>
      <c r="L346" t="s">
        <v>2374</v>
      </c>
      <c r="M346" t="s">
        <v>4702</v>
      </c>
      <c r="N346" t="s">
        <v>2376</v>
      </c>
      <c r="O346" t="s">
        <v>2377</v>
      </c>
      <c r="P346" t="s">
        <v>2378</v>
      </c>
      <c r="Q346" t="s">
        <v>2379</v>
      </c>
      <c r="R346" t="s">
        <v>4703</v>
      </c>
      <c r="S346" t="s">
        <v>2511</v>
      </c>
      <c r="T346" s="3" t="s">
        <v>4704</v>
      </c>
      <c r="U346" t="s">
        <v>4676</v>
      </c>
      <c r="V346" t="s">
        <v>4705</v>
      </c>
      <c r="W346" t="s">
        <v>4706</v>
      </c>
      <c r="X346" t="s">
        <v>2403</v>
      </c>
      <c r="Y346" t="s">
        <v>4707</v>
      </c>
      <c r="Z346" t="s">
        <v>2387</v>
      </c>
      <c r="AA346" t="s">
        <v>4704</v>
      </c>
      <c r="AB346" t="s">
        <v>4708</v>
      </c>
      <c r="AC346" t="s">
        <v>4709</v>
      </c>
      <c r="AD346" t="s">
        <v>4644</v>
      </c>
      <c r="AH346" t="s">
        <v>4630</v>
      </c>
      <c r="AI346" t="s">
        <v>4455</v>
      </c>
      <c r="AJ346" t="s">
        <v>3706</v>
      </c>
      <c r="AK346" t="s">
        <v>3707</v>
      </c>
      <c r="AL346" t="s">
        <v>3708</v>
      </c>
      <c r="AM346" t="s">
        <v>3709</v>
      </c>
      <c r="AN346" t="s">
        <v>3710</v>
      </c>
      <c r="AO346" t="s">
        <v>3706</v>
      </c>
      <c r="AP346">
        <v>100</v>
      </c>
      <c r="AQ346">
        <v>100</v>
      </c>
      <c r="AR346">
        <v>100</v>
      </c>
      <c r="AS346" t="s">
        <v>4710</v>
      </c>
      <c r="AT346">
        <v>0</v>
      </c>
      <c r="AU346">
        <v>0</v>
      </c>
      <c r="AV346">
        <v>0</v>
      </c>
    </row>
    <row r="347" spans="1:48">
      <c r="A347" s="1">
        <f>_xlfn.XLOOKUP(J347,数据!E:E,数据!A:A)</f>
        <v>3</v>
      </c>
      <c r="B347" s="1">
        <f>_xlfn.XLOOKUP(J347,数据!E:E,数据!B:B)</f>
        <v>10</v>
      </c>
      <c r="C347" s="1" t="str">
        <f>_xlfn.XLOOKUP(J347,数据!E:E,数据!J:J)</f>
        <v>空派</v>
      </c>
      <c r="D347" s="1" t="str" cm="1">
        <f t="array" ref="D347">IF(OR(C347="红单",C347="空派"),_xlfn.IFS(E347="未开售","新品首批发货",F347&lt;E347,"新品首批发货",F347-E347&lt;=60,"新品期补货空运",F347-E347&gt;60,"老品应急空运"),"海运，不进行分析")</f>
        <v>新品首批发货</v>
      </c>
      <c r="E347" s="2">
        <v>46112</v>
      </c>
      <c r="F347" s="2">
        <f>_xlfn.XLOOKUP(J347,数据!E:E,数据!C:C)</f>
        <v>46087</v>
      </c>
      <c r="G347" s="4">
        <v>108</v>
      </c>
      <c r="H347" s="4">
        <f t="shared" si="19"/>
        <v>11.34</v>
      </c>
      <c r="I347" s="4">
        <f>_xlfn.XLOOKUP(J347,数据!E:E,数据!S:S)*(H347/_xlfn.XLOOKUP(J347,数据!E:E,数据!X:X))</f>
        <v>582.181234676006</v>
      </c>
      <c r="J347" t="s">
        <v>1336</v>
      </c>
      <c r="K347" t="s">
        <v>56</v>
      </c>
      <c r="L347" t="s">
        <v>2374</v>
      </c>
      <c r="M347" t="s">
        <v>4702</v>
      </c>
      <c r="N347" t="s">
        <v>2376</v>
      </c>
      <c r="O347" t="s">
        <v>2377</v>
      </c>
      <c r="P347" t="s">
        <v>2378</v>
      </c>
      <c r="Q347" t="s">
        <v>2379</v>
      </c>
      <c r="R347" t="s">
        <v>4703</v>
      </c>
      <c r="S347" t="s">
        <v>2511</v>
      </c>
      <c r="T347" s="3" t="s">
        <v>4704</v>
      </c>
      <c r="U347" t="s">
        <v>4676</v>
      </c>
      <c r="V347" t="s">
        <v>4705</v>
      </c>
      <c r="W347" t="s">
        <v>4706</v>
      </c>
      <c r="X347" t="s">
        <v>2403</v>
      </c>
      <c r="Y347" t="s">
        <v>4707</v>
      </c>
      <c r="Z347" t="s">
        <v>2387</v>
      </c>
      <c r="AA347" t="s">
        <v>4704</v>
      </c>
      <c r="AB347" t="s">
        <v>4708</v>
      </c>
      <c r="AC347" t="s">
        <v>4709</v>
      </c>
      <c r="AD347" t="s">
        <v>4644</v>
      </c>
      <c r="AH347" t="s">
        <v>4630</v>
      </c>
      <c r="AI347" t="s">
        <v>4455</v>
      </c>
      <c r="AJ347" t="s">
        <v>4711</v>
      </c>
      <c r="AK347" t="s">
        <v>4712</v>
      </c>
      <c r="AL347" t="s">
        <v>4713</v>
      </c>
      <c r="AM347" t="s">
        <v>4714</v>
      </c>
      <c r="AN347" t="s">
        <v>4715</v>
      </c>
      <c r="AO347" t="s">
        <v>4711</v>
      </c>
      <c r="AP347">
        <v>105</v>
      </c>
      <c r="AQ347">
        <v>105</v>
      </c>
      <c r="AR347">
        <v>105</v>
      </c>
      <c r="AS347" t="s">
        <v>4716</v>
      </c>
      <c r="AT347">
        <v>0</v>
      </c>
      <c r="AU347">
        <v>0</v>
      </c>
      <c r="AV347">
        <v>0</v>
      </c>
    </row>
    <row r="348" spans="1:48">
      <c r="A348" s="1">
        <f>_xlfn.XLOOKUP(J348,数据!E:E,数据!A:A)</f>
        <v>3</v>
      </c>
      <c r="B348" s="1">
        <f>_xlfn.XLOOKUP(J348,数据!E:E,数据!B:B)</f>
        <v>10</v>
      </c>
      <c r="C348" s="1" t="str">
        <f>_xlfn.XLOOKUP(J348,数据!E:E,数据!J:J)</f>
        <v>空派</v>
      </c>
      <c r="D348" s="1" t="str" cm="1">
        <f t="array" ref="D348">IF(OR(C348="红单",C348="空派"),_xlfn.IFS(E348="未开售","新品首批发货",F348&lt;E348,"新品首批发货",F348-E348&lt;=60,"新品期补货空运",F348-E348&gt;60,"老品应急空运"),"海运，不进行分析")</f>
        <v>新品首批发货</v>
      </c>
      <c r="E348" s="2">
        <v>46117</v>
      </c>
      <c r="F348" s="2">
        <f>_xlfn.XLOOKUP(J348,数据!E:E,数据!C:C)</f>
        <v>46087</v>
      </c>
      <c r="G348" s="4">
        <v>108</v>
      </c>
      <c r="H348" s="4">
        <f t="shared" si="19"/>
        <v>11.34</v>
      </c>
      <c r="I348" s="4">
        <f>_xlfn.XLOOKUP(J348,数据!E:E,数据!S:S)*(H348/_xlfn.XLOOKUP(J348,数据!E:E,数据!X:X))</f>
        <v>582.181234676006</v>
      </c>
      <c r="J348" t="s">
        <v>1336</v>
      </c>
      <c r="K348" t="s">
        <v>56</v>
      </c>
      <c r="L348" t="s">
        <v>2374</v>
      </c>
      <c r="M348" t="s">
        <v>4702</v>
      </c>
      <c r="N348" t="s">
        <v>2376</v>
      </c>
      <c r="O348" t="s">
        <v>2377</v>
      </c>
      <c r="P348" t="s">
        <v>2378</v>
      </c>
      <c r="Q348" t="s">
        <v>2379</v>
      </c>
      <c r="R348" t="s">
        <v>4703</v>
      </c>
      <c r="S348" t="s">
        <v>2511</v>
      </c>
      <c r="T348" s="3" t="s">
        <v>4704</v>
      </c>
      <c r="U348" t="s">
        <v>4676</v>
      </c>
      <c r="V348" t="s">
        <v>4705</v>
      </c>
      <c r="W348" t="s">
        <v>4706</v>
      </c>
      <c r="X348" t="s">
        <v>2403</v>
      </c>
      <c r="Y348" t="s">
        <v>4707</v>
      </c>
      <c r="Z348" t="s">
        <v>2387</v>
      </c>
      <c r="AA348" t="s">
        <v>4704</v>
      </c>
      <c r="AB348" t="s">
        <v>4708</v>
      </c>
      <c r="AC348" t="s">
        <v>4709</v>
      </c>
      <c r="AD348" t="s">
        <v>4644</v>
      </c>
      <c r="AH348" t="s">
        <v>4630</v>
      </c>
      <c r="AI348" t="s">
        <v>4455</v>
      </c>
      <c r="AJ348" t="s">
        <v>4717</v>
      </c>
      <c r="AK348" t="s">
        <v>4718</v>
      </c>
      <c r="AL348" t="s">
        <v>4719</v>
      </c>
      <c r="AM348" t="s">
        <v>4714</v>
      </c>
      <c r="AN348" t="s">
        <v>4720</v>
      </c>
      <c r="AO348" t="s">
        <v>4717</v>
      </c>
      <c r="AP348">
        <v>105</v>
      </c>
      <c r="AQ348">
        <v>105</v>
      </c>
      <c r="AR348">
        <v>105</v>
      </c>
      <c r="AS348" t="s">
        <v>4721</v>
      </c>
      <c r="AT348">
        <v>0</v>
      </c>
      <c r="AU348">
        <v>0</v>
      </c>
      <c r="AV348">
        <v>0</v>
      </c>
    </row>
    <row r="349" spans="1:48">
      <c r="A349" s="1">
        <f>_xlfn.XLOOKUP(J349,数据!E:E,数据!A:A)</f>
        <v>3</v>
      </c>
      <c r="B349" s="1">
        <f>_xlfn.XLOOKUP(J349,数据!E:E,数据!B:B)</f>
        <v>10</v>
      </c>
      <c r="C349" s="1" t="str">
        <f>_xlfn.XLOOKUP(J349,数据!E:E,数据!J:J)</f>
        <v>空派</v>
      </c>
      <c r="D349" s="1" t="str" cm="1">
        <f t="array" ref="D349">IF(OR(C349="红单",C349="空派"),_xlfn.IFS(E349="未开售","新品首批发货",F349&lt;E349,"新品首批发货",F349-E349&lt;=60,"新品期补货空运",F349-E349&gt;60,"老品应急空运"),"海运，不进行分析")</f>
        <v>老品应急空运</v>
      </c>
      <c r="E349" s="2">
        <v>44939</v>
      </c>
      <c r="F349" s="2">
        <f>_xlfn.XLOOKUP(J349,数据!E:E,数据!C:C)</f>
        <v>46087</v>
      </c>
      <c r="G349" s="4">
        <v>119</v>
      </c>
      <c r="H349" s="4">
        <f t="shared" si="19"/>
        <v>2.38</v>
      </c>
      <c r="I349" s="4">
        <f>_xlfn.XLOOKUP(J349,数据!E:E,数据!S:S)*(H349/_xlfn.XLOOKUP(J349,数据!E:E,数据!X:X))</f>
        <v>119.466760374833</v>
      </c>
      <c r="J349" t="s">
        <v>1335</v>
      </c>
      <c r="K349" t="s">
        <v>59</v>
      </c>
      <c r="L349" t="s">
        <v>2374</v>
      </c>
      <c r="M349" t="s">
        <v>4722</v>
      </c>
      <c r="N349" t="s">
        <v>2376</v>
      </c>
      <c r="O349" t="s">
        <v>2400</v>
      </c>
      <c r="P349" t="s">
        <v>2378</v>
      </c>
      <c r="Q349" t="s">
        <v>2379</v>
      </c>
      <c r="R349" t="s">
        <v>4723</v>
      </c>
      <c r="S349" t="s">
        <v>2511</v>
      </c>
      <c r="T349" s="3" t="s">
        <v>4704</v>
      </c>
      <c r="U349" t="s">
        <v>4676</v>
      </c>
      <c r="V349" t="s">
        <v>4724</v>
      </c>
      <c r="W349" t="s">
        <v>4725</v>
      </c>
      <c r="X349" t="s">
        <v>2403</v>
      </c>
      <c r="Y349" t="s">
        <v>4726</v>
      </c>
      <c r="Z349" t="s">
        <v>2405</v>
      </c>
      <c r="AA349" t="s">
        <v>4704</v>
      </c>
      <c r="AB349" t="s">
        <v>4727</v>
      </c>
      <c r="AC349" t="s">
        <v>4728</v>
      </c>
      <c r="AD349" t="s">
        <v>4696</v>
      </c>
      <c r="AH349" t="s">
        <v>4630</v>
      </c>
      <c r="AI349" t="s">
        <v>4455</v>
      </c>
      <c r="AJ349" t="s">
        <v>4729</v>
      </c>
      <c r="AK349" t="s">
        <v>4730</v>
      </c>
      <c r="AL349" t="s">
        <v>4731</v>
      </c>
      <c r="AM349" t="s">
        <v>4731</v>
      </c>
      <c r="AN349" t="s">
        <v>4732</v>
      </c>
      <c r="AO349" t="s">
        <v>4729</v>
      </c>
      <c r="AP349">
        <v>20</v>
      </c>
      <c r="AQ349">
        <v>20</v>
      </c>
      <c r="AR349">
        <v>20</v>
      </c>
      <c r="AS349" t="s">
        <v>4645</v>
      </c>
      <c r="AT349">
        <v>0</v>
      </c>
      <c r="AU349">
        <v>0</v>
      </c>
      <c r="AV349">
        <v>0</v>
      </c>
    </row>
    <row r="350" spans="1:48">
      <c r="A350" s="1">
        <f>_xlfn.XLOOKUP(J350,数据!E:E,数据!A:A)</f>
        <v>3</v>
      </c>
      <c r="B350" s="1">
        <f>_xlfn.XLOOKUP(J350,数据!E:E,数据!B:B)</f>
        <v>10</v>
      </c>
      <c r="C350" s="1" t="str">
        <f>_xlfn.XLOOKUP(J350,数据!E:E,数据!J:J)</f>
        <v>空派</v>
      </c>
      <c r="D350" s="1" t="str" cm="1">
        <f t="array" ref="D350">IF(OR(C350="红单",C350="空派"),_xlfn.IFS(E350="未开售","新品首批发货",F350&lt;E350,"新品首批发货",F350-E350&lt;=60,"新品期补货空运",F350-E350&gt;60,"老品应急空运"),"海运，不进行分析")</f>
        <v>新品期补货空运</v>
      </c>
      <c r="E350" s="2">
        <v>46081</v>
      </c>
      <c r="F350" s="2">
        <f>_xlfn.XLOOKUP(J350,数据!E:E,数据!C:C)</f>
        <v>46087</v>
      </c>
      <c r="G350" s="4">
        <v>326</v>
      </c>
      <c r="H350" s="4">
        <f t="shared" si="19"/>
        <v>12.062</v>
      </c>
      <c r="I350" s="4">
        <f>_xlfn.XLOOKUP(J350,数据!E:E,数据!S:S)*(H350/_xlfn.XLOOKUP(J350,数据!E:E,数据!X:X))</f>
        <v>605.4655729585</v>
      </c>
      <c r="J350" t="s">
        <v>1335</v>
      </c>
      <c r="K350" t="s">
        <v>59</v>
      </c>
      <c r="L350" t="s">
        <v>2374</v>
      </c>
      <c r="M350" t="s">
        <v>4722</v>
      </c>
      <c r="N350" t="s">
        <v>2376</v>
      </c>
      <c r="O350" t="s">
        <v>2400</v>
      </c>
      <c r="P350" t="s">
        <v>2378</v>
      </c>
      <c r="Q350" t="s">
        <v>2379</v>
      </c>
      <c r="R350" t="s">
        <v>4723</v>
      </c>
      <c r="S350" t="s">
        <v>2511</v>
      </c>
      <c r="T350" s="3" t="s">
        <v>4704</v>
      </c>
      <c r="U350" t="s">
        <v>4676</v>
      </c>
      <c r="V350" t="s">
        <v>4724</v>
      </c>
      <c r="W350" t="s">
        <v>4725</v>
      </c>
      <c r="X350" t="s">
        <v>2403</v>
      </c>
      <c r="Y350" t="s">
        <v>4726</v>
      </c>
      <c r="Z350" t="s">
        <v>2405</v>
      </c>
      <c r="AA350" t="s">
        <v>4704</v>
      </c>
      <c r="AB350" t="s">
        <v>4727</v>
      </c>
      <c r="AC350" t="s">
        <v>4728</v>
      </c>
      <c r="AD350" t="s">
        <v>4696</v>
      </c>
      <c r="AH350" t="s">
        <v>4630</v>
      </c>
      <c r="AI350" t="s">
        <v>4455</v>
      </c>
      <c r="AJ350" t="s">
        <v>2953</v>
      </c>
      <c r="AK350" t="s">
        <v>2954</v>
      </c>
      <c r="AL350" t="s">
        <v>2955</v>
      </c>
      <c r="AM350" t="s">
        <v>2955</v>
      </c>
      <c r="AN350" t="s">
        <v>2956</v>
      </c>
      <c r="AO350" t="s">
        <v>2953</v>
      </c>
      <c r="AP350">
        <v>37</v>
      </c>
      <c r="AQ350">
        <v>37</v>
      </c>
      <c r="AR350">
        <v>37</v>
      </c>
      <c r="AS350" t="s">
        <v>4733</v>
      </c>
      <c r="AT350">
        <v>0</v>
      </c>
      <c r="AU350">
        <v>0</v>
      </c>
      <c r="AV350">
        <v>0</v>
      </c>
    </row>
    <row r="351" spans="1:48">
      <c r="A351" s="1">
        <f>_xlfn.XLOOKUP(J351,数据!E:E,数据!A:A)</f>
        <v>3</v>
      </c>
      <c r="B351" s="1">
        <f>_xlfn.XLOOKUP(J351,数据!E:E,数据!B:B)</f>
        <v>10</v>
      </c>
      <c r="C351" s="1" t="str">
        <f>_xlfn.XLOOKUP(J351,数据!E:E,数据!J:J)</f>
        <v>空派</v>
      </c>
      <c r="D351" s="1" t="str" cm="1">
        <f t="array" ref="D351">IF(OR(C351="红单",C351="空派"),_xlfn.IFS(E351="未开售","新品首批发货",F351&lt;E351,"新品首批发货",F351-E351&lt;=60,"新品期补货空运",F351-E351&gt;60,"老品应急空运"),"海运，不进行分析")</f>
        <v>新品期补货空运</v>
      </c>
      <c r="E351" s="2">
        <v>46036</v>
      </c>
      <c r="F351" s="2">
        <f>_xlfn.XLOOKUP(J351,数据!E:E,数据!C:C)</f>
        <v>46086</v>
      </c>
      <c r="G351" s="4">
        <v>120</v>
      </c>
      <c r="H351" s="4">
        <f t="shared" ref="H351:H372" si="20">G351*AP351/1000</f>
        <v>7.8</v>
      </c>
      <c r="I351" s="4">
        <f>_xlfn.XLOOKUP(J351,数据!E:E,数据!S:S)*(H351/_xlfn.XLOOKUP(J351,数据!E:E,数据!X:X))</f>
        <v>409.347078680862</v>
      </c>
      <c r="J351" t="s">
        <v>1328</v>
      </c>
      <c r="K351" t="s">
        <v>37</v>
      </c>
      <c r="L351" t="s">
        <v>2374</v>
      </c>
      <c r="M351" t="s">
        <v>4734</v>
      </c>
      <c r="N351" t="s">
        <v>2376</v>
      </c>
      <c r="O351" t="s">
        <v>2400</v>
      </c>
      <c r="P351" t="s">
        <v>2378</v>
      </c>
      <c r="Q351" t="s">
        <v>2379</v>
      </c>
      <c r="R351" t="s">
        <v>4735</v>
      </c>
      <c r="S351" t="s">
        <v>2511</v>
      </c>
      <c r="T351" s="3" t="s">
        <v>4736</v>
      </c>
      <c r="U351" t="s">
        <v>4737</v>
      </c>
      <c r="V351" t="s">
        <v>4738</v>
      </c>
      <c r="W351" t="s">
        <v>4739</v>
      </c>
      <c r="X351" t="s">
        <v>2403</v>
      </c>
      <c r="Y351" t="s">
        <v>4740</v>
      </c>
      <c r="Z351" t="s">
        <v>2387</v>
      </c>
      <c r="AA351" t="s">
        <v>4736</v>
      </c>
      <c r="AB351" t="s">
        <v>4583</v>
      </c>
      <c r="AC351" t="s">
        <v>4741</v>
      </c>
      <c r="AD351" t="s">
        <v>4742</v>
      </c>
      <c r="AH351" t="s">
        <v>4630</v>
      </c>
      <c r="AI351" t="s">
        <v>4455</v>
      </c>
      <c r="AJ351" t="s">
        <v>4071</v>
      </c>
      <c r="AK351" t="s">
        <v>4072</v>
      </c>
      <c r="AL351" t="s">
        <v>4073</v>
      </c>
      <c r="AM351" t="s">
        <v>2893</v>
      </c>
      <c r="AN351" t="s">
        <v>4074</v>
      </c>
      <c r="AO351" t="s">
        <v>4071</v>
      </c>
      <c r="AP351">
        <v>65</v>
      </c>
      <c r="AQ351">
        <v>65</v>
      </c>
      <c r="AR351">
        <v>65</v>
      </c>
      <c r="AS351" t="s">
        <v>4743</v>
      </c>
      <c r="AT351">
        <v>0</v>
      </c>
      <c r="AU351">
        <v>0</v>
      </c>
      <c r="AV351">
        <v>0</v>
      </c>
    </row>
    <row r="352" spans="1:48">
      <c r="A352" s="1">
        <f>_xlfn.XLOOKUP(J352,数据!E:E,数据!A:A)</f>
        <v>3</v>
      </c>
      <c r="B352" s="1">
        <f>_xlfn.XLOOKUP(J352,数据!E:E,数据!B:B)</f>
        <v>10</v>
      </c>
      <c r="C352" s="1" t="str">
        <f>_xlfn.XLOOKUP(J352,数据!E:E,数据!J:J)</f>
        <v>空派</v>
      </c>
      <c r="D352" s="1" t="str" cm="1">
        <f t="array" ref="D352">IF(OR(C352="红单",C352="空派"),_xlfn.IFS(E352="未开售","新品首批发货",F352&lt;E352,"新品首批发货",F352-E352&lt;=60,"新品期补货空运",F352-E352&gt;60,"老品应急空运"),"海运，不进行分析")</f>
        <v>新品期补货空运</v>
      </c>
      <c r="E352" s="2">
        <v>46036</v>
      </c>
      <c r="F352" s="2">
        <f>_xlfn.XLOOKUP(J352,数据!E:E,数据!C:C)</f>
        <v>46086</v>
      </c>
      <c r="G352" s="4">
        <v>115</v>
      </c>
      <c r="H352" s="4">
        <f t="shared" si="20"/>
        <v>25.3</v>
      </c>
      <c r="I352" s="4">
        <f>_xlfn.XLOOKUP(J352,数据!E:E,数据!S:S)*(H352/_xlfn.XLOOKUP(J352,数据!E:E,数据!X:X))</f>
        <v>1327.75398597767</v>
      </c>
      <c r="J352" t="s">
        <v>1328</v>
      </c>
      <c r="K352" t="s">
        <v>37</v>
      </c>
      <c r="L352" t="s">
        <v>2374</v>
      </c>
      <c r="M352" t="s">
        <v>4734</v>
      </c>
      <c r="N352" t="s">
        <v>2376</v>
      </c>
      <c r="O352" t="s">
        <v>2400</v>
      </c>
      <c r="P352" t="s">
        <v>2378</v>
      </c>
      <c r="Q352" t="s">
        <v>2379</v>
      </c>
      <c r="R352" t="s">
        <v>4735</v>
      </c>
      <c r="S352" t="s">
        <v>2511</v>
      </c>
      <c r="T352" s="3" t="s">
        <v>4736</v>
      </c>
      <c r="U352" t="s">
        <v>4737</v>
      </c>
      <c r="V352" t="s">
        <v>4738</v>
      </c>
      <c r="W352" t="s">
        <v>4739</v>
      </c>
      <c r="X352" t="s">
        <v>2403</v>
      </c>
      <c r="Y352" t="s">
        <v>4740</v>
      </c>
      <c r="Z352" t="s">
        <v>2387</v>
      </c>
      <c r="AA352" t="s">
        <v>4736</v>
      </c>
      <c r="AB352" t="s">
        <v>4583</v>
      </c>
      <c r="AC352" t="s">
        <v>4741</v>
      </c>
      <c r="AD352" t="s">
        <v>4742</v>
      </c>
      <c r="AH352" t="s">
        <v>4630</v>
      </c>
      <c r="AI352" t="s">
        <v>4455</v>
      </c>
      <c r="AJ352" t="s">
        <v>4744</v>
      </c>
      <c r="AK352" t="s">
        <v>4745</v>
      </c>
      <c r="AL352" t="s">
        <v>4746</v>
      </c>
      <c r="AM352" t="s">
        <v>4093</v>
      </c>
      <c r="AN352" t="s">
        <v>4747</v>
      </c>
      <c r="AO352" t="s">
        <v>4744</v>
      </c>
      <c r="AP352">
        <v>220</v>
      </c>
      <c r="AQ352">
        <v>220</v>
      </c>
      <c r="AR352">
        <v>220</v>
      </c>
      <c r="AS352" t="s">
        <v>4748</v>
      </c>
      <c r="AT352">
        <v>0</v>
      </c>
      <c r="AU352">
        <v>0</v>
      </c>
      <c r="AV352">
        <v>0</v>
      </c>
    </row>
    <row r="353" spans="1:48">
      <c r="A353" s="1">
        <f>_xlfn.XLOOKUP(J353,数据!E:E,数据!A:A)</f>
        <v>3</v>
      </c>
      <c r="B353" s="1">
        <f>_xlfn.XLOOKUP(J353,数据!E:E,数据!B:B)</f>
        <v>10</v>
      </c>
      <c r="C353" s="1" t="str">
        <f>_xlfn.XLOOKUP(J353,数据!E:E,数据!J:J)</f>
        <v>空派</v>
      </c>
      <c r="D353" s="1" t="str" cm="1">
        <f t="array" ref="D353">IF(OR(C353="红单",C353="空派"),_xlfn.IFS(E353="未开售","新品首批发货",F353&lt;E353,"新品首批发货",F353-E353&lt;=60,"新品期补货空运",F353-E353&gt;60,"老品应急空运"),"海运，不进行分析")</f>
        <v>新品期补货空运</v>
      </c>
      <c r="E353" s="2">
        <v>46029</v>
      </c>
      <c r="F353" s="2">
        <f>_xlfn.XLOOKUP(J353,数据!E:E,数据!C:C)</f>
        <v>46086</v>
      </c>
      <c r="G353" s="4">
        <v>95</v>
      </c>
      <c r="H353" s="4">
        <f t="shared" si="20"/>
        <v>1.9</v>
      </c>
      <c r="I353" s="4">
        <f>_xlfn.XLOOKUP(J353,数据!E:E,数据!S:S)*(H353/_xlfn.XLOOKUP(J353,数据!E:E,数据!X:X))</f>
        <v>99.7127499350818</v>
      </c>
      <c r="J353" t="s">
        <v>1328</v>
      </c>
      <c r="K353" t="s">
        <v>37</v>
      </c>
      <c r="L353" t="s">
        <v>2374</v>
      </c>
      <c r="M353" t="s">
        <v>4734</v>
      </c>
      <c r="N353" t="s">
        <v>2376</v>
      </c>
      <c r="O353" t="s">
        <v>2400</v>
      </c>
      <c r="P353" t="s">
        <v>2378</v>
      </c>
      <c r="Q353" t="s">
        <v>2379</v>
      </c>
      <c r="R353" t="s">
        <v>4735</v>
      </c>
      <c r="S353" t="s">
        <v>2511</v>
      </c>
      <c r="T353" s="3" t="s">
        <v>4736</v>
      </c>
      <c r="U353" t="s">
        <v>4737</v>
      </c>
      <c r="V353" t="s">
        <v>4738</v>
      </c>
      <c r="W353" t="s">
        <v>4739</v>
      </c>
      <c r="X353" t="s">
        <v>2403</v>
      </c>
      <c r="Y353" t="s">
        <v>4740</v>
      </c>
      <c r="Z353" t="s">
        <v>2387</v>
      </c>
      <c r="AA353" t="s">
        <v>4736</v>
      </c>
      <c r="AB353" t="s">
        <v>4583</v>
      </c>
      <c r="AC353" t="s">
        <v>4741</v>
      </c>
      <c r="AD353" t="s">
        <v>4742</v>
      </c>
      <c r="AH353" t="s">
        <v>4630</v>
      </c>
      <c r="AI353" t="s">
        <v>4455</v>
      </c>
      <c r="AJ353" t="s">
        <v>4749</v>
      </c>
      <c r="AK353" t="s">
        <v>4750</v>
      </c>
      <c r="AL353" t="s">
        <v>4751</v>
      </c>
      <c r="AM353" t="s">
        <v>4752</v>
      </c>
      <c r="AN353" t="s">
        <v>4753</v>
      </c>
      <c r="AO353" t="s">
        <v>4749</v>
      </c>
      <c r="AP353">
        <v>20</v>
      </c>
      <c r="AQ353">
        <v>20</v>
      </c>
      <c r="AR353">
        <v>20</v>
      </c>
      <c r="AS353" t="s">
        <v>4754</v>
      </c>
      <c r="AT353">
        <v>0</v>
      </c>
      <c r="AU353">
        <v>0</v>
      </c>
      <c r="AV353">
        <v>0</v>
      </c>
    </row>
    <row r="354" spans="1:48">
      <c r="A354" s="1">
        <f>_xlfn.XLOOKUP(J354,数据!E:E,数据!A:A)</f>
        <v>3</v>
      </c>
      <c r="B354" s="1">
        <f>_xlfn.XLOOKUP(J354,数据!E:E,数据!B:B)</f>
        <v>10</v>
      </c>
      <c r="C354" s="1" t="str">
        <f>_xlfn.XLOOKUP(J354,数据!E:E,数据!J:J)</f>
        <v>空派</v>
      </c>
      <c r="D354" s="1" t="str" cm="1">
        <f t="array" ref="D354">IF(OR(C354="红单",C354="空派"),_xlfn.IFS(E354="未开售","新品首批发货",F354&lt;E354,"新品首批发货",F354-E354&lt;=60,"新品期补货空运",F354-E354&gt;60,"老品应急空运"),"海运，不进行分析")</f>
        <v>新品期补货空运</v>
      </c>
      <c r="E354" s="2">
        <v>46074</v>
      </c>
      <c r="F354" s="2">
        <f>_xlfn.XLOOKUP(J354,数据!E:E,数据!C:C)</f>
        <v>46086</v>
      </c>
      <c r="G354" s="4">
        <v>117</v>
      </c>
      <c r="H354" s="4">
        <f t="shared" si="20"/>
        <v>3.51</v>
      </c>
      <c r="I354" s="4">
        <f>_xlfn.XLOOKUP(J354,数据!E:E,数据!S:S)*(H354/_xlfn.XLOOKUP(J354,数据!E:E,数据!X:X))</f>
        <v>184.206185406388</v>
      </c>
      <c r="J354" t="s">
        <v>1328</v>
      </c>
      <c r="K354" t="s">
        <v>37</v>
      </c>
      <c r="L354" t="s">
        <v>2374</v>
      </c>
      <c r="M354" t="s">
        <v>4734</v>
      </c>
      <c r="N354" t="s">
        <v>2376</v>
      </c>
      <c r="O354" t="s">
        <v>2400</v>
      </c>
      <c r="P354" t="s">
        <v>2378</v>
      </c>
      <c r="Q354" t="s">
        <v>2379</v>
      </c>
      <c r="R354" t="s">
        <v>4735</v>
      </c>
      <c r="S354" t="s">
        <v>2511</v>
      </c>
      <c r="T354" s="3" t="s">
        <v>4736</v>
      </c>
      <c r="U354" t="s">
        <v>4737</v>
      </c>
      <c r="V354" t="s">
        <v>4738</v>
      </c>
      <c r="W354" t="s">
        <v>4739</v>
      </c>
      <c r="X354" t="s">
        <v>2403</v>
      </c>
      <c r="Y354" t="s">
        <v>4740</v>
      </c>
      <c r="Z354" t="s">
        <v>2387</v>
      </c>
      <c r="AA354" t="s">
        <v>4736</v>
      </c>
      <c r="AB354" t="s">
        <v>4583</v>
      </c>
      <c r="AC354" t="s">
        <v>4741</v>
      </c>
      <c r="AD354" t="s">
        <v>4742</v>
      </c>
      <c r="AH354" t="s">
        <v>4630</v>
      </c>
      <c r="AI354" t="s">
        <v>4455</v>
      </c>
      <c r="AJ354" t="s">
        <v>4755</v>
      </c>
      <c r="AK354" t="s">
        <v>4756</v>
      </c>
      <c r="AL354" t="s">
        <v>4757</v>
      </c>
      <c r="AM354" t="s">
        <v>4093</v>
      </c>
      <c r="AN354" t="s">
        <v>4758</v>
      </c>
      <c r="AO354" t="s">
        <v>4755</v>
      </c>
      <c r="AP354">
        <v>30</v>
      </c>
      <c r="AQ354">
        <v>30</v>
      </c>
      <c r="AR354">
        <v>30</v>
      </c>
      <c r="AS354" t="s">
        <v>4759</v>
      </c>
      <c r="AT354">
        <v>0</v>
      </c>
      <c r="AU354">
        <v>0</v>
      </c>
      <c r="AV354">
        <v>0</v>
      </c>
    </row>
    <row r="355" spans="1:48">
      <c r="A355" s="1">
        <f>_xlfn.XLOOKUP(J355,数据!E:E,数据!A:A)</f>
        <v>3</v>
      </c>
      <c r="B355" s="1">
        <f>_xlfn.XLOOKUP(J355,数据!E:E,数据!B:B)</f>
        <v>10</v>
      </c>
      <c r="C355" s="1" t="str">
        <f>_xlfn.XLOOKUP(J355,数据!E:E,数据!J:J)</f>
        <v>空派</v>
      </c>
      <c r="D355" s="1" t="str" cm="1">
        <f t="array" ref="D355">IF(OR(C355="红单",C355="空派"),_xlfn.IFS(E355="未开售","新品首批发货",F355&lt;E355,"新品首批发货",F355-E355&lt;=60,"新品期补货空运",F355-E355&gt;60,"老品应急空运"),"海运，不进行分析")</f>
        <v>老品应急空运</v>
      </c>
      <c r="E355" s="2">
        <v>46017</v>
      </c>
      <c r="F355" s="2">
        <f>_xlfn.XLOOKUP(J355,数据!E:E,数据!C:C)</f>
        <v>46086</v>
      </c>
      <c r="G355" s="4">
        <v>463</v>
      </c>
      <c r="H355" s="4">
        <f t="shared" si="20"/>
        <v>41.67</v>
      </c>
      <c r="I355" s="4">
        <f>_xlfn.XLOOKUP(J355,数据!E:E,数据!S:S)*(H355/_xlfn.XLOOKUP(J355,数据!E:E,数据!X:X))</f>
        <v>1966.55164705882</v>
      </c>
      <c r="J355" t="s">
        <v>1326</v>
      </c>
      <c r="K355" t="s">
        <v>39</v>
      </c>
      <c r="L355" t="s">
        <v>2374</v>
      </c>
      <c r="M355" t="s">
        <v>4760</v>
      </c>
      <c r="N355" t="s">
        <v>2376</v>
      </c>
      <c r="O355" t="s">
        <v>2377</v>
      </c>
      <c r="P355" t="s">
        <v>2378</v>
      </c>
      <c r="Q355" t="s">
        <v>2379</v>
      </c>
      <c r="R355" t="s">
        <v>4761</v>
      </c>
      <c r="S355" t="s">
        <v>2511</v>
      </c>
      <c r="T355" s="3" t="s">
        <v>4736</v>
      </c>
      <c r="U355" t="s">
        <v>4762</v>
      </c>
      <c r="V355" t="s">
        <v>4763</v>
      </c>
      <c r="W355" t="s">
        <v>4764</v>
      </c>
      <c r="X355" t="s">
        <v>2385</v>
      </c>
      <c r="Y355" t="s">
        <v>4765</v>
      </c>
      <c r="Z355" t="s">
        <v>2387</v>
      </c>
      <c r="AA355" t="s">
        <v>4736</v>
      </c>
      <c r="AB355" t="s">
        <v>3657</v>
      </c>
      <c r="AC355" t="s">
        <v>4766</v>
      </c>
      <c r="AD355" t="s">
        <v>4742</v>
      </c>
      <c r="AH355" t="s">
        <v>4630</v>
      </c>
      <c r="AI355" t="s">
        <v>4455</v>
      </c>
      <c r="AJ355" t="s">
        <v>4767</v>
      </c>
      <c r="AK355" t="s">
        <v>4768</v>
      </c>
      <c r="AL355" t="s">
        <v>4769</v>
      </c>
      <c r="AM355" t="s">
        <v>4050</v>
      </c>
      <c r="AN355" t="s">
        <v>4770</v>
      </c>
      <c r="AO355" t="s">
        <v>4767</v>
      </c>
      <c r="AP355">
        <v>90</v>
      </c>
      <c r="AQ355">
        <v>90</v>
      </c>
      <c r="AR355">
        <v>89</v>
      </c>
      <c r="AS355" t="s">
        <v>4771</v>
      </c>
      <c r="AT355">
        <v>0</v>
      </c>
      <c r="AU355">
        <v>-1</v>
      </c>
      <c r="AV355">
        <v>1</v>
      </c>
    </row>
    <row r="356" spans="1:48">
      <c r="A356" s="1">
        <f>_xlfn.XLOOKUP(J356,数据!E:E,数据!A:A)</f>
        <v>3</v>
      </c>
      <c r="B356" s="1">
        <f>_xlfn.XLOOKUP(J356,数据!E:E,数据!B:B)</f>
        <v>10</v>
      </c>
      <c r="C356" s="1" t="str">
        <f>_xlfn.XLOOKUP(J356,数据!E:E,数据!J:J)</f>
        <v>空派</v>
      </c>
      <c r="D356" s="1" t="str" cm="1">
        <f t="array" ref="D356">IF(OR(C356="红单",C356="空派"),_xlfn.IFS(E356="未开售","新品首批发货",F356&lt;E356,"新品首批发货",F356-E356&lt;=60,"新品期补货空运",F356-E356&gt;60,"老品应急空运"),"海运，不进行分析")</f>
        <v>新品期补货空运</v>
      </c>
      <c r="E356" s="2">
        <v>46054</v>
      </c>
      <c r="F356" s="2">
        <f>_xlfn.XLOOKUP(J356,数据!E:E,数据!C:C)</f>
        <v>46086</v>
      </c>
      <c r="G356" s="4">
        <v>132</v>
      </c>
      <c r="H356" s="4">
        <f t="shared" si="20"/>
        <v>11.88</v>
      </c>
      <c r="I356" s="4">
        <f>_xlfn.XLOOKUP(J356,数据!E:E,数据!S:S)*(H356/_xlfn.XLOOKUP(J356,数据!E:E,数据!X:X))</f>
        <v>560.658352941176</v>
      </c>
      <c r="J356" t="s">
        <v>1326</v>
      </c>
      <c r="K356" t="s">
        <v>39</v>
      </c>
      <c r="L356" t="s">
        <v>2374</v>
      </c>
      <c r="M356" t="s">
        <v>4760</v>
      </c>
      <c r="N356" t="s">
        <v>2376</v>
      </c>
      <c r="O356" t="s">
        <v>2377</v>
      </c>
      <c r="P356" t="s">
        <v>2378</v>
      </c>
      <c r="Q356" t="s">
        <v>2379</v>
      </c>
      <c r="R356" t="s">
        <v>4761</v>
      </c>
      <c r="S356" t="s">
        <v>2511</v>
      </c>
      <c r="T356" s="3" t="s">
        <v>4736</v>
      </c>
      <c r="U356" t="s">
        <v>4762</v>
      </c>
      <c r="V356" t="s">
        <v>4763</v>
      </c>
      <c r="W356" t="s">
        <v>4764</v>
      </c>
      <c r="X356" t="s">
        <v>2385</v>
      </c>
      <c r="Y356" t="s">
        <v>4765</v>
      </c>
      <c r="Z356" t="s">
        <v>2387</v>
      </c>
      <c r="AA356" t="s">
        <v>4736</v>
      </c>
      <c r="AB356" t="s">
        <v>3657</v>
      </c>
      <c r="AC356" t="s">
        <v>4766</v>
      </c>
      <c r="AD356" t="s">
        <v>4742</v>
      </c>
      <c r="AH356" t="s">
        <v>4630</v>
      </c>
      <c r="AI356" t="s">
        <v>4455</v>
      </c>
      <c r="AJ356" t="s">
        <v>3245</v>
      </c>
      <c r="AK356" t="s">
        <v>3246</v>
      </c>
      <c r="AL356" t="s">
        <v>3247</v>
      </c>
      <c r="AM356" t="s">
        <v>3248</v>
      </c>
      <c r="AN356" t="s">
        <v>3249</v>
      </c>
      <c r="AO356" t="s">
        <v>3245</v>
      </c>
      <c r="AP356">
        <v>90</v>
      </c>
      <c r="AQ356">
        <v>90</v>
      </c>
      <c r="AR356">
        <v>90</v>
      </c>
      <c r="AS356" t="s">
        <v>4772</v>
      </c>
      <c r="AT356">
        <v>0</v>
      </c>
      <c r="AU356">
        <v>0</v>
      </c>
      <c r="AV356">
        <v>0</v>
      </c>
    </row>
    <row r="357" spans="1:48">
      <c r="A357" s="1">
        <f>_xlfn.XLOOKUP(J357,数据!E:E,数据!A:A)</f>
        <v>3</v>
      </c>
      <c r="B357" s="1">
        <f>_xlfn.XLOOKUP(J357,数据!E:E,数据!B:B)</f>
        <v>10</v>
      </c>
      <c r="C357" s="1" t="str">
        <f>_xlfn.XLOOKUP(J357,数据!E:E,数据!J:J)</f>
        <v>空派</v>
      </c>
      <c r="D357" s="1" t="str" cm="1">
        <f t="array" ref="D357">IF(OR(C357="红单",C357="空派"),_xlfn.IFS(E357="未开售","新品首批发货",F357&lt;E357,"新品首批发货",F357-E357&lt;=60,"新品期补货空运",F357-E357&gt;60,"老品应急空运"),"海运，不进行分析")</f>
        <v>新品首批发货</v>
      </c>
      <c r="E357" s="2">
        <v>46111</v>
      </c>
      <c r="F357" s="2">
        <f>_xlfn.XLOOKUP(J357,数据!E:E,数据!C:C)</f>
        <v>46086</v>
      </c>
      <c r="G357" s="4">
        <v>134</v>
      </c>
      <c r="H357" s="4">
        <f t="shared" si="20"/>
        <v>8.04</v>
      </c>
      <c r="I357" s="4">
        <f>_xlfn.XLOOKUP(J357,数据!E:E,数据!S:S)*(H357/_xlfn.XLOOKUP(J357,数据!E:E,数据!X:X))</f>
        <v>394.453506711409</v>
      </c>
      <c r="J357" t="s">
        <v>1327</v>
      </c>
      <c r="K357" t="s">
        <v>31</v>
      </c>
      <c r="L357" t="s">
        <v>2374</v>
      </c>
      <c r="M357" t="s">
        <v>4773</v>
      </c>
      <c r="N357" t="s">
        <v>2376</v>
      </c>
      <c r="O357" t="s">
        <v>2400</v>
      </c>
      <c r="P357" t="s">
        <v>2378</v>
      </c>
      <c r="Q357" t="s">
        <v>2379</v>
      </c>
      <c r="R357" t="s">
        <v>4774</v>
      </c>
      <c r="S357" t="s">
        <v>2511</v>
      </c>
      <c r="T357" s="3" t="s">
        <v>4775</v>
      </c>
      <c r="U357" t="s">
        <v>4776</v>
      </c>
      <c r="V357" t="s">
        <v>4777</v>
      </c>
      <c r="W357" t="s">
        <v>4778</v>
      </c>
      <c r="X357" t="s">
        <v>2385</v>
      </c>
      <c r="Y357" t="s">
        <v>4779</v>
      </c>
      <c r="Z357" t="s">
        <v>2387</v>
      </c>
      <c r="AA357" t="s">
        <v>4775</v>
      </c>
      <c r="AB357" t="s">
        <v>4392</v>
      </c>
      <c r="AC357" t="s">
        <v>4780</v>
      </c>
      <c r="AD357" t="s">
        <v>4742</v>
      </c>
      <c r="AH357" t="s">
        <v>4630</v>
      </c>
      <c r="AI357" t="s">
        <v>4455</v>
      </c>
      <c r="AJ357" t="s">
        <v>3579</v>
      </c>
      <c r="AK357" t="s">
        <v>3580</v>
      </c>
      <c r="AL357" t="s">
        <v>3581</v>
      </c>
      <c r="AM357" t="s">
        <v>3582</v>
      </c>
      <c r="AN357" t="s">
        <v>3583</v>
      </c>
      <c r="AO357" t="s">
        <v>3579</v>
      </c>
      <c r="AP357">
        <v>60</v>
      </c>
      <c r="AQ357">
        <v>60</v>
      </c>
      <c r="AR357">
        <v>60</v>
      </c>
      <c r="AS357" t="s">
        <v>4781</v>
      </c>
      <c r="AT357">
        <v>0</v>
      </c>
      <c r="AU357">
        <v>0</v>
      </c>
      <c r="AV357">
        <v>0</v>
      </c>
    </row>
    <row r="358" spans="1:48">
      <c r="A358" s="1">
        <f>_xlfn.XLOOKUP(J358,数据!E:E,数据!A:A)</f>
        <v>3</v>
      </c>
      <c r="B358" s="1">
        <f>_xlfn.XLOOKUP(J358,数据!E:E,数据!B:B)</f>
        <v>10</v>
      </c>
      <c r="C358" s="1" t="str">
        <f>_xlfn.XLOOKUP(J358,数据!E:E,数据!J:J)</f>
        <v>空派</v>
      </c>
      <c r="D358" s="1" t="str" cm="1">
        <f t="array" ref="D358">IF(OR(C358="红单",C358="空派"),_xlfn.IFS(E358="未开售","新品首批发货",F358&lt;E358,"新品首批发货",F358-E358&lt;=60,"新品期补货空运",F358-E358&gt;60,"老品应急空运"),"海运，不进行分析")</f>
        <v>新品首批发货</v>
      </c>
      <c r="E358" s="2">
        <v>46113</v>
      </c>
      <c r="F358" s="2">
        <f>_xlfn.XLOOKUP(J358,数据!E:E,数据!C:C)</f>
        <v>46086</v>
      </c>
      <c r="G358" s="4">
        <v>135</v>
      </c>
      <c r="H358" s="4">
        <f t="shared" si="20"/>
        <v>8.1</v>
      </c>
      <c r="I358" s="4">
        <f>_xlfn.XLOOKUP(J358,数据!E:E,数据!S:S)*(H358/_xlfn.XLOOKUP(J358,数据!E:E,数据!X:X))</f>
        <v>397.397189597315</v>
      </c>
      <c r="J358" t="s">
        <v>1327</v>
      </c>
      <c r="K358" t="s">
        <v>31</v>
      </c>
      <c r="L358" t="s">
        <v>2374</v>
      </c>
      <c r="M358" t="s">
        <v>4773</v>
      </c>
      <c r="N358" t="s">
        <v>2376</v>
      </c>
      <c r="O358" t="s">
        <v>2400</v>
      </c>
      <c r="P358" t="s">
        <v>2378</v>
      </c>
      <c r="Q358" t="s">
        <v>2379</v>
      </c>
      <c r="R358" t="s">
        <v>4774</v>
      </c>
      <c r="S358" t="s">
        <v>2511</v>
      </c>
      <c r="T358" s="3" t="s">
        <v>4775</v>
      </c>
      <c r="U358" t="s">
        <v>4776</v>
      </c>
      <c r="V358" t="s">
        <v>4777</v>
      </c>
      <c r="W358" t="s">
        <v>4778</v>
      </c>
      <c r="X358" t="s">
        <v>2385</v>
      </c>
      <c r="Y358" t="s">
        <v>4779</v>
      </c>
      <c r="Z358" t="s">
        <v>2387</v>
      </c>
      <c r="AA358" t="s">
        <v>4775</v>
      </c>
      <c r="AB358" t="s">
        <v>4392</v>
      </c>
      <c r="AC358" t="s">
        <v>4780</v>
      </c>
      <c r="AD358" t="s">
        <v>4742</v>
      </c>
      <c r="AH358" t="s">
        <v>4630</v>
      </c>
      <c r="AI358" t="s">
        <v>4455</v>
      </c>
      <c r="AJ358" t="s">
        <v>3585</v>
      </c>
      <c r="AK358" t="s">
        <v>3586</v>
      </c>
      <c r="AL358" t="s">
        <v>3587</v>
      </c>
      <c r="AM358" t="s">
        <v>3582</v>
      </c>
      <c r="AN358" t="s">
        <v>3588</v>
      </c>
      <c r="AO358" t="s">
        <v>3585</v>
      </c>
      <c r="AP358">
        <v>60</v>
      </c>
      <c r="AQ358">
        <v>60</v>
      </c>
      <c r="AR358">
        <v>60</v>
      </c>
      <c r="AS358" t="s">
        <v>4782</v>
      </c>
      <c r="AT358">
        <v>0</v>
      </c>
      <c r="AU358">
        <v>0</v>
      </c>
      <c r="AV358">
        <v>0</v>
      </c>
    </row>
    <row r="359" spans="1:48">
      <c r="A359" s="1">
        <f>_xlfn.XLOOKUP(J359,数据!E:E,数据!A:A)</f>
        <v>3</v>
      </c>
      <c r="B359" s="1">
        <f>_xlfn.XLOOKUP(J359,数据!E:E,数据!B:B)</f>
        <v>10</v>
      </c>
      <c r="C359" s="1" t="str">
        <f>_xlfn.XLOOKUP(J359,数据!E:E,数据!J:J)</f>
        <v>空派</v>
      </c>
      <c r="D359" s="1" t="str" cm="1">
        <f t="array" ref="D359">IF(OR(C359="红单",C359="空派"),_xlfn.IFS(E359="未开售","新品首批发货",F359&lt;E359,"新品首批发货",F359-E359&lt;=60,"新品期补货空运",F359-E359&gt;60,"老品应急空运"),"海运，不进行分析")</f>
        <v>新品首批发货</v>
      </c>
      <c r="E359" s="2">
        <v>46111</v>
      </c>
      <c r="F359" s="2">
        <f>_xlfn.XLOOKUP(J359,数据!E:E,数据!C:C)</f>
        <v>46086</v>
      </c>
      <c r="G359" s="4">
        <v>143</v>
      </c>
      <c r="H359" s="4">
        <f t="shared" si="20"/>
        <v>14.3</v>
      </c>
      <c r="I359" s="4">
        <f>_xlfn.XLOOKUP(J359,数据!E:E,数据!S:S)*(H359/_xlfn.XLOOKUP(J359,数据!E:E,数据!X:X))</f>
        <v>701.577754474273</v>
      </c>
      <c r="J359" t="s">
        <v>1327</v>
      </c>
      <c r="K359" t="s">
        <v>31</v>
      </c>
      <c r="L359" t="s">
        <v>2374</v>
      </c>
      <c r="M359" t="s">
        <v>4773</v>
      </c>
      <c r="N359" t="s">
        <v>2376</v>
      </c>
      <c r="O359" t="s">
        <v>2400</v>
      </c>
      <c r="P359" t="s">
        <v>2378</v>
      </c>
      <c r="Q359" t="s">
        <v>2379</v>
      </c>
      <c r="R359" t="s">
        <v>4774</v>
      </c>
      <c r="S359" t="s">
        <v>2511</v>
      </c>
      <c r="T359" s="3" t="s">
        <v>4775</v>
      </c>
      <c r="U359" t="s">
        <v>4776</v>
      </c>
      <c r="V359" t="s">
        <v>4777</v>
      </c>
      <c r="W359" t="s">
        <v>4778</v>
      </c>
      <c r="X359" t="s">
        <v>2385</v>
      </c>
      <c r="Y359" t="s">
        <v>4779</v>
      </c>
      <c r="Z359" t="s">
        <v>2387</v>
      </c>
      <c r="AA359" t="s">
        <v>4775</v>
      </c>
      <c r="AB359" t="s">
        <v>4392</v>
      </c>
      <c r="AC359" t="s">
        <v>4780</v>
      </c>
      <c r="AD359" t="s">
        <v>4742</v>
      </c>
      <c r="AH359" t="s">
        <v>4630</v>
      </c>
      <c r="AI359" t="s">
        <v>4455</v>
      </c>
      <c r="AJ359" t="s">
        <v>4783</v>
      </c>
      <c r="AK359" t="s">
        <v>4784</v>
      </c>
      <c r="AL359" t="s">
        <v>4785</v>
      </c>
      <c r="AM359" t="s">
        <v>2989</v>
      </c>
      <c r="AN359" t="s">
        <v>4786</v>
      </c>
      <c r="AO359" t="s">
        <v>4783</v>
      </c>
      <c r="AP359">
        <v>100</v>
      </c>
      <c r="AQ359">
        <v>100</v>
      </c>
      <c r="AR359">
        <v>100</v>
      </c>
      <c r="AS359" t="s">
        <v>4787</v>
      </c>
      <c r="AT359">
        <v>0</v>
      </c>
      <c r="AU359">
        <v>0</v>
      </c>
      <c r="AV359">
        <v>0</v>
      </c>
    </row>
    <row r="360" spans="1:48">
      <c r="A360" s="1">
        <f>_xlfn.XLOOKUP(J360,数据!E:E,数据!A:A)</f>
        <v>3</v>
      </c>
      <c r="B360" s="1">
        <f>_xlfn.XLOOKUP(J360,数据!E:E,数据!B:B)</f>
        <v>10</v>
      </c>
      <c r="C360" s="1" t="str">
        <f>_xlfn.XLOOKUP(J360,数据!E:E,数据!J:J)</f>
        <v>空派</v>
      </c>
      <c r="D360" s="1" t="str" cm="1">
        <f t="array" ref="D360">IF(OR(C360="红单",C360="空派"),_xlfn.IFS(E360="未开售","新品首批发货",F360&lt;E360,"新品首批发货",F360-E360&lt;=60,"新品期补货空运",F360-E360&gt;60,"老品应急空运"),"海运，不进行分析")</f>
        <v>新品首批发货</v>
      </c>
      <c r="E360" s="2">
        <v>46112</v>
      </c>
      <c r="F360" s="2">
        <f>_xlfn.XLOOKUP(J360,数据!E:E,数据!C:C)</f>
        <v>46086</v>
      </c>
      <c r="G360" s="4">
        <v>141</v>
      </c>
      <c r="H360" s="4">
        <f t="shared" si="20"/>
        <v>14.1</v>
      </c>
      <c r="I360" s="4">
        <f>_xlfn.XLOOKUP(J360,数据!E:E,数据!S:S)*(H360/_xlfn.XLOOKUP(J360,数据!E:E,数据!X:X))</f>
        <v>691.765478187919</v>
      </c>
      <c r="J360" t="s">
        <v>1327</v>
      </c>
      <c r="K360" t="s">
        <v>31</v>
      </c>
      <c r="L360" t="s">
        <v>2374</v>
      </c>
      <c r="M360" t="s">
        <v>4773</v>
      </c>
      <c r="N360" t="s">
        <v>2376</v>
      </c>
      <c r="O360" t="s">
        <v>2400</v>
      </c>
      <c r="P360" t="s">
        <v>2378</v>
      </c>
      <c r="Q360" t="s">
        <v>2379</v>
      </c>
      <c r="R360" t="s">
        <v>4774</v>
      </c>
      <c r="S360" t="s">
        <v>2511</v>
      </c>
      <c r="T360" s="3" t="s">
        <v>4775</v>
      </c>
      <c r="U360" t="s">
        <v>4776</v>
      </c>
      <c r="V360" t="s">
        <v>4777</v>
      </c>
      <c r="W360" t="s">
        <v>4778</v>
      </c>
      <c r="X360" t="s">
        <v>2385</v>
      </c>
      <c r="Y360" t="s">
        <v>4779</v>
      </c>
      <c r="Z360" t="s">
        <v>2387</v>
      </c>
      <c r="AA360" t="s">
        <v>4775</v>
      </c>
      <c r="AB360" t="s">
        <v>4392</v>
      </c>
      <c r="AC360" t="s">
        <v>4780</v>
      </c>
      <c r="AD360" t="s">
        <v>4742</v>
      </c>
      <c r="AH360" t="s">
        <v>4630</v>
      </c>
      <c r="AI360" t="s">
        <v>4455</v>
      </c>
      <c r="AJ360" t="s">
        <v>2773</v>
      </c>
      <c r="AK360" t="s">
        <v>2774</v>
      </c>
      <c r="AL360" t="s">
        <v>2775</v>
      </c>
      <c r="AM360" t="s">
        <v>2607</v>
      </c>
      <c r="AN360" t="s">
        <v>2776</v>
      </c>
      <c r="AO360" t="s">
        <v>2773</v>
      </c>
      <c r="AP360">
        <v>100</v>
      </c>
      <c r="AQ360">
        <v>100</v>
      </c>
      <c r="AR360">
        <v>100</v>
      </c>
      <c r="AS360" t="s">
        <v>4788</v>
      </c>
      <c r="AT360">
        <v>0</v>
      </c>
      <c r="AU360">
        <v>0</v>
      </c>
      <c r="AV360">
        <v>0</v>
      </c>
    </row>
    <row r="361" spans="1:48">
      <c r="A361" s="1">
        <f>_xlfn.XLOOKUP(J361,数据!E:E,数据!A:A)</f>
        <v>3</v>
      </c>
      <c r="B361" s="1">
        <f>_xlfn.XLOOKUP(J361,数据!E:E,数据!B:B)</f>
        <v>10</v>
      </c>
      <c r="C361" s="1" t="str">
        <f>_xlfn.XLOOKUP(J361,数据!E:E,数据!J:J)</f>
        <v>空派</v>
      </c>
      <c r="D361" s="1" t="str" cm="1">
        <f t="array" ref="D361">IF(OR(C361="红单",C361="空派"),_xlfn.IFS(E361="未开售","新品首批发货",F361&lt;E361,"新品首批发货",F361-E361&lt;=60,"新品期补货空运",F361-E361&gt;60,"老品应急空运"),"海运，不进行分析")</f>
        <v>新品首批发货</v>
      </c>
      <c r="E361" s="2">
        <v>46113</v>
      </c>
      <c r="F361" s="2">
        <f>_xlfn.XLOOKUP(J361,数据!E:E,数据!C:C)</f>
        <v>46086</v>
      </c>
      <c r="G361" s="4">
        <v>141</v>
      </c>
      <c r="H361" s="4">
        <f t="shared" si="20"/>
        <v>14.1</v>
      </c>
      <c r="I361" s="4">
        <f>_xlfn.XLOOKUP(J361,数据!E:E,数据!S:S)*(H361/_xlfn.XLOOKUP(J361,数据!E:E,数据!X:X))</f>
        <v>691.765478187919</v>
      </c>
      <c r="J361" t="s">
        <v>1327</v>
      </c>
      <c r="K361" t="s">
        <v>31</v>
      </c>
      <c r="L361" t="s">
        <v>2374</v>
      </c>
      <c r="M361" t="s">
        <v>4773</v>
      </c>
      <c r="N361" t="s">
        <v>2376</v>
      </c>
      <c r="O361" t="s">
        <v>2400</v>
      </c>
      <c r="P361" t="s">
        <v>2378</v>
      </c>
      <c r="Q361" t="s">
        <v>2379</v>
      </c>
      <c r="R361" t="s">
        <v>4774</v>
      </c>
      <c r="S361" t="s">
        <v>2511</v>
      </c>
      <c r="T361" s="3" t="s">
        <v>4775</v>
      </c>
      <c r="U361" t="s">
        <v>4776</v>
      </c>
      <c r="V361" t="s">
        <v>4777</v>
      </c>
      <c r="W361" t="s">
        <v>4778</v>
      </c>
      <c r="X361" t="s">
        <v>2385</v>
      </c>
      <c r="Y361" t="s">
        <v>4779</v>
      </c>
      <c r="Z361" t="s">
        <v>2387</v>
      </c>
      <c r="AA361" t="s">
        <v>4775</v>
      </c>
      <c r="AB361" t="s">
        <v>4392</v>
      </c>
      <c r="AC361" t="s">
        <v>4780</v>
      </c>
      <c r="AD361" t="s">
        <v>4742</v>
      </c>
      <c r="AH361" t="s">
        <v>4630</v>
      </c>
      <c r="AI361" t="s">
        <v>4455</v>
      </c>
      <c r="AJ361" t="s">
        <v>4789</v>
      </c>
      <c r="AK361" t="s">
        <v>4790</v>
      </c>
      <c r="AL361" t="s">
        <v>4791</v>
      </c>
      <c r="AM361" t="s">
        <v>2607</v>
      </c>
      <c r="AN361" t="s">
        <v>4792</v>
      </c>
      <c r="AO361" t="s">
        <v>4789</v>
      </c>
      <c r="AP361">
        <v>100</v>
      </c>
      <c r="AQ361">
        <v>100</v>
      </c>
      <c r="AR361">
        <v>99</v>
      </c>
      <c r="AS361" t="s">
        <v>4793</v>
      </c>
      <c r="AT361">
        <v>0</v>
      </c>
      <c r="AU361">
        <v>-1</v>
      </c>
      <c r="AV361">
        <v>1</v>
      </c>
    </row>
    <row r="362" spans="1:48">
      <c r="A362" s="1">
        <f>_xlfn.XLOOKUP(J362,数据!E:E,数据!A:A)</f>
        <v>3</v>
      </c>
      <c r="B362" s="1">
        <f>_xlfn.XLOOKUP(J362,数据!E:E,数据!B:B)</f>
        <v>10</v>
      </c>
      <c r="C362" s="1" t="str">
        <f>_xlfn.XLOOKUP(J362,数据!E:E,数据!J:J)</f>
        <v>空派</v>
      </c>
      <c r="D362" s="1" t="str" cm="1">
        <f t="array" ref="D362">IF(OR(C362="红单",C362="空派"),_xlfn.IFS(E362="未开售","新品首批发货",F362&lt;E362,"新品首批发货",F362-E362&lt;=60,"新品期补货空运",F362-E362&gt;60,"老品应急空运"),"海运，不进行分析")</f>
        <v>新品首批发货</v>
      </c>
      <c r="E362" s="2">
        <v>46111</v>
      </c>
      <c r="F362" s="2">
        <f>_xlfn.XLOOKUP(J362,数据!E:E,数据!C:C)</f>
        <v>46086</v>
      </c>
      <c r="G362" s="4">
        <v>140</v>
      </c>
      <c r="H362" s="4">
        <f t="shared" si="20"/>
        <v>14</v>
      </c>
      <c r="I362" s="4">
        <f>_xlfn.XLOOKUP(J362,数据!E:E,数据!S:S)*(H362/_xlfn.XLOOKUP(J362,数据!E:E,数据!X:X))</f>
        <v>686.859340044743</v>
      </c>
      <c r="J362" t="s">
        <v>1327</v>
      </c>
      <c r="K362" t="s">
        <v>31</v>
      </c>
      <c r="L362" t="s">
        <v>2374</v>
      </c>
      <c r="M362" t="s">
        <v>4773</v>
      </c>
      <c r="N362" t="s">
        <v>2376</v>
      </c>
      <c r="O362" t="s">
        <v>2400</v>
      </c>
      <c r="P362" t="s">
        <v>2378</v>
      </c>
      <c r="Q362" t="s">
        <v>2379</v>
      </c>
      <c r="R362" t="s">
        <v>4774</v>
      </c>
      <c r="S362" t="s">
        <v>2511</v>
      </c>
      <c r="T362" s="3" t="s">
        <v>4775</v>
      </c>
      <c r="U362" t="s">
        <v>4776</v>
      </c>
      <c r="V362" t="s">
        <v>4777</v>
      </c>
      <c r="W362" t="s">
        <v>4778</v>
      </c>
      <c r="X362" t="s">
        <v>2385</v>
      </c>
      <c r="Y362" t="s">
        <v>4779</v>
      </c>
      <c r="Z362" t="s">
        <v>2387</v>
      </c>
      <c r="AA362" t="s">
        <v>4775</v>
      </c>
      <c r="AB362" t="s">
        <v>4392</v>
      </c>
      <c r="AC362" t="s">
        <v>4780</v>
      </c>
      <c r="AD362" t="s">
        <v>4742</v>
      </c>
      <c r="AH362" t="s">
        <v>4630</v>
      </c>
      <c r="AI362" t="s">
        <v>4455</v>
      </c>
      <c r="AJ362" t="s">
        <v>4794</v>
      </c>
      <c r="AK362" t="s">
        <v>4795</v>
      </c>
      <c r="AL362" t="s">
        <v>4796</v>
      </c>
      <c r="AM362" t="s">
        <v>2607</v>
      </c>
      <c r="AN362" t="s">
        <v>4797</v>
      </c>
      <c r="AO362" t="s">
        <v>4794</v>
      </c>
      <c r="AP362">
        <v>100</v>
      </c>
      <c r="AQ362">
        <v>100</v>
      </c>
      <c r="AR362">
        <v>100</v>
      </c>
      <c r="AS362" t="s">
        <v>4798</v>
      </c>
      <c r="AT362">
        <v>0</v>
      </c>
      <c r="AU362">
        <v>0</v>
      </c>
      <c r="AV362">
        <v>0</v>
      </c>
    </row>
    <row r="363" spans="1:48">
      <c r="A363" s="1">
        <f>_xlfn.XLOOKUP(J363,数据!E:E,数据!A:A)</f>
        <v>3</v>
      </c>
      <c r="B363" s="1">
        <f>_xlfn.XLOOKUP(J363,数据!E:E,数据!B:B)</f>
        <v>10</v>
      </c>
      <c r="C363" s="1" t="str">
        <f>_xlfn.XLOOKUP(J363,数据!E:E,数据!J:J)</f>
        <v>空派</v>
      </c>
      <c r="D363" s="1" t="str" cm="1">
        <f t="array" ref="D363">IF(OR(C363="红单",C363="空派"),_xlfn.IFS(E363="未开售","新品首批发货",F363&lt;E363,"新品首批发货",F363-E363&lt;=60,"新品期补货空运",F363-E363&gt;60,"老品应急空运"),"海运，不进行分析")</f>
        <v>新品首批发货</v>
      </c>
      <c r="E363" s="2">
        <v>46112</v>
      </c>
      <c r="F363" s="2">
        <f>_xlfn.XLOOKUP(J363,数据!E:E,数据!C:C)</f>
        <v>46086</v>
      </c>
      <c r="G363" s="4">
        <v>141</v>
      </c>
      <c r="H363" s="4">
        <f t="shared" si="20"/>
        <v>14.1</v>
      </c>
      <c r="I363" s="4">
        <f>_xlfn.XLOOKUP(J363,数据!E:E,数据!S:S)*(H363/_xlfn.XLOOKUP(J363,数据!E:E,数据!X:X))</f>
        <v>691.765478187919</v>
      </c>
      <c r="J363" t="s">
        <v>1327</v>
      </c>
      <c r="K363" t="s">
        <v>31</v>
      </c>
      <c r="L363" t="s">
        <v>2374</v>
      </c>
      <c r="M363" t="s">
        <v>4773</v>
      </c>
      <c r="N363" t="s">
        <v>2376</v>
      </c>
      <c r="O363" t="s">
        <v>2400</v>
      </c>
      <c r="P363" t="s">
        <v>2378</v>
      </c>
      <c r="Q363" t="s">
        <v>2379</v>
      </c>
      <c r="R363" t="s">
        <v>4774</v>
      </c>
      <c r="S363" t="s">
        <v>2511</v>
      </c>
      <c r="T363" s="3" t="s">
        <v>4775</v>
      </c>
      <c r="U363" t="s">
        <v>4776</v>
      </c>
      <c r="V363" t="s">
        <v>4777</v>
      </c>
      <c r="W363" t="s">
        <v>4778</v>
      </c>
      <c r="X363" t="s">
        <v>2385</v>
      </c>
      <c r="Y363" t="s">
        <v>4779</v>
      </c>
      <c r="Z363" t="s">
        <v>2387</v>
      </c>
      <c r="AA363" t="s">
        <v>4775</v>
      </c>
      <c r="AB363" t="s">
        <v>4392</v>
      </c>
      <c r="AC363" t="s">
        <v>4780</v>
      </c>
      <c r="AD363" t="s">
        <v>4742</v>
      </c>
      <c r="AH363" t="s">
        <v>4630</v>
      </c>
      <c r="AI363" t="s">
        <v>4455</v>
      </c>
      <c r="AJ363" t="s">
        <v>4799</v>
      </c>
      <c r="AK363" t="s">
        <v>4800</v>
      </c>
      <c r="AL363" t="s">
        <v>4801</v>
      </c>
      <c r="AM363" t="s">
        <v>2607</v>
      </c>
      <c r="AN363" t="s">
        <v>4802</v>
      </c>
      <c r="AO363" t="s">
        <v>4799</v>
      </c>
      <c r="AP363">
        <v>100</v>
      </c>
      <c r="AQ363">
        <v>100</v>
      </c>
      <c r="AR363">
        <v>100</v>
      </c>
      <c r="AS363" t="s">
        <v>4803</v>
      </c>
      <c r="AT363">
        <v>0</v>
      </c>
      <c r="AU363">
        <v>0</v>
      </c>
      <c r="AV363">
        <v>0</v>
      </c>
    </row>
    <row r="364" spans="1:48">
      <c r="A364" s="1">
        <f>_xlfn.XLOOKUP(J364,数据!E:E,数据!A:A)</f>
        <v>3</v>
      </c>
      <c r="B364" s="1">
        <f>_xlfn.XLOOKUP(J364,数据!E:E,数据!B:B)</f>
        <v>10</v>
      </c>
      <c r="C364" s="1" t="str">
        <f>_xlfn.XLOOKUP(J364,数据!E:E,数据!J:J)</f>
        <v>空派</v>
      </c>
      <c r="D364" s="1" t="str" cm="1">
        <f t="array" ref="D364">IF(OR(C364="红单",C364="空派"),_xlfn.IFS(E364="未开售","新品首批发货",F364&lt;E364,"新品首批发货",F364-E364&lt;=60,"新品期补货空运",F364-E364&gt;60,"老品应急空运"),"海运，不进行分析")</f>
        <v>新品首批发货</v>
      </c>
      <c r="E364" s="2">
        <v>46114</v>
      </c>
      <c r="F364" s="2">
        <f>_xlfn.XLOOKUP(J364,数据!E:E,数据!C:C)</f>
        <v>46086</v>
      </c>
      <c r="G364" s="4">
        <v>141</v>
      </c>
      <c r="H364" s="4">
        <f t="shared" si="20"/>
        <v>14.1</v>
      </c>
      <c r="I364" s="4">
        <f>_xlfn.XLOOKUP(J364,数据!E:E,数据!S:S)*(H364/_xlfn.XLOOKUP(J364,数据!E:E,数据!X:X))</f>
        <v>691.765478187919</v>
      </c>
      <c r="J364" t="s">
        <v>1327</v>
      </c>
      <c r="K364" t="s">
        <v>31</v>
      </c>
      <c r="L364" t="s">
        <v>2374</v>
      </c>
      <c r="M364" t="s">
        <v>4773</v>
      </c>
      <c r="N364" t="s">
        <v>2376</v>
      </c>
      <c r="O364" t="s">
        <v>2400</v>
      </c>
      <c r="P364" t="s">
        <v>2378</v>
      </c>
      <c r="Q364" t="s">
        <v>2379</v>
      </c>
      <c r="R364" t="s">
        <v>4774</v>
      </c>
      <c r="S364" t="s">
        <v>2511</v>
      </c>
      <c r="T364" s="3" t="s">
        <v>4775</v>
      </c>
      <c r="U364" t="s">
        <v>4776</v>
      </c>
      <c r="V364" t="s">
        <v>4777</v>
      </c>
      <c r="W364" t="s">
        <v>4778</v>
      </c>
      <c r="X364" t="s">
        <v>2385</v>
      </c>
      <c r="Y364" t="s">
        <v>4779</v>
      </c>
      <c r="Z364" t="s">
        <v>2387</v>
      </c>
      <c r="AA364" t="s">
        <v>4775</v>
      </c>
      <c r="AB364" t="s">
        <v>4392</v>
      </c>
      <c r="AC364" t="s">
        <v>4780</v>
      </c>
      <c r="AD364" t="s">
        <v>4742</v>
      </c>
      <c r="AH364" t="s">
        <v>4630</v>
      </c>
      <c r="AI364" t="s">
        <v>4455</v>
      </c>
      <c r="AJ364" t="s">
        <v>4804</v>
      </c>
      <c r="AK364" t="s">
        <v>4805</v>
      </c>
      <c r="AL364" t="s">
        <v>4806</v>
      </c>
      <c r="AM364" t="s">
        <v>2607</v>
      </c>
      <c r="AN364" t="s">
        <v>4807</v>
      </c>
      <c r="AO364" t="s">
        <v>4804</v>
      </c>
      <c r="AP364">
        <v>100</v>
      </c>
      <c r="AQ364">
        <v>100</v>
      </c>
      <c r="AR364">
        <v>101</v>
      </c>
      <c r="AS364" t="s">
        <v>4808</v>
      </c>
      <c r="AT364">
        <v>0</v>
      </c>
      <c r="AU364">
        <v>1</v>
      </c>
      <c r="AV364">
        <v>-1</v>
      </c>
    </row>
    <row r="365" spans="1:48">
      <c r="A365" s="1">
        <f>_xlfn.XLOOKUP(J365,数据!E:E,数据!A:A)</f>
        <v>3</v>
      </c>
      <c r="B365" s="1">
        <f>_xlfn.XLOOKUP(J365,数据!E:E,数据!B:B)</f>
        <v>10</v>
      </c>
      <c r="C365" s="1" t="str">
        <f>_xlfn.XLOOKUP(J365,数据!E:E,数据!J:J)</f>
        <v>空派</v>
      </c>
      <c r="D365" s="1" t="str" cm="1">
        <f t="array" ref="D365">IF(OR(C365="红单",C365="空派"),_xlfn.IFS(E365="未开售","新品首批发货",F365&lt;E365,"新品首批发货",F365-E365&lt;=60,"新品期补货空运",F365-E365&gt;60,"老品应急空运"),"海运，不进行分析")</f>
        <v>新品首批发货</v>
      </c>
      <c r="E365" s="2">
        <v>46113</v>
      </c>
      <c r="F365" s="2">
        <f>_xlfn.XLOOKUP(J365,数据!E:E,数据!C:C)</f>
        <v>46086</v>
      </c>
      <c r="G365" s="4">
        <v>141</v>
      </c>
      <c r="H365" s="4">
        <f t="shared" si="20"/>
        <v>14.1</v>
      </c>
      <c r="I365" s="4">
        <f>_xlfn.XLOOKUP(J365,数据!E:E,数据!S:S)*(H365/_xlfn.XLOOKUP(J365,数据!E:E,数据!X:X))</f>
        <v>691.765478187919</v>
      </c>
      <c r="J365" t="s">
        <v>1327</v>
      </c>
      <c r="K365" t="s">
        <v>31</v>
      </c>
      <c r="L365" t="s">
        <v>2374</v>
      </c>
      <c r="M365" t="s">
        <v>4773</v>
      </c>
      <c r="N365" t="s">
        <v>2376</v>
      </c>
      <c r="O365" t="s">
        <v>2400</v>
      </c>
      <c r="P365" t="s">
        <v>2378</v>
      </c>
      <c r="Q365" t="s">
        <v>2379</v>
      </c>
      <c r="R365" t="s">
        <v>4774</v>
      </c>
      <c r="S365" t="s">
        <v>2511</v>
      </c>
      <c r="T365" s="3" t="s">
        <v>4775</v>
      </c>
      <c r="U365" t="s">
        <v>4776</v>
      </c>
      <c r="V365" t="s">
        <v>4777</v>
      </c>
      <c r="W365" t="s">
        <v>4778</v>
      </c>
      <c r="X365" t="s">
        <v>2385</v>
      </c>
      <c r="Y365" t="s">
        <v>4779</v>
      </c>
      <c r="Z365" t="s">
        <v>2387</v>
      </c>
      <c r="AA365" t="s">
        <v>4775</v>
      </c>
      <c r="AB365" t="s">
        <v>4392</v>
      </c>
      <c r="AC365" t="s">
        <v>4780</v>
      </c>
      <c r="AD365" t="s">
        <v>4742</v>
      </c>
      <c r="AH365" t="s">
        <v>4630</v>
      </c>
      <c r="AI365" t="s">
        <v>4455</v>
      </c>
      <c r="AJ365" t="s">
        <v>4809</v>
      </c>
      <c r="AK365" t="s">
        <v>4810</v>
      </c>
      <c r="AL365" t="s">
        <v>4811</v>
      </c>
      <c r="AM365" t="s">
        <v>2607</v>
      </c>
      <c r="AN365" t="s">
        <v>4812</v>
      </c>
      <c r="AO365" t="s">
        <v>4809</v>
      </c>
      <c r="AP365">
        <v>100</v>
      </c>
      <c r="AQ365">
        <v>100</v>
      </c>
      <c r="AR365">
        <v>99</v>
      </c>
      <c r="AS365" t="s">
        <v>4813</v>
      </c>
      <c r="AT365">
        <v>0</v>
      </c>
      <c r="AU365">
        <v>-1</v>
      </c>
      <c r="AV365">
        <v>1</v>
      </c>
    </row>
    <row r="366" spans="1:48">
      <c r="A366" s="1">
        <f>_xlfn.XLOOKUP(J366,数据!E:E,数据!A:A)</f>
        <v>3</v>
      </c>
      <c r="B366" s="1">
        <f>_xlfn.XLOOKUP(J366,数据!E:E,数据!B:B)</f>
        <v>10</v>
      </c>
      <c r="C366" s="1" t="str">
        <f>_xlfn.XLOOKUP(J366,数据!E:E,数据!J:J)</f>
        <v>空派</v>
      </c>
      <c r="D366" s="1" t="str" cm="1">
        <f t="array" ref="D366">IF(OR(C366="红单",C366="空派"),_xlfn.IFS(E366="未开售","新品首批发货",F366&lt;E366,"新品首批发货",F366-E366&lt;=60,"新品期补货空运",F366-E366&gt;60,"老品应急空运"),"海运，不进行分析")</f>
        <v>新品首批发货</v>
      </c>
      <c r="E366" s="2">
        <v>46110</v>
      </c>
      <c r="F366" s="2">
        <f>_xlfn.XLOOKUP(J366,数据!E:E,数据!C:C)</f>
        <v>46086</v>
      </c>
      <c r="G366" s="4">
        <v>140</v>
      </c>
      <c r="H366" s="4">
        <f t="shared" si="20"/>
        <v>14</v>
      </c>
      <c r="I366" s="4">
        <f>_xlfn.XLOOKUP(J366,数据!E:E,数据!S:S)*(H366/_xlfn.XLOOKUP(J366,数据!E:E,数据!X:X))</f>
        <v>686.859340044743</v>
      </c>
      <c r="J366" t="s">
        <v>1327</v>
      </c>
      <c r="K366" t="s">
        <v>31</v>
      </c>
      <c r="L366" t="s">
        <v>2374</v>
      </c>
      <c r="M366" t="s">
        <v>4773</v>
      </c>
      <c r="N366" t="s">
        <v>2376</v>
      </c>
      <c r="O366" t="s">
        <v>2400</v>
      </c>
      <c r="P366" t="s">
        <v>2378</v>
      </c>
      <c r="Q366" t="s">
        <v>2379</v>
      </c>
      <c r="R366" t="s">
        <v>4774</v>
      </c>
      <c r="S366" t="s">
        <v>2511</v>
      </c>
      <c r="T366" s="3" t="s">
        <v>4775</v>
      </c>
      <c r="U366" t="s">
        <v>4776</v>
      </c>
      <c r="V366" t="s">
        <v>4777</v>
      </c>
      <c r="W366" t="s">
        <v>4778</v>
      </c>
      <c r="X366" t="s">
        <v>2385</v>
      </c>
      <c r="Y366" t="s">
        <v>4779</v>
      </c>
      <c r="Z366" t="s">
        <v>2387</v>
      </c>
      <c r="AA366" t="s">
        <v>4775</v>
      </c>
      <c r="AB366" t="s">
        <v>4392</v>
      </c>
      <c r="AC366" t="s">
        <v>4780</v>
      </c>
      <c r="AD366" t="s">
        <v>4742</v>
      </c>
      <c r="AH366" t="s">
        <v>4630</v>
      </c>
      <c r="AI366" t="s">
        <v>4455</v>
      </c>
      <c r="AJ366" t="s">
        <v>4814</v>
      </c>
      <c r="AK366" t="s">
        <v>4815</v>
      </c>
      <c r="AL366" t="s">
        <v>4816</v>
      </c>
      <c r="AM366" t="s">
        <v>2607</v>
      </c>
      <c r="AN366" t="s">
        <v>4817</v>
      </c>
      <c r="AO366" t="s">
        <v>4814</v>
      </c>
      <c r="AP366">
        <v>100</v>
      </c>
      <c r="AQ366">
        <v>100</v>
      </c>
      <c r="AR366">
        <v>100</v>
      </c>
      <c r="AS366" t="s">
        <v>4818</v>
      </c>
      <c r="AT366">
        <v>0</v>
      </c>
      <c r="AU366">
        <v>0</v>
      </c>
      <c r="AV366">
        <v>0</v>
      </c>
    </row>
    <row r="367" spans="1:48">
      <c r="A367" s="1">
        <f>_xlfn.XLOOKUP(J367,数据!E:E,数据!A:A)</f>
        <v>3</v>
      </c>
      <c r="B367" s="1">
        <f>_xlfn.XLOOKUP(J367,数据!E:E,数据!B:B)</f>
        <v>10</v>
      </c>
      <c r="C367" s="1" t="str">
        <f>_xlfn.XLOOKUP(J367,数据!E:E,数据!J:J)</f>
        <v>空派</v>
      </c>
      <c r="D367" s="1" t="str" cm="1">
        <f t="array" ref="D367">IF(OR(C367="红单",C367="空派"),_xlfn.IFS(E367="未开售","新品首批发货",F367&lt;E367,"新品首批发货",F367-E367&lt;=60,"新品期补货空运",F367-E367&gt;60,"老品应急空运"),"海运，不进行分析")</f>
        <v>新品首批发货</v>
      </c>
      <c r="E367" s="2">
        <v>46112</v>
      </c>
      <c r="F367" s="2">
        <f>_xlfn.XLOOKUP(J367,数据!E:E,数据!C:C)</f>
        <v>46086</v>
      </c>
      <c r="G367" s="4">
        <v>141</v>
      </c>
      <c r="H367" s="4">
        <f t="shared" si="20"/>
        <v>14.1</v>
      </c>
      <c r="I367" s="4">
        <f>_xlfn.XLOOKUP(J367,数据!E:E,数据!S:S)*(H367/_xlfn.XLOOKUP(J367,数据!E:E,数据!X:X))</f>
        <v>691.765478187919</v>
      </c>
      <c r="J367" t="s">
        <v>1327</v>
      </c>
      <c r="K367" t="s">
        <v>31</v>
      </c>
      <c r="L367" t="s">
        <v>2374</v>
      </c>
      <c r="M367" t="s">
        <v>4773</v>
      </c>
      <c r="N367" t="s">
        <v>2376</v>
      </c>
      <c r="O367" t="s">
        <v>2400</v>
      </c>
      <c r="P367" t="s">
        <v>2378</v>
      </c>
      <c r="Q367" t="s">
        <v>2379</v>
      </c>
      <c r="R367" t="s">
        <v>4774</v>
      </c>
      <c r="S367" t="s">
        <v>2511</v>
      </c>
      <c r="T367" s="3" t="s">
        <v>4775</v>
      </c>
      <c r="U367" t="s">
        <v>4776</v>
      </c>
      <c r="V367" t="s">
        <v>4777</v>
      </c>
      <c r="W367" t="s">
        <v>4778</v>
      </c>
      <c r="X367" t="s">
        <v>2385</v>
      </c>
      <c r="Y367" t="s">
        <v>4779</v>
      </c>
      <c r="Z367" t="s">
        <v>2387</v>
      </c>
      <c r="AA367" t="s">
        <v>4775</v>
      </c>
      <c r="AB367" t="s">
        <v>4392</v>
      </c>
      <c r="AC367" t="s">
        <v>4780</v>
      </c>
      <c r="AD367" t="s">
        <v>4742</v>
      </c>
      <c r="AH367" t="s">
        <v>4630</v>
      </c>
      <c r="AI367" t="s">
        <v>4455</v>
      </c>
      <c r="AJ367" t="s">
        <v>4819</v>
      </c>
      <c r="AK367" t="s">
        <v>4820</v>
      </c>
      <c r="AL367" t="s">
        <v>4821</v>
      </c>
      <c r="AM367" t="s">
        <v>2607</v>
      </c>
      <c r="AN367" t="s">
        <v>4822</v>
      </c>
      <c r="AO367" t="s">
        <v>4819</v>
      </c>
      <c r="AP367">
        <v>100</v>
      </c>
      <c r="AQ367">
        <v>100</v>
      </c>
      <c r="AR367">
        <v>100</v>
      </c>
      <c r="AS367" t="s">
        <v>4818</v>
      </c>
      <c r="AT367">
        <v>0</v>
      </c>
      <c r="AU367">
        <v>0</v>
      </c>
      <c r="AV367">
        <v>0</v>
      </c>
    </row>
    <row r="368" spans="1:48">
      <c r="A368" s="1">
        <f>_xlfn.XLOOKUP(J368,数据!E:E,数据!A:A)</f>
        <v>3</v>
      </c>
      <c r="B368" s="1">
        <f>_xlfn.XLOOKUP(J368,数据!E:E,数据!B:B)</f>
        <v>10</v>
      </c>
      <c r="C368" s="1" t="str">
        <f>_xlfn.XLOOKUP(J368,数据!E:E,数据!J:J)</f>
        <v>空派</v>
      </c>
      <c r="D368" s="1" t="str" cm="1">
        <f t="array" ref="D368">IF(OR(C368="红单",C368="空派"),_xlfn.IFS(E368="未开售","新品首批发货",F368&lt;E368,"新品首批发货",F368-E368&lt;=60,"新品期补货空运",F368-E368&gt;60,"老品应急空运"),"海运，不进行分析")</f>
        <v>老品应急空运</v>
      </c>
      <c r="E368" s="2">
        <v>45964</v>
      </c>
      <c r="F368" s="2">
        <f>_xlfn.XLOOKUP(J368,数据!E:E,数据!C:C)</f>
        <v>46086</v>
      </c>
      <c r="G368" s="4">
        <v>458</v>
      </c>
      <c r="H368" s="4">
        <f t="shared" si="20"/>
        <v>32.06</v>
      </c>
      <c r="I368" s="4">
        <f>_xlfn.XLOOKUP(J368,数据!E:E,数据!S:S)*(H368/_xlfn.XLOOKUP(J368,数据!E:E,数据!X:X))</f>
        <v>1506.2753119193</v>
      </c>
      <c r="J368" t="s">
        <v>1324</v>
      </c>
      <c r="K368" t="s">
        <v>54</v>
      </c>
      <c r="L368" t="s">
        <v>2374</v>
      </c>
      <c r="M368" t="s">
        <v>4823</v>
      </c>
      <c r="N368" t="s">
        <v>2376</v>
      </c>
      <c r="O368" t="s">
        <v>2400</v>
      </c>
      <c r="P368" t="s">
        <v>2378</v>
      </c>
      <c r="Q368" t="s">
        <v>2379</v>
      </c>
      <c r="R368" t="s">
        <v>4824</v>
      </c>
      <c r="S368" t="s">
        <v>2511</v>
      </c>
      <c r="T368" s="3" t="s">
        <v>4775</v>
      </c>
      <c r="U368" t="s">
        <v>4825</v>
      </c>
      <c r="V368" t="s">
        <v>4826</v>
      </c>
      <c r="W368" t="s">
        <v>4827</v>
      </c>
      <c r="X368" t="s">
        <v>2403</v>
      </c>
      <c r="Y368" t="s">
        <v>4828</v>
      </c>
      <c r="Z368" t="s">
        <v>2387</v>
      </c>
      <c r="AA368" t="s">
        <v>4775</v>
      </c>
      <c r="AB368" t="s">
        <v>4829</v>
      </c>
      <c r="AC368" t="s">
        <v>4830</v>
      </c>
      <c r="AD368" t="s">
        <v>4742</v>
      </c>
      <c r="AH368" t="s">
        <v>4630</v>
      </c>
      <c r="AI368" t="s">
        <v>4455</v>
      </c>
      <c r="AJ368" t="s">
        <v>4210</v>
      </c>
      <c r="AK368" t="s">
        <v>4211</v>
      </c>
      <c r="AL368" t="s">
        <v>4212</v>
      </c>
      <c r="AM368" t="s">
        <v>4212</v>
      </c>
      <c r="AN368" t="s">
        <v>4213</v>
      </c>
      <c r="AO368" t="s">
        <v>4210</v>
      </c>
      <c r="AP368">
        <v>70</v>
      </c>
      <c r="AQ368">
        <v>70</v>
      </c>
      <c r="AR368">
        <v>70</v>
      </c>
      <c r="AS368" t="s">
        <v>4831</v>
      </c>
      <c r="AT368">
        <v>0</v>
      </c>
      <c r="AU368">
        <v>0</v>
      </c>
      <c r="AV368">
        <v>0</v>
      </c>
    </row>
    <row r="369" spans="1:48">
      <c r="A369" s="1">
        <f>_xlfn.XLOOKUP(J369,数据!E:E,数据!A:A)</f>
        <v>3</v>
      </c>
      <c r="B369" s="1">
        <f>_xlfn.XLOOKUP(J369,数据!E:E,数据!B:B)</f>
        <v>10</v>
      </c>
      <c r="C369" s="1" t="str">
        <f>_xlfn.XLOOKUP(J369,数据!E:E,数据!J:J)</f>
        <v>空派</v>
      </c>
      <c r="D369" s="1" t="str" cm="1">
        <f t="array" ref="D369">IF(OR(C369="红单",C369="空派"),_xlfn.IFS(E369="未开售","新品首批发货",F369&lt;E369,"新品首批发货",F369-E369&lt;=60,"新品期补货空运",F369-E369&gt;60,"老品应急空运"),"海运，不进行分析")</f>
        <v>新品期补货空运</v>
      </c>
      <c r="E369" s="2">
        <v>46026</v>
      </c>
      <c r="F369" s="2">
        <f>_xlfn.XLOOKUP(J369,数据!E:E,数据!C:C)</f>
        <v>46086</v>
      </c>
      <c r="G369" s="4">
        <v>187</v>
      </c>
      <c r="H369" s="4">
        <f t="shared" si="20"/>
        <v>5.61</v>
      </c>
      <c r="I369" s="4">
        <f>_xlfn.XLOOKUP(J369,数据!E:E,数据!S:S)*(H369/_xlfn.XLOOKUP(J369,数据!E:E,数据!X:X))</f>
        <v>263.574688080701</v>
      </c>
      <c r="J369" t="s">
        <v>1324</v>
      </c>
      <c r="K369" t="s">
        <v>54</v>
      </c>
      <c r="L369" t="s">
        <v>2374</v>
      </c>
      <c r="M369" t="s">
        <v>4823</v>
      </c>
      <c r="N369" t="s">
        <v>2376</v>
      </c>
      <c r="O369" t="s">
        <v>2400</v>
      </c>
      <c r="P369" t="s">
        <v>2378</v>
      </c>
      <c r="Q369" t="s">
        <v>2379</v>
      </c>
      <c r="R369" t="s">
        <v>4824</v>
      </c>
      <c r="S369" t="s">
        <v>2511</v>
      </c>
      <c r="T369" s="3" t="s">
        <v>4775</v>
      </c>
      <c r="U369" t="s">
        <v>4825</v>
      </c>
      <c r="V369" t="s">
        <v>4826</v>
      </c>
      <c r="W369" t="s">
        <v>4827</v>
      </c>
      <c r="X369" t="s">
        <v>2403</v>
      </c>
      <c r="Y369" t="s">
        <v>4828</v>
      </c>
      <c r="Z369" t="s">
        <v>2387</v>
      </c>
      <c r="AA369" t="s">
        <v>4775</v>
      </c>
      <c r="AB369" t="s">
        <v>4829</v>
      </c>
      <c r="AC369" t="s">
        <v>4830</v>
      </c>
      <c r="AD369" t="s">
        <v>4742</v>
      </c>
      <c r="AH369" t="s">
        <v>4630</v>
      </c>
      <c r="AI369" t="s">
        <v>4455</v>
      </c>
      <c r="AJ369" t="s">
        <v>4832</v>
      </c>
      <c r="AK369" t="s">
        <v>4833</v>
      </c>
      <c r="AL369" t="s">
        <v>4834</v>
      </c>
      <c r="AM369" t="s">
        <v>2555</v>
      </c>
      <c r="AN369" t="s">
        <v>4835</v>
      </c>
      <c r="AO369" t="s">
        <v>4832</v>
      </c>
      <c r="AP369">
        <v>30</v>
      </c>
      <c r="AQ369">
        <v>30</v>
      </c>
      <c r="AR369">
        <v>30</v>
      </c>
      <c r="AS369" t="s">
        <v>4836</v>
      </c>
      <c r="AT369">
        <v>0</v>
      </c>
      <c r="AU369">
        <v>0</v>
      </c>
      <c r="AV369">
        <v>0</v>
      </c>
    </row>
    <row r="370" spans="1:48">
      <c r="A370" s="1">
        <f>_xlfn.XLOOKUP(J370,数据!E:E,数据!A:A)</f>
        <v>3</v>
      </c>
      <c r="B370" s="1">
        <f>_xlfn.XLOOKUP(J370,数据!E:E,数据!B:B)</f>
        <v>10</v>
      </c>
      <c r="C370" s="1" t="str">
        <f>_xlfn.XLOOKUP(J370,数据!E:E,数据!J:J)</f>
        <v>空派</v>
      </c>
      <c r="D370" s="1" t="str" cm="1">
        <f t="array" ref="D370">IF(OR(C370="红单",C370="空派"),_xlfn.IFS(E370="未开售","新品首批发货",F370&lt;E370,"新品首批发货",F370-E370&lt;=60,"新品期补货空运",F370-E370&gt;60,"老品应急空运"),"海运，不进行分析")</f>
        <v>老品应急空运</v>
      </c>
      <c r="E370" s="2">
        <v>46019</v>
      </c>
      <c r="F370" s="2">
        <f>_xlfn.XLOOKUP(J370,数据!E:E,数据!C:C)</f>
        <v>46086</v>
      </c>
      <c r="G370" s="4">
        <v>230</v>
      </c>
      <c r="H370" s="4">
        <f t="shared" si="20"/>
        <v>11.5</v>
      </c>
      <c r="I370" s="4">
        <f>_xlfn.XLOOKUP(J370,数据!E:E,数据!S:S)*(H370/_xlfn.XLOOKUP(J370,数据!E:E,数据!X:X))</f>
        <v>615.4</v>
      </c>
      <c r="J370" t="s">
        <v>1325</v>
      </c>
      <c r="K370" t="s">
        <v>56</v>
      </c>
      <c r="L370" t="s">
        <v>2374</v>
      </c>
      <c r="M370" t="s">
        <v>4837</v>
      </c>
      <c r="N370" t="s">
        <v>2376</v>
      </c>
      <c r="O370" t="s">
        <v>2377</v>
      </c>
      <c r="P370" t="s">
        <v>2378</v>
      </c>
      <c r="Q370" t="s">
        <v>2379</v>
      </c>
      <c r="R370" t="s">
        <v>4838</v>
      </c>
      <c r="S370" t="s">
        <v>2511</v>
      </c>
      <c r="T370" s="3" t="s">
        <v>4775</v>
      </c>
      <c r="U370" t="s">
        <v>4839</v>
      </c>
      <c r="V370" t="s">
        <v>4840</v>
      </c>
      <c r="W370" t="s">
        <v>4841</v>
      </c>
      <c r="X370" t="s">
        <v>2403</v>
      </c>
      <c r="Y370" t="s">
        <v>4842</v>
      </c>
      <c r="Z370" t="s">
        <v>2387</v>
      </c>
      <c r="AA370" t="s">
        <v>4775</v>
      </c>
      <c r="AB370" t="s">
        <v>4708</v>
      </c>
      <c r="AC370" t="s">
        <v>4843</v>
      </c>
      <c r="AD370" t="s">
        <v>4742</v>
      </c>
      <c r="AH370" t="s">
        <v>4630</v>
      </c>
      <c r="AI370" t="s">
        <v>4455</v>
      </c>
      <c r="AJ370" t="s">
        <v>3706</v>
      </c>
      <c r="AK370" t="s">
        <v>3707</v>
      </c>
      <c r="AL370" t="s">
        <v>3708</v>
      </c>
      <c r="AM370" t="s">
        <v>3709</v>
      </c>
      <c r="AN370" t="s">
        <v>3710</v>
      </c>
      <c r="AO370" t="s">
        <v>3706</v>
      </c>
      <c r="AP370">
        <v>50</v>
      </c>
      <c r="AQ370">
        <v>50</v>
      </c>
      <c r="AR370">
        <v>50</v>
      </c>
      <c r="AS370" t="s">
        <v>4844</v>
      </c>
      <c r="AT370">
        <v>0</v>
      </c>
      <c r="AU370">
        <v>0</v>
      </c>
      <c r="AV370">
        <v>0</v>
      </c>
    </row>
    <row r="371" spans="1:48">
      <c r="A371" s="1">
        <f>_xlfn.XLOOKUP(J371,数据!E:E,数据!A:A)</f>
        <v>3</v>
      </c>
      <c r="B371" s="1">
        <f>_xlfn.XLOOKUP(J371,数据!E:E,数据!B:B)</f>
        <v>10</v>
      </c>
      <c r="C371" s="1" t="str">
        <f>_xlfn.XLOOKUP(J371,数据!E:E,数据!J:J)</f>
        <v>红单</v>
      </c>
      <c r="D371" s="1" t="str" cm="1">
        <f t="array" ref="D371">IF(OR(C371="红单",C371="空派"),_xlfn.IFS(E371="未开售","新品首批发货",F371&lt;E371,"新品首批发货",F371-E371&lt;=60,"新品期补货空运",F371-E371&gt;60,"老品应急空运"),"海运，不进行分析")</f>
        <v>老品应急空运</v>
      </c>
      <c r="E371" s="2">
        <v>46017</v>
      </c>
      <c r="F371" s="2">
        <f>_xlfn.XLOOKUP(J371,数据!E:E,数据!C:C)</f>
        <v>46087</v>
      </c>
      <c r="G371" s="4">
        <v>210.1</v>
      </c>
      <c r="H371" s="4">
        <f t="shared" si="20"/>
        <v>6.303</v>
      </c>
      <c r="I371" s="4">
        <f>_xlfn.XLOOKUP(J371,数据!E:E,数据!S:S)*(H371/_xlfn.XLOOKUP(J371,数据!E:E,数据!X:X))</f>
        <v>387.028133881386</v>
      </c>
      <c r="J371" t="s">
        <v>1329</v>
      </c>
      <c r="K371" t="s">
        <v>224</v>
      </c>
      <c r="L371" t="s">
        <v>2374</v>
      </c>
      <c r="M371" t="s">
        <v>4845</v>
      </c>
      <c r="N371" t="s">
        <v>2376</v>
      </c>
      <c r="O371" t="s">
        <v>2400</v>
      </c>
      <c r="P371" t="s">
        <v>2378</v>
      </c>
      <c r="Q371" t="s">
        <v>2379</v>
      </c>
      <c r="R371" t="s">
        <v>1329</v>
      </c>
      <c r="S371" t="s">
        <v>2511</v>
      </c>
      <c r="T371" s="3" t="s">
        <v>4846</v>
      </c>
      <c r="U371" t="s">
        <v>4776</v>
      </c>
      <c r="V371" t="s">
        <v>4847</v>
      </c>
      <c r="W371" t="s">
        <v>4848</v>
      </c>
      <c r="X371" t="s">
        <v>2403</v>
      </c>
      <c r="Y371" t="s">
        <v>4849</v>
      </c>
      <c r="Z371" t="s">
        <v>2405</v>
      </c>
      <c r="AA371" t="s">
        <v>4846</v>
      </c>
      <c r="AB371" t="s">
        <v>3725</v>
      </c>
      <c r="AC371" t="s">
        <v>4850</v>
      </c>
      <c r="AD371" t="s">
        <v>4851</v>
      </c>
      <c r="AH371" t="s">
        <v>4630</v>
      </c>
      <c r="AI371" t="s">
        <v>4455</v>
      </c>
      <c r="AJ371" t="s">
        <v>4852</v>
      </c>
      <c r="AK371" t="s">
        <v>4853</v>
      </c>
      <c r="AL371" t="s">
        <v>4854</v>
      </c>
      <c r="AM371" t="s">
        <v>3602</v>
      </c>
      <c r="AN371" t="s">
        <v>4855</v>
      </c>
      <c r="AO371" t="s">
        <v>4852</v>
      </c>
      <c r="AP371">
        <v>30</v>
      </c>
      <c r="AQ371">
        <v>30</v>
      </c>
      <c r="AR371">
        <v>30</v>
      </c>
      <c r="AS371" t="s">
        <v>4856</v>
      </c>
      <c r="AT371">
        <v>0</v>
      </c>
      <c r="AU371">
        <v>0</v>
      </c>
      <c r="AV371">
        <v>0</v>
      </c>
    </row>
    <row r="372" spans="1:48">
      <c r="A372" s="1">
        <f>_xlfn.XLOOKUP(J372,数据!E:E,数据!A:A)</f>
        <v>3</v>
      </c>
      <c r="B372" s="1">
        <f>_xlfn.XLOOKUP(J372,数据!E:E,数据!B:B)</f>
        <v>10</v>
      </c>
      <c r="C372" s="1" t="str">
        <f>_xlfn.XLOOKUP(J372,数据!E:E,数据!J:J)</f>
        <v>红单</v>
      </c>
      <c r="D372" s="1" t="str" cm="1">
        <f t="array" ref="D372">IF(OR(C372="红单",C372="空派"),_xlfn.IFS(E372="未开售","新品首批发货",F372&lt;E372,"新品首批发货",F372-E372&lt;=60,"新品期补货空运",F372-E372&gt;60,"老品应急空运"),"海运，不进行分析")</f>
        <v>老品应急空运</v>
      </c>
      <c r="E372" s="2">
        <v>46017</v>
      </c>
      <c r="F372" s="2">
        <f>_xlfn.XLOOKUP(J372,数据!E:E,数据!C:C)</f>
        <v>46087</v>
      </c>
      <c r="G372" s="4">
        <v>213.8</v>
      </c>
      <c r="H372" s="4">
        <f t="shared" si="20"/>
        <v>19.242</v>
      </c>
      <c r="I372" s="4">
        <f>_xlfn.XLOOKUP(J372,数据!E:E,数据!S:S)*(H372/_xlfn.XLOOKUP(J372,数据!E:E,数据!X:X))</f>
        <v>1181.53186611861</v>
      </c>
      <c r="J372" t="s">
        <v>1329</v>
      </c>
      <c r="K372" t="s">
        <v>224</v>
      </c>
      <c r="L372" t="s">
        <v>2374</v>
      </c>
      <c r="M372" t="s">
        <v>4845</v>
      </c>
      <c r="N372" t="s">
        <v>2376</v>
      </c>
      <c r="O372" t="s">
        <v>2400</v>
      </c>
      <c r="P372" t="s">
        <v>2378</v>
      </c>
      <c r="Q372" t="s">
        <v>2379</v>
      </c>
      <c r="R372" t="s">
        <v>1329</v>
      </c>
      <c r="S372" t="s">
        <v>2511</v>
      </c>
      <c r="T372" s="3" t="s">
        <v>4846</v>
      </c>
      <c r="U372" t="s">
        <v>4776</v>
      </c>
      <c r="V372" t="s">
        <v>4847</v>
      </c>
      <c r="W372" t="s">
        <v>4848</v>
      </c>
      <c r="X372" t="s">
        <v>2403</v>
      </c>
      <c r="Y372" t="s">
        <v>4849</v>
      </c>
      <c r="Z372" t="s">
        <v>2405</v>
      </c>
      <c r="AA372" t="s">
        <v>4846</v>
      </c>
      <c r="AB372" t="s">
        <v>3725</v>
      </c>
      <c r="AC372" t="s">
        <v>4850</v>
      </c>
      <c r="AD372" t="s">
        <v>4851</v>
      </c>
      <c r="AH372" t="s">
        <v>4630</v>
      </c>
      <c r="AI372" t="s">
        <v>4455</v>
      </c>
      <c r="AJ372" t="s">
        <v>4857</v>
      </c>
      <c r="AK372" t="s">
        <v>4858</v>
      </c>
      <c r="AL372" t="s">
        <v>4859</v>
      </c>
      <c r="AM372" t="s">
        <v>3602</v>
      </c>
      <c r="AN372" t="s">
        <v>4860</v>
      </c>
      <c r="AO372" t="s">
        <v>4857</v>
      </c>
      <c r="AP372">
        <v>90</v>
      </c>
      <c r="AQ372">
        <v>90</v>
      </c>
      <c r="AR372">
        <v>90</v>
      </c>
      <c r="AS372" t="s">
        <v>4861</v>
      </c>
      <c r="AT372">
        <v>0</v>
      </c>
      <c r="AU372">
        <v>0</v>
      </c>
      <c r="AV372">
        <v>0</v>
      </c>
    </row>
    <row r="373" spans="1:48">
      <c r="A373" s="1">
        <f>_xlfn.XLOOKUP(J373,数据!E:E,数据!A:A)</f>
        <v>3</v>
      </c>
      <c r="B373" s="1">
        <f>_xlfn.XLOOKUP(J373,数据!E:E,数据!B:B)</f>
        <v>10</v>
      </c>
      <c r="C373" s="1" t="str">
        <f>_xlfn.XLOOKUP(J373,数据!E:E,数据!J:J)</f>
        <v>红单</v>
      </c>
      <c r="D373" s="1" t="str" cm="1">
        <f t="array" ref="D373">IF(OR(C373="红单",C373="空派"),_xlfn.IFS(E373="未开售","新品首批发货",F373&lt;E373,"新品首批发货",F373-E373&lt;=60,"新品期补货空运",F373-E373&gt;60,"老品应急空运"),"海运，不进行分析")</f>
        <v>老品应急空运</v>
      </c>
      <c r="E373" s="2">
        <v>45965</v>
      </c>
      <c r="F373" s="2">
        <f>_xlfn.XLOOKUP(J373,数据!E:E,数据!C:C)</f>
        <v>46085</v>
      </c>
      <c r="G373" s="4">
        <v>236</v>
      </c>
      <c r="H373" s="4">
        <f t="shared" ref="H373:H381" si="21">G373*AP373/1000</f>
        <v>9.204</v>
      </c>
      <c r="I373" s="4">
        <f>_xlfn.XLOOKUP(J373,数据!E:E,数据!S:S)*(H373/_xlfn.XLOOKUP(J373,数据!E:E,数据!X:X))</f>
        <v>728.255666666667</v>
      </c>
      <c r="J373" t="s">
        <v>1321</v>
      </c>
      <c r="K373" t="s">
        <v>56</v>
      </c>
      <c r="L373" t="s">
        <v>2374</v>
      </c>
      <c r="M373" t="s">
        <v>4862</v>
      </c>
      <c r="N373" t="s">
        <v>2376</v>
      </c>
      <c r="O373" t="s">
        <v>2377</v>
      </c>
      <c r="P373" t="s">
        <v>2378</v>
      </c>
      <c r="Q373" t="s">
        <v>2379</v>
      </c>
      <c r="R373" t="s">
        <v>1321</v>
      </c>
      <c r="S373" t="s">
        <v>2511</v>
      </c>
      <c r="T373" s="3" t="s">
        <v>4863</v>
      </c>
      <c r="U373" t="s">
        <v>4864</v>
      </c>
      <c r="V373" t="s">
        <v>4865</v>
      </c>
      <c r="W373" t="s">
        <v>4866</v>
      </c>
      <c r="X373" t="s">
        <v>2403</v>
      </c>
      <c r="Y373" t="s">
        <v>4867</v>
      </c>
      <c r="Z373" t="s">
        <v>2387</v>
      </c>
      <c r="AA373" t="s">
        <v>4863</v>
      </c>
      <c r="AB373" t="s">
        <v>4868</v>
      </c>
      <c r="AC373" t="s">
        <v>4869</v>
      </c>
      <c r="AD373" t="s">
        <v>4870</v>
      </c>
      <c r="AH373" t="s">
        <v>4630</v>
      </c>
      <c r="AI373" t="s">
        <v>4455</v>
      </c>
      <c r="AJ373" t="s">
        <v>4871</v>
      </c>
      <c r="AK373" t="s">
        <v>4872</v>
      </c>
      <c r="AL373" t="s">
        <v>4873</v>
      </c>
      <c r="AM373" t="s">
        <v>2396</v>
      </c>
      <c r="AN373" t="s">
        <v>4874</v>
      </c>
      <c r="AO373" t="s">
        <v>4871</v>
      </c>
      <c r="AP373">
        <v>39</v>
      </c>
      <c r="AQ373">
        <v>39</v>
      </c>
      <c r="AR373">
        <v>39</v>
      </c>
      <c r="AS373" t="s">
        <v>4875</v>
      </c>
      <c r="AT373">
        <v>0</v>
      </c>
      <c r="AU373">
        <v>0</v>
      </c>
      <c r="AV373">
        <v>0</v>
      </c>
    </row>
    <row r="374" spans="1:48">
      <c r="A374" s="1">
        <f>_xlfn.XLOOKUP(J374,数据!E:E,数据!A:A)</f>
        <v>3</v>
      </c>
      <c r="B374" s="1">
        <f>_xlfn.XLOOKUP(J374,数据!E:E,数据!B:B)</f>
        <v>10</v>
      </c>
      <c r="C374" s="1" t="str">
        <f>_xlfn.XLOOKUP(J374,数据!E:E,数据!J:J)</f>
        <v>红单</v>
      </c>
      <c r="D374" s="1" t="str" cm="1">
        <f t="array" ref="D374">IF(OR(C374="红单",C374="空派"),_xlfn.IFS(E374="未开售","新品首批发货",F374&lt;E374,"新品首批发货",F374-E374&lt;=60,"新品期补货空运",F374-E374&gt;60,"老品应急空运"),"海运，不进行分析")</f>
        <v>老品应急空运</v>
      </c>
      <c r="E374" s="2">
        <v>45847</v>
      </c>
      <c r="F374" s="2">
        <f>_xlfn.XLOOKUP(J374,数据!E:E,数据!C:C)</f>
        <v>46085</v>
      </c>
      <c r="G374" s="4">
        <v>200</v>
      </c>
      <c r="H374" s="4">
        <f t="shared" si="21"/>
        <v>1</v>
      </c>
      <c r="I374" s="4">
        <f>_xlfn.XLOOKUP(J374,数据!E:E,数据!S:S)*(H374/_xlfn.XLOOKUP(J374,数据!E:E,数据!X:X))</f>
        <v>86.3773898586867</v>
      </c>
      <c r="J374" t="s">
        <v>1323</v>
      </c>
      <c r="K374" t="s">
        <v>37</v>
      </c>
      <c r="L374" t="s">
        <v>2374</v>
      </c>
      <c r="M374" t="s">
        <v>4876</v>
      </c>
      <c r="N374" t="s">
        <v>2376</v>
      </c>
      <c r="O374" t="s">
        <v>2400</v>
      </c>
      <c r="P374" t="s">
        <v>2378</v>
      </c>
      <c r="Q374" t="s">
        <v>2379</v>
      </c>
      <c r="R374" t="s">
        <v>4877</v>
      </c>
      <c r="S374" t="s">
        <v>2511</v>
      </c>
      <c r="T374" s="3" t="s">
        <v>4863</v>
      </c>
      <c r="U374" t="s">
        <v>4878</v>
      </c>
      <c r="V374" t="s">
        <v>4879</v>
      </c>
      <c r="W374" t="s">
        <v>4880</v>
      </c>
      <c r="X374" t="s">
        <v>2403</v>
      </c>
      <c r="Y374" t="s">
        <v>4881</v>
      </c>
      <c r="Z374" t="s">
        <v>2405</v>
      </c>
      <c r="AA374" t="s">
        <v>4863</v>
      </c>
      <c r="AB374" t="s">
        <v>4583</v>
      </c>
      <c r="AC374" t="s">
        <v>4882</v>
      </c>
      <c r="AD374" t="s">
        <v>4870</v>
      </c>
      <c r="AH374" t="s">
        <v>4630</v>
      </c>
      <c r="AI374" t="s">
        <v>4455</v>
      </c>
      <c r="AJ374" t="s">
        <v>4883</v>
      </c>
      <c r="AK374" t="s">
        <v>4884</v>
      </c>
      <c r="AL374" t="s">
        <v>4885</v>
      </c>
      <c r="AM374" t="s">
        <v>4885</v>
      </c>
      <c r="AN374" t="s">
        <v>4886</v>
      </c>
      <c r="AO374" t="s">
        <v>4883</v>
      </c>
      <c r="AP374">
        <v>5</v>
      </c>
      <c r="AQ374">
        <v>5</v>
      </c>
      <c r="AR374">
        <v>5</v>
      </c>
      <c r="AS374" t="s">
        <v>4887</v>
      </c>
      <c r="AT374">
        <v>0</v>
      </c>
      <c r="AU374">
        <v>0</v>
      </c>
      <c r="AV374">
        <v>0</v>
      </c>
    </row>
    <row r="375" spans="1:48">
      <c r="A375" s="1">
        <f>_xlfn.XLOOKUP(J375,数据!E:E,数据!A:A)</f>
        <v>3</v>
      </c>
      <c r="B375" s="1">
        <f>_xlfn.XLOOKUP(J375,数据!E:E,数据!B:B)</f>
        <v>10</v>
      </c>
      <c r="C375" s="1" t="str">
        <f>_xlfn.XLOOKUP(J375,数据!E:E,数据!J:J)</f>
        <v>红单</v>
      </c>
      <c r="D375" s="1" t="str" cm="1">
        <f t="array" ref="D375">IF(OR(C375="红单",C375="空派"),_xlfn.IFS(E375="未开售","新品首批发货",F375&lt;E375,"新品首批发货",F375-E375&lt;=60,"新品期补货空运",F375-E375&gt;60,"老品应急空运"),"海运，不进行分析")</f>
        <v>新品期补货空运</v>
      </c>
      <c r="E375" s="2">
        <v>46032</v>
      </c>
      <c r="F375" s="2">
        <f>_xlfn.XLOOKUP(J375,数据!E:E,数据!C:C)</f>
        <v>46085</v>
      </c>
      <c r="G375" s="4">
        <v>121</v>
      </c>
      <c r="H375" s="4">
        <f t="shared" si="21"/>
        <v>2.42</v>
      </c>
      <c r="I375" s="4">
        <f>_xlfn.XLOOKUP(J375,数据!E:E,数据!S:S)*(H375/_xlfn.XLOOKUP(J375,数据!E:E,数据!X:X))</f>
        <v>209.033283458022</v>
      </c>
      <c r="J375" t="s">
        <v>1323</v>
      </c>
      <c r="K375" t="s">
        <v>37</v>
      </c>
      <c r="L375" t="s">
        <v>2374</v>
      </c>
      <c r="M375" t="s">
        <v>4876</v>
      </c>
      <c r="N375" t="s">
        <v>2376</v>
      </c>
      <c r="O375" t="s">
        <v>2400</v>
      </c>
      <c r="P375" t="s">
        <v>2378</v>
      </c>
      <c r="Q375" t="s">
        <v>2379</v>
      </c>
      <c r="R375" t="s">
        <v>4877</v>
      </c>
      <c r="S375" t="s">
        <v>2511</v>
      </c>
      <c r="T375" s="3" t="s">
        <v>4863</v>
      </c>
      <c r="U375" t="s">
        <v>4878</v>
      </c>
      <c r="V375" t="s">
        <v>4879</v>
      </c>
      <c r="W375" t="s">
        <v>4880</v>
      </c>
      <c r="X375" t="s">
        <v>2403</v>
      </c>
      <c r="Y375" t="s">
        <v>4881</v>
      </c>
      <c r="Z375" t="s">
        <v>2405</v>
      </c>
      <c r="AA375" t="s">
        <v>4863</v>
      </c>
      <c r="AB375" t="s">
        <v>4583</v>
      </c>
      <c r="AC375" t="s">
        <v>4882</v>
      </c>
      <c r="AD375" t="s">
        <v>4870</v>
      </c>
      <c r="AH375" t="s">
        <v>4630</v>
      </c>
      <c r="AI375" t="s">
        <v>4455</v>
      </c>
      <c r="AJ375" t="s">
        <v>4888</v>
      </c>
      <c r="AK375" t="s">
        <v>4889</v>
      </c>
      <c r="AL375" t="s">
        <v>4890</v>
      </c>
      <c r="AM375" t="s">
        <v>2893</v>
      </c>
      <c r="AN375" t="s">
        <v>4891</v>
      </c>
      <c r="AO375" t="s">
        <v>4888</v>
      </c>
      <c r="AP375">
        <v>20</v>
      </c>
      <c r="AQ375">
        <v>20</v>
      </c>
      <c r="AR375">
        <v>20</v>
      </c>
      <c r="AS375" t="s">
        <v>4892</v>
      </c>
      <c r="AT375">
        <v>0</v>
      </c>
      <c r="AU375">
        <v>0</v>
      </c>
      <c r="AV375">
        <v>0</v>
      </c>
    </row>
    <row r="376" spans="1:48">
      <c r="A376" s="1">
        <f>_xlfn.XLOOKUP(J376,数据!E:E,数据!A:A)</f>
        <v>3</v>
      </c>
      <c r="B376" s="1">
        <f>_xlfn.XLOOKUP(J376,数据!E:E,数据!B:B)</f>
        <v>10</v>
      </c>
      <c r="C376" s="1" t="str">
        <f>_xlfn.XLOOKUP(J376,数据!E:E,数据!J:J)</f>
        <v>红单</v>
      </c>
      <c r="D376" s="1" t="str" cm="1">
        <f t="array" ref="D376">IF(OR(C376="红单",C376="空派"),_xlfn.IFS(E376="未开售","新品首批发货",F376&lt;E376,"新品首批发货",F376-E376&lt;=60,"新品期补货空运",F376-E376&gt;60,"老品应急空运"),"海运，不进行分析")</f>
        <v>新品期补货空运</v>
      </c>
      <c r="E376" s="2">
        <v>46036</v>
      </c>
      <c r="F376" s="2">
        <f>_xlfn.XLOOKUP(J376,数据!E:E,数据!C:C)</f>
        <v>46085</v>
      </c>
      <c r="G376" s="4">
        <v>115</v>
      </c>
      <c r="H376" s="4">
        <f t="shared" si="21"/>
        <v>4.6</v>
      </c>
      <c r="I376" s="4">
        <f>_xlfn.XLOOKUP(J376,数据!E:E,数据!S:S)*(H376/_xlfn.XLOOKUP(J376,数据!E:E,数据!X:X))</f>
        <v>397.335993349959</v>
      </c>
      <c r="J376" t="s">
        <v>1323</v>
      </c>
      <c r="K376" t="s">
        <v>37</v>
      </c>
      <c r="L376" t="s">
        <v>2374</v>
      </c>
      <c r="M376" t="s">
        <v>4876</v>
      </c>
      <c r="N376" t="s">
        <v>2376</v>
      </c>
      <c r="O376" t="s">
        <v>2400</v>
      </c>
      <c r="P376" t="s">
        <v>2378</v>
      </c>
      <c r="Q376" t="s">
        <v>2379</v>
      </c>
      <c r="R376" t="s">
        <v>4877</v>
      </c>
      <c r="S376" t="s">
        <v>2511</v>
      </c>
      <c r="T376" s="3" t="s">
        <v>4863</v>
      </c>
      <c r="U376" t="s">
        <v>4878</v>
      </c>
      <c r="V376" t="s">
        <v>4879</v>
      </c>
      <c r="W376" t="s">
        <v>4880</v>
      </c>
      <c r="X376" t="s">
        <v>2403</v>
      </c>
      <c r="Y376" t="s">
        <v>4881</v>
      </c>
      <c r="Z376" t="s">
        <v>2405</v>
      </c>
      <c r="AA376" t="s">
        <v>4863</v>
      </c>
      <c r="AB376" t="s">
        <v>4583</v>
      </c>
      <c r="AC376" t="s">
        <v>4882</v>
      </c>
      <c r="AD376" t="s">
        <v>4870</v>
      </c>
      <c r="AH376" t="s">
        <v>4630</v>
      </c>
      <c r="AI376" t="s">
        <v>4455</v>
      </c>
      <c r="AJ376" t="s">
        <v>4744</v>
      </c>
      <c r="AK376" t="s">
        <v>4745</v>
      </c>
      <c r="AL376" t="s">
        <v>4746</v>
      </c>
      <c r="AM376" t="s">
        <v>4093</v>
      </c>
      <c r="AN376" t="s">
        <v>4747</v>
      </c>
      <c r="AO376" t="s">
        <v>4744</v>
      </c>
      <c r="AP376">
        <v>40</v>
      </c>
      <c r="AQ376">
        <v>40</v>
      </c>
      <c r="AR376">
        <v>40</v>
      </c>
      <c r="AS376" t="s">
        <v>4893</v>
      </c>
      <c r="AT376">
        <v>0</v>
      </c>
      <c r="AU376">
        <v>0</v>
      </c>
      <c r="AV376">
        <v>0</v>
      </c>
    </row>
    <row r="377" spans="1:48">
      <c r="A377" s="1">
        <f>_xlfn.XLOOKUP(J377,数据!E:E,数据!A:A)</f>
        <v>3</v>
      </c>
      <c r="B377" s="1">
        <f>_xlfn.XLOOKUP(J377,数据!E:E,数据!B:B)</f>
        <v>10</v>
      </c>
      <c r="C377" s="1" t="str">
        <f>_xlfn.XLOOKUP(J377,数据!E:E,数据!J:J)</f>
        <v>红单</v>
      </c>
      <c r="D377" s="1" t="str" cm="1">
        <f t="array" ref="D377">IF(OR(C377="红单",C377="空派"),_xlfn.IFS(E377="未开售","新品首批发货",F377&lt;E377,"新品首批发货",F377-E377&lt;=60,"新品期补货空运",F377-E377&gt;60,"老品应急空运"),"海运，不进行分析")</f>
        <v>老品应急空运</v>
      </c>
      <c r="E377" s="2">
        <v>45847</v>
      </c>
      <c r="F377" s="2">
        <f>_xlfn.XLOOKUP(J377,数据!E:E,数据!C:C)</f>
        <v>46085</v>
      </c>
      <c r="G377" s="4">
        <v>200</v>
      </c>
      <c r="H377" s="4">
        <f t="shared" si="21"/>
        <v>2</v>
      </c>
      <c r="I377" s="4">
        <f>_xlfn.XLOOKUP(J377,数据!E:E,数据!S:S)*(H377/_xlfn.XLOOKUP(J377,数据!E:E,数据!X:X))</f>
        <v>152.216898792944</v>
      </c>
      <c r="J377" t="s">
        <v>1322</v>
      </c>
      <c r="K377" t="s">
        <v>37</v>
      </c>
      <c r="L377" t="s">
        <v>2374</v>
      </c>
      <c r="M377" t="s">
        <v>4894</v>
      </c>
      <c r="N377" t="s">
        <v>2376</v>
      </c>
      <c r="O377" t="s">
        <v>2400</v>
      </c>
      <c r="P377" t="s">
        <v>2378</v>
      </c>
      <c r="Q377" t="s">
        <v>2379</v>
      </c>
      <c r="R377" t="s">
        <v>1322</v>
      </c>
      <c r="S377" t="s">
        <v>2511</v>
      </c>
      <c r="T377" s="3" t="s">
        <v>4863</v>
      </c>
      <c r="U377" t="s">
        <v>4878</v>
      </c>
      <c r="V377" t="s">
        <v>4879</v>
      </c>
      <c r="W377" t="s">
        <v>4895</v>
      </c>
      <c r="X377" t="s">
        <v>2385</v>
      </c>
      <c r="Y377" t="s">
        <v>4896</v>
      </c>
      <c r="Z377" t="s">
        <v>2387</v>
      </c>
      <c r="AA377" t="s">
        <v>4863</v>
      </c>
      <c r="AB377" t="s">
        <v>4897</v>
      </c>
      <c r="AC377" t="s">
        <v>4898</v>
      </c>
      <c r="AD377" t="s">
        <v>4870</v>
      </c>
      <c r="AH377" t="s">
        <v>4630</v>
      </c>
      <c r="AI377" t="s">
        <v>4455</v>
      </c>
      <c r="AJ377" t="s">
        <v>4883</v>
      </c>
      <c r="AK377" t="s">
        <v>4884</v>
      </c>
      <c r="AL377" t="s">
        <v>4885</v>
      </c>
      <c r="AM377" t="s">
        <v>4885</v>
      </c>
      <c r="AN377" t="s">
        <v>4886</v>
      </c>
      <c r="AO377" t="s">
        <v>4883</v>
      </c>
      <c r="AP377">
        <v>10</v>
      </c>
      <c r="AQ377">
        <v>10</v>
      </c>
      <c r="AR377">
        <v>10</v>
      </c>
      <c r="AS377" t="s">
        <v>4899</v>
      </c>
      <c r="AT377">
        <v>0</v>
      </c>
      <c r="AU377">
        <v>0</v>
      </c>
      <c r="AV377">
        <v>0</v>
      </c>
    </row>
    <row r="378" spans="1:48">
      <c r="A378" s="1">
        <f>_xlfn.XLOOKUP(J378,数据!E:E,数据!A:A)</f>
        <v>3</v>
      </c>
      <c r="B378" s="1">
        <f>_xlfn.XLOOKUP(J378,数据!E:E,数据!B:B)</f>
        <v>10</v>
      </c>
      <c r="C378" s="1" t="str">
        <f>_xlfn.XLOOKUP(J378,数据!E:E,数据!J:J)</f>
        <v>红单</v>
      </c>
      <c r="D378" s="1" t="str" cm="1">
        <f t="array" ref="D378">IF(OR(C378="红单",C378="空派"),_xlfn.IFS(E378="未开售","新品首批发货",F378&lt;E378,"新品首批发货",F378-E378&lt;=60,"新品期补货空运",F378-E378&gt;60,"老品应急空运"),"海运，不进行分析")</f>
        <v>新品期补货空运</v>
      </c>
      <c r="E378" s="2">
        <v>46032</v>
      </c>
      <c r="F378" s="2">
        <f>_xlfn.XLOOKUP(J378,数据!E:E,数据!C:C)</f>
        <v>46085</v>
      </c>
      <c r="G378" s="4">
        <v>121</v>
      </c>
      <c r="H378" s="4">
        <f t="shared" si="21"/>
        <v>1.21</v>
      </c>
      <c r="I378" s="4">
        <f>_xlfn.XLOOKUP(J378,数据!E:E,数据!S:S)*(H378/_xlfn.XLOOKUP(J378,数据!E:E,数据!X:X))</f>
        <v>92.0912237697309</v>
      </c>
      <c r="J378" t="s">
        <v>1322</v>
      </c>
      <c r="K378" t="s">
        <v>37</v>
      </c>
      <c r="L378" t="s">
        <v>2374</v>
      </c>
      <c r="M378" t="s">
        <v>4894</v>
      </c>
      <c r="N378" t="s">
        <v>2376</v>
      </c>
      <c r="O378" t="s">
        <v>2400</v>
      </c>
      <c r="P378" t="s">
        <v>2378</v>
      </c>
      <c r="Q378" t="s">
        <v>2379</v>
      </c>
      <c r="R378" t="s">
        <v>1322</v>
      </c>
      <c r="S378" t="s">
        <v>2511</v>
      </c>
      <c r="T378" s="3" t="s">
        <v>4863</v>
      </c>
      <c r="U378" t="s">
        <v>4878</v>
      </c>
      <c r="V378" t="s">
        <v>4879</v>
      </c>
      <c r="W378" t="s">
        <v>4895</v>
      </c>
      <c r="X378" t="s">
        <v>2385</v>
      </c>
      <c r="Y378" t="s">
        <v>4896</v>
      </c>
      <c r="Z378" t="s">
        <v>2387</v>
      </c>
      <c r="AA378" t="s">
        <v>4863</v>
      </c>
      <c r="AB378" t="s">
        <v>4897</v>
      </c>
      <c r="AC378" t="s">
        <v>4898</v>
      </c>
      <c r="AD378" t="s">
        <v>4870</v>
      </c>
      <c r="AH378" t="s">
        <v>4630</v>
      </c>
      <c r="AI378" t="s">
        <v>4455</v>
      </c>
      <c r="AJ378" t="s">
        <v>4888</v>
      </c>
      <c r="AK378" t="s">
        <v>4889</v>
      </c>
      <c r="AL378" t="s">
        <v>4890</v>
      </c>
      <c r="AM378" t="s">
        <v>2893</v>
      </c>
      <c r="AN378" t="s">
        <v>4891</v>
      </c>
      <c r="AO378" t="s">
        <v>4888</v>
      </c>
      <c r="AP378">
        <v>10</v>
      </c>
      <c r="AQ378">
        <v>10</v>
      </c>
      <c r="AR378">
        <v>10</v>
      </c>
      <c r="AS378" t="s">
        <v>4899</v>
      </c>
      <c r="AT378">
        <v>0</v>
      </c>
      <c r="AU378">
        <v>0</v>
      </c>
      <c r="AV378">
        <v>0</v>
      </c>
    </row>
    <row r="379" spans="1:48">
      <c r="A379" s="1">
        <f>_xlfn.XLOOKUP(J379,数据!E:E,数据!A:A)</f>
        <v>3</v>
      </c>
      <c r="B379" s="1">
        <f>_xlfn.XLOOKUP(J379,数据!E:E,数据!B:B)</f>
        <v>10</v>
      </c>
      <c r="C379" s="1" t="str">
        <f>_xlfn.XLOOKUP(J379,数据!E:E,数据!J:J)</f>
        <v>红单</v>
      </c>
      <c r="D379" s="1" t="str" cm="1">
        <f t="array" ref="D379">IF(OR(C379="红单",C379="空派"),_xlfn.IFS(E379="未开售","新品首批发货",F379&lt;E379,"新品首批发货",F379-E379&lt;=60,"新品期补货空运",F379-E379&gt;60,"老品应急空运"),"海运，不进行分析")</f>
        <v>新品期补货空运</v>
      </c>
      <c r="E379" s="2">
        <v>46035</v>
      </c>
      <c r="F379" s="2">
        <f>_xlfn.XLOOKUP(J379,数据!E:E,数据!C:C)</f>
        <v>46085</v>
      </c>
      <c r="G379" s="4">
        <v>125</v>
      </c>
      <c r="H379" s="4">
        <f t="shared" si="21"/>
        <v>11.25</v>
      </c>
      <c r="I379" s="4">
        <f>_xlfn.XLOOKUP(J379,数据!E:E,数据!S:S)*(H379/_xlfn.XLOOKUP(J379,数据!E:E,数据!X:X))</f>
        <v>856.220055710308</v>
      </c>
      <c r="J379" t="s">
        <v>1322</v>
      </c>
      <c r="K379" t="s">
        <v>37</v>
      </c>
      <c r="L379" t="s">
        <v>2374</v>
      </c>
      <c r="M379" t="s">
        <v>4894</v>
      </c>
      <c r="N379" t="s">
        <v>2376</v>
      </c>
      <c r="O379" t="s">
        <v>2400</v>
      </c>
      <c r="P379" t="s">
        <v>2378</v>
      </c>
      <c r="Q379" t="s">
        <v>2379</v>
      </c>
      <c r="R379" t="s">
        <v>1322</v>
      </c>
      <c r="S379" t="s">
        <v>2511</v>
      </c>
      <c r="T379" s="3" t="s">
        <v>4863</v>
      </c>
      <c r="U379" t="s">
        <v>4878</v>
      </c>
      <c r="V379" t="s">
        <v>4879</v>
      </c>
      <c r="W379" t="s">
        <v>4895</v>
      </c>
      <c r="X379" t="s">
        <v>2385</v>
      </c>
      <c r="Y379" t="s">
        <v>4896</v>
      </c>
      <c r="Z379" t="s">
        <v>2387</v>
      </c>
      <c r="AA379" t="s">
        <v>4863</v>
      </c>
      <c r="AB379" t="s">
        <v>4897</v>
      </c>
      <c r="AC379" t="s">
        <v>4898</v>
      </c>
      <c r="AD379" t="s">
        <v>4870</v>
      </c>
      <c r="AH379" t="s">
        <v>4630</v>
      </c>
      <c r="AI379" t="s">
        <v>4455</v>
      </c>
      <c r="AJ379" t="s">
        <v>4900</v>
      </c>
      <c r="AK379" t="s">
        <v>4901</v>
      </c>
      <c r="AL379" t="s">
        <v>4902</v>
      </c>
      <c r="AM379" t="s">
        <v>2893</v>
      </c>
      <c r="AN379" t="s">
        <v>4903</v>
      </c>
      <c r="AO379" t="s">
        <v>4900</v>
      </c>
      <c r="AP379">
        <v>90</v>
      </c>
      <c r="AQ379">
        <v>90</v>
      </c>
      <c r="AR379">
        <v>90</v>
      </c>
      <c r="AS379" t="s">
        <v>4904</v>
      </c>
      <c r="AT379">
        <v>0</v>
      </c>
      <c r="AU379">
        <v>0</v>
      </c>
      <c r="AV379">
        <v>0</v>
      </c>
    </row>
    <row r="380" spans="1:48">
      <c r="A380" s="1">
        <f>_xlfn.XLOOKUP(J380,数据!E:E,数据!A:A)</f>
        <v>3</v>
      </c>
      <c r="B380" s="1">
        <f>_xlfn.XLOOKUP(J380,数据!E:E,数据!B:B)</f>
        <v>10</v>
      </c>
      <c r="C380" s="1" t="str">
        <f>_xlfn.XLOOKUP(J380,数据!E:E,数据!J:J)</f>
        <v>红单</v>
      </c>
      <c r="D380" s="1" t="str" cm="1">
        <f t="array" ref="D380">IF(OR(C380="红单",C380="空派"),_xlfn.IFS(E380="未开售","新品首批发货",F380&lt;E380,"新品首批发货",F380-E380&lt;=60,"新品期补货空运",F380-E380&gt;60,"老品应急空运"),"海运，不进行分析")</f>
        <v>新品期补货空运</v>
      </c>
      <c r="E380" s="2">
        <v>46036</v>
      </c>
      <c r="F380" s="2">
        <f>_xlfn.XLOOKUP(J380,数据!E:E,数据!C:C)</f>
        <v>46085</v>
      </c>
      <c r="G380" s="4">
        <v>115</v>
      </c>
      <c r="H380" s="4">
        <f t="shared" si="21"/>
        <v>1.15</v>
      </c>
      <c r="I380" s="4">
        <f>_xlfn.XLOOKUP(J380,数据!E:E,数据!S:S)*(H380/_xlfn.XLOOKUP(J380,数据!E:E,数据!X:X))</f>
        <v>87.5247168059426</v>
      </c>
      <c r="J380" t="s">
        <v>1322</v>
      </c>
      <c r="K380" t="s">
        <v>37</v>
      </c>
      <c r="L380" t="s">
        <v>2374</v>
      </c>
      <c r="M380" t="s">
        <v>4894</v>
      </c>
      <c r="N380" t="s">
        <v>2376</v>
      </c>
      <c r="O380" t="s">
        <v>2400</v>
      </c>
      <c r="P380" t="s">
        <v>2378</v>
      </c>
      <c r="Q380" t="s">
        <v>2379</v>
      </c>
      <c r="R380" t="s">
        <v>1322</v>
      </c>
      <c r="S380" t="s">
        <v>2511</v>
      </c>
      <c r="T380" s="3" t="s">
        <v>4863</v>
      </c>
      <c r="U380" t="s">
        <v>4878</v>
      </c>
      <c r="V380" t="s">
        <v>4879</v>
      </c>
      <c r="W380" t="s">
        <v>4895</v>
      </c>
      <c r="X380" t="s">
        <v>2385</v>
      </c>
      <c r="Y380" t="s">
        <v>4896</v>
      </c>
      <c r="Z380" t="s">
        <v>2387</v>
      </c>
      <c r="AA380" t="s">
        <v>4863</v>
      </c>
      <c r="AB380" t="s">
        <v>4897</v>
      </c>
      <c r="AC380" t="s">
        <v>4898</v>
      </c>
      <c r="AD380" t="s">
        <v>4870</v>
      </c>
      <c r="AH380" t="s">
        <v>4630</v>
      </c>
      <c r="AI380" t="s">
        <v>4455</v>
      </c>
      <c r="AJ380" t="s">
        <v>4744</v>
      </c>
      <c r="AK380" t="s">
        <v>4745</v>
      </c>
      <c r="AL380" t="s">
        <v>4746</v>
      </c>
      <c r="AM380" t="s">
        <v>4093</v>
      </c>
      <c r="AN380" t="s">
        <v>4747</v>
      </c>
      <c r="AO380" t="s">
        <v>4744</v>
      </c>
      <c r="AP380">
        <v>10</v>
      </c>
      <c r="AQ380">
        <v>10</v>
      </c>
      <c r="AR380">
        <v>10</v>
      </c>
      <c r="AS380" t="s">
        <v>4899</v>
      </c>
      <c r="AT380">
        <v>0</v>
      </c>
      <c r="AU380">
        <v>0</v>
      </c>
      <c r="AV380">
        <v>0</v>
      </c>
    </row>
    <row r="381" spans="1:48">
      <c r="A381" s="1">
        <f>_xlfn.XLOOKUP(J381,数据!E:E,数据!A:A)</f>
        <v>3</v>
      </c>
      <c r="B381" s="1">
        <f>_xlfn.XLOOKUP(J381,数据!E:E,数据!B:B)</f>
        <v>10</v>
      </c>
      <c r="C381" s="1" t="str">
        <f>_xlfn.XLOOKUP(J381,数据!E:E,数据!J:J)</f>
        <v>红单</v>
      </c>
      <c r="D381" s="1" t="str" cm="1">
        <f t="array" ref="D381">IF(OR(C381="红单",C381="空派"),_xlfn.IFS(E381="未开售","新品首批发货",F381&lt;E381,"新品首批发货",F381-E381&lt;=60,"新品期补货空运",F381-E381&gt;60,"老品应急空运"),"海运，不进行分析")</f>
        <v>新品期补货空运</v>
      </c>
      <c r="E381" s="2">
        <v>46073</v>
      </c>
      <c r="F381" s="2">
        <f>_xlfn.XLOOKUP(J381,数据!E:E,数据!C:C)</f>
        <v>46085</v>
      </c>
      <c r="G381" s="4">
        <v>117</v>
      </c>
      <c r="H381" s="4">
        <f t="shared" si="21"/>
        <v>2.34</v>
      </c>
      <c r="I381" s="4">
        <f>_xlfn.XLOOKUP(J381,数据!E:E,数据!S:S)*(H381/_xlfn.XLOOKUP(J381,数据!E:E,数据!X:X))</f>
        <v>178.093771587744</v>
      </c>
      <c r="J381" t="s">
        <v>1322</v>
      </c>
      <c r="K381" t="s">
        <v>37</v>
      </c>
      <c r="L381" t="s">
        <v>2374</v>
      </c>
      <c r="M381" t="s">
        <v>4894</v>
      </c>
      <c r="N381" t="s">
        <v>2376</v>
      </c>
      <c r="O381" t="s">
        <v>2400</v>
      </c>
      <c r="P381" t="s">
        <v>2378</v>
      </c>
      <c r="Q381" t="s">
        <v>2379</v>
      </c>
      <c r="R381" t="s">
        <v>1322</v>
      </c>
      <c r="S381" t="s">
        <v>2511</v>
      </c>
      <c r="T381" s="3" t="s">
        <v>4863</v>
      </c>
      <c r="U381" t="s">
        <v>4878</v>
      </c>
      <c r="V381" t="s">
        <v>4879</v>
      </c>
      <c r="W381" t="s">
        <v>4895</v>
      </c>
      <c r="X381" t="s">
        <v>2385</v>
      </c>
      <c r="Y381" t="s">
        <v>4896</v>
      </c>
      <c r="Z381" t="s">
        <v>2387</v>
      </c>
      <c r="AA381" t="s">
        <v>4863</v>
      </c>
      <c r="AB381" t="s">
        <v>4897</v>
      </c>
      <c r="AC381" t="s">
        <v>4898</v>
      </c>
      <c r="AD381" t="s">
        <v>4870</v>
      </c>
      <c r="AH381" t="s">
        <v>4630</v>
      </c>
      <c r="AI381" t="s">
        <v>4455</v>
      </c>
      <c r="AJ381" t="s">
        <v>4440</v>
      </c>
      <c r="AK381" t="s">
        <v>4441</v>
      </c>
      <c r="AL381" t="s">
        <v>4442</v>
      </c>
      <c r="AM381" t="s">
        <v>4093</v>
      </c>
      <c r="AN381" t="s">
        <v>4443</v>
      </c>
      <c r="AO381" t="s">
        <v>4440</v>
      </c>
      <c r="AP381">
        <v>20</v>
      </c>
      <c r="AQ381">
        <v>20</v>
      </c>
      <c r="AR381">
        <v>19</v>
      </c>
      <c r="AS381" t="s">
        <v>4905</v>
      </c>
      <c r="AT381">
        <v>0</v>
      </c>
      <c r="AU381">
        <v>-1</v>
      </c>
      <c r="AV381">
        <v>1</v>
      </c>
    </row>
    <row r="382" spans="1:48">
      <c r="A382" s="1">
        <f>_xlfn.XLOOKUP(J382,数据!E:E,数据!A:A)</f>
        <v>3</v>
      </c>
      <c r="B382" s="1">
        <f>_xlfn.XLOOKUP(J382,数据!E:E,数据!B:B)</f>
        <v>10</v>
      </c>
      <c r="C382" s="1" t="str">
        <f>_xlfn.XLOOKUP(J382,数据!E:E,数据!J:J)</f>
        <v>红单</v>
      </c>
      <c r="D382" s="1" t="str" cm="1">
        <f t="array" ref="D382">IF(OR(C382="红单",C382="空派"),_xlfn.IFS(E382="未开售","新品首批发货",F382&lt;E382,"新品首批发货",F382-E382&lt;=60,"新品期补货空运",F382-E382&gt;60,"老品应急空运"),"海运，不进行分析")</f>
        <v>新品期补货空运</v>
      </c>
      <c r="E382" s="2">
        <v>46058</v>
      </c>
      <c r="F382" s="2">
        <f>_xlfn.XLOOKUP(J382,数据!E:E,数据!C:C)</f>
        <v>46085</v>
      </c>
      <c r="G382" s="4">
        <v>71</v>
      </c>
      <c r="H382" s="4">
        <f>G382*AP382/1000</f>
        <v>4.97</v>
      </c>
      <c r="I382" s="4">
        <f>_xlfn.XLOOKUP(J382,数据!E:E,数据!S:S)*(H382/_xlfn.XLOOKUP(J382,数据!E:E,数据!X:X))</f>
        <v>419.324780888391</v>
      </c>
      <c r="J382" t="s">
        <v>1318</v>
      </c>
      <c r="K382" t="s">
        <v>46</v>
      </c>
      <c r="L382" t="s">
        <v>2374</v>
      </c>
      <c r="M382" t="s">
        <v>4906</v>
      </c>
      <c r="N382" t="s">
        <v>2376</v>
      </c>
      <c r="O382" t="s">
        <v>2400</v>
      </c>
      <c r="P382" t="s">
        <v>2378</v>
      </c>
      <c r="Q382" t="s">
        <v>2379</v>
      </c>
      <c r="R382" t="s">
        <v>4907</v>
      </c>
      <c r="S382" t="s">
        <v>2511</v>
      </c>
      <c r="T382" s="3" t="s">
        <v>4908</v>
      </c>
      <c r="U382" t="s">
        <v>4909</v>
      </c>
      <c r="V382" t="s">
        <v>4910</v>
      </c>
      <c r="W382" t="s">
        <v>4911</v>
      </c>
      <c r="X382" t="s">
        <v>2403</v>
      </c>
      <c r="Y382" t="s">
        <v>4912</v>
      </c>
      <c r="Z382" t="s">
        <v>2405</v>
      </c>
      <c r="AA382" t="s">
        <v>4908</v>
      </c>
      <c r="AB382" t="s">
        <v>3838</v>
      </c>
      <c r="AC382" t="s">
        <v>4913</v>
      </c>
      <c r="AD382" t="s">
        <v>4914</v>
      </c>
      <c r="AH382" t="s">
        <v>4630</v>
      </c>
      <c r="AI382" t="s">
        <v>4455</v>
      </c>
      <c r="AJ382" t="s">
        <v>3442</v>
      </c>
      <c r="AK382" t="s">
        <v>3443</v>
      </c>
      <c r="AL382" t="s">
        <v>3444</v>
      </c>
      <c r="AM382" t="s">
        <v>3445</v>
      </c>
      <c r="AN382" t="s">
        <v>3446</v>
      </c>
      <c r="AO382" t="s">
        <v>3442</v>
      </c>
      <c r="AP382">
        <v>70</v>
      </c>
      <c r="AQ382">
        <v>70</v>
      </c>
      <c r="AR382">
        <v>70</v>
      </c>
      <c r="AS382" t="s">
        <v>4915</v>
      </c>
      <c r="AT382">
        <v>0</v>
      </c>
      <c r="AU382">
        <v>0</v>
      </c>
      <c r="AV382">
        <v>0</v>
      </c>
    </row>
    <row r="383" spans="1:48">
      <c r="A383" s="1">
        <f>_xlfn.XLOOKUP(J383,数据!E:E,数据!A:A)</f>
        <v>3</v>
      </c>
      <c r="B383" s="1">
        <f>_xlfn.XLOOKUP(J383,数据!E:E,数据!B:B)</f>
        <v>10</v>
      </c>
      <c r="C383" s="1" t="str">
        <f>_xlfn.XLOOKUP(J383,数据!E:E,数据!J:J)</f>
        <v>红单</v>
      </c>
      <c r="D383" s="1" t="str" cm="1">
        <f t="array" ref="D383">IF(OR(C383="红单",C383="空派"),_xlfn.IFS(E383="未开售","新品首批发货",F383&lt;E383,"新品首批发货",F383-E383&lt;=60,"新品期补货空运",F383-E383&gt;60,"老品应急空运"),"海运，不进行分析")</f>
        <v>新品期补货空运</v>
      </c>
      <c r="E383" s="2">
        <v>46058</v>
      </c>
      <c r="F383" s="2">
        <f>_xlfn.XLOOKUP(J383,数据!E:E,数据!C:C)</f>
        <v>46085</v>
      </c>
      <c r="G383" s="4">
        <v>90</v>
      </c>
      <c r="H383" s="4">
        <f>G383*AP383/1000</f>
        <v>3.96</v>
      </c>
      <c r="I383" s="4">
        <f>_xlfn.XLOOKUP(J383,数据!E:E,数据!S:S)*(H383/_xlfn.XLOOKUP(J383,数据!E:E,数据!X:X))</f>
        <v>334.109885778276</v>
      </c>
      <c r="J383" t="s">
        <v>1318</v>
      </c>
      <c r="K383" t="s">
        <v>46</v>
      </c>
      <c r="L383" t="s">
        <v>2374</v>
      </c>
      <c r="M383" t="s">
        <v>4906</v>
      </c>
      <c r="N383" t="s">
        <v>2376</v>
      </c>
      <c r="O383" t="s">
        <v>2400</v>
      </c>
      <c r="P383" t="s">
        <v>2378</v>
      </c>
      <c r="Q383" t="s">
        <v>2379</v>
      </c>
      <c r="R383" t="s">
        <v>4907</v>
      </c>
      <c r="S383" t="s">
        <v>2511</v>
      </c>
      <c r="T383" s="3" t="s">
        <v>4908</v>
      </c>
      <c r="U383" t="s">
        <v>4909</v>
      </c>
      <c r="V383" t="s">
        <v>4910</v>
      </c>
      <c r="W383" t="s">
        <v>4911</v>
      </c>
      <c r="X383" t="s">
        <v>2403</v>
      </c>
      <c r="Y383" t="s">
        <v>4912</v>
      </c>
      <c r="Z383" t="s">
        <v>2405</v>
      </c>
      <c r="AA383" t="s">
        <v>4908</v>
      </c>
      <c r="AB383" t="s">
        <v>3838</v>
      </c>
      <c r="AC383" t="s">
        <v>4913</v>
      </c>
      <c r="AD383" t="s">
        <v>4914</v>
      </c>
      <c r="AH383" t="s">
        <v>4630</v>
      </c>
      <c r="AI383" t="s">
        <v>4455</v>
      </c>
      <c r="AJ383" t="s">
        <v>3448</v>
      </c>
      <c r="AK383" t="s">
        <v>3449</v>
      </c>
      <c r="AL383" t="s">
        <v>3450</v>
      </c>
      <c r="AM383" t="s">
        <v>3450</v>
      </c>
      <c r="AN383" t="s">
        <v>3451</v>
      </c>
      <c r="AO383" t="s">
        <v>3448</v>
      </c>
      <c r="AP383">
        <v>44</v>
      </c>
      <c r="AQ383">
        <v>44</v>
      </c>
      <c r="AR383">
        <v>44</v>
      </c>
      <c r="AS383" t="s">
        <v>4916</v>
      </c>
      <c r="AT383">
        <v>0</v>
      </c>
      <c r="AU383">
        <v>0</v>
      </c>
      <c r="AV383">
        <v>0</v>
      </c>
    </row>
    <row r="384" spans="1:48">
      <c r="A384" s="1">
        <f>_xlfn.XLOOKUP(J384,数据!E:E,数据!A:A)</f>
        <v>3</v>
      </c>
      <c r="B384" s="1">
        <f>_xlfn.XLOOKUP(J384,数据!E:E,数据!B:B)</f>
        <v>10</v>
      </c>
      <c r="C384" s="1" t="str">
        <f>_xlfn.XLOOKUP(J384,数据!E:E,数据!J:J)</f>
        <v>红单</v>
      </c>
      <c r="D384" s="1" t="str" cm="1">
        <f t="array" ref="D384">IF(OR(C384="红单",C384="空派"),_xlfn.IFS(E384="未开售","新品首批发货",F384&lt;E384,"新品首批发货",F384-E384&lt;=60,"新品期补货空运",F384-E384&gt;60,"老品应急空运"),"海运，不进行分析")</f>
        <v>新品首批发货</v>
      </c>
      <c r="E384" s="2">
        <v>46092</v>
      </c>
      <c r="F384" s="2">
        <f>_xlfn.XLOOKUP(J384,数据!E:E,数据!C:C)</f>
        <v>46085</v>
      </c>
      <c r="G384" s="4">
        <v>50</v>
      </c>
      <c r="H384" s="4">
        <f>G384*AP384/1000</f>
        <v>4</v>
      </c>
      <c r="I384" s="4">
        <f>_xlfn.XLOOKUP(J384,数据!E:E,数据!S:S)*(H384/_xlfn.XLOOKUP(J384,数据!E:E,数据!X:X))</f>
        <v>353.929696969697</v>
      </c>
      <c r="J384" t="s">
        <v>1320</v>
      </c>
      <c r="K384" t="s">
        <v>224</v>
      </c>
      <c r="L384" t="s">
        <v>2374</v>
      </c>
      <c r="M384" t="s">
        <v>4917</v>
      </c>
      <c r="N384" t="s">
        <v>2376</v>
      </c>
      <c r="O384" t="s">
        <v>2400</v>
      </c>
      <c r="P384" t="s">
        <v>2378</v>
      </c>
      <c r="Q384" t="s">
        <v>2379</v>
      </c>
      <c r="R384" t="s">
        <v>4918</v>
      </c>
      <c r="S384" t="s">
        <v>2511</v>
      </c>
      <c r="T384" s="3" t="s">
        <v>4908</v>
      </c>
      <c r="U384" t="s">
        <v>4909</v>
      </c>
      <c r="V384" t="s">
        <v>4919</v>
      </c>
      <c r="W384" t="s">
        <v>4920</v>
      </c>
      <c r="X384" t="s">
        <v>2385</v>
      </c>
      <c r="Y384" t="s">
        <v>4921</v>
      </c>
      <c r="Z384" t="s">
        <v>2405</v>
      </c>
      <c r="AA384" t="s">
        <v>4908</v>
      </c>
      <c r="AB384" t="s">
        <v>4868</v>
      </c>
      <c r="AC384" t="s">
        <v>4922</v>
      </c>
      <c r="AD384" t="s">
        <v>4914</v>
      </c>
      <c r="AH384" t="s">
        <v>4630</v>
      </c>
      <c r="AI384" t="s">
        <v>4455</v>
      </c>
      <c r="AJ384" t="s">
        <v>4923</v>
      </c>
      <c r="AK384" t="s">
        <v>4924</v>
      </c>
      <c r="AL384" t="s">
        <v>4925</v>
      </c>
      <c r="AM384" t="s">
        <v>4926</v>
      </c>
      <c r="AN384" t="s">
        <v>4927</v>
      </c>
      <c r="AO384" t="s">
        <v>4923</v>
      </c>
      <c r="AP384">
        <v>80</v>
      </c>
      <c r="AQ384">
        <v>80</v>
      </c>
      <c r="AR384">
        <v>79</v>
      </c>
      <c r="AS384" t="s">
        <v>4928</v>
      </c>
      <c r="AT384">
        <v>0</v>
      </c>
      <c r="AU384">
        <v>-1</v>
      </c>
      <c r="AV384">
        <v>1</v>
      </c>
    </row>
    <row r="385" spans="1:48">
      <c r="A385" s="1">
        <f>_xlfn.XLOOKUP(J385,数据!E:E,数据!A:A)</f>
        <v>3</v>
      </c>
      <c r="B385" s="1">
        <f>_xlfn.XLOOKUP(J385,数据!E:E,数据!B:B)</f>
        <v>10</v>
      </c>
      <c r="C385" s="1" t="str">
        <f>_xlfn.XLOOKUP(J385,数据!E:E,数据!J:J)</f>
        <v>红单</v>
      </c>
      <c r="D385" s="1" t="str" cm="1">
        <f t="array" ref="D385">IF(OR(C385="红单",C385="空派"),_xlfn.IFS(E385="未开售","新品首批发货",F385&lt;E385,"新品首批发货",F385-E385&lt;=60,"新品期补货空运",F385-E385&gt;60,"老品应急空运"),"海运，不进行分析")</f>
        <v>新品首批发货</v>
      </c>
      <c r="E385" s="2">
        <v>46092</v>
      </c>
      <c r="F385" s="2">
        <f>_xlfn.XLOOKUP(J385,数据!E:E,数据!C:C)</f>
        <v>46085</v>
      </c>
      <c r="G385" s="4">
        <v>49</v>
      </c>
      <c r="H385" s="4">
        <f>G385*AP385/1000</f>
        <v>3.43</v>
      </c>
      <c r="I385" s="4">
        <f>_xlfn.XLOOKUP(J385,数据!E:E,数据!S:S)*(H385/_xlfn.XLOOKUP(J385,数据!E:E,数据!X:X))</f>
        <v>303.494715151515</v>
      </c>
      <c r="J385" t="s">
        <v>1320</v>
      </c>
      <c r="K385" t="s">
        <v>224</v>
      </c>
      <c r="L385" t="s">
        <v>2374</v>
      </c>
      <c r="M385" t="s">
        <v>4917</v>
      </c>
      <c r="N385" t="s">
        <v>2376</v>
      </c>
      <c r="O385" t="s">
        <v>2400</v>
      </c>
      <c r="P385" t="s">
        <v>2378</v>
      </c>
      <c r="Q385" t="s">
        <v>2379</v>
      </c>
      <c r="R385" t="s">
        <v>4918</v>
      </c>
      <c r="S385" t="s">
        <v>2511</v>
      </c>
      <c r="T385" s="3" t="s">
        <v>4908</v>
      </c>
      <c r="U385" t="s">
        <v>4909</v>
      </c>
      <c r="V385" t="s">
        <v>4919</v>
      </c>
      <c r="W385" t="s">
        <v>4920</v>
      </c>
      <c r="X385" t="s">
        <v>2385</v>
      </c>
      <c r="Y385" t="s">
        <v>4921</v>
      </c>
      <c r="Z385" t="s">
        <v>2405</v>
      </c>
      <c r="AA385" t="s">
        <v>4908</v>
      </c>
      <c r="AB385" t="s">
        <v>4868</v>
      </c>
      <c r="AC385" t="s">
        <v>4922</v>
      </c>
      <c r="AD385" t="s">
        <v>4914</v>
      </c>
      <c r="AH385" t="s">
        <v>4630</v>
      </c>
      <c r="AI385" t="s">
        <v>4455</v>
      </c>
      <c r="AJ385" t="s">
        <v>4929</v>
      </c>
      <c r="AK385" t="s">
        <v>4930</v>
      </c>
      <c r="AL385" t="s">
        <v>4931</v>
      </c>
      <c r="AM385" t="s">
        <v>4926</v>
      </c>
      <c r="AN385" t="s">
        <v>4932</v>
      </c>
      <c r="AO385" t="s">
        <v>4929</v>
      </c>
      <c r="AP385">
        <v>70</v>
      </c>
      <c r="AQ385">
        <v>70</v>
      </c>
      <c r="AR385">
        <v>70</v>
      </c>
      <c r="AS385" t="s">
        <v>4933</v>
      </c>
      <c r="AT385">
        <v>0</v>
      </c>
      <c r="AU385">
        <v>0</v>
      </c>
      <c r="AV385">
        <v>0</v>
      </c>
    </row>
    <row r="386" spans="1:48">
      <c r="A386" s="1">
        <f>_xlfn.XLOOKUP(J386,数据!E:E,数据!A:A)</f>
        <v>3</v>
      </c>
      <c r="B386" s="1">
        <f>_xlfn.XLOOKUP(J386,数据!E:E,数据!B:B)</f>
        <v>10</v>
      </c>
      <c r="C386" s="1" t="str">
        <f>_xlfn.XLOOKUP(J386,数据!E:E,数据!J:J)</f>
        <v>红单</v>
      </c>
      <c r="D386" s="1" t="str" cm="1">
        <f t="array" ref="D386">IF(OR(C386="红单",C386="空派"),_xlfn.IFS(E386="未开售","新品首批发货",F386&lt;E386,"新品首批发货",F386-E386&lt;=60,"新品期补货空运",F386-E386&gt;60,"老品应急空运"),"海运，不进行分析")</f>
        <v>新品首批发货</v>
      </c>
      <c r="E386" s="2">
        <v>46092</v>
      </c>
      <c r="F386" s="2">
        <f>_xlfn.XLOOKUP(J386,数据!E:E,数据!C:C)</f>
        <v>46085</v>
      </c>
      <c r="G386" s="4">
        <v>51</v>
      </c>
      <c r="H386" s="4">
        <f>G386*AP386/1000</f>
        <v>3.57</v>
      </c>
      <c r="I386" s="4">
        <f>_xlfn.XLOOKUP(J386,数据!E:E,数据!S:S)*(H386/_xlfn.XLOOKUP(J386,数据!E:E,数据!X:X))</f>
        <v>315.882254545455</v>
      </c>
      <c r="J386" t="s">
        <v>1320</v>
      </c>
      <c r="K386" t="s">
        <v>224</v>
      </c>
      <c r="L386" t="s">
        <v>2374</v>
      </c>
      <c r="M386" t="s">
        <v>4917</v>
      </c>
      <c r="N386" t="s">
        <v>2376</v>
      </c>
      <c r="O386" t="s">
        <v>2400</v>
      </c>
      <c r="P386" t="s">
        <v>2378</v>
      </c>
      <c r="Q386" t="s">
        <v>2379</v>
      </c>
      <c r="R386" t="s">
        <v>4918</v>
      </c>
      <c r="S386" t="s">
        <v>2511</v>
      </c>
      <c r="T386" s="3" t="s">
        <v>4908</v>
      </c>
      <c r="U386" t="s">
        <v>4909</v>
      </c>
      <c r="V386" t="s">
        <v>4919</v>
      </c>
      <c r="W386" t="s">
        <v>4920</v>
      </c>
      <c r="X386" t="s">
        <v>2385</v>
      </c>
      <c r="Y386" t="s">
        <v>4921</v>
      </c>
      <c r="Z386" t="s">
        <v>2405</v>
      </c>
      <c r="AA386" t="s">
        <v>4908</v>
      </c>
      <c r="AB386" t="s">
        <v>4868</v>
      </c>
      <c r="AC386" t="s">
        <v>4922</v>
      </c>
      <c r="AD386" t="s">
        <v>4914</v>
      </c>
      <c r="AH386" t="s">
        <v>4630</v>
      </c>
      <c r="AI386" t="s">
        <v>4455</v>
      </c>
      <c r="AJ386" t="s">
        <v>4934</v>
      </c>
      <c r="AK386" t="s">
        <v>4935</v>
      </c>
      <c r="AL386" t="s">
        <v>4936</v>
      </c>
      <c r="AM386" t="s">
        <v>4926</v>
      </c>
      <c r="AN386" t="s">
        <v>4937</v>
      </c>
      <c r="AO386" t="s">
        <v>4934</v>
      </c>
      <c r="AP386">
        <v>70</v>
      </c>
      <c r="AQ386">
        <v>70</v>
      </c>
      <c r="AR386">
        <v>70</v>
      </c>
      <c r="AS386" t="s">
        <v>4933</v>
      </c>
      <c r="AT386">
        <v>0</v>
      </c>
      <c r="AU386">
        <v>0</v>
      </c>
      <c r="AV386">
        <v>0</v>
      </c>
    </row>
    <row r="387" spans="1:48">
      <c r="A387" s="1">
        <f>_xlfn.XLOOKUP(J387,数据!E:E,数据!A:A)</f>
        <v>3</v>
      </c>
      <c r="B387" s="1">
        <f>_xlfn.XLOOKUP(J387,数据!E:E,数据!B:B)</f>
        <v>10</v>
      </c>
      <c r="C387" s="1" t="str">
        <f>_xlfn.XLOOKUP(J387,数据!E:E,数据!J:J)</f>
        <v>红单</v>
      </c>
      <c r="D387" s="1" t="str" cm="1">
        <f t="array" ref="D387">IF(OR(C387="红单",C387="空派"),_xlfn.IFS(E387="未开售","新品首批发货",F387&lt;E387,"新品首批发货",F387-E387&lt;=60,"新品期补货空运",F387-E387&gt;60,"老品应急空运"),"海运，不进行分析")</f>
        <v>新品首批发货</v>
      </c>
      <c r="E387" s="2">
        <v>46097</v>
      </c>
      <c r="F387" s="2">
        <f>_xlfn.XLOOKUP(J387,数据!E:E,数据!C:C)</f>
        <v>46085</v>
      </c>
      <c r="G387" s="4">
        <v>144</v>
      </c>
      <c r="H387" s="4">
        <f>G387*AP387/1000</f>
        <v>5.76</v>
      </c>
      <c r="I387" s="4">
        <f>_xlfn.XLOOKUP(J387,数据!E:E,数据!S:S)*(H387/_xlfn.XLOOKUP(J387,数据!E:E,数据!X:X))</f>
        <v>423.973113833783</v>
      </c>
      <c r="J387" t="s">
        <v>1319</v>
      </c>
      <c r="K387" t="s">
        <v>31</v>
      </c>
      <c r="L387" t="s">
        <v>2374</v>
      </c>
      <c r="M387" t="s">
        <v>4938</v>
      </c>
      <c r="N387" t="s">
        <v>2376</v>
      </c>
      <c r="O387" t="s">
        <v>2400</v>
      </c>
      <c r="P387" t="s">
        <v>2378</v>
      </c>
      <c r="Q387" t="s">
        <v>2379</v>
      </c>
      <c r="R387" t="s">
        <v>4939</v>
      </c>
      <c r="S387" t="s">
        <v>2511</v>
      </c>
      <c r="T387" s="3" t="s">
        <v>4908</v>
      </c>
      <c r="U387" t="s">
        <v>4940</v>
      </c>
      <c r="V387" t="s">
        <v>4941</v>
      </c>
      <c r="W387" t="s">
        <v>4942</v>
      </c>
      <c r="X387" t="s">
        <v>2403</v>
      </c>
      <c r="Y387" t="s">
        <v>4943</v>
      </c>
      <c r="Z387" t="s">
        <v>2405</v>
      </c>
      <c r="AA387" t="s">
        <v>4908</v>
      </c>
      <c r="AB387" t="s">
        <v>4392</v>
      </c>
      <c r="AC387" t="s">
        <v>4944</v>
      </c>
      <c r="AD387" t="s">
        <v>4914</v>
      </c>
      <c r="AH387" t="s">
        <v>4630</v>
      </c>
      <c r="AI387" t="s">
        <v>4455</v>
      </c>
      <c r="AJ387" t="s">
        <v>4945</v>
      </c>
      <c r="AK387" t="s">
        <v>4946</v>
      </c>
      <c r="AL387" t="s">
        <v>4947</v>
      </c>
      <c r="AM387" t="s">
        <v>4948</v>
      </c>
      <c r="AN387" t="s">
        <v>4949</v>
      </c>
      <c r="AO387" t="s">
        <v>4945</v>
      </c>
      <c r="AP387">
        <v>40</v>
      </c>
      <c r="AQ387">
        <v>40</v>
      </c>
      <c r="AR387">
        <v>40</v>
      </c>
      <c r="AS387" t="s">
        <v>4950</v>
      </c>
      <c r="AT387">
        <v>0</v>
      </c>
      <c r="AU387">
        <v>0</v>
      </c>
      <c r="AV387">
        <v>0</v>
      </c>
    </row>
    <row r="388" spans="1:48">
      <c r="A388" s="1">
        <f>_xlfn.XLOOKUP(J388,数据!E:E,数据!A:A)</f>
        <v>3</v>
      </c>
      <c r="B388" s="1">
        <f>_xlfn.XLOOKUP(J388,数据!E:E,数据!B:B)</f>
        <v>10</v>
      </c>
      <c r="C388" s="1" t="str">
        <f>_xlfn.XLOOKUP(J388,数据!E:E,数据!J:J)</f>
        <v>红单</v>
      </c>
      <c r="D388" s="1" t="str" cm="1">
        <f t="array" ref="D388">IF(OR(C388="红单",C388="空派"),_xlfn.IFS(E388="未开售","新品首批发货",F388&lt;E388,"新品首批发货",F388-E388&lt;=60,"新品期补货空运",F388-E388&gt;60,"老品应急空运"),"海运，不进行分析")</f>
        <v>新品首批发货</v>
      </c>
      <c r="E388" s="2">
        <v>46095</v>
      </c>
      <c r="F388" s="2">
        <f>_xlfn.XLOOKUP(J388,数据!E:E,数据!C:C)</f>
        <v>46085</v>
      </c>
      <c r="G388" s="4">
        <v>143.7</v>
      </c>
      <c r="H388" s="4">
        <f>G388*AP388/1000</f>
        <v>5.748</v>
      </c>
      <c r="I388" s="4">
        <f>_xlfn.XLOOKUP(J388,数据!E:E,数据!S:S)*(H388/_xlfn.XLOOKUP(J388,数据!E:E,数据!X:X))</f>
        <v>423.089836513296</v>
      </c>
      <c r="J388" t="s">
        <v>1319</v>
      </c>
      <c r="K388" t="s">
        <v>31</v>
      </c>
      <c r="L388" t="s">
        <v>2374</v>
      </c>
      <c r="M388" t="s">
        <v>4938</v>
      </c>
      <c r="N388" t="s">
        <v>2376</v>
      </c>
      <c r="O388" t="s">
        <v>2400</v>
      </c>
      <c r="P388" t="s">
        <v>2378</v>
      </c>
      <c r="Q388" t="s">
        <v>2379</v>
      </c>
      <c r="R388" t="s">
        <v>4939</v>
      </c>
      <c r="S388" t="s">
        <v>2511</v>
      </c>
      <c r="T388" s="3" t="s">
        <v>4908</v>
      </c>
      <c r="U388" t="s">
        <v>4940</v>
      </c>
      <c r="V388" t="s">
        <v>4941</v>
      </c>
      <c r="W388" t="s">
        <v>4942</v>
      </c>
      <c r="X388" t="s">
        <v>2403</v>
      </c>
      <c r="Y388" t="s">
        <v>4943</v>
      </c>
      <c r="Z388" t="s">
        <v>2405</v>
      </c>
      <c r="AA388" t="s">
        <v>4908</v>
      </c>
      <c r="AB388" t="s">
        <v>4392</v>
      </c>
      <c r="AC388" t="s">
        <v>4944</v>
      </c>
      <c r="AD388" t="s">
        <v>4914</v>
      </c>
      <c r="AH388" t="s">
        <v>4630</v>
      </c>
      <c r="AI388" t="s">
        <v>4455</v>
      </c>
      <c r="AJ388" t="s">
        <v>4951</v>
      </c>
      <c r="AK388" t="s">
        <v>4952</v>
      </c>
      <c r="AL388" t="s">
        <v>4953</v>
      </c>
      <c r="AM388" t="s">
        <v>4948</v>
      </c>
      <c r="AN388" t="s">
        <v>4954</v>
      </c>
      <c r="AO388" t="s">
        <v>4951</v>
      </c>
      <c r="AP388">
        <v>40</v>
      </c>
      <c r="AQ388">
        <v>40</v>
      </c>
      <c r="AR388">
        <v>40</v>
      </c>
      <c r="AS388" t="s">
        <v>4950</v>
      </c>
      <c r="AT388">
        <v>0</v>
      </c>
      <c r="AU388">
        <v>0</v>
      </c>
      <c r="AV388">
        <v>0</v>
      </c>
    </row>
    <row r="389" spans="1:48">
      <c r="A389" s="1">
        <f>_xlfn.XLOOKUP(J389,数据!E:E,数据!A:A)</f>
        <v>3</v>
      </c>
      <c r="B389" s="1">
        <f>_xlfn.XLOOKUP(J389,数据!E:E,数据!B:B)</f>
        <v>10</v>
      </c>
      <c r="C389" s="1" t="str">
        <f>_xlfn.XLOOKUP(J389,数据!E:E,数据!J:J)</f>
        <v>红单</v>
      </c>
      <c r="D389" s="1" t="str" cm="1">
        <f t="array" ref="D389">IF(OR(C389="红单",C389="空派"),_xlfn.IFS(E389="未开售","新品首批发货",F389&lt;E389,"新品首批发货",F389-E389&lt;=60,"新品期补货空运",F389-E389&gt;60,"老品应急空运"),"海运，不进行分析")</f>
        <v>新品首批发货</v>
      </c>
      <c r="E389" s="2">
        <v>46099</v>
      </c>
      <c r="F389" s="2">
        <f>_xlfn.XLOOKUP(J389,数据!E:E,数据!C:C)</f>
        <v>46085</v>
      </c>
      <c r="G389" s="4">
        <v>145</v>
      </c>
      <c r="H389" s="4">
        <f>G389*AP389/1000</f>
        <v>5.8</v>
      </c>
      <c r="I389" s="4">
        <f>_xlfn.XLOOKUP(J389,数据!E:E,数据!S:S)*(H389/_xlfn.XLOOKUP(J389,数据!E:E,数据!X:X))</f>
        <v>426.91737156874</v>
      </c>
      <c r="J389" t="s">
        <v>1319</v>
      </c>
      <c r="K389" t="s">
        <v>31</v>
      </c>
      <c r="L389" t="s">
        <v>2374</v>
      </c>
      <c r="M389" t="s">
        <v>4938</v>
      </c>
      <c r="N389" t="s">
        <v>2376</v>
      </c>
      <c r="O389" t="s">
        <v>2400</v>
      </c>
      <c r="P389" t="s">
        <v>2378</v>
      </c>
      <c r="Q389" t="s">
        <v>2379</v>
      </c>
      <c r="R389" t="s">
        <v>4939</v>
      </c>
      <c r="S389" t="s">
        <v>2511</v>
      </c>
      <c r="T389" s="3" t="s">
        <v>4908</v>
      </c>
      <c r="U389" t="s">
        <v>4940</v>
      </c>
      <c r="V389" t="s">
        <v>4941</v>
      </c>
      <c r="W389" t="s">
        <v>4942</v>
      </c>
      <c r="X389" t="s">
        <v>2403</v>
      </c>
      <c r="Y389" t="s">
        <v>4943</v>
      </c>
      <c r="Z389" t="s">
        <v>2405</v>
      </c>
      <c r="AA389" t="s">
        <v>4908</v>
      </c>
      <c r="AB389" t="s">
        <v>4392</v>
      </c>
      <c r="AC389" t="s">
        <v>4944</v>
      </c>
      <c r="AD389" t="s">
        <v>4914</v>
      </c>
      <c r="AH389" t="s">
        <v>4630</v>
      </c>
      <c r="AI389" t="s">
        <v>4455</v>
      </c>
      <c r="AJ389" t="s">
        <v>4955</v>
      </c>
      <c r="AK389" t="s">
        <v>4956</v>
      </c>
      <c r="AL389" t="s">
        <v>4957</v>
      </c>
      <c r="AM389" t="s">
        <v>4948</v>
      </c>
      <c r="AN389" t="s">
        <v>4958</v>
      </c>
      <c r="AO389" t="s">
        <v>4955</v>
      </c>
      <c r="AP389">
        <v>40</v>
      </c>
      <c r="AQ389">
        <v>40</v>
      </c>
      <c r="AR389">
        <v>40</v>
      </c>
      <c r="AS389" t="s">
        <v>4959</v>
      </c>
      <c r="AT389">
        <v>0</v>
      </c>
      <c r="AU389">
        <v>0</v>
      </c>
      <c r="AV389">
        <v>0</v>
      </c>
    </row>
    <row r="390" spans="1:48">
      <c r="A390" s="1">
        <f>_xlfn.XLOOKUP(J390,数据!E:E,数据!A:A)</f>
        <v>3</v>
      </c>
      <c r="B390" s="1">
        <f>_xlfn.XLOOKUP(J390,数据!E:E,数据!B:B)</f>
        <v>10</v>
      </c>
      <c r="C390" s="1" t="str">
        <f>_xlfn.XLOOKUP(J390,数据!E:E,数据!J:J)</f>
        <v>红单</v>
      </c>
      <c r="D390" s="1" t="str" cm="1">
        <f t="array" ref="D390">IF(OR(C390="红单",C390="空派"),_xlfn.IFS(E390="未开售","新品首批发货",F390&lt;E390,"新品首批发货",F390-E390&lt;=60,"新品期补货空运",F390-E390&gt;60,"老品应急空运"),"海运，不进行分析")</f>
        <v>新品首批发货</v>
      </c>
      <c r="E390" s="2">
        <v>46100</v>
      </c>
      <c r="F390" s="2">
        <f>_xlfn.XLOOKUP(J390,数据!E:E,数据!C:C)</f>
        <v>46085</v>
      </c>
      <c r="G390" s="4">
        <v>168</v>
      </c>
      <c r="H390" s="4">
        <f>G390*AP390/1000</f>
        <v>6.72</v>
      </c>
      <c r="I390" s="4">
        <f>_xlfn.XLOOKUP(J390,数据!E:E,数据!S:S)*(H390/_xlfn.XLOOKUP(J390,数据!E:E,数据!X:X))</f>
        <v>494.635299472747</v>
      </c>
      <c r="J390" t="s">
        <v>1319</v>
      </c>
      <c r="K390" t="s">
        <v>31</v>
      </c>
      <c r="L390" t="s">
        <v>2374</v>
      </c>
      <c r="M390" t="s">
        <v>4938</v>
      </c>
      <c r="N390" t="s">
        <v>2376</v>
      </c>
      <c r="O390" t="s">
        <v>2400</v>
      </c>
      <c r="P390" t="s">
        <v>2378</v>
      </c>
      <c r="Q390" t="s">
        <v>2379</v>
      </c>
      <c r="R390" t="s">
        <v>4939</v>
      </c>
      <c r="S390" t="s">
        <v>2511</v>
      </c>
      <c r="T390" s="3" t="s">
        <v>4908</v>
      </c>
      <c r="U390" t="s">
        <v>4940</v>
      </c>
      <c r="V390" t="s">
        <v>4941</v>
      </c>
      <c r="W390" t="s">
        <v>4942</v>
      </c>
      <c r="X390" t="s">
        <v>2403</v>
      </c>
      <c r="Y390" t="s">
        <v>4943</v>
      </c>
      <c r="Z390" t="s">
        <v>2405</v>
      </c>
      <c r="AA390" t="s">
        <v>4908</v>
      </c>
      <c r="AB390" t="s">
        <v>4392</v>
      </c>
      <c r="AC390" t="s">
        <v>4944</v>
      </c>
      <c r="AD390" t="s">
        <v>4914</v>
      </c>
      <c r="AH390" t="s">
        <v>4630</v>
      </c>
      <c r="AI390" t="s">
        <v>4455</v>
      </c>
      <c r="AJ390" t="s">
        <v>4960</v>
      </c>
      <c r="AK390" t="s">
        <v>4961</v>
      </c>
      <c r="AL390" t="s">
        <v>4962</v>
      </c>
      <c r="AM390" t="s">
        <v>4948</v>
      </c>
      <c r="AN390" t="s">
        <v>4963</v>
      </c>
      <c r="AO390" t="s">
        <v>4960</v>
      </c>
      <c r="AP390">
        <v>40</v>
      </c>
      <c r="AQ390">
        <v>40</v>
      </c>
      <c r="AR390">
        <v>40</v>
      </c>
      <c r="AS390" t="s">
        <v>4964</v>
      </c>
      <c r="AT390">
        <v>0</v>
      </c>
      <c r="AU390">
        <v>0</v>
      </c>
      <c r="AV390">
        <v>0</v>
      </c>
    </row>
    <row r="391" spans="1:48">
      <c r="A391" s="1">
        <f>_xlfn.XLOOKUP(J391,数据!E:E,数据!A:A)</f>
        <v>3</v>
      </c>
      <c r="B391" s="1">
        <f>_xlfn.XLOOKUP(J391,数据!E:E,数据!B:B)</f>
        <v>10</v>
      </c>
      <c r="C391" s="1" t="str">
        <f>_xlfn.XLOOKUP(J391,数据!E:E,数据!J:J)</f>
        <v>红单</v>
      </c>
      <c r="D391" s="1" t="str" cm="1">
        <f t="array" ref="D391">IF(OR(C391="红单",C391="空派"),_xlfn.IFS(E391="未开售","新品首批发货",F391&lt;E391,"新品首批发货",F391-E391&lt;=60,"新品期补货空运",F391-E391&gt;60,"老品应急空运"),"海运，不进行分析")</f>
        <v>老品应急空运</v>
      </c>
      <c r="E391" s="2">
        <v>45945</v>
      </c>
      <c r="F391" s="2">
        <f>_xlfn.XLOOKUP(J391,数据!E:E,数据!C:C)</f>
        <v>46085</v>
      </c>
      <c r="G391" s="4">
        <v>364</v>
      </c>
      <c r="H391" s="4">
        <f>G391*AP391/1000</f>
        <v>1.82</v>
      </c>
      <c r="I391" s="4">
        <f>_xlfn.XLOOKUP(J391,数据!E:E,数据!S:S)*(H391/_xlfn.XLOOKUP(J391,数据!E:E,数据!X:X))</f>
        <v>133.963726940536</v>
      </c>
      <c r="J391" t="s">
        <v>1319</v>
      </c>
      <c r="K391" t="s">
        <v>31</v>
      </c>
      <c r="L391" t="s">
        <v>2374</v>
      </c>
      <c r="M391" t="s">
        <v>4938</v>
      </c>
      <c r="N391" t="s">
        <v>2376</v>
      </c>
      <c r="O391" t="s">
        <v>2400</v>
      </c>
      <c r="P391" t="s">
        <v>2378</v>
      </c>
      <c r="Q391" t="s">
        <v>2379</v>
      </c>
      <c r="R391" t="s">
        <v>4939</v>
      </c>
      <c r="S391" t="s">
        <v>2511</v>
      </c>
      <c r="T391" s="3" t="s">
        <v>4908</v>
      </c>
      <c r="U391" t="s">
        <v>4940</v>
      </c>
      <c r="V391" t="s">
        <v>4941</v>
      </c>
      <c r="W391" t="s">
        <v>4942</v>
      </c>
      <c r="X391" t="s">
        <v>2403</v>
      </c>
      <c r="Y391" t="s">
        <v>4943</v>
      </c>
      <c r="Z391" t="s">
        <v>2405</v>
      </c>
      <c r="AA391" t="s">
        <v>4908</v>
      </c>
      <c r="AB391" t="s">
        <v>4392</v>
      </c>
      <c r="AC391" t="s">
        <v>4944</v>
      </c>
      <c r="AD391" t="s">
        <v>4914</v>
      </c>
      <c r="AH391" t="s">
        <v>4630</v>
      </c>
      <c r="AI391" t="s">
        <v>4455</v>
      </c>
      <c r="AJ391" t="s">
        <v>4965</v>
      </c>
      <c r="AK391" t="s">
        <v>4966</v>
      </c>
      <c r="AL391" t="s">
        <v>4967</v>
      </c>
      <c r="AM391" t="s">
        <v>2781</v>
      </c>
      <c r="AN391" t="s">
        <v>4968</v>
      </c>
      <c r="AO391" t="s">
        <v>4965</v>
      </c>
      <c r="AP391">
        <v>5</v>
      </c>
      <c r="AQ391">
        <v>5</v>
      </c>
      <c r="AR391">
        <v>5</v>
      </c>
      <c r="AS391" t="s">
        <v>4969</v>
      </c>
      <c r="AT391">
        <v>0</v>
      </c>
      <c r="AU391">
        <v>0</v>
      </c>
      <c r="AV391">
        <v>0</v>
      </c>
    </row>
    <row r="392" spans="1:48">
      <c r="A392" s="1">
        <f>_xlfn.XLOOKUP(J392,数据!E:E,数据!A:A)</f>
        <v>3</v>
      </c>
      <c r="B392" s="1">
        <f>_xlfn.XLOOKUP(J392,数据!E:E,数据!B:B)</f>
        <v>10</v>
      </c>
      <c r="C392" s="1" t="str">
        <f>_xlfn.XLOOKUP(J392,数据!E:E,数据!J:J)</f>
        <v>红单</v>
      </c>
      <c r="D392" s="1" t="str" cm="1">
        <f t="array" ref="D392">IF(OR(C392="红单",C392="空派"),_xlfn.IFS(E392="未开售","新品首批发货",F392&lt;E392,"新品首批发货",F392-E392&lt;=60,"新品期补货空运",F392-E392&gt;60,"老品应急空运"),"海运，不进行分析")</f>
        <v>老品应急空运</v>
      </c>
      <c r="E392" s="2">
        <v>45915</v>
      </c>
      <c r="F392" s="2">
        <f>_xlfn.XLOOKUP(J392,数据!E:E,数据!C:C)</f>
        <v>46085</v>
      </c>
      <c r="G392" s="4">
        <v>103</v>
      </c>
      <c r="H392" s="4">
        <f>G392*AP392/1000</f>
        <v>0.515</v>
      </c>
      <c r="I392" s="4">
        <f>_xlfn.XLOOKUP(J392,数据!E:E,数据!S:S)*(H392/_xlfn.XLOOKUP(J392,数据!E:E,数据!X:X))</f>
        <v>37.9073183375691</v>
      </c>
      <c r="J392" t="s">
        <v>1319</v>
      </c>
      <c r="K392" t="s">
        <v>31</v>
      </c>
      <c r="L392" t="s">
        <v>2374</v>
      </c>
      <c r="M392" t="s">
        <v>4938</v>
      </c>
      <c r="N392" t="s">
        <v>2376</v>
      </c>
      <c r="O392" t="s">
        <v>2400</v>
      </c>
      <c r="P392" t="s">
        <v>2378</v>
      </c>
      <c r="Q392" t="s">
        <v>2379</v>
      </c>
      <c r="R392" t="s">
        <v>4939</v>
      </c>
      <c r="S392" t="s">
        <v>2511</v>
      </c>
      <c r="T392" s="3" t="s">
        <v>4908</v>
      </c>
      <c r="U392" t="s">
        <v>4940</v>
      </c>
      <c r="V392" t="s">
        <v>4941</v>
      </c>
      <c r="W392" t="s">
        <v>4942</v>
      </c>
      <c r="X392" t="s">
        <v>2403</v>
      </c>
      <c r="Y392" t="s">
        <v>4943</v>
      </c>
      <c r="Z392" t="s">
        <v>2405</v>
      </c>
      <c r="AA392" t="s">
        <v>4908</v>
      </c>
      <c r="AB392" t="s">
        <v>4392</v>
      </c>
      <c r="AC392" t="s">
        <v>4944</v>
      </c>
      <c r="AD392" t="s">
        <v>4914</v>
      </c>
      <c r="AH392" t="s">
        <v>4630</v>
      </c>
      <c r="AI392" t="s">
        <v>4455</v>
      </c>
      <c r="AJ392" t="s">
        <v>4970</v>
      </c>
      <c r="AK392" t="s">
        <v>4971</v>
      </c>
      <c r="AL392" t="s">
        <v>4972</v>
      </c>
      <c r="AM392" t="s">
        <v>4972</v>
      </c>
      <c r="AN392" t="s">
        <v>4973</v>
      </c>
      <c r="AO392" t="s">
        <v>4970</v>
      </c>
      <c r="AP392">
        <v>5</v>
      </c>
      <c r="AQ392">
        <v>5</v>
      </c>
      <c r="AR392">
        <v>5</v>
      </c>
      <c r="AS392" t="s">
        <v>4969</v>
      </c>
      <c r="AT392">
        <v>0</v>
      </c>
      <c r="AU392">
        <v>0</v>
      </c>
      <c r="AV392">
        <v>0</v>
      </c>
    </row>
    <row r="393" spans="1:48">
      <c r="A393" s="1">
        <f>_xlfn.XLOOKUP(J393,数据!E:E,数据!A:A)</f>
        <v>3</v>
      </c>
      <c r="B393" s="1">
        <f>_xlfn.XLOOKUP(J393,数据!E:E,数据!B:B)</f>
        <v>10</v>
      </c>
      <c r="C393" s="1" t="str">
        <f>_xlfn.XLOOKUP(J393,数据!E:E,数据!J:J)</f>
        <v>空派</v>
      </c>
      <c r="D393" s="1" t="str" cm="1">
        <f t="array" ref="D393">IF(OR(C393="红单",C393="空派"),_xlfn.IFS(E393="未开售","新品首批发货",F393&lt;E393,"新品首批发货",F393-E393&lt;=60,"新品期补货空运",F393-E393&gt;60,"老品应急空运"),"海运，不进行分析")</f>
        <v>老品应急空运</v>
      </c>
      <c r="E393" s="2">
        <v>45432</v>
      </c>
      <c r="F393" s="2">
        <f>_xlfn.XLOOKUP(J393,数据!E:E,数据!C:C)</f>
        <v>46083</v>
      </c>
      <c r="G393" s="4">
        <v>189</v>
      </c>
      <c r="H393" s="4">
        <f t="shared" ref="H393:H409" si="22">G393*AP393/1000</f>
        <v>3.78</v>
      </c>
      <c r="I393" s="4">
        <f>_xlfn.XLOOKUP(J393,数据!E:E,数据!S:S)*(H393/_xlfn.XLOOKUP(J393,数据!E:E,数据!X:X))</f>
        <v>192.453184357542</v>
      </c>
      <c r="J393" t="s">
        <v>1317</v>
      </c>
      <c r="K393" t="s">
        <v>56</v>
      </c>
      <c r="L393" t="s">
        <v>2374</v>
      </c>
      <c r="M393" t="s">
        <v>4974</v>
      </c>
      <c r="N393" t="s">
        <v>2376</v>
      </c>
      <c r="O393" t="s">
        <v>2400</v>
      </c>
      <c r="P393" t="s">
        <v>2378</v>
      </c>
      <c r="Q393" t="s">
        <v>2379</v>
      </c>
      <c r="R393" t="s">
        <v>4975</v>
      </c>
      <c r="S393" t="s">
        <v>2511</v>
      </c>
      <c r="T393" s="3" t="s">
        <v>4976</v>
      </c>
      <c r="U393" t="s">
        <v>4977</v>
      </c>
      <c r="V393" t="s">
        <v>4978</v>
      </c>
      <c r="W393" t="s">
        <v>4979</v>
      </c>
      <c r="X393" t="s">
        <v>2385</v>
      </c>
      <c r="Y393" t="s">
        <v>4980</v>
      </c>
      <c r="Z393" t="s">
        <v>2387</v>
      </c>
      <c r="AA393" t="s">
        <v>4976</v>
      </c>
      <c r="AB393" t="s">
        <v>4708</v>
      </c>
      <c r="AC393" t="s">
        <v>4981</v>
      </c>
      <c r="AD393" t="s">
        <v>4455</v>
      </c>
      <c r="AH393" t="s">
        <v>4630</v>
      </c>
      <c r="AI393" t="s">
        <v>4455</v>
      </c>
      <c r="AJ393" t="s">
        <v>4982</v>
      </c>
      <c r="AK393" t="s">
        <v>4983</v>
      </c>
      <c r="AL393" t="s">
        <v>4984</v>
      </c>
      <c r="AM393" t="s">
        <v>4984</v>
      </c>
      <c r="AN393" t="s">
        <v>4985</v>
      </c>
      <c r="AO393" t="s">
        <v>4982</v>
      </c>
      <c r="AP393">
        <v>20</v>
      </c>
      <c r="AQ393">
        <v>20</v>
      </c>
      <c r="AR393">
        <v>20</v>
      </c>
      <c r="AS393" t="s">
        <v>4986</v>
      </c>
      <c r="AT393">
        <v>0</v>
      </c>
      <c r="AU393">
        <v>0</v>
      </c>
      <c r="AV393">
        <v>0</v>
      </c>
    </row>
    <row r="394" spans="1:48">
      <c r="A394" s="1">
        <f>_xlfn.XLOOKUP(J394,数据!E:E,数据!A:A)</f>
        <v>3</v>
      </c>
      <c r="B394" s="1">
        <f>_xlfn.XLOOKUP(J394,数据!E:E,数据!B:B)</f>
        <v>10</v>
      </c>
      <c r="C394" s="1" t="str">
        <f>_xlfn.XLOOKUP(J394,数据!E:E,数据!J:J)</f>
        <v>空派</v>
      </c>
      <c r="D394" s="1" t="str" cm="1">
        <f t="array" ref="D394">IF(OR(C394="红单",C394="空派"),_xlfn.IFS(E394="未开售","新品首批发货",F394&lt;E394,"新品首批发货",F394-E394&lt;=60,"新品期补货空运",F394-E394&gt;60,"老品应急空运"),"海运，不进行分析")</f>
        <v>老品应急空运</v>
      </c>
      <c r="E394" s="2">
        <v>45862</v>
      </c>
      <c r="F394" s="2">
        <f>_xlfn.XLOOKUP(J394,数据!E:E,数据!C:C)</f>
        <v>46083</v>
      </c>
      <c r="G394" s="4">
        <v>235</v>
      </c>
      <c r="H394" s="4">
        <f t="shared" si="22"/>
        <v>23.5</v>
      </c>
      <c r="I394" s="4">
        <f>_xlfn.XLOOKUP(J394,数据!E:E,数据!S:S)*(H394/_xlfn.XLOOKUP(J394,数据!E:E,数据!X:X))</f>
        <v>1196.46820963022</v>
      </c>
      <c r="J394" t="s">
        <v>1317</v>
      </c>
      <c r="K394" t="s">
        <v>56</v>
      </c>
      <c r="L394" t="s">
        <v>2374</v>
      </c>
      <c r="M394" t="s">
        <v>4974</v>
      </c>
      <c r="N394" t="s">
        <v>2376</v>
      </c>
      <c r="O394" t="s">
        <v>2400</v>
      </c>
      <c r="P394" t="s">
        <v>2378</v>
      </c>
      <c r="Q394" t="s">
        <v>2379</v>
      </c>
      <c r="R394" t="s">
        <v>4975</v>
      </c>
      <c r="S394" t="s">
        <v>2511</v>
      </c>
      <c r="T394" s="3" t="s">
        <v>4976</v>
      </c>
      <c r="U394" t="s">
        <v>4977</v>
      </c>
      <c r="V394" t="s">
        <v>4978</v>
      </c>
      <c r="W394" t="s">
        <v>4979</v>
      </c>
      <c r="X394" t="s">
        <v>2385</v>
      </c>
      <c r="Y394" t="s">
        <v>4980</v>
      </c>
      <c r="Z394" t="s">
        <v>2387</v>
      </c>
      <c r="AA394" t="s">
        <v>4976</v>
      </c>
      <c r="AB394" t="s">
        <v>4708</v>
      </c>
      <c r="AC394" t="s">
        <v>4981</v>
      </c>
      <c r="AD394" t="s">
        <v>4455</v>
      </c>
      <c r="AH394" t="s">
        <v>4630</v>
      </c>
      <c r="AI394" t="s">
        <v>4455</v>
      </c>
      <c r="AJ394" t="s">
        <v>4987</v>
      </c>
      <c r="AK394" t="s">
        <v>4988</v>
      </c>
      <c r="AL394" t="s">
        <v>4989</v>
      </c>
      <c r="AM394" t="s">
        <v>2396</v>
      </c>
      <c r="AN394" t="s">
        <v>4990</v>
      </c>
      <c r="AO394" t="s">
        <v>4987</v>
      </c>
      <c r="AP394">
        <v>100</v>
      </c>
      <c r="AQ394">
        <v>100</v>
      </c>
      <c r="AR394">
        <v>99</v>
      </c>
      <c r="AS394" t="s">
        <v>4991</v>
      </c>
      <c r="AT394">
        <v>0</v>
      </c>
      <c r="AU394">
        <v>-1</v>
      </c>
      <c r="AV394">
        <v>1</v>
      </c>
    </row>
    <row r="395" spans="1:48">
      <c r="A395" s="1">
        <f>_xlfn.XLOOKUP(J395,数据!E:E,数据!A:A)</f>
        <v>3</v>
      </c>
      <c r="B395" s="1">
        <f>_xlfn.XLOOKUP(J395,数据!E:E,数据!B:B)</f>
        <v>10</v>
      </c>
      <c r="C395" s="1" t="str">
        <f>_xlfn.XLOOKUP(J395,数据!E:E,数据!J:J)</f>
        <v>空派</v>
      </c>
      <c r="D395" s="1" t="str" cm="1">
        <f t="array" ref="D395">IF(OR(C395="红单",C395="空派"),_xlfn.IFS(E395="未开售","新品首批发货",F395&lt;E395,"新品首批发货",F395-E395&lt;=60,"新品期补货空运",F395-E395&gt;60,"老品应急空运"),"海运，不进行分析")</f>
        <v>新品首批发货</v>
      </c>
      <c r="E395" s="2">
        <v>46108</v>
      </c>
      <c r="F395" s="2">
        <f>_xlfn.XLOOKUP(J395,数据!E:E,数据!C:C)</f>
        <v>46083</v>
      </c>
      <c r="G395" s="4">
        <v>243</v>
      </c>
      <c r="H395" s="4">
        <f t="shared" si="22"/>
        <v>24.3</v>
      </c>
      <c r="I395" s="4">
        <f>_xlfn.XLOOKUP(J395,数据!E:E,数据!S:S)*(H395/_xlfn.XLOOKUP(J395,数据!E:E,数据!X:X))</f>
        <v>1237.19904229848</v>
      </c>
      <c r="J395" t="s">
        <v>1317</v>
      </c>
      <c r="K395" t="s">
        <v>56</v>
      </c>
      <c r="L395" t="s">
        <v>2374</v>
      </c>
      <c r="M395" t="s">
        <v>4974</v>
      </c>
      <c r="N395" t="s">
        <v>2376</v>
      </c>
      <c r="O395" t="s">
        <v>2400</v>
      </c>
      <c r="P395" t="s">
        <v>2378</v>
      </c>
      <c r="Q395" t="s">
        <v>2379</v>
      </c>
      <c r="R395" t="s">
        <v>4975</v>
      </c>
      <c r="S395" t="s">
        <v>2511</v>
      </c>
      <c r="T395" s="3" t="s">
        <v>4976</v>
      </c>
      <c r="U395" t="s">
        <v>4977</v>
      </c>
      <c r="V395" t="s">
        <v>4978</v>
      </c>
      <c r="W395" t="s">
        <v>4979</v>
      </c>
      <c r="X395" t="s">
        <v>2385</v>
      </c>
      <c r="Y395" t="s">
        <v>4980</v>
      </c>
      <c r="Z395" t="s">
        <v>2387</v>
      </c>
      <c r="AA395" t="s">
        <v>4976</v>
      </c>
      <c r="AB395" t="s">
        <v>4708</v>
      </c>
      <c r="AC395" t="s">
        <v>4981</v>
      </c>
      <c r="AD395" t="s">
        <v>4455</v>
      </c>
      <c r="AH395" t="s">
        <v>4630</v>
      </c>
      <c r="AI395" t="s">
        <v>4455</v>
      </c>
      <c r="AJ395" t="s">
        <v>3035</v>
      </c>
      <c r="AK395" t="s">
        <v>3036</v>
      </c>
      <c r="AL395" t="s">
        <v>3037</v>
      </c>
      <c r="AM395" t="s">
        <v>2396</v>
      </c>
      <c r="AN395" t="s">
        <v>3038</v>
      </c>
      <c r="AO395" t="s">
        <v>3035</v>
      </c>
      <c r="AP395">
        <v>100</v>
      </c>
      <c r="AQ395">
        <v>100</v>
      </c>
      <c r="AR395">
        <v>178</v>
      </c>
      <c r="AS395" t="s">
        <v>4992</v>
      </c>
      <c r="AT395">
        <v>0</v>
      </c>
      <c r="AU395">
        <v>78</v>
      </c>
      <c r="AV395">
        <v>-78</v>
      </c>
    </row>
    <row r="396" spans="1:48">
      <c r="A396" s="1">
        <f>_xlfn.XLOOKUP(J396,数据!E:E,数据!A:A)</f>
        <v>3</v>
      </c>
      <c r="B396" s="1">
        <f>_xlfn.XLOOKUP(J396,数据!E:E,数据!B:B)</f>
        <v>10</v>
      </c>
      <c r="C396" s="1" t="str">
        <f>_xlfn.XLOOKUP(J396,数据!E:E,数据!J:J)</f>
        <v>空派</v>
      </c>
      <c r="D396" s="1" t="str" cm="1">
        <f t="array" ref="D396">IF(OR(C396="红单",C396="空派"),_xlfn.IFS(E396="未开售","新品首批发货",F396&lt;E396,"新品首批发货",F396-E396&lt;=60,"新品期补货空运",F396-E396&gt;60,"老品应急空运"),"海运，不进行分析")</f>
        <v>新品首批发货</v>
      </c>
      <c r="E396" s="2">
        <v>46112</v>
      </c>
      <c r="F396" s="2">
        <f>_xlfn.XLOOKUP(J396,数据!E:E,数据!C:C)</f>
        <v>46083</v>
      </c>
      <c r="G396" s="4">
        <v>236</v>
      </c>
      <c r="H396" s="4">
        <f t="shared" si="22"/>
        <v>23.6</v>
      </c>
      <c r="I396" s="4">
        <f>_xlfn.XLOOKUP(J396,数据!E:E,数据!S:S)*(H396/_xlfn.XLOOKUP(J396,数据!E:E,数据!X:X))</f>
        <v>1201.55956371375</v>
      </c>
      <c r="J396" t="s">
        <v>1317</v>
      </c>
      <c r="K396" t="s">
        <v>56</v>
      </c>
      <c r="L396" t="s">
        <v>2374</v>
      </c>
      <c r="M396" t="s">
        <v>4974</v>
      </c>
      <c r="N396" t="s">
        <v>2376</v>
      </c>
      <c r="O396" t="s">
        <v>2400</v>
      </c>
      <c r="P396" t="s">
        <v>2378</v>
      </c>
      <c r="Q396" t="s">
        <v>2379</v>
      </c>
      <c r="R396" t="s">
        <v>4975</v>
      </c>
      <c r="S396" t="s">
        <v>2511</v>
      </c>
      <c r="T396" s="3" t="s">
        <v>4976</v>
      </c>
      <c r="U396" t="s">
        <v>4977</v>
      </c>
      <c r="V396" t="s">
        <v>4978</v>
      </c>
      <c r="W396" t="s">
        <v>4979</v>
      </c>
      <c r="X396" t="s">
        <v>2385</v>
      </c>
      <c r="Y396" t="s">
        <v>4980</v>
      </c>
      <c r="Z396" t="s">
        <v>2387</v>
      </c>
      <c r="AA396" t="s">
        <v>4976</v>
      </c>
      <c r="AB396" t="s">
        <v>4708</v>
      </c>
      <c r="AC396" t="s">
        <v>4981</v>
      </c>
      <c r="AD396" t="s">
        <v>4455</v>
      </c>
      <c r="AH396" t="s">
        <v>4630</v>
      </c>
      <c r="AI396" t="s">
        <v>4455</v>
      </c>
      <c r="AJ396" t="s">
        <v>4993</v>
      </c>
      <c r="AK396" t="s">
        <v>4994</v>
      </c>
      <c r="AL396" t="s">
        <v>4995</v>
      </c>
      <c r="AM396" t="s">
        <v>2396</v>
      </c>
      <c r="AN396" t="s">
        <v>4996</v>
      </c>
      <c r="AO396" t="s">
        <v>4993</v>
      </c>
      <c r="AP396">
        <v>100</v>
      </c>
      <c r="AQ396">
        <v>100</v>
      </c>
      <c r="AR396">
        <v>100</v>
      </c>
      <c r="AS396" t="s">
        <v>4997</v>
      </c>
      <c r="AT396">
        <v>0</v>
      </c>
      <c r="AU396">
        <v>0</v>
      </c>
      <c r="AV396">
        <v>0</v>
      </c>
    </row>
    <row r="397" spans="1:48">
      <c r="A397" s="1">
        <f>_xlfn.XLOOKUP(J397,数据!E:E,数据!A:A)</f>
        <v>3</v>
      </c>
      <c r="B397" s="1">
        <f>_xlfn.XLOOKUP(J397,数据!E:E,数据!B:B)</f>
        <v>10</v>
      </c>
      <c r="C397" s="1" t="str">
        <f>_xlfn.XLOOKUP(J397,数据!E:E,数据!J:J)</f>
        <v>空派</v>
      </c>
      <c r="D397" s="1" t="str" cm="1">
        <f t="array" ref="D397">IF(OR(C397="红单",C397="空派"),_xlfn.IFS(E397="未开售","新品首批发货",F397&lt;E397,"新品首批发货",F397-E397&lt;=60,"新品期补货空运",F397-E397&gt;60,"老品应急空运"),"海运，不进行分析")</f>
        <v>老品应急空运</v>
      </c>
      <c r="E397" s="2">
        <v>45915</v>
      </c>
      <c r="F397" s="2">
        <f>_xlfn.XLOOKUP(J397,数据!E:E,数据!C:C)</f>
        <v>46083</v>
      </c>
      <c r="G397" s="4">
        <v>103</v>
      </c>
      <c r="H397" s="4">
        <f t="shared" si="22"/>
        <v>1.03</v>
      </c>
      <c r="I397" s="4">
        <f>_xlfn.XLOOKUP(J397,数据!E:E,数据!S:S)*(H397/_xlfn.XLOOKUP(J397,数据!E:E,数据!X:X))</f>
        <v>54.4580437551748</v>
      </c>
      <c r="J397" t="s">
        <v>1316</v>
      </c>
      <c r="K397" t="s">
        <v>31</v>
      </c>
      <c r="L397" t="s">
        <v>2374</v>
      </c>
      <c r="M397" t="s">
        <v>4998</v>
      </c>
      <c r="N397" t="s">
        <v>2376</v>
      </c>
      <c r="O397" t="s">
        <v>2400</v>
      </c>
      <c r="P397" t="s">
        <v>2378</v>
      </c>
      <c r="Q397" t="s">
        <v>2379</v>
      </c>
      <c r="R397" t="s">
        <v>4999</v>
      </c>
      <c r="S397" t="s">
        <v>2511</v>
      </c>
      <c r="T397" s="3" t="s">
        <v>5000</v>
      </c>
      <c r="U397" t="s">
        <v>5001</v>
      </c>
      <c r="V397" t="s">
        <v>5002</v>
      </c>
      <c r="W397" t="s">
        <v>5003</v>
      </c>
      <c r="X397" t="s">
        <v>2385</v>
      </c>
      <c r="Y397" t="s">
        <v>5004</v>
      </c>
      <c r="Z397" t="s">
        <v>2405</v>
      </c>
      <c r="AA397" t="s">
        <v>5000</v>
      </c>
      <c r="AB397" t="s">
        <v>4392</v>
      </c>
      <c r="AC397" t="s">
        <v>5005</v>
      </c>
      <c r="AD397" t="s">
        <v>4455</v>
      </c>
      <c r="AH397" t="s">
        <v>4630</v>
      </c>
      <c r="AI397" t="s">
        <v>4455</v>
      </c>
      <c r="AJ397" t="s">
        <v>4970</v>
      </c>
      <c r="AK397" t="s">
        <v>4971</v>
      </c>
      <c r="AL397" t="s">
        <v>4972</v>
      </c>
      <c r="AM397" t="s">
        <v>4972</v>
      </c>
      <c r="AN397" t="s">
        <v>4973</v>
      </c>
      <c r="AO397" t="s">
        <v>4970</v>
      </c>
      <c r="AP397">
        <v>10</v>
      </c>
      <c r="AQ397">
        <v>10</v>
      </c>
      <c r="AR397">
        <v>10</v>
      </c>
      <c r="AS397" t="s">
        <v>5006</v>
      </c>
      <c r="AT397">
        <v>0</v>
      </c>
      <c r="AU397">
        <v>0</v>
      </c>
      <c r="AV397">
        <v>0</v>
      </c>
    </row>
    <row r="398" spans="1:48">
      <c r="A398" s="1">
        <f>_xlfn.XLOOKUP(J398,数据!E:E,数据!A:A)</f>
        <v>3</v>
      </c>
      <c r="B398" s="1">
        <f>_xlfn.XLOOKUP(J398,数据!E:E,数据!B:B)</f>
        <v>10</v>
      </c>
      <c r="C398" s="1" t="str">
        <f>_xlfn.XLOOKUP(J398,数据!E:E,数据!J:J)</f>
        <v>空派</v>
      </c>
      <c r="D398" s="1" t="str" cm="1">
        <f t="array" ref="D398">IF(OR(C398="红单",C398="空派"),_xlfn.IFS(E398="未开售","新品首批发货",F398&lt;E398,"新品首批发货",F398-E398&lt;=60,"新品期补货空运",F398-E398&gt;60,"老品应急空运"),"海运，不进行分析")</f>
        <v>老品应急空运</v>
      </c>
      <c r="E398" s="2">
        <v>46017</v>
      </c>
      <c r="F398" s="2">
        <f>_xlfn.XLOOKUP(J398,数据!E:E,数据!C:C)</f>
        <v>46083</v>
      </c>
      <c r="G398" s="4">
        <v>144</v>
      </c>
      <c r="H398" s="4">
        <f t="shared" si="22"/>
        <v>4.32</v>
      </c>
      <c r="I398" s="4">
        <f>_xlfn.XLOOKUP(J398,数据!E:E,数据!S:S)*(H398/_xlfn.XLOOKUP(J398,数据!E:E,数据!X:X))</f>
        <v>228.406552448889</v>
      </c>
      <c r="J398" t="s">
        <v>1316</v>
      </c>
      <c r="K398" t="s">
        <v>31</v>
      </c>
      <c r="L398" t="s">
        <v>2374</v>
      </c>
      <c r="M398" t="s">
        <v>4998</v>
      </c>
      <c r="N398" t="s">
        <v>2376</v>
      </c>
      <c r="O398" t="s">
        <v>2400</v>
      </c>
      <c r="P398" t="s">
        <v>2378</v>
      </c>
      <c r="Q398" t="s">
        <v>2379</v>
      </c>
      <c r="R398" t="s">
        <v>4999</v>
      </c>
      <c r="S398" t="s">
        <v>2511</v>
      </c>
      <c r="T398" s="3" t="s">
        <v>5000</v>
      </c>
      <c r="U398" t="s">
        <v>5001</v>
      </c>
      <c r="V398" t="s">
        <v>5002</v>
      </c>
      <c r="W398" t="s">
        <v>5003</v>
      </c>
      <c r="X398" t="s">
        <v>2385</v>
      </c>
      <c r="Y398" t="s">
        <v>5004</v>
      </c>
      <c r="Z398" t="s">
        <v>2405</v>
      </c>
      <c r="AA398" t="s">
        <v>5000</v>
      </c>
      <c r="AB398" t="s">
        <v>4392</v>
      </c>
      <c r="AC398" t="s">
        <v>5005</v>
      </c>
      <c r="AD398" t="s">
        <v>4455</v>
      </c>
      <c r="AH398" t="s">
        <v>4630</v>
      </c>
      <c r="AI398" t="s">
        <v>4455</v>
      </c>
      <c r="AJ398" t="s">
        <v>5007</v>
      </c>
      <c r="AK398" t="s">
        <v>5008</v>
      </c>
      <c r="AL398" t="s">
        <v>5009</v>
      </c>
      <c r="AM398" t="s">
        <v>2989</v>
      </c>
      <c r="AN398" t="s">
        <v>5010</v>
      </c>
      <c r="AO398" t="s">
        <v>5007</v>
      </c>
      <c r="AP398">
        <v>30</v>
      </c>
      <c r="AQ398">
        <v>30</v>
      </c>
      <c r="AR398">
        <v>30</v>
      </c>
      <c r="AS398" t="s">
        <v>5011</v>
      </c>
      <c r="AT398">
        <v>0</v>
      </c>
      <c r="AU398">
        <v>0</v>
      </c>
      <c r="AV398">
        <v>0</v>
      </c>
    </row>
    <row r="399" spans="1:48">
      <c r="A399" s="1">
        <f>_xlfn.XLOOKUP(J399,数据!E:E,数据!A:A)</f>
        <v>3</v>
      </c>
      <c r="B399" s="1">
        <f>_xlfn.XLOOKUP(J399,数据!E:E,数据!B:B)</f>
        <v>10</v>
      </c>
      <c r="C399" s="1" t="str">
        <f>_xlfn.XLOOKUP(J399,数据!E:E,数据!J:J)</f>
        <v>空派</v>
      </c>
      <c r="D399" s="1" t="str" cm="1">
        <f t="array" ref="D399">IF(OR(C399="红单",C399="空派"),_xlfn.IFS(E399="未开售","新品首批发货",F399&lt;E399,"新品首批发货",F399-E399&lt;=60,"新品期补货空运",F399-E399&gt;60,"老品应急空运"),"海运，不进行分析")</f>
        <v>新品首批发货</v>
      </c>
      <c r="E399" s="2">
        <v>46106</v>
      </c>
      <c r="F399" s="2">
        <f>_xlfn.XLOOKUP(J399,数据!E:E,数据!C:C)</f>
        <v>46083</v>
      </c>
      <c r="G399" s="4">
        <v>140</v>
      </c>
      <c r="H399" s="4">
        <f t="shared" si="22"/>
        <v>14</v>
      </c>
      <c r="I399" s="4">
        <f>_xlfn.XLOOKUP(J399,数据!E:E,数据!S:S)*(H399/_xlfn.XLOOKUP(J399,数据!E:E,数据!X:X))</f>
        <v>740.20641997325</v>
      </c>
      <c r="J399" t="s">
        <v>1316</v>
      </c>
      <c r="K399" t="s">
        <v>31</v>
      </c>
      <c r="L399" t="s">
        <v>2374</v>
      </c>
      <c r="M399" t="s">
        <v>4998</v>
      </c>
      <c r="N399" t="s">
        <v>2376</v>
      </c>
      <c r="O399" t="s">
        <v>2400</v>
      </c>
      <c r="P399" t="s">
        <v>2378</v>
      </c>
      <c r="Q399" t="s">
        <v>2379</v>
      </c>
      <c r="R399" t="s">
        <v>4999</v>
      </c>
      <c r="S399" t="s">
        <v>2511</v>
      </c>
      <c r="T399" s="3" t="s">
        <v>5000</v>
      </c>
      <c r="U399" t="s">
        <v>5001</v>
      </c>
      <c r="V399" t="s">
        <v>5002</v>
      </c>
      <c r="W399" t="s">
        <v>5003</v>
      </c>
      <c r="X399" t="s">
        <v>2385</v>
      </c>
      <c r="Y399" t="s">
        <v>5004</v>
      </c>
      <c r="Z399" t="s">
        <v>2405</v>
      </c>
      <c r="AA399" t="s">
        <v>5000</v>
      </c>
      <c r="AB399" t="s">
        <v>4392</v>
      </c>
      <c r="AC399" t="s">
        <v>5005</v>
      </c>
      <c r="AD399" t="s">
        <v>4455</v>
      </c>
      <c r="AH399" t="s">
        <v>4630</v>
      </c>
      <c r="AI399" t="s">
        <v>4455</v>
      </c>
      <c r="AJ399" t="s">
        <v>5012</v>
      </c>
      <c r="AK399" t="s">
        <v>5013</v>
      </c>
      <c r="AL399" t="s">
        <v>5014</v>
      </c>
      <c r="AM399" t="s">
        <v>2989</v>
      </c>
      <c r="AN399" t="s">
        <v>5015</v>
      </c>
      <c r="AO399" t="s">
        <v>5012</v>
      </c>
      <c r="AP399">
        <v>100</v>
      </c>
      <c r="AQ399">
        <v>100</v>
      </c>
      <c r="AR399">
        <v>100</v>
      </c>
      <c r="AS399" t="s">
        <v>5016</v>
      </c>
      <c r="AT399">
        <v>0</v>
      </c>
      <c r="AU399">
        <v>0</v>
      </c>
      <c r="AV399">
        <v>0</v>
      </c>
    </row>
    <row r="400" spans="1:48">
      <c r="A400" s="1">
        <f>_xlfn.XLOOKUP(J400,数据!E:E,数据!A:A)</f>
        <v>3</v>
      </c>
      <c r="B400" s="1">
        <f>_xlfn.XLOOKUP(J400,数据!E:E,数据!B:B)</f>
        <v>10</v>
      </c>
      <c r="C400" s="1" t="str">
        <f>_xlfn.XLOOKUP(J400,数据!E:E,数据!J:J)</f>
        <v>空派</v>
      </c>
      <c r="D400" s="1" t="str" cm="1">
        <f t="array" ref="D400">IF(OR(C400="红单",C400="空派"),_xlfn.IFS(E400="未开售","新品首批发货",F400&lt;E400,"新品首批发货",F400-E400&lt;=60,"新品期补货空运",F400-E400&gt;60,"老品应急空运"),"海运，不进行分析")</f>
        <v>新品首批发货</v>
      </c>
      <c r="E400" s="2">
        <v>46105</v>
      </c>
      <c r="F400" s="2">
        <f>_xlfn.XLOOKUP(J400,数据!E:E,数据!C:C)</f>
        <v>46083</v>
      </c>
      <c r="G400" s="4">
        <v>140</v>
      </c>
      <c r="H400" s="4">
        <f t="shared" si="22"/>
        <v>14</v>
      </c>
      <c r="I400" s="4">
        <f>_xlfn.XLOOKUP(J400,数据!E:E,数据!S:S)*(H400/_xlfn.XLOOKUP(J400,数据!E:E,数据!X:X))</f>
        <v>740.20641997325</v>
      </c>
      <c r="J400" t="s">
        <v>1316</v>
      </c>
      <c r="K400" t="s">
        <v>31</v>
      </c>
      <c r="L400" t="s">
        <v>2374</v>
      </c>
      <c r="M400" t="s">
        <v>4998</v>
      </c>
      <c r="N400" t="s">
        <v>2376</v>
      </c>
      <c r="O400" t="s">
        <v>2400</v>
      </c>
      <c r="P400" t="s">
        <v>2378</v>
      </c>
      <c r="Q400" t="s">
        <v>2379</v>
      </c>
      <c r="R400" t="s">
        <v>4999</v>
      </c>
      <c r="S400" t="s">
        <v>2511</v>
      </c>
      <c r="T400" s="3" t="s">
        <v>5000</v>
      </c>
      <c r="U400" t="s">
        <v>5001</v>
      </c>
      <c r="V400" t="s">
        <v>5002</v>
      </c>
      <c r="W400" t="s">
        <v>5003</v>
      </c>
      <c r="X400" t="s">
        <v>2385</v>
      </c>
      <c r="Y400" t="s">
        <v>5004</v>
      </c>
      <c r="Z400" t="s">
        <v>2405</v>
      </c>
      <c r="AA400" t="s">
        <v>5000</v>
      </c>
      <c r="AB400" t="s">
        <v>4392</v>
      </c>
      <c r="AC400" t="s">
        <v>5005</v>
      </c>
      <c r="AD400" t="s">
        <v>4455</v>
      </c>
      <c r="AH400" t="s">
        <v>4630</v>
      </c>
      <c r="AI400" t="s">
        <v>4455</v>
      </c>
      <c r="AJ400" t="s">
        <v>5017</v>
      </c>
      <c r="AK400" t="s">
        <v>5018</v>
      </c>
      <c r="AL400" t="s">
        <v>5019</v>
      </c>
      <c r="AM400" t="s">
        <v>2989</v>
      </c>
      <c r="AN400" t="s">
        <v>5020</v>
      </c>
      <c r="AO400" t="s">
        <v>5017</v>
      </c>
      <c r="AP400">
        <v>100</v>
      </c>
      <c r="AQ400">
        <v>100</v>
      </c>
      <c r="AR400">
        <v>100</v>
      </c>
      <c r="AS400" t="s">
        <v>5021</v>
      </c>
      <c r="AT400">
        <v>0</v>
      </c>
      <c r="AU400">
        <v>0</v>
      </c>
      <c r="AV400">
        <v>0</v>
      </c>
    </row>
    <row r="401" spans="1:48">
      <c r="A401" s="1">
        <f>_xlfn.XLOOKUP(J401,数据!E:E,数据!A:A)</f>
        <v>3</v>
      </c>
      <c r="B401" s="1">
        <f>_xlfn.XLOOKUP(J401,数据!E:E,数据!B:B)</f>
        <v>10</v>
      </c>
      <c r="C401" s="1" t="str">
        <f>_xlfn.XLOOKUP(J401,数据!E:E,数据!J:J)</f>
        <v>空派</v>
      </c>
      <c r="D401" s="1" t="str" cm="1">
        <f t="array" ref="D401">IF(OR(C401="红单",C401="空派"),_xlfn.IFS(E401="未开售","新品首批发货",F401&lt;E401,"新品首批发货",F401-E401&lt;=60,"新品期补货空运",F401-E401&gt;60,"老品应急空运"),"海运，不进行分析")</f>
        <v>新品首批发货</v>
      </c>
      <c r="E401" s="2">
        <v>46109</v>
      </c>
      <c r="F401" s="2">
        <f>_xlfn.XLOOKUP(J401,数据!E:E,数据!C:C)</f>
        <v>46083</v>
      </c>
      <c r="G401" s="4">
        <v>140</v>
      </c>
      <c r="H401" s="4">
        <f t="shared" si="22"/>
        <v>14</v>
      </c>
      <c r="I401" s="4">
        <f>_xlfn.XLOOKUP(J401,数据!E:E,数据!S:S)*(H401/_xlfn.XLOOKUP(J401,数据!E:E,数据!X:X))</f>
        <v>740.20641997325</v>
      </c>
      <c r="J401" t="s">
        <v>1316</v>
      </c>
      <c r="K401" t="s">
        <v>31</v>
      </c>
      <c r="L401" t="s">
        <v>2374</v>
      </c>
      <c r="M401" t="s">
        <v>4998</v>
      </c>
      <c r="N401" t="s">
        <v>2376</v>
      </c>
      <c r="O401" t="s">
        <v>2400</v>
      </c>
      <c r="P401" t="s">
        <v>2378</v>
      </c>
      <c r="Q401" t="s">
        <v>2379</v>
      </c>
      <c r="R401" t="s">
        <v>4999</v>
      </c>
      <c r="S401" t="s">
        <v>2511</v>
      </c>
      <c r="T401" s="3" t="s">
        <v>5000</v>
      </c>
      <c r="U401" t="s">
        <v>5001</v>
      </c>
      <c r="V401" t="s">
        <v>5002</v>
      </c>
      <c r="W401" t="s">
        <v>5003</v>
      </c>
      <c r="X401" t="s">
        <v>2385</v>
      </c>
      <c r="Y401" t="s">
        <v>5004</v>
      </c>
      <c r="Z401" t="s">
        <v>2405</v>
      </c>
      <c r="AA401" t="s">
        <v>5000</v>
      </c>
      <c r="AB401" t="s">
        <v>4392</v>
      </c>
      <c r="AC401" t="s">
        <v>5005</v>
      </c>
      <c r="AD401" t="s">
        <v>4455</v>
      </c>
      <c r="AH401" t="s">
        <v>4630</v>
      </c>
      <c r="AI401" t="s">
        <v>4455</v>
      </c>
      <c r="AJ401" t="s">
        <v>5022</v>
      </c>
      <c r="AK401" t="s">
        <v>5023</v>
      </c>
      <c r="AL401" t="s">
        <v>5024</v>
      </c>
      <c r="AM401" t="s">
        <v>2989</v>
      </c>
      <c r="AN401" t="s">
        <v>5025</v>
      </c>
      <c r="AO401" t="s">
        <v>5022</v>
      </c>
      <c r="AP401">
        <v>100</v>
      </c>
      <c r="AQ401">
        <v>100</v>
      </c>
      <c r="AR401">
        <v>100</v>
      </c>
      <c r="AS401" t="s">
        <v>5026</v>
      </c>
      <c r="AT401">
        <v>0</v>
      </c>
      <c r="AU401">
        <v>0</v>
      </c>
      <c r="AV401">
        <v>0</v>
      </c>
    </row>
    <row r="402" spans="1:48">
      <c r="A402" s="1">
        <f>_xlfn.XLOOKUP(J402,数据!E:E,数据!A:A)</f>
        <v>3</v>
      </c>
      <c r="B402" s="1">
        <f>_xlfn.XLOOKUP(J402,数据!E:E,数据!B:B)</f>
        <v>10</v>
      </c>
      <c r="C402" s="1" t="str">
        <f>_xlfn.XLOOKUP(J402,数据!E:E,数据!J:J)</f>
        <v>空派</v>
      </c>
      <c r="D402" s="1" t="str" cm="1">
        <f t="array" ref="D402">IF(OR(C402="红单",C402="空派"),_xlfn.IFS(E402="未开售","新品首批发货",F402&lt;E402,"新品首批发货",F402-E402&lt;=60,"新品期补货空运",F402-E402&gt;60,"老品应急空运"),"海运，不进行分析")</f>
        <v>新品首批发货</v>
      </c>
      <c r="E402" s="2">
        <v>46108</v>
      </c>
      <c r="F402" s="2">
        <f>_xlfn.XLOOKUP(J402,数据!E:E,数据!C:C)</f>
        <v>46083</v>
      </c>
      <c r="G402" s="4">
        <v>140</v>
      </c>
      <c r="H402" s="4">
        <f t="shared" si="22"/>
        <v>14</v>
      </c>
      <c r="I402" s="4">
        <f>_xlfn.XLOOKUP(J402,数据!E:E,数据!S:S)*(H402/_xlfn.XLOOKUP(J402,数据!E:E,数据!X:X))</f>
        <v>740.20641997325</v>
      </c>
      <c r="J402" t="s">
        <v>1316</v>
      </c>
      <c r="K402" t="s">
        <v>31</v>
      </c>
      <c r="L402" t="s">
        <v>2374</v>
      </c>
      <c r="M402" t="s">
        <v>4998</v>
      </c>
      <c r="N402" t="s">
        <v>2376</v>
      </c>
      <c r="O402" t="s">
        <v>2400</v>
      </c>
      <c r="P402" t="s">
        <v>2378</v>
      </c>
      <c r="Q402" t="s">
        <v>2379</v>
      </c>
      <c r="R402" t="s">
        <v>4999</v>
      </c>
      <c r="S402" t="s">
        <v>2511</v>
      </c>
      <c r="T402" s="3" t="s">
        <v>5000</v>
      </c>
      <c r="U402" t="s">
        <v>5001</v>
      </c>
      <c r="V402" t="s">
        <v>5002</v>
      </c>
      <c r="W402" t="s">
        <v>5003</v>
      </c>
      <c r="X402" t="s">
        <v>2385</v>
      </c>
      <c r="Y402" t="s">
        <v>5004</v>
      </c>
      <c r="Z402" t="s">
        <v>2405</v>
      </c>
      <c r="AA402" t="s">
        <v>5000</v>
      </c>
      <c r="AB402" t="s">
        <v>4392</v>
      </c>
      <c r="AC402" t="s">
        <v>5005</v>
      </c>
      <c r="AD402" t="s">
        <v>4455</v>
      </c>
      <c r="AH402" t="s">
        <v>4630</v>
      </c>
      <c r="AI402" t="s">
        <v>4455</v>
      </c>
      <c r="AJ402" t="s">
        <v>5027</v>
      </c>
      <c r="AK402" t="s">
        <v>5028</v>
      </c>
      <c r="AL402" t="s">
        <v>5029</v>
      </c>
      <c r="AM402" t="s">
        <v>2989</v>
      </c>
      <c r="AN402" t="s">
        <v>5030</v>
      </c>
      <c r="AO402" t="s">
        <v>5027</v>
      </c>
      <c r="AP402">
        <v>100</v>
      </c>
      <c r="AQ402">
        <v>100</v>
      </c>
      <c r="AR402">
        <v>101</v>
      </c>
      <c r="AS402" t="s">
        <v>5031</v>
      </c>
      <c r="AT402">
        <v>0</v>
      </c>
      <c r="AU402">
        <v>1</v>
      </c>
      <c r="AV402">
        <v>-1</v>
      </c>
    </row>
    <row r="403" spans="1:48">
      <c r="A403" s="1">
        <f>_xlfn.XLOOKUP(J403,数据!E:E,数据!A:A)</f>
        <v>3</v>
      </c>
      <c r="B403" s="1">
        <f>_xlfn.XLOOKUP(J403,数据!E:E,数据!B:B)</f>
        <v>10</v>
      </c>
      <c r="C403" s="1" t="str">
        <f>_xlfn.XLOOKUP(J403,数据!E:E,数据!J:J)</f>
        <v>空派</v>
      </c>
      <c r="D403" s="1" t="str" cm="1">
        <f t="array" ref="D403">IF(OR(C403="红单",C403="空派"),_xlfn.IFS(E403="未开售","新品首批发货",F403&lt;E403,"新品首批发货",F403-E403&lt;=60,"新品期补货空运",F403-E403&gt;60,"老品应急空运"),"海运，不进行分析")</f>
        <v>新品首批发货</v>
      </c>
      <c r="E403" s="2">
        <v>46105</v>
      </c>
      <c r="F403" s="2">
        <f>_xlfn.XLOOKUP(J403,数据!E:E,数据!C:C)</f>
        <v>46083</v>
      </c>
      <c r="G403" s="4">
        <v>140</v>
      </c>
      <c r="H403" s="4">
        <f t="shared" si="22"/>
        <v>14</v>
      </c>
      <c r="I403" s="4">
        <f>_xlfn.XLOOKUP(J403,数据!E:E,数据!S:S)*(H403/_xlfn.XLOOKUP(J403,数据!E:E,数据!X:X))</f>
        <v>740.20641997325</v>
      </c>
      <c r="J403" t="s">
        <v>1316</v>
      </c>
      <c r="K403" t="s">
        <v>31</v>
      </c>
      <c r="L403" t="s">
        <v>2374</v>
      </c>
      <c r="M403" t="s">
        <v>4998</v>
      </c>
      <c r="N403" t="s">
        <v>2376</v>
      </c>
      <c r="O403" t="s">
        <v>2400</v>
      </c>
      <c r="P403" t="s">
        <v>2378</v>
      </c>
      <c r="Q403" t="s">
        <v>2379</v>
      </c>
      <c r="R403" t="s">
        <v>4999</v>
      </c>
      <c r="S403" t="s">
        <v>2511</v>
      </c>
      <c r="T403" s="3" t="s">
        <v>5000</v>
      </c>
      <c r="U403" t="s">
        <v>5001</v>
      </c>
      <c r="V403" t="s">
        <v>5002</v>
      </c>
      <c r="W403" t="s">
        <v>5003</v>
      </c>
      <c r="X403" t="s">
        <v>2385</v>
      </c>
      <c r="Y403" t="s">
        <v>5004</v>
      </c>
      <c r="Z403" t="s">
        <v>2405</v>
      </c>
      <c r="AA403" t="s">
        <v>5000</v>
      </c>
      <c r="AB403" t="s">
        <v>4392</v>
      </c>
      <c r="AC403" t="s">
        <v>5005</v>
      </c>
      <c r="AD403" t="s">
        <v>4455</v>
      </c>
      <c r="AH403" t="s">
        <v>4630</v>
      </c>
      <c r="AI403" t="s">
        <v>4455</v>
      </c>
      <c r="AJ403" t="s">
        <v>2986</v>
      </c>
      <c r="AK403" t="s">
        <v>2987</v>
      </c>
      <c r="AL403" t="s">
        <v>2988</v>
      </c>
      <c r="AM403" t="s">
        <v>2989</v>
      </c>
      <c r="AN403" t="s">
        <v>2990</v>
      </c>
      <c r="AO403" t="s">
        <v>2986</v>
      </c>
      <c r="AP403">
        <v>100</v>
      </c>
      <c r="AQ403">
        <v>100</v>
      </c>
      <c r="AR403">
        <v>99</v>
      </c>
      <c r="AS403" t="s">
        <v>5032</v>
      </c>
      <c r="AT403">
        <v>0</v>
      </c>
      <c r="AU403">
        <v>-1</v>
      </c>
      <c r="AV403">
        <v>1</v>
      </c>
    </row>
    <row r="404" spans="1:48">
      <c r="A404" s="1">
        <f>_xlfn.XLOOKUP(J404,数据!E:E,数据!A:A)</f>
        <v>3</v>
      </c>
      <c r="B404" s="1">
        <f>_xlfn.XLOOKUP(J404,数据!E:E,数据!B:B)</f>
        <v>10</v>
      </c>
      <c r="C404" s="1" t="str">
        <f>_xlfn.XLOOKUP(J404,数据!E:E,数据!J:J)</f>
        <v>空派</v>
      </c>
      <c r="D404" s="1" t="str" cm="1">
        <f t="array" ref="D404">IF(OR(C404="红单",C404="空派"),_xlfn.IFS(E404="未开售","新品首批发货",F404&lt;E404,"新品首批发货",F404-E404&lt;=60,"新品期补货空运",F404-E404&gt;60,"老品应急空运"),"海运，不进行分析")</f>
        <v>新品首批发货</v>
      </c>
      <c r="E404" s="2">
        <v>46101</v>
      </c>
      <c r="F404" s="2">
        <f>_xlfn.XLOOKUP(J404,数据!E:E,数据!C:C)</f>
        <v>46083</v>
      </c>
      <c r="G404" s="4">
        <v>140</v>
      </c>
      <c r="H404" s="4">
        <f t="shared" si="22"/>
        <v>14</v>
      </c>
      <c r="I404" s="4">
        <f>_xlfn.XLOOKUP(J404,数据!E:E,数据!S:S)*(H404/_xlfn.XLOOKUP(J404,数据!E:E,数据!X:X))</f>
        <v>740.20641997325</v>
      </c>
      <c r="J404" t="s">
        <v>1316</v>
      </c>
      <c r="K404" t="s">
        <v>31</v>
      </c>
      <c r="L404" t="s">
        <v>2374</v>
      </c>
      <c r="M404" t="s">
        <v>4998</v>
      </c>
      <c r="N404" t="s">
        <v>2376</v>
      </c>
      <c r="O404" t="s">
        <v>2400</v>
      </c>
      <c r="P404" t="s">
        <v>2378</v>
      </c>
      <c r="Q404" t="s">
        <v>2379</v>
      </c>
      <c r="R404" t="s">
        <v>4999</v>
      </c>
      <c r="S404" t="s">
        <v>2511</v>
      </c>
      <c r="T404" s="3" t="s">
        <v>5000</v>
      </c>
      <c r="U404" t="s">
        <v>5001</v>
      </c>
      <c r="V404" t="s">
        <v>5002</v>
      </c>
      <c r="W404" t="s">
        <v>5003</v>
      </c>
      <c r="X404" t="s">
        <v>2385</v>
      </c>
      <c r="Y404" t="s">
        <v>5004</v>
      </c>
      <c r="Z404" t="s">
        <v>2405</v>
      </c>
      <c r="AA404" t="s">
        <v>5000</v>
      </c>
      <c r="AB404" t="s">
        <v>4392</v>
      </c>
      <c r="AC404" t="s">
        <v>5005</v>
      </c>
      <c r="AD404" t="s">
        <v>4455</v>
      </c>
      <c r="AH404" t="s">
        <v>4630</v>
      </c>
      <c r="AI404" t="s">
        <v>4455</v>
      </c>
      <c r="AJ404" t="s">
        <v>5033</v>
      </c>
      <c r="AK404" t="s">
        <v>5034</v>
      </c>
      <c r="AL404" t="s">
        <v>5035</v>
      </c>
      <c r="AM404" t="s">
        <v>2989</v>
      </c>
      <c r="AN404" t="s">
        <v>5036</v>
      </c>
      <c r="AO404" t="s">
        <v>5033</v>
      </c>
      <c r="AP404">
        <v>100</v>
      </c>
      <c r="AQ404">
        <v>100</v>
      </c>
      <c r="AR404">
        <v>100</v>
      </c>
      <c r="AS404" t="s">
        <v>5016</v>
      </c>
      <c r="AT404">
        <v>0</v>
      </c>
      <c r="AU404">
        <v>0</v>
      </c>
      <c r="AV404">
        <v>0</v>
      </c>
    </row>
    <row r="405" spans="1:48">
      <c r="A405" s="1">
        <f>_xlfn.XLOOKUP(J405,数据!E:E,数据!A:A)</f>
        <v>3</v>
      </c>
      <c r="B405" s="1">
        <f>_xlfn.XLOOKUP(J405,数据!E:E,数据!B:B)</f>
        <v>10</v>
      </c>
      <c r="C405" s="1" t="str">
        <f>_xlfn.XLOOKUP(J405,数据!E:E,数据!J:J)</f>
        <v>空派</v>
      </c>
      <c r="D405" s="1" t="str" cm="1">
        <f t="array" ref="D405">IF(OR(C405="红单",C405="空派"),_xlfn.IFS(E405="未开售","新品首批发货",F405&lt;E405,"新品首批发货",F405-E405&lt;=60,"新品期补货空运",F405-E405&gt;60,"老品应急空运"),"海运，不进行分析")</f>
        <v>新品首批发货</v>
      </c>
      <c r="E405" s="2">
        <v>46107</v>
      </c>
      <c r="F405" s="2">
        <f>_xlfn.XLOOKUP(J405,数据!E:E,数据!C:C)</f>
        <v>46083</v>
      </c>
      <c r="G405" s="4">
        <v>140</v>
      </c>
      <c r="H405" s="4">
        <f t="shared" si="22"/>
        <v>14</v>
      </c>
      <c r="I405" s="4">
        <f>_xlfn.XLOOKUP(J405,数据!E:E,数据!S:S)*(H405/_xlfn.XLOOKUP(J405,数据!E:E,数据!X:X))</f>
        <v>740.20641997325</v>
      </c>
      <c r="J405" t="s">
        <v>1316</v>
      </c>
      <c r="K405" t="s">
        <v>31</v>
      </c>
      <c r="L405" t="s">
        <v>2374</v>
      </c>
      <c r="M405" t="s">
        <v>4998</v>
      </c>
      <c r="N405" t="s">
        <v>2376</v>
      </c>
      <c r="O405" t="s">
        <v>2400</v>
      </c>
      <c r="P405" t="s">
        <v>2378</v>
      </c>
      <c r="Q405" t="s">
        <v>2379</v>
      </c>
      <c r="R405" t="s">
        <v>4999</v>
      </c>
      <c r="S405" t="s">
        <v>2511</v>
      </c>
      <c r="T405" s="3" t="s">
        <v>5000</v>
      </c>
      <c r="U405" t="s">
        <v>5001</v>
      </c>
      <c r="V405" t="s">
        <v>5002</v>
      </c>
      <c r="W405" t="s">
        <v>5003</v>
      </c>
      <c r="X405" t="s">
        <v>2385</v>
      </c>
      <c r="Y405" t="s">
        <v>5004</v>
      </c>
      <c r="Z405" t="s">
        <v>2405</v>
      </c>
      <c r="AA405" t="s">
        <v>5000</v>
      </c>
      <c r="AB405" t="s">
        <v>4392</v>
      </c>
      <c r="AC405" t="s">
        <v>5005</v>
      </c>
      <c r="AD405" t="s">
        <v>4455</v>
      </c>
      <c r="AH405" t="s">
        <v>4630</v>
      </c>
      <c r="AI405" t="s">
        <v>4455</v>
      </c>
      <c r="AJ405" t="s">
        <v>5037</v>
      </c>
      <c r="AK405" t="s">
        <v>5038</v>
      </c>
      <c r="AL405" t="s">
        <v>5039</v>
      </c>
      <c r="AM405" t="s">
        <v>2989</v>
      </c>
      <c r="AN405" t="s">
        <v>5040</v>
      </c>
      <c r="AO405" t="s">
        <v>5037</v>
      </c>
      <c r="AP405">
        <v>100</v>
      </c>
      <c r="AQ405">
        <v>100</v>
      </c>
      <c r="AR405">
        <v>101</v>
      </c>
      <c r="AS405" t="s">
        <v>5041</v>
      </c>
      <c r="AT405">
        <v>0</v>
      </c>
      <c r="AU405">
        <v>1</v>
      </c>
      <c r="AV405">
        <v>-1</v>
      </c>
    </row>
    <row r="406" spans="1:48">
      <c r="A406" s="1">
        <f>_xlfn.XLOOKUP(J406,数据!E:E,数据!A:A)</f>
        <v>3</v>
      </c>
      <c r="B406" s="1">
        <f>_xlfn.XLOOKUP(J406,数据!E:E,数据!B:B)</f>
        <v>10</v>
      </c>
      <c r="C406" s="1" t="str">
        <f>_xlfn.XLOOKUP(J406,数据!E:E,数据!J:J)</f>
        <v>空派</v>
      </c>
      <c r="D406" s="1" t="str" cm="1">
        <f t="array" ref="D406">IF(OR(C406="红单",C406="空派"),_xlfn.IFS(E406="未开售","新品首批发货",F406&lt;E406,"新品首批发货",F406-E406&lt;=60,"新品期补货空运",F406-E406&gt;60,"老品应急空运"),"海运，不进行分析")</f>
        <v>新品首批发货</v>
      </c>
      <c r="E406" s="2">
        <v>46104</v>
      </c>
      <c r="F406" s="2">
        <f>_xlfn.XLOOKUP(J406,数据!E:E,数据!C:C)</f>
        <v>46083</v>
      </c>
      <c r="G406" s="4">
        <v>140</v>
      </c>
      <c r="H406" s="4">
        <f t="shared" si="22"/>
        <v>14</v>
      </c>
      <c r="I406" s="4">
        <f>_xlfn.XLOOKUP(J406,数据!E:E,数据!S:S)*(H406/_xlfn.XLOOKUP(J406,数据!E:E,数据!X:X))</f>
        <v>740.20641997325</v>
      </c>
      <c r="J406" t="s">
        <v>1316</v>
      </c>
      <c r="K406" t="s">
        <v>31</v>
      </c>
      <c r="L406" t="s">
        <v>2374</v>
      </c>
      <c r="M406" t="s">
        <v>4998</v>
      </c>
      <c r="N406" t="s">
        <v>2376</v>
      </c>
      <c r="O406" t="s">
        <v>2400</v>
      </c>
      <c r="P406" t="s">
        <v>2378</v>
      </c>
      <c r="Q406" t="s">
        <v>2379</v>
      </c>
      <c r="R406" t="s">
        <v>4999</v>
      </c>
      <c r="S406" t="s">
        <v>2511</v>
      </c>
      <c r="T406" s="3" t="s">
        <v>5000</v>
      </c>
      <c r="U406" t="s">
        <v>5001</v>
      </c>
      <c r="V406" t="s">
        <v>5002</v>
      </c>
      <c r="W406" t="s">
        <v>5003</v>
      </c>
      <c r="X406" t="s">
        <v>2385</v>
      </c>
      <c r="Y406" t="s">
        <v>5004</v>
      </c>
      <c r="Z406" t="s">
        <v>2405</v>
      </c>
      <c r="AA406" t="s">
        <v>5000</v>
      </c>
      <c r="AB406" t="s">
        <v>4392</v>
      </c>
      <c r="AC406" t="s">
        <v>5005</v>
      </c>
      <c r="AD406" t="s">
        <v>4455</v>
      </c>
      <c r="AH406" t="s">
        <v>4630</v>
      </c>
      <c r="AI406" t="s">
        <v>4455</v>
      </c>
      <c r="AJ406" t="s">
        <v>5042</v>
      </c>
      <c r="AK406" t="s">
        <v>5043</v>
      </c>
      <c r="AL406" t="s">
        <v>5044</v>
      </c>
      <c r="AM406" t="s">
        <v>2989</v>
      </c>
      <c r="AN406" t="s">
        <v>5045</v>
      </c>
      <c r="AO406" t="s">
        <v>5042</v>
      </c>
      <c r="AP406">
        <v>100</v>
      </c>
      <c r="AQ406">
        <v>100</v>
      </c>
      <c r="AR406">
        <v>99</v>
      </c>
      <c r="AS406" t="s">
        <v>5046</v>
      </c>
      <c r="AT406">
        <v>0</v>
      </c>
      <c r="AU406">
        <v>-1</v>
      </c>
      <c r="AV406">
        <v>1</v>
      </c>
    </row>
    <row r="407" spans="1:48">
      <c r="A407" s="1">
        <f>_xlfn.XLOOKUP(J407,数据!E:E,数据!A:A)</f>
        <v>3</v>
      </c>
      <c r="B407" s="1">
        <f>_xlfn.XLOOKUP(J407,数据!E:E,数据!B:B)</f>
        <v>10</v>
      </c>
      <c r="C407" s="1" t="str">
        <f>_xlfn.XLOOKUP(J407,数据!E:E,数据!J:J)</f>
        <v>空派</v>
      </c>
      <c r="D407" s="1" t="str" cm="1">
        <f t="array" ref="D407">IF(OR(C407="红单",C407="空派"),_xlfn.IFS(E407="未开售","新品首批发货",F407&lt;E407,"新品首批发货",F407-E407&lt;=60,"新品期补货空运",F407-E407&gt;60,"老品应急空运"),"海运，不进行分析")</f>
        <v>新品首批发货</v>
      </c>
      <c r="E407" s="2">
        <v>46106</v>
      </c>
      <c r="F407" s="2">
        <f>_xlfn.XLOOKUP(J407,数据!E:E,数据!C:C)</f>
        <v>46083</v>
      </c>
      <c r="G407" s="4">
        <v>159</v>
      </c>
      <c r="H407" s="4">
        <f t="shared" si="22"/>
        <v>15.9</v>
      </c>
      <c r="I407" s="4">
        <f>_xlfn.XLOOKUP(J407,数据!E:E,数据!S:S)*(H407/_xlfn.XLOOKUP(J407,数据!E:E,数据!X:X))</f>
        <v>840.663005541049</v>
      </c>
      <c r="J407" t="s">
        <v>1316</v>
      </c>
      <c r="K407" t="s">
        <v>31</v>
      </c>
      <c r="L407" t="s">
        <v>2374</v>
      </c>
      <c r="M407" t="s">
        <v>4998</v>
      </c>
      <c r="N407" t="s">
        <v>2376</v>
      </c>
      <c r="O407" t="s">
        <v>2400</v>
      </c>
      <c r="P407" t="s">
        <v>2378</v>
      </c>
      <c r="Q407" t="s">
        <v>2379</v>
      </c>
      <c r="R407" t="s">
        <v>4999</v>
      </c>
      <c r="S407" t="s">
        <v>2511</v>
      </c>
      <c r="T407" s="3" t="s">
        <v>5000</v>
      </c>
      <c r="U407" t="s">
        <v>5001</v>
      </c>
      <c r="V407" t="s">
        <v>5002</v>
      </c>
      <c r="W407" t="s">
        <v>5003</v>
      </c>
      <c r="X407" t="s">
        <v>2385</v>
      </c>
      <c r="Y407" t="s">
        <v>5004</v>
      </c>
      <c r="Z407" t="s">
        <v>2405</v>
      </c>
      <c r="AA407" t="s">
        <v>5000</v>
      </c>
      <c r="AB407" t="s">
        <v>4392</v>
      </c>
      <c r="AC407" t="s">
        <v>5005</v>
      </c>
      <c r="AD407" t="s">
        <v>4455</v>
      </c>
      <c r="AH407" t="s">
        <v>4630</v>
      </c>
      <c r="AI407" t="s">
        <v>4455</v>
      </c>
      <c r="AJ407" t="s">
        <v>5047</v>
      </c>
      <c r="AK407" t="s">
        <v>5048</v>
      </c>
      <c r="AL407" t="s">
        <v>5049</v>
      </c>
      <c r="AM407" t="s">
        <v>5049</v>
      </c>
      <c r="AN407" t="s">
        <v>5050</v>
      </c>
      <c r="AO407" t="s">
        <v>5047</v>
      </c>
      <c r="AP407">
        <v>100</v>
      </c>
      <c r="AQ407">
        <v>100</v>
      </c>
      <c r="AR407">
        <v>98</v>
      </c>
      <c r="AS407" t="s">
        <v>5051</v>
      </c>
      <c r="AT407">
        <v>0</v>
      </c>
      <c r="AU407">
        <v>-2</v>
      </c>
      <c r="AV407">
        <v>2</v>
      </c>
    </row>
    <row r="408" spans="1:48">
      <c r="A408" s="1">
        <f>_xlfn.XLOOKUP(J408,数据!E:E,数据!A:A)</f>
        <v>3</v>
      </c>
      <c r="B408" s="1">
        <f>_xlfn.XLOOKUP(J408,数据!E:E,数据!B:B)</f>
        <v>10</v>
      </c>
      <c r="C408" s="1" t="str">
        <f>_xlfn.XLOOKUP(J408,数据!E:E,数据!J:J)</f>
        <v>空派</v>
      </c>
      <c r="D408" s="1" t="str" cm="1">
        <f t="array" ref="D408">IF(OR(C408="红单",C408="空派"),_xlfn.IFS(E408="未开售","新品首批发货",F408&lt;E408,"新品首批发货",F408-E408&lt;=60,"新品期补货空运",F408-E408&gt;60,"老品应急空运"),"海运，不进行分析")</f>
        <v>新品首批发货</v>
      </c>
      <c r="E408" s="2">
        <v>46106</v>
      </c>
      <c r="F408" s="2">
        <f>_xlfn.XLOOKUP(J408,数据!E:E,数据!C:C)</f>
        <v>46083</v>
      </c>
      <c r="G408" s="4">
        <v>108</v>
      </c>
      <c r="H408" s="4">
        <f t="shared" si="22"/>
        <v>10.26</v>
      </c>
      <c r="I408" s="4">
        <f>_xlfn.XLOOKUP(J408,数据!E:E,数据!S:S)*(H408/_xlfn.XLOOKUP(J408,数据!E:E,数据!X:X))</f>
        <v>542.46556206611</v>
      </c>
      <c r="J408" t="s">
        <v>1316</v>
      </c>
      <c r="K408" t="s">
        <v>31</v>
      </c>
      <c r="L408" t="s">
        <v>2374</v>
      </c>
      <c r="M408" t="s">
        <v>4998</v>
      </c>
      <c r="N408" t="s">
        <v>2376</v>
      </c>
      <c r="O408" t="s">
        <v>2400</v>
      </c>
      <c r="P408" t="s">
        <v>2378</v>
      </c>
      <c r="Q408" t="s">
        <v>2379</v>
      </c>
      <c r="R408" t="s">
        <v>4999</v>
      </c>
      <c r="S408" t="s">
        <v>2511</v>
      </c>
      <c r="T408" s="3" t="s">
        <v>5000</v>
      </c>
      <c r="U408" t="s">
        <v>5001</v>
      </c>
      <c r="V408" t="s">
        <v>5002</v>
      </c>
      <c r="W408" t="s">
        <v>5003</v>
      </c>
      <c r="X408" t="s">
        <v>2385</v>
      </c>
      <c r="Y408" t="s">
        <v>5004</v>
      </c>
      <c r="Z408" t="s">
        <v>2405</v>
      </c>
      <c r="AA408" t="s">
        <v>5000</v>
      </c>
      <c r="AB408" t="s">
        <v>4392</v>
      </c>
      <c r="AC408" t="s">
        <v>5005</v>
      </c>
      <c r="AD408" t="s">
        <v>4455</v>
      </c>
      <c r="AH408" t="s">
        <v>4630</v>
      </c>
      <c r="AI408" t="s">
        <v>4455</v>
      </c>
      <c r="AJ408" t="s">
        <v>2599</v>
      </c>
      <c r="AK408" t="s">
        <v>2600</v>
      </c>
      <c r="AL408" t="s">
        <v>2601</v>
      </c>
      <c r="AM408" t="s">
        <v>2601</v>
      </c>
      <c r="AN408" t="s">
        <v>2602</v>
      </c>
      <c r="AO408" t="s">
        <v>2599</v>
      </c>
      <c r="AP408">
        <v>95</v>
      </c>
      <c r="AQ408">
        <v>95</v>
      </c>
      <c r="AR408">
        <v>95</v>
      </c>
      <c r="AS408" t="s">
        <v>5052</v>
      </c>
      <c r="AT408">
        <v>0</v>
      </c>
      <c r="AU408">
        <v>0</v>
      </c>
      <c r="AV408">
        <v>0</v>
      </c>
    </row>
    <row r="409" spans="1:48">
      <c r="A409" s="1">
        <f>_xlfn.XLOOKUP(J409,数据!E:E,数据!A:A)</f>
        <v>3</v>
      </c>
      <c r="B409" s="1">
        <f>_xlfn.XLOOKUP(J409,数据!E:E,数据!B:B)</f>
        <v>10</v>
      </c>
      <c r="C409" s="1" t="str">
        <f>_xlfn.XLOOKUP(J409,数据!E:E,数据!J:J)</f>
        <v>空派</v>
      </c>
      <c r="D409" s="1" t="str" cm="1">
        <f t="array" ref="D409">IF(OR(C409="红单",C409="空派"),_xlfn.IFS(E409="未开售","新品首批发货",F409&lt;E409,"新品首批发货",F409-E409&lt;=60,"新品期补货空运",F409-E409&gt;60,"老品应急空运"),"海运，不进行分析")</f>
        <v>新品首批发货</v>
      </c>
      <c r="E409" s="2">
        <v>46106</v>
      </c>
      <c r="F409" s="2">
        <f>_xlfn.XLOOKUP(J409,数据!E:E,数据!C:C)</f>
        <v>46083</v>
      </c>
      <c r="G409" s="4">
        <v>135</v>
      </c>
      <c r="H409" s="4">
        <f t="shared" si="22"/>
        <v>13.5</v>
      </c>
      <c r="I409" s="4">
        <f>_xlfn.XLOOKUP(J409,数据!E:E,数据!S:S)*(H409/_xlfn.XLOOKUP(J409,数据!E:E,数据!X:X))</f>
        <v>713.770476402777</v>
      </c>
      <c r="J409" t="s">
        <v>1316</v>
      </c>
      <c r="K409" t="s">
        <v>31</v>
      </c>
      <c r="L409" t="s">
        <v>2374</v>
      </c>
      <c r="M409" t="s">
        <v>4998</v>
      </c>
      <c r="N409" t="s">
        <v>2376</v>
      </c>
      <c r="O409" t="s">
        <v>2400</v>
      </c>
      <c r="P409" t="s">
        <v>2378</v>
      </c>
      <c r="Q409" t="s">
        <v>2379</v>
      </c>
      <c r="R409" t="s">
        <v>4999</v>
      </c>
      <c r="S409" t="s">
        <v>2511</v>
      </c>
      <c r="T409" s="3" t="s">
        <v>5000</v>
      </c>
      <c r="U409" t="s">
        <v>5001</v>
      </c>
      <c r="V409" t="s">
        <v>5002</v>
      </c>
      <c r="W409" t="s">
        <v>5003</v>
      </c>
      <c r="X409" t="s">
        <v>2385</v>
      </c>
      <c r="Y409" t="s">
        <v>5004</v>
      </c>
      <c r="Z409" t="s">
        <v>2405</v>
      </c>
      <c r="AA409" t="s">
        <v>5000</v>
      </c>
      <c r="AB409" t="s">
        <v>4392</v>
      </c>
      <c r="AC409" t="s">
        <v>5005</v>
      </c>
      <c r="AD409" t="s">
        <v>4455</v>
      </c>
      <c r="AH409" t="s">
        <v>4630</v>
      </c>
      <c r="AI409" t="s">
        <v>4455</v>
      </c>
      <c r="AJ409" t="s">
        <v>5053</v>
      </c>
      <c r="AK409" t="s">
        <v>5054</v>
      </c>
      <c r="AL409" t="s">
        <v>5055</v>
      </c>
      <c r="AM409" t="s">
        <v>5055</v>
      </c>
      <c r="AN409" t="s">
        <v>5056</v>
      </c>
      <c r="AO409" t="s">
        <v>5053</v>
      </c>
      <c r="AP409">
        <v>100</v>
      </c>
      <c r="AQ409">
        <v>100</v>
      </c>
      <c r="AR409">
        <v>100</v>
      </c>
      <c r="AS409" t="s">
        <v>5057</v>
      </c>
      <c r="AT409">
        <v>0</v>
      </c>
      <c r="AU409">
        <v>0</v>
      </c>
      <c r="AV409">
        <v>0</v>
      </c>
    </row>
    <row r="410" spans="1:48">
      <c r="A410" s="1">
        <f>_xlfn.XLOOKUP(J410,数据!E:E,数据!A:A)</f>
        <v>2</v>
      </c>
      <c r="B410" s="1">
        <f>_xlfn.XLOOKUP(J410,数据!E:E,数据!B:B)</f>
        <v>9</v>
      </c>
      <c r="C410" s="1" t="str">
        <f>_xlfn.XLOOKUP(J410,数据!E:E,数据!J:J)</f>
        <v>空派</v>
      </c>
      <c r="D410" s="1" t="str" cm="1">
        <f t="array" ref="D410">IF(OR(C410="红单",C410="空派"),_xlfn.IFS(E410="未开售","新品首批发货",F410&lt;E410,"新品首批发货",F410-E410&lt;=60,"新品期补货空运",F410-E410&gt;60,"老品应急空运"),"海运，不进行分析")</f>
        <v>新品期补货空运</v>
      </c>
      <c r="E410" s="2">
        <v>46031</v>
      </c>
      <c r="F410" s="2">
        <f>_xlfn.XLOOKUP(J410,数据!E:E,数据!C:C)</f>
        <v>46080</v>
      </c>
      <c r="G410" s="4">
        <v>142</v>
      </c>
      <c r="H410" s="4">
        <f>G410*AP410/1000</f>
        <v>14.2</v>
      </c>
      <c r="I410" s="4">
        <f>_xlfn.XLOOKUP(J410,数据!E:E,数据!S:S)*(H410/_xlfn.XLOOKUP(J410,数据!E:E,数据!X:X))</f>
        <v>847.500375</v>
      </c>
      <c r="J410" t="s">
        <v>1233</v>
      </c>
      <c r="K410" t="s">
        <v>31</v>
      </c>
      <c r="L410" t="s">
        <v>2374</v>
      </c>
      <c r="M410" t="s">
        <v>5058</v>
      </c>
      <c r="N410" t="s">
        <v>2376</v>
      </c>
      <c r="O410" t="s">
        <v>2377</v>
      </c>
      <c r="P410" t="s">
        <v>2378</v>
      </c>
      <c r="Q410" t="s">
        <v>2379</v>
      </c>
      <c r="R410" t="s">
        <v>5059</v>
      </c>
      <c r="S410" t="s">
        <v>2511</v>
      </c>
      <c r="T410" s="3" t="s">
        <v>5060</v>
      </c>
      <c r="U410" t="s">
        <v>5061</v>
      </c>
      <c r="V410" t="s">
        <v>5062</v>
      </c>
      <c r="W410" t="s">
        <v>5063</v>
      </c>
      <c r="X410" t="s">
        <v>2385</v>
      </c>
      <c r="Y410" t="s">
        <v>5064</v>
      </c>
      <c r="Z410" t="s">
        <v>2405</v>
      </c>
      <c r="AA410" t="s">
        <v>5060</v>
      </c>
      <c r="AB410" t="s">
        <v>5065</v>
      </c>
      <c r="AC410" t="s">
        <v>5066</v>
      </c>
      <c r="AD410" t="s">
        <v>4851</v>
      </c>
      <c r="AH410" t="s">
        <v>5067</v>
      </c>
      <c r="AI410" t="s">
        <v>4630</v>
      </c>
      <c r="AJ410" t="s">
        <v>4403</v>
      </c>
      <c r="AK410" t="s">
        <v>4404</v>
      </c>
      <c r="AL410" t="s">
        <v>4405</v>
      </c>
      <c r="AM410" t="s">
        <v>2787</v>
      </c>
      <c r="AN410" t="s">
        <v>4406</v>
      </c>
      <c r="AO410" t="s">
        <v>4403</v>
      </c>
      <c r="AP410">
        <v>100</v>
      </c>
      <c r="AQ410">
        <v>100</v>
      </c>
      <c r="AR410">
        <v>101</v>
      </c>
      <c r="AS410" t="s">
        <v>5068</v>
      </c>
      <c r="AT410">
        <v>0</v>
      </c>
      <c r="AU410">
        <v>1</v>
      </c>
      <c r="AV410">
        <v>-1</v>
      </c>
    </row>
    <row r="411" spans="1:48">
      <c r="A411" s="1">
        <f>_xlfn.XLOOKUP(J411,数据!E:E,数据!A:A)</f>
        <v>2</v>
      </c>
      <c r="B411" s="1">
        <f>_xlfn.XLOOKUP(J411,数据!E:E,数据!B:B)</f>
        <v>9</v>
      </c>
      <c r="C411" s="1" t="str">
        <f>_xlfn.XLOOKUP(J411,数据!E:E,数据!J:J)</f>
        <v>空派</v>
      </c>
      <c r="D411" s="1" t="str" cm="1">
        <f t="array" ref="D411">IF(OR(C411="红单",C411="空派"),_xlfn.IFS(E411="未开售","新品首批发货",F411&lt;E411,"新品首批发货",F411-E411&lt;=60,"新品期补货空运",F411-E411&gt;60,"老品应急空运"),"海运，不进行分析")</f>
        <v>新品期补货空运</v>
      </c>
      <c r="E411" s="2">
        <v>46029</v>
      </c>
      <c r="F411" s="2">
        <f>_xlfn.XLOOKUP(J411,数据!E:E,数据!C:C)</f>
        <v>46080</v>
      </c>
      <c r="G411" s="4">
        <v>146</v>
      </c>
      <c r="H411" s="4">
        <f>G411*AP411/1000</f>
        <v>14.6</v>
      </c>
      <c r="I411" s="4">
        <f>_xlfn.XLOOKUP(J411,数据!E:E,数据!S:S)*(H411/_xlfn.XLOOKUP(J411,数据!E:E,数据!X:X))</f>
        <v>871.373625</v>
      </c>
      <c r="J411" t="s">
        <v>1233</v>
      </c>
      <c r="K411" t="s">
        <v>31</v>
      </c>
      <c r="L411" t="s">
        <v>2374</v>
      </c>
      <c r="M411" t="s">
        <v>5058</v>
      </c>
      <c r="N411" t="s">
        <v>2376</v>
      </c>
      <c r="O411" t="s">
        <v>2377</v>
      </c>
      <c r="P411" t="s">
        <v>2378</v>
      </c>
      <c r="Q411" t="s">
        <v>2379</v>
      </c>
      <c r="R411" t="s">
        <v>5059</v>
      </c>
      <c r="S411" t="s">
        <v>2511</v>
      </c>
      <c r="T411" s="3" t="s">
        <v>5060</v>
      </c>
      <c r="U411" t="s">
        <v>5061</v>
      </c>
      <c r="V411" t="s">
        <v>5062</v>
      </c>
      <c r="W411" t="s">
        <v>5063</v>
      </c>
      <c r="X411" t="s">
        <v>2385</v>
      </c>
      <c r="Y411" t="s">
        <v>5064</v>
      </c>
      <c r="Z411" t="s">
        <v>2405</v>
      </c>
      <c r="AA411" t="s">
        <v>5060</v>
      </c>
      <c r="AB411" t="s">
        <v>5065</v>
      </c>
      <c r="AC411" t="s">
        <v>5066</v>
      </c>
      <c r="AD411" t="s">
        <v>4851</v>
      </c>
      <c r="AH411" t="s">
        <v>5067</v>
      </c>
      <c r="AI411" t="s">
        <v>4630</v>
      </c>
      <c r="AJ411" t="s">
        <v>4398</v>
      </c>
      <c r="AK411" t="s">
        <v>4399</v>
      </c>
      <c r="AL411" t="s">
        <v>4400</v>
      </c>
      <c r="AM411" t="s">
        <v>2787</v>
      </c>
      <c r="AN411" t="s">
        <v>4401</v>
      </c>
      <c r="AO411" t="s">
        <v>4398</v>
      </c>
      <c r="AP411">
        <v>100</v>
      </c>
      <c r="AQ411">
        <v>100</v>
      </c>
      <c r="AR411">
        <v>96</v>
      </c>
      <c r="AS411" t="s">
        <v>5069</v>
      </c>
      <c r="AT411">
        <v>0</v>
      </c>
      <c r="AU411">
        <v>-4</v>
      </c>
      <c r="AV411">
        <v>4</v>
      </c>
    </row>
    <row r="412" spans="1:48">
      <c r="A412" s="1">
        <f>_xlfn.XLOOKUP(J412,数据!E:E,数据!A:A)</f>
        <v>2</v>
      </c>
      <c r="B412" s="1">
        <f>_xlfn.XLOOKUP(J412,数据!E:E,数据!B:B)</f>
        <v>9</v>
      </c>
      <c r="C412" s="1" t="str">
        <f>_xlfn.XLOOKUP(J412,数据!E:E,数据!J:J)</f>
        <v>空派</v>
      </c>
      <c r="D412" s="1" t="str" cm="1">
        <f t="array" ref="D412">IF(OR(C412="红单",C412="空派"),_xlfn.IFS(E412="未开售","新品首批发货",F412&lt;E412,"新品首批发货",F412-E412&lt;=60,"新品期补货空运",F412-E412&gt;60,"老品应急空运"),"海运，不进行分析")</f>
        <v>老品应急空运</v>
      </c>
      <c r="E412" s="2">
        <v>46017</v>
      </c>
      <c r="F412" s="2">
        <f>_xlfn.XLOOKUP(J412,数据!E:E,数据!C:C)</f>
        <v>46080</v>
      </c>
      <c r="G412" s="4">
        <v>97</v>
      </c>
      <c r="H412" s="4">
        <f>G412*AP412/1000</f>
        <v>15.52</v>
      </c>
      <c r="I412" s="4">
        <f>_xlfn.XLOOKUP(J412,数据!E:E,数据!S:S)*(H412/_xlfn.XLOOKUP(J412,数据!E:E,数据!X:X))</f>
        <v>1078.282</v>
      </c>
      <c r="J412" t="s">
        <v>1232</v>
      </c>
      <c r="K412" t="s">
        <v>54</v>
      </c>
      <c r="L412" t="s">
        <v>2374</v>
      </c>
      <c r="M412" t="s">
        <v>5070</v>
      </c>
      <c r="N412" t="s">
        <v>2376</v>
      </c>
      <c r="O412" t="s">
        <v>2377</v>
      </c>
      <c r="P412" t="s">
        <v>2378</v>
      </c>
      <c r="Q412" t="s">
        <v>2379</v>
      </c>
      <c r="R412" t="s">
        <v>5071</v>
      </c>
      <c r="S412" t="s">
        <v>2511</v>
      </c>
      <c r="T412" s="3" t="s">
        <v>5060</v>
      </c>
      <c r="U412" t="s">
        <v>5072</v>
      </c>
      <c r="V412" t="s">
        <v>5073</v>
      </c>
      <c r="W412" t="s">
        <v>5074</v>
      </c>
      <c r="X412" t="s">
        <v>2385</v>
      </c>
      <c r="Y412" t="s">
        <v>5075</v>
      </c>
      <c r="Z412" t="s">
        <v>2405</v>
      </c>
      <c r="AA412" t="s">
        <v>5060</v>
      </c>
      <c r="AB412" t="s">
        <v>5076</v>
      </c>
      <c r="AC412" t="s">
        <v>5077</v>
      </c>
      <c r="AD412" t="s">
        <v>4851</v>
      </c>
      <c r="AH412" t="s">
        <v>5067</v>
      </c>
      <c r="AI412" t="s">
        <v>4630</v>
      </c>
      <c r="AJ412" t="s">
        <v>5078</v>
      </c>
      <c r="AK412" t="s">
        <v>5079</v>
      </c>
      <c r="AL412" t="s">
        <v>5080</v>
      </c>
      <c r="AM412" t="s">
        <v>5081</v>
      </c>
      <c r="AN412" t="s">
        <v>5082</v>
      </c>
      <c r="AO412" t="s">
        <v>5078</v>
      </c>
      <c r="AP412">
        <v>160</v>
      </c>
      <c r="AQ412">
        <v>160</v>
      </c>
      <c r="AR412">
        <v>159</v>
      </c>
      <c r="AS412" t="s">
        <v>5083</v>
      </c>
      <c r="AT412">
        <v>0</v>
      </c>
      <c r="AU412">
        <v>-1</v>
      </c>
      <c r="AV412">
        <v>1</v>
      </c>
    </row>
    <row r="413" spans="1:48">
      <c r="A413" s="1">
        <f>_xlfn.XLOOKUP(J413,数据!E:E,数据!A:A)</f>
        <v>2</v>
      </c>
      <c r="B413" s="1">
        <f>_xlfn.XLOOKUP(J413,数据!E:E,数据!B:B)</f>
        <v>9</v>
      </c>
      <c r="C413" s="1" t="str">
        <f>_xlfn.XLOOKUP(J413,数据!E:E,数据!J:J)</f>
        <v>空派</v>
      </c>
      <c r="D413" s="1" t="str" cm="1">
        <f t="array" ref="D413">IF(OR(C413="红单",C413="空派"),_xlfn.IFS(E413="未开售","新品首批发货",F413&lt;E413,"新品首批发货",F413-E413&lt;=60,"新品期补货空运",F413-E413&gt;60,"老品应急空运"),"海运，不进行分析")</f>
        <v>新品首批发货</v>
      </c>
      <c r="E413" s="2">
        <v>46098</v>
      </c>
      <c r="F413" s="2">
        <f>_xlfn.XLOOKUP(J413,数据!E:E,数据!C:C)</f>
        <v>46079</v>
      </c>
      <c r="G413" s="4">
        <v>340</v>
      </c>
      <c r="H413" s="4">
        <f>G413*AP413/1000</f>
        <v>23.8</v>
      </c>
      <c r="I413" s="4">
        <f>_xlfn.XLOOKUP(J413,数据!E:E,数据!S:S)*(H413/_xlfn.XLOOKUP(J413,数据!E:E,数据!X:X))</f>
        <v>1231.69288288288</v>
      </c>
      <c r="J413" t="s">
        <v>1231</v>
      </c>
      <c r="K413" t="s">
        <v>31</v>
      </c>
      <c r="L413" t="s">
        <v>2374</v>
      </c>
      <c r="M413" t="s">
        <v>5084</v>
      </c>
      <c r="N413" t="s">
        <v>2376</v>
      </c>
      <c r="O413" t="s">
        <v>2400</v>
      </c>
      <c r="P413" t="s">
        <v>2378</v>
      </c>
      <c r="Q413" t="s">
        <v>2379</v>
      </c>
      <c r="R413" t="s">
        <v>5085</v>
      </c>
      <c r="S413" t="s">
        <v>2511</v>
      </c>
      <c r="T413" s="3" t="s">
        <v>5086</v>
      </c>
      <c r="U413" t="s">
        <v>5087</v>
      </c>
      <c r="V413" t="s">
        <v>5088</v>
      </c>
      <c r="W413" t="s">
        <v>5089</v>
      </c>
      <c r="X413" t="s">
        <v>2403</v>
      </c>
      <c r="Y413" t="s">
        <v>5090</v>
      </c>
      <c r="Z413" t="s">
        <v>2387</v>
      </c>
      <c r="AA413" t="s">
        <v>5086</v>
      </c>
      <c r="AB413" t="s">
        <v>4392</v>
      </c>
      <c r="AC413" t="s">
        <v>5091</v>
      </c>
      <c r="AD413" t="s">
        <v>5092</v>
      </c>
      <c r="AH413" t="s">
        <v>5067</v>
      </c>
      <c r="AI413" t="s">
        <v>4630</v>
      </c>
      <c r="AJ413" t="s">
        <v>2778</v>
      </c>
      <c r="AK413" t="s">
        <v>2779</v>
      </c>
      <c r="AL413" t="s">
        <v>2780</v>
      </c>
      <c r="AM413" t="s">
        <v>2781</v>
      </c>
      <c r="AN413" t="s">
        <v>2782</v>
      </c>
      <c r="AO413" t="s">
        <v>2778</v>
      </c>
      <c r="AP413">
        <v>70</v>
      </c>
      <c r="AQ413">
        <v>70</v>
      </c>
      <c r="AR413">
        <v>70</v>
      </c>
      <c r="AS413" t="s">
        <v>5093</v>
      </c>
      <c r="AT413">
        <v>0</v>
      </c>
      <c r="AU413">
        <v>0</v>
      </c>
      <c r="AV413">
        <v>0</v>
      </c>
    </row>
    <row r="414" spans="1:48">
      <c r="A414" s="1">
        <f>_xlfn.XLOOKUP(J414,数据!E:E,数据!A:A)</f>
        <v>2</v>
      </c>
      <c r="B414" s="1">
        <f>_xlfn.XLOOKUP(J414,数据!E:E,数据!B:B)</f>
        <v>9</v>
      </c>
      <c r="C414" s="1" t="str">
        <f>_xlfn.XLOOKUP(J414,数据!E:E,数据!J:J)</f>
        <v>空派</v>
      </c>
      <c r="D414" s="1" t="str" cm="1">
        <f t="array" ref="D414">IF(OR(C414="红单",C414="空派"),_xlfn.IFS(E414="未开售","新品首批发货",F414&lt;E414,"新品首批发货",F414-E414&lt;=60,"新品期补货空运",F414-E414&gt;60,"老品应急空运"),"海运，不进行分析")</f>
        <v>新品首批发货</v>
      </c>
      <c r="E414" s="2">
        <v>46119</v>
      </c>
      <c r="F414" s="2">
        <f>_xlfn.XLOOKUP(J414,数据!E:E,数据!C:C)</f>
        <v>46079</v>
      </c>
      <c r="G414" s="4">
        <v>142</v>
      </c>
      <c r="H414" s="4">
        <f>G414*AP414/1000</f>
        <v>14.2</v>
      </c>
      <c r="I414" s="4">
        <f>_xlfn.XLOOKUP(J414,数据!E:E,数据!S:S)*(H414/_xlfn.XLOOKUP(J414,数据!E:E,数据!X:X))</f>
        <v>734.875585585586</v>
      </c>
      <c r="J414" t="s">
        <v>1231</v>
      </c>
      <c r="K414" t="s">
        <v>31</v>
      </c>
      <c r="L414" t="s">
        <v>2374</v>
      </c>
      <c r="M414" t="s">
        <v>5084</v>
      </c>
      <c r="N414" t="s">
        <v>2376</v>
      </c>
      <c r="O414" t="s">
        <v>2400</v>
      </c>
      <c r="P414" t="s">
        <v>2378</v>
      </c>
      <c r="Q414" t="s">
        <v>2379</v>
      </c>
      <c r="R414" t="s">
        <v>5085</v>
      </c>
      <c r="S414" t="s">
        <v>2511</v>
      </c>
      <c r="T414" s="3" t="s">
        <v>5086</v>
      </c>
      <c r="U414" t="s">
        <v>5087</v>
      </c>
      <c r="V414" t="s">
        <v>5088</v>
      </c>
      <c r="W414" t="s">
        <v>5089</v>
      </c>
      <c r="X414" t="s">
        <v>2403</v>
      </c>
      <c r="Y414" t="s">
        <v>5090</v>
      </c>
      <c r="Z414" t="s">
        <v>2387</v>
      </c>
      <c r="AA414" t="s">
        <v>5086</v>
      </c>
      <c r="AB414" t="s">
        <v>4392</v>
      </c>
      <c r="AC414" t="s">
        <v>5091</v>
      </c>
      <c r="AD414" t="s">
        <v>5092</v>
      </c>
      <c r="AH414" t="s">
        <v>5067</v>
      </c>
      <c r="AI414" t="s">
        <v>4630</v>
      </c>
      <c r="AJ414" t="s">
        <v>5094</v>
      </c>
      <c r="AK414" t="s">
        <v>5095</v>
      </c>
      <c r="AL414" t="s">
        <v>5096</v>
      </c>
      <c r="AM414" t="s">
        <v>2989</v>
      </c>
      <c r="AN414" t="s">
        <v>5097</v>
      </c>
      <c r="AO414" t="s">
        <v>5094</v>
      </c>
      <c r="AP414">
        <v>100</v>
      </c>
      <c r="AQ414">
        <v>100</v>
      </c>
      <c r="AR414">
        <v>100</v>
      </c>
      <c r="AS414" t="s">
        <v>5098</v>
      </c>
      <c r="AT414">
        <v>0</v>
      </c>
      <c r="AU414">
        <v>0</v>
      </c>
      <c r="AV414">
        <v>0</v>
      </c>
    </row>
    <row r="415" spans="1:48">
      <c r="A415" s="1">
        <f>_xlfn.XLOOKUP(J415,数据!E:E,数据!A:A)</f>
        <v>2</v>
      </c>
      <c r="B415" s="1">
        <f>_xlfn.XLOOKUP(J415,数据!E:E,数据!B:B)</f>
        <v>9</v>
      </c>
      <c r="C415" s="1" t="str">
        <f>_xlfn.XLOOKUP(J415,数据!E:E,数据!J:J)</f>
        <v>空派</v>
      </c>
      <c r="D415" s="1" t="str" cm="1">
        <f t="array" ref="D415">IF(OR(C415="红单",C415="空派"),_xlfn.IFS(E415="未开售","新品首批发货",F415&lt;E415,"新品首批发货",F415-E415&lt;=60,"新品期补货空运",F415-E415&gt;60,"老品应急空运"),"海运，不进行分析")</f>
        <v>新品首批发货</v>
      </c>
      <c r="E415" s="2">
        <v>46119</v>
      </c>
      <c r="F415" s="2">
        <f>_xlfn.XLOOKUP(J415,数据!E:E,数据!C:C)</f>
        <v>46079</v>
      </c>
      <c r="G415" s="4">
        <v>144</v>
      </c>
      <c r="H415" s="4">
        <f>G415*AP415/1000</f>
        <v>14.4</v>
      </c>
      <c r="I415" s="4">
        <f>_xlfn.XLOOKUP(J415,数据!E:E,数据!S:S)*(H415/_xlfn.XLOOKUP(J415,数据!E:E,数据!X:X))</f>
        <v>745.225945945946</v>
      </c>
      <c r="J415" t="s">
        <v>1231</v>
      </c>
      <c r="K415" t="s">
        <v>31</v>
      </c>
      <c r="L415" t="s">
        <v>2374</v>
      </c>
      <c r="M415" t="s">
        <v>5084</v>
      </c>
      <c r="N415" t="s">
        <v>2376</v>
      </c>
      <c r="O415" t="s">
        <v>2400</v>
      </c>
      <c r="P415" t="s">
        <v>2378</v>
      </c>
      <c r="Q415" t="s">
        <v>2379</v>
      </c>
      <c r="R415" t="s">
        <v>5085</v>
      </c>
      <c r="S415" t="s">
        <v>2511</v>
      </c>
      <c r="T415" s="3" t="s">
        <v>5086</v>
      </c>
      <c r="U415" t="s">
        <v>5087</v>
      </c>
      <c r="V415" t="s">
        <v>5088</v>
      </c>
      <c r="W415" t="s">
        <v>5089</v>
      </c>
      <c r="X415" t="s">
        <v>2403</v>
      </c>
      <c r="Y415" t="s">
        <v>5090</v>
      </c>
      <c r="Z415" t="s">
        <v>2387</v>
      </c>
      <c r="AA415" t="s">
        <v>5086</v>
      </c>
      <c r="AB415" t="s">
        <v>4392</v>
      </c>
      <c r="AC415" t="s">
        <v>5091</v>
      </c>
      <c r="AD415" t="s">
        <v>5092</v>
      </c>
      <c r="AH415" t="s">
        <v>5067</v>
      </c>
      <c r="AI415" t="s">
        <v>4630</v>
      </c>
      <c r="AJ415" t="s">
        <v>5099</v>
      </c>
      <c r="AK415" t="s">
        <v>5100</v>
      </c>
      <c r="AL415" t="s">
        <v>5101</v>
      </c>
      <c r="AM415" t="s">
        <v>2989</v>
      </c>
      <c r="AN415" t="s">
        <v>5102</v>
      </c>
      <c r="AO415" t="s">
        <v>5099</v>
      </c>
      <c r="AP415">
        <v>100</v>
      </c>
      <c r="AQ415">
        <v>100</v>
      </c>
      <c r="AR415">
        <v>100</v>
      </c>
      <c r="AS415" t="s">
        <v>4323</v>
      </c>
      <c r="AT415">
        <v>0</v>
      </c>
      <c r="AU415">
        <v>0</v>
      </c>
      <c r="AV415">
        <v>0</v>
      </c>
    </row>
    <row r="416" spans="1:48">
      <c r="A416" s="1">
        <f>_xlfn.XLOOKUP(J416,数据!E:E,数据!A:A)</f>
        <v>2</v>
      </c>
      <c r="B416" s="1">
        <f>_xlfn.XLOOKUP(J416,数据!E:E,数据!B:B)</f>
        <v>9</v>
      </c>
      <c r="C416" s="1" t="str">
        <f>_xlfn.XLOOKUP(J416,数据!E:E,数据!J:J)</f>
        <v>空派</v>
      </c>
      <c r="D416" s="1" t="str" cm="1">
        <f t="array" ref="D416">IF(OR(C416="红单",C416="空派"),_xlfn.IFS(E416="未开售","新品首批发货",F416&lt;E416,"新品首批发货",F416-E416&lt;=60,"新品期补货空运",F416-E416&gt;60,"老品应急空运"),"海运，不进行分析")</f>
        <v>新品首批发货</v>
      </c>
      <c r="E416" s="2">
        <v>46121</v>
      </c>
      <c r="F416" s="2">
        <f>_xlfn.XLOOKUP(J416,数据!E:E,数据!C:C)</f>
        <v>46079</v>
      </c>
      <c r="G416" s="4">
        <v>142</v>
      </c>
      <c r="H416" s="4">
        <f>G416*AP416/1000</f>
        <v>14.2</v>
      </c>
      <c r="I416" s="4">
        <f>_xlfn.XLOOKUP(J416,数据!E:E,数据!S:S)*(H416/_xlfn.XLOOKUP(J416,数据!E:E,数据!X:X))</f>
        <v>734.875585585586</v>
      </c>
      <c r="J416" t="s">
        <v>1231</v>
      </c>
      <c r="K416" t="s">
        <v>31</v>
      </c>
      <c r="L416" t="s">
        <v>2374</v>
      </c>
      <c r="M416" t="s">
        <v>5084</v>
      </c>
      <c r="N416" t="s">
        <v>2376</v>
      </c>
      <c r="O416" t="s">
        <v>2400</v>
      </c>
      <c r="P416" t="s">
        <v>2378</v>
      </c>
      <c r="Q416" t="s">
        <v>2379</v>
      </c>
      <c r="R416" t="s">
        <v>5085</v>
      </c>
      <c r="S416" t="s">
        <v>2511</v>
      </c>
      <c r="T416" s="3" t="s">
        <v>5086</v>
      </c>
      <c r="U416" t="s">
        <v>5087</v>
      </c>
      <c r="V416" t="s">
        <v>5088</v>
      </c>
      <c r="W416" t="s">
        <v>5089</v>
      </c>
      <c r="X416" t="s">
        <v>2403</v>
      </c>
      <c r="Y416" t="s">
        <v>5090</v>
      </c>
      <c r="Z416" t="s">
        <v>2387</v>
      </c>
      <c r="AA416" t="s">
        <v>5086</v>
      </c>
      <c r="AB416" t="s">
        <v>4392</v>
      </c>
      <c r="AC416" t="s">
        <v>5091</v>
      </c>
      <c r="AD416" t="s">
        <v>5092</v>
      </c>
      <c r="AH416" t="s">
        <v>5067</v>
      </c>
      <c r="AI416" t="s">
        <v>4630</v>
      </c>
      <c r="AJ416" t="s">
        <v>5103</v>
      </c>
      <c r="AK416" t="s">
        <v>5104</v>
      </c>
      <c r="AL416" t="s">
        <v>5105</v>
      </c>
      <c r="AM416" t="s">
        <v>2989</v>
      </c>
      <c r="AN416" t="s">
        <v>5106</v>
      </c>
      <c r="AO416" t="s">
        <v>5103</v>
      </c>
      <c r="AP416">
        <v>100</v>
      </c>
      <c r="AQ416">
        <v>100</v>
      </c>
      <c r="AR416">
        <v>100</v>
      </c>
      <c r="AS416" t="s">
        <v>5107</v>
      </c>
      <c r="AT416">
        <v>0</v>
      </c>
      <c r="AU416">
        <v>0</v>
      </c>
      <c r="AV416">
        <v>0</v>
      </c>
    </row>
    <row r="417" spans="1:48">
      <c r="A417" s="1">
        <f>_xlfn.XLOOKUP(J417,数据!E:E,数据!A:A)</f>
        <v>2</v>
      </c>
      <c r="B417" s="1">
        <f>_xlfn.XLOOKUP(J417,数据!E:E,数据!B:B)</f>
        <v>9</v>
      </c>
      <c r="C417" s="1" t="str">
        <f>_xlfn.XLOOKUP(J417,数据!E:E,数据!J:J)</f>
        <v>空派</v>
      </c>
      <c r="D417" s="1" t="str" cm="1">
        <f t="array" ref="D417">IF(OR(C417="红单",C417="空派"),_xlfn.IFS(E417="未开售","新品首批发货",F417&lt;E417,"新品首批发货",F417-E417&lt;=60,"新品期补货空运",F417-E417&gt;60,"老品应急空运"),"海运，不进行分析")</f>
        <v>老品应急空运</v>
      </c>
      <c r="E417" s="2">
        <v>45965</v>
      </c>
      <c r="F417" s="2">
        <f>_xlfn.XLOOKUP(J417,数据!E:E,数据!C:C)</f>
        <v>46079</v>
      </c>
      <c r="G417" s="4">
        <v>236</v>
      </c>
      <c r="H417" s="4">
        <f>G417*AP417/1000</f>
        <v>12.036</v>
      </c>
      <c r="I417" s="4">
        <f>_xlfn.XLOOKUP(J417,数据!E:E,数据!S:S)*(H417/_xlfn.XLOOKUP(J417,数据!E:E,数据!X:X))</f>
        <v>769.301</v>
      </c>
      <c r="J417" t="s">
        <v>1230</v>
      </c>
      <c r="K417" t="s">
        <v>56</v>
      </c>
      <c r="L417" t="s">
        <v>2374</v>
      </c>
      <c r="M417" t="s">
        <v>5108</v>
      </c>
      <c r="N417" t="s">
        <v>2376</v>
      </c>
      <c r="O417" t="s">
        <v>2377</v>
      </c>
      <c r="P417" t="s">
        <v>2378</v>
      </c>
      <c r="Q417" t="s">
        <v>2379</v>
      </c>
      <c r="R417" t="s">
        <v>5109</v>
      </c>
      <c r="S417" t="s">
        <v>2511</v>
      </c>
      <c r="T417" s="3" t="s">
        <v>5086</v>
      </c>
      <c r="U417" t="s">
        <v>5110</v>
      </c>
      <c r="V417" t="s">
        <v>5111</v>
      </c>
      <c r="W417" t="s">
        <v>5112</v>
      </c>
      <c r="X417" t="s">
        <v>2403</v>
      </c>
      <c r="Y417" t="s">
        <v>5113</v>
      </c>
      <c r="Z417" t="s">
        <v>2387</v>
      </c>
      <c r="AA417" t="s">
        <v>5086</v>
      </c>
      <c r="AB417" t="s">
        <v>5114</v>
      </c>
      <c r="AC417" t="s">
        <v>5115</v>
      </c>
      <c r="AD417" t="s">
        <v>5092</v>
      </c>
      <c r="AH417" t="s">
        <v>5067</v>
      </c>
      <c r="AI417" t="s">
        <v>4630</v>
      </c>
      <c r="AJ417" t="s">
        <v>4871</v>
      </c>
      <c r="AK417" t="s">
        <v>4872</v>
      </c>
      <c r="AL417" t="s">
        <v>4873</v>
      </c>
      <c r="AM417" t="s">
        <v>2396</v>
      </c>
      <c r="AN417" t="s">
        <v>4874</v>
      </c>
      <c r="AO417" t="s">
        <v>4871</v>
      </c>
      <c r="AP417">
        <v>51</v>
      </c>
      <c r="AQ417">
        <v>51</v>
      </c>
      <c r="AR417">
        <v>51</v>
      </c>
      <c r="AS417" t="s">
        <v>5116</v>
      </c>
      <c r="AT417">
        <v>0</v>
      </c>
      <c r="AU417">
        <v>0</v>
      </c>
      <c r="AV417">
        <v>0</v>
      </c>
    </row>
    <row r="418" spans="1:48">
      <c r="A418" s="1">
        <f>_xlfn.XLOOKUP(J418,数据!E:E,数据!A:A)</f>
        <v>2</v>
      </c>
      <c r="B418" s="1">
        <f>_xlfn.XLOOKUP(J418,数据!E:E,数据!B:B)</f>
        <v>9</v>
      </c>
      <c r="C418" s="1" t="str">
        <f>_xlfn.XLOOKUP(J418,数据!E:E,数据!J:J)</f>
        <v>红单</v>
      </c>
      <c r="D418" s="1" t="str" cm="1">
        <f t="array" ref="D418">IF(OR(C418="红单",C418="空派"),_xlfn.IFS(E418="未开售","新品首批发货",F418&lt;E418,"新品首批发货",F418-E418&lt;=60,"新品期补货空运",F418-E418&gt;60,"老品应急空运"),"海运，不进行分析")</f>
        <v>新品首批发货</v>
      </c>
      <c r="E418" s="2">
        <v>46092</v>
      </c>
      <c r="F418" s="2">
        <f>_xlfn.XLOOKUP(J418,数据!E:E,数据!C:C)</f>
        <v>46079</v>
      </c>
      <c r="G418" s="4">
        <v>50</v>
      </c>
      <c r="H418" s="4">
        <f>G418*AP418/1000</f>
        <v>6</v>
      </c>
      <c r="I418" s="4">
        <f>_xlfn.XLOOKUP(J418,数据!E:E,数据!S:S)*(H418/_xlfn.XLOOKUP(J418,数据!E:E,数据!X:X))</f>
        <v>571.439764936337</v>
      </c>
      <c r="J418" t="s">
        <v>1229</v>
      </c>
      <c r="K418" t="s">
        <v>224</v>
      </c>
      <c r="L418" t="s">
        <v>2374</v>
      </c>
      <c r="M418" t="s">
        <v>5117</v>
      </c>
      <c r="N418" t="s">
        <v>2376</v>
      </c>
      <c r="O418" t="s">
        <v>2400</v>
      </c>
      <c r="P418" t="s">
        <v>2378</v>
      </c>
      <c r="Q418" t="s">
        <v>2379</v>
      </c>
      <c r="R418" t="s">
        <v>5118</v>
      </c>
      <c r="S418" t="s">
        <v>2511</v>
      </c>
      <c r="T418" s="3" t="s">
        <v>5119</v>
      </c>
      <c r="U418" t="s">
        <v>5120</v>
      </c>
      <c r="V418" t="s">
        <v>5121</v>
      </c>
      <c r="W418" t="s">
        <v>5122</v>
      </c>
      <c r="X418" t="s">
        <v>2403</v>
      </c>
      <c r="Y418" t="s">
        <v>5123</v>
      </c>
      <c r="Z418" t="s">
        <v>2405</v>
      </c>
      <c r="AA418" t="s">
        <v>5119</v>
      </c>
      <c r="AB418" t="s">
        <v>4868</v>
      </c>
      <c r="AC418" t="s">
        <v>5124</v>
      </c>
      <c r="AD418" t="s">
        <v>4630</v>
      </c>
      <c r="AH418" t="s">
        <v>5067</v>
      </c>
      <c r="AI418" t="s">
        <v>4630</v>
      </c>
      <c r="AJ418" t="s">
        <v>5125</v>
      </c>
      <c r="AK418" t="s">
        <v>5126</v>
      </c>
      <c r="AL418" t="s">
        <v>5127</v>
      </c>
      <c r="AM418" t="s">
        <v>4926</v>
      </c>
      <c r="AN418" t="s">
        <v>5128</v>
      </c>
      <c r="AO418" t="s">
        <v>5125</v>
      </c>
      <c r="AP418">
        <v>120</v>
      </c>
      <c r="AQ418">
        <v>120</v>
      </c>
      <c r="AR418">
        <v>120</v>
      </c>
      <c r="AS418" t="s">
        <v>5129</v>
      </c>
      <c r="AT418">
        <v>0</v>
      </c>
      <c r="AU418">
        <v>0</v>
      </c>
      <c r="AV418">
        <v>0</v>
      </c>
    </row>
    <row r="419" spans="1:48">
      <c r="A419" s="1">
        <f>_xlfn.XLOOKUP(J419,数据!E:E,数据!A:A)</f>
        <v>2</v>
      </c>
      <c r="B419" s="1">
        <f>_xlfn.XLOOKUP(J419,数据!E:E,数据!B:B)</f>
        <v>9</v>
      </c>
      <c r="C419" s="1" t="str">
        <f>_xlfn.XLOOKUP(J419,数据!E:E,数据!J:J)</f>
        <v>红单</v>
      </c>
      <c r="D419" s="1" t="str" cm="1">
        <f t="array" ref="D419">IF(OR(C419="红单",C419="空派"),_xlfn.IFS(E419="未开售","新品首批发货",F419&lt;E419,"新品首批发货",F419-E419&lt;=60,"新品期补货空运",F419-E419&gt;60,"老品应急空运"),"海运，不进行分析")</f>
        <v>新品首批发货</v>
      </c>
      <c r="E419" s="2">
        <v>46092</v>
      </c>
      <c r="F419" s="2">
        <f>_xlfn.XLOOKUP(J419,数据!E:E,数据!C:C)</f>
        <v>46079</v>
      </c>
      <c r="G419" s="4">
        <v>53</v>
      </c>
      <c r="H419" s="4">
        <f>G419*AP419/1000</f>
        <v>7.42</v>
      </c>
      <c r="I419" s="4">
        <f>_xlfn.XLOOKUP(J419,数据!E:E,数据!S:S)*(H419/_xlfn.XLOOKUP(J419,数据!E:E,数据!X:X))</f>
        <v>706.680509304603</v>
      </c>
      <c r="J419" t="s">
        <v>1229</v>
      </c>
      <c r="K419" t="s">
        <v>224</v>
      </c>
      <c r="L419" t="s">
        <v>2374</v>
      </c>
      <c r="M419" t="s">
        <v>5117</v>
      </c>
      <c r="N419" t="s">
        <v>2376</v>
      </c>
      <c r="O419" t="s">
        <v>2400</v>
      </c>
      <c r="P419" t="s">
        <v>2378</v>
      </c>
      <c r="Q419" t="s">
        <v>2379</v>
      </c>
      <c r="R419" t="s">
        <v>5118</v>
      </c>
      <c r="S419" t="s">
        <v>2511</v>
      </c>
      <c r="T419" s="3" t="s">
        <v>5119</v>
      </c>
      <c r="U419" t="s">
        <v>5120</v>
      </c>
      <c r="V419" t="s">
        <v>5121</v>
      </c>
      <c r="W419" t="s">
        <v>5122</v>
      </c>
      <c r="X419" t="s">
        <v>2403</v>
      </c>
      <c r="Y419" t="s">
        <v>5123</v>
      </c>
      <c r="Z419" t="s">
        <v>2405</v>
      </c>
      <c r="AA419" t="s">
        <v>5119</v>
      </c>
      <c r="AB419" t="s">
        <v>4868</v>
      </c>
      <c r="AC419" t="s">
        <v>5124</v>
      </c>
      <c r="AD419" t="s">
        <v>4630</v>
      </c>
      <c r="AH419" t="s">
        <v>5067</v>
      </c>
      <c r="AI419" t="s">
        <v>4630</v>
      </c>
      <c r="AJ419" t="s">
        <v>2494</v>
      </c>
      <c r="AK419" t="s">
        <v>2495</v>
      </c>
      <c r="AL419" t="s">
        <v>2496</v>
      </c>
      <c r="AM419" t="s">
        <v>2497</v>
      </c>
      <c r="AN419" t="s">
        <v>2498</v>
      </c>
      <c r="AO419" t="s">
        <v>2494</v>
      </c>
      <c r="AP419">
        <v>140</v>
      </c>
      <c r="AQ419">
        <v>140</v>
      </c>
      <c r="AR419">
        <v>141</v>
      </c>
      <c r="AS419" t="s">
        <v>5130</v>
      </c>
      <c r="AT419">
        <v>0</v>
      </c>
      <c r="AU419">
        <v>1</v>
      </c>
      <c r="AV419">
        <v>-1</v>
      </c>
    </row>
    <row r="420" spans="1:48">
      <c r="A420" s="1">
        <f>_xlfn.XLOOKUP(J420,数据!E:E,数据!A:A)</f>
        <v>2</v>
      </c>
      <c r="B420" s="1">
        <f>_xlfn.XLOOKUP(J420,数据!E:E,数据!B:B)</f>
        <v>9</v>
      </c>
      <c r="C420" s="1" t="str">
        <f>_xlfn.XLOOKUP(J420,数据!E:E,数据!J:J)</f>
        <v>红单</v>
      </c>
      <c r="D420" s="1" t="str" cm="1">
        <f t="array" ref="D420">IF(OR(C420="红单",C420="空派"),_xlfn.IFS(E420="未开售","新品首批发货",F420&lt;E420,"新品首批发货",F420-E420&lt;=60,"新品期补货空运",F420-E420&gt;60,"老品应急空运"),"海运，不进行分析")</f>
        <v>新品首批发货</v>
      </c>
      <c r="E420" s="2">
        <v>46092</v>
      </c>
      <c r="F420" s="2">
        <f>_xlfn.XLOOKUP(J420,数据!E:E,数据!C:C)</f>
        <v>46079</v>
      </c>
      <c r="G420" s="4">
        <v>50</v>
      </c>
      <c r="H420" s="4">
        <f>G420*AP420/1000</f>
        <v>7</v>
      </c>
      <c r="I420" s="4">
        <f>_xlfn.XLOOKUP(J420,数据!E:E,数据!S:S)*(H420/_xlfn.XLOOKUP(J420,数据!E:E,数据!X:X))</f>
        <v>666.67972575906</v>
      </c>
      <c r="J420" t="s">
        <v>1229</v>
      </c>
      <c r="K420" t="s">
        <v>224</v>
      </c>
      <c r="L420" t="s">
        <v>2374</v>
      </c>
      <c r="M420" t="s">
        <v>5117</v>
      </c>
      <c r="N420" t="s">
        <v>2376</v>
      </c>
      <c r="O420" t="s">
        <v>2400</v>
      </c>
      <c r="P420" t="s">
        <v>2378</v>
      </c>
      <c r="Q420" t="s">
        <v>2379</v>
      </c>
      <c r="R420" t="s">
        <v>5118</v>
      </c>
      <c r="S420" t="s">
        <v>2511</v>
      </c>
      <c r="T420" s="3" t="s">
        <v>5119</v>
      </c>
      <c r="U420" t="s">
        <v>5120</v>
      </c>
      <c r="V420" t="s">
        <v>5121</v>
      </c>
      <c r="W420" t="s">
        <v>5122</v>
      </c>
      <c r="X420" t="s">
        <v>2403</v>
      </c>
      <c r="Y420" t="s">
        <v>5123</v>
      </c>
      <c r="Z420" t="s">
        <v>2405</v>
      </c>
      <c r="AA420" t="s">
        <v>5119</v>
      </c>
      <c r="AB420" t="s">
        <v>4868</v>
      </c>
      <c r="AC420" t="s">
        <v>5124</v>
      </c>
      <c r="AD420" t="s">
        <v>4630</v>
      </c>
      <c r="AH420" t="s">
        <v>5067</v>
      </c>
      <c r="AI420" t="s">
        <v>4630</v>
      </c>
      <c r="AJ420" t="s">
        <v>3477</v>
      </c>
      <c r="AK420" t="s">
        <v>3478</v>
      </c>
      <c r="AL420" t="s">
        <v>3479</v>
      </c>
      <c r="AM420" t="s">
        <v>3479</v>
      </c>
      <c r="AN420" t="s">
        <v>3480</v>
      </c>
      <c r="AO420" t="s">
        <v>3477</v>
      </c>
      <c r="AP420">
        <v>140</v>
      </c>
      <c r="AQ420">
        <v>140</v>
      </c>
      <c r="AR420">
        <v>140</v>
      </c>
      <c r="AS420" t="s">
        <v>5131</v>
      </c>
      <c r="AT420">
        <v>0</v>
      </c>
      <c r="AU420">
        <v>0</v>
      </c>
      <c r="AV420">
        <v>0</v>
      </c>
    </row>
    <row r="421" spans="1:48">
      <c r="A421" s="1">
        <f>_xlfn.XLOOKUP(J421,数据!E:E,数据!A:A)</f>
        <v>2</v>
      </c>
      <c r="B421" s="1">
        <f>_xlfn.XLOOKUP(J421,数据!E:E,数据!B:B)</f>
        <v>9</v>
      </c>
      <c r="C421" s="1" t="str">
        <f>_xlfn.XLOOKUP(J421,数据!E:E,数据!J:J)</f>
        <v>空派</v>
      </c>
      <c r="D421" s="1" t="str" cm="1">
        <f t="array" ref="D421">IF(OR(C421="红单",C421="空派"),_xlfn.IFS(E421="未开售","新品首批发货",F421&lt;E421,"新品首批发货",F421-E421&lt;=60,"新品期补货空运",F421-E421&gt;60,"老品应急空运"),"海运，不进行分析")</f>
        <v>新品期补货空运</v>
      </c>
      <c r="E421" s="2">
        <v>46029</v>
      </c>
      <c r="F421" s="2">
        <f>_xlfn.XLOOKUP(J421,数据!E:E,数据!C:C)</f>
        <v>46078</v>
      </c>
      <c r="G421" s="4">
        <v>162</v>
      </c>
      <c r="H421" s="4">
        <f t="shared" ref="H421:H437" si="23">G421*AP421/1000</f>
        <v>8.1</v>
      </c>
      <c r="I421" s="4">
        <f>_xlfn.XLOOKUP(J421,数据!E:E,数据!S:S)*(H421/_xlfn.XLOOKUP(J421,数据!E:E,数据!X:X))</f>
        <v>347.067278213347</v>
      </c>
      <c r="J421" t="s">
        <v>1228</v>
      </c>
      <c r="K421" t="s">
        <v>56</v>
      </c>
      <c r="L421" t="s">
        <v>2374</v>
      </c>
      <c r="M421" t="s">
        <v>5132</v>
      </c>
      <c r="N421" t="s">
        <v>2376</v>
      </c>
      <c r="O421" t="s">
        <v>2400</v>
      </c>
      <c r="P421" t="s">
        <v>2378</v>
      </c>
      <c r="Q421" t="s">
        <v>2379</v>
      </c>
      <c r="S421" t="s">
        <v>2511</v>
      </c>
      <c r="T421" s="3" t="s">
        <v>5133</v>
      </c>
      <c r="U421" t="s">
        <v>5134</v>
      </c>
      <c r="V421" t="s">
        <v>5135</v>
      </c>
      <c r="W421" t="s">
        <v>5136</v>
      </c>
      <c r="X421" t="s">
        <v>2385</v>
      </c>
      <c r="Y421" t="s">
        <v>5137</v>
      </c>
      <c r="Z421" t="s">
        <v>2405</v>
      </c>
      <c r="AA421" t="s">
        <v>5133</v>
      </c>
      <c r="AB421" t="s">
        <v>5114</v>
      </c>
      <c r="AC421" t="s">
        <v>5138</v>
      </c>
      <c r="AD421" t="s">
        <v>4263</v>
      </c>
      <c r="AG421" t="s">
        <v>2541</v>
      </c>
      <c r="AH421" t="s">
        <v>4630</v>
      </c>
      <c r="AI421" t="s">
        <v>4455</v>
      </c>
      <c r="AJ421" t="s">
        <v>3088</v>
      </c>
      <c r="AK421" t="s">
        <v>3089</v>
      </c>
      <c r="AL421" t="s">
        <v>3090</v>
      </c>
      <c r="AM421" t="s">
        <v>3091</v>
      </c>
      <c r="AN421" t="s">
        <v>3092</v>
      </c>
      <c r="AO421" t="s">
        <v>3088</v>
      </c>
      <c r="AP421">
        <v>50</v>
      </c>
      <c r="AQ421">
        <v>50</v>
      </c>
      <c r="AR421">
        <v>50</v>
      </c>
      <c r="AS421" t="s">
        <v>5139</v>
      </c>
      <c r="AT421">
        <v>0</v>
      </c>
      <c r="AU421">
        <v>0</v>
      </c>
      <c r="AV421">
        <v>0</v>
      </c>
    </row>
    <row r="422" spans="1:48">
      <c r="A422" s="1">
        <f>_xlfn.XLOOKUP(J422,数据!E:E,数据!A:A)</f>
        <v>2</v>
      </c>
      <c r="B422" s="1">
        <f>_xlfn.XLOOKUP(J422,数据!E:E,数据!B:B)</f>
        <v>9</v>
      </c>
      <c r="C422" s="1" t="str">
        <f>_xlfn.XLOOKUP(J422,数据!E:E,数据!J:J)</f>
        <v>空派</v>
      </c>
      <c r="D422" s="1" t="str" cm="1">
        <f t="array" ref="D422">IF(OR(C422="红单",C422="空派"),_xlfn.IFS(E422="未开售","新品首批发货",F422&lt;E422,"新品首批发货",F422-E422&lt;=60,"新品期补货空运",F422-E422&gt;60,"老品应急空运"),"海运，不进行分析")</f>
        <v>老品应急空运</v>
      </c>
      <c r="E422" s="2">
        <v>45862</v>
      </c>
      <c r="F422" s="2">
        <f>_xlfn.XLOOKUP(J422,数据!E:E,数据!C:C)</f>
        <v>46078</v>
      </c>
      <c r="G422" s="4">
        <v>235</v>
      </c>
      <c r="H422" s="4">
        <f t="shared" si="23"/>
        <v>23.5</v>
      </c>
      <c r="I422" s="4">
        <f>_xlfn.XLOOKUP(J422,数据!E:E,数据!S:S)*(H422/_xlfn.XLOOKUP(J422,数据!E:E,数据!X:X))</f>
        <v>1006.92358493996</v>
      </c>
      <c r="J422" t="s">
        <v>1228</v>
      </c>
      <c r="K422" t="s">
        <v>56</v>
      </c>
      <c r="L422" t="s">
        <v>2374</v>
      </c>
      <c r="M422" t="s">
        <v>5132</v>
      </c>
      <c r="N422" t="s">
        <v>2376</v>
      </c>
      <c r="O422" t="s">
        <v>2400</v>
      </c>
      <c r="P422" t="s">
        <v>2378</v>
      </c>
      <c r="Q422" t="s">
        <v>2379</v>
      </c>
      <c r="S422" t="s">
        <v>2511</v>
      </c>
      <c r="T422" s="3" t="s">
        <v>5133</v>
      </c>
      <c r="U422" t="s">
        <v>5134</v>
      </c>
      <c r="V422" t="s">
        <v>5135</v>
      </c>
      <c r="W422" t="s">
        <v>5136</v>
      </c>
      <c r="X422" t="s">
        <v>2385</v>
      </c>
      <c r="Y422" t="s">
        <v>5137</v>
      </c>
      <c r="Z422" t="s">
        <v>2405</v>
      </c>
      <c r="AA422" t="s">
        <v>5133</v>
      </c>
      <c r="AB422" t="s">
        <v>5114</v>
      </c>
      <c r="AC422" t="s">
        <v>5138</v>
      </c>
      <c r="AD422" t="s">
        <v>4263</v>
      </c>
      <c r="AG422" t="s">
        <v>2541</v>
      </c>
      <c r="AH422" t="s">
        <v>4630</v>
      </c>
      <c r="AI422" t="s">
        <v>4455</v>
      </c>
      <c r="AJ422" t="s">
        <v>4987</v>
      </c>
      <c r="AK422" t="s">
        <v>4988</v>
      </c>
      <c r="AL422" t="s">
        <v>4989</v>
      </c>
      <c r="AM422" t="s">
        <v>2396</v>
      </c>
      <c r="AN422" t="s">
        <v>4990</v>
      </c>
      <c r="AO422" t="s">
        <v>4987</v>
      </c>
      <c r="AP422">
        <v>100</v>
      </c>
      <c r="AQ422">
        <v>100</v>
      </c>
      <c r="AR422">
        <v>100</v>
      </c>
      <c r="AS422" t="s">
        <v>5140</v>
      </c>
      <c r="AT422">
        <v>0</v>
      </c>
      <c r="AU422">
        <v>0</v>
      </c>
      <c r="AV422">
        <v>0</v>
      </c>
    </row>
    <row r="423" spans="1:48">
      <c r="A423" s="1">
        <f>_xlfn.XLOOKUP(J423,数据!E:E,数据!A:A)</f>
        <v>2</v>
      </c>
      <c r="B423" s="1">
        <f>_xlfn.XLOOKUP(J423,数据!E:E,数据!B:B)</f>
        <v>9</v>
      </c>
      <c r="C423" s="1" t="str">
        <f>_xlfn.XLOOKUP(J423,数据!E:E,数据!J:J)</f>
        <v>空派</v>
      </c>
      <c r="D423" s="1" t="str" cm="1">
        <f t="array" ref="D423">IF(OR(C423="红单",C423="空派"),_xlfn.IFS(E423="未开售","新品首批发货",F423&lt;E423,"新品首批发货",F423-E423&lt;=60,"新品期补货空运",F423-E423&gt;60,"老品应急空运"),"海运，不进行分析")</f>
        <v>新品期补货空运</v>
      </c>
      <c r="E423" s="2">
        <v>46019</v>
      </c>
      <c r="F423" s="2">
        <f>_xlfn.XLOOKUP(J423,数据!E:E,数据!C:C)</f>
        <v>46078</v>
      </c>
      <c r="G423" s="4">
        <v>161</v>
      </c>
      <c r="H423" s="4">
        <f t="shared" si="23"/>
        <v>4.83</v>
      </c>
      <c r="I423" s="4">
        <f>_xlfn.XLOOKUP(J423,数据!E:E,数据!S:S)*(H423/_xlfn.XLOOKUP(J423,数据!E:E,数据!X:X))</f>
        <v>206.954932564255</v>
      </c>
      <c r="J423" t="s">
        <v>1228</v>
      </c>
      <c r="K423" t="s">
        <v>56</v>
      </c>
      <c r="L423" t="s">
        <v>2374</v>
      </c>
      <c r="M423" t="s">
        <v>5132</v>
      </c>
      <c r="N423" t="s">
        <v>2376</v>
      </c>
      <c r="O423" t="s">
        <v>2400</v>
      </c>
      <c r="P423" t="s">
        <v>2378</v>
      </c>
      <c r="Q423" t="s">
        <v>2379</v>
      </c>
      <c r="S423" t="s">
        <v>2511</v>
      </c>
      <c r="T423" s="3" t="s">
        <v>5133</v>
      </c>
      <c r="U423" t="s">
        <v>5134</v>
      </c>
      <c r="V423" t="s">
        <v>5135</v>
      </c>
      <c r="W423" t="s">
        <v>5136</v>
      </c>
      <c r="X423" t="s">
        <v>2385</v>
      </c>
      <c r="Y423" t="s">
        <v>5137</v>
      </c>
      <c r="Z423" t="s">
        <v>2405</v>
      </c>
      <c r="AA423" t="s">
        <v>5133</v>
      </c>
      <c r="AB423" t="s">
        <v>5114</v>
      </c>
      <c r="AC423" t="s">
        <v>5138</v>
      </c>
      <c r="AD423" t="s">
        <v>4263</v>
      </c>
      <c r="AG423" t="s">
        <v>2541</v>
      </c>
      <c r="AH423" t="s">
        <v>4630</v>
      </c>
      <c r="AI423" t="s">
        <v>4455</v>
      </c>
      <c r="AJ423" t="s">
        <v>2818</v>
      </c>
      <c r="AK423" t="s">
        <v>2819</v>
      </c>
      <c r="AL423" t="s">
        <v>2820</v>
      </c>
      <c r="AM423" t="s">
        <v>2821</v>
      </c>
      <c r="AN423" t="s">
        <v>2822</v>
      </c>
      <c r="AO423" t="s">
        <v>2818</v>
      </c>
      <c r="AP423">
        <v>30</v>
      </c>
      <c r="AQ423">
        <v>30</v>
      </c>
      <c r="AR423">
        <v>30</v>
      </c>
      <c r="AS423" t="s">
        <v>5141</v>
      </c>
      <c r="AT423">
        <v>0</v>
      </c>
      <c r="AU423">
        <v>0</v>
      </c>
      <c r="AV423">
        <v>0</v>
      </c>
    </row>
    <row r="424" spans="1:48">
      <c r="A424" s="1">
        <f>_xlfn.XLOOKUP(J424,数据!E:E,数据!A:A)</f>
        <v>2</v>
      </c>
      <c r="B424" s="1">
        <f>_xlfn.XLOOKUP(J424,数据!E:E,数据!B:B)</f>
        <v>9</v>
      </c>
      <c r="C424" s="1" t="str">
        <f>_xlfn.XLOOKUP(J424,数据!E:E,数据!J:J)</f>
        <v>空派</v>
      </c>
      <c r="D424" s="1" t="str" cm="1">
        <f t="array" ref="D424">IF(OR(C424="红单",C424="空派"),_xlfn.IFS(E424="未开售","新品首批发货",F424&lt;E424,"新品首批发货",F424-E424&lt;=60,"新品期补货空运",F424-E424&gt;60,"老品应急空运"),"海运，不进行分析")</f>
        <v>新品首批发货</v>
      </c>
      <c r="E424" s="2">
        <v>46113</v>
      </c>
      <c r="F424" s="2">
        <f>_xlfn.XLOOKUP(J424,数据!E:E,数据!C:C)</f>
        <v>46078</v>
      </c>
      <c r="G424" s="4">
        <v>384.8</v>
      </c>
      <c r="H424" s="4">
        <f t="shared" si="23"/>
        <v>46.176</v>
      </c>
      <c r="I424" s="4">
        <f>_xlfn.XLOOKUP(J424,数据!E:E,数据!S:S)*(H424/_xlfn.XLOOKUP(J424,数据!E:E,数据!X:X))</f>
        <v>1978.54057268883</v>
      </c>
      <c r="J424" t="s">
        <v>1228</v>
      </c>
      <c r="K424" t="s">
        <v>56</v>
      </c>
      <c r="L424" t="s">
        <v>2374</v>
      </c>
      <c r="M424" t="s">
        <v>5132</v>
      </c>
      <c r="N424" t="s">
        <v>2376</v>
      </c>
      <c r="O424" t="s">
        <v>2400</v>
      </c>
      <c r="P424" t="s">
        <v>2378</v>
      </c>
      <c r="Q424" t="s">
        <v>2379</v>
      </c>
      <c r="S424" t="s">
        <v>2511</v>
      </c>
      <c r="T424" s="3" t="s">
        <v>5133</v>
      </c>
      <c r="U424" t="s">
        <v>5134</v>
      </c>
      <c r="V424" t="s">
        <v>5135</v>
      </c>
      <c r="W424" t="s">
        <v>5136</v>
      </c>
      <c r="X424" t="s">
        <v>2385</v>
      </c>
      <c r="Y424" t="s">
        <v>5137</v>
      </c>
      <c r="Z424" t="s">
        <v>2405</v>
      </c>
      <c r="AA424" t="s">
        <v>5133</v>
      </c>
      <c r="AB424" t="s">
        <v>5114</v>
      </c>
      <c r="AC424" t="s">
        <v>5138</v>
      </c>
      <c r="AD424" t="s">
        <v>4263</v>
      </c>
      <c r="AG424" t="s">
        <v>2541</v>
      </c>
      <c r="AH424" t="s">
        <v>4630</v>
      </c>
      <c r="AI424" t="s">
        <v>4455</v>
      </c>
      <c r="AJ424" t="s">
        <v>2571</v>
      </c>
      <c r="AK424" t="s">
        <v>2572</v>
      </c>
      <c r="AL424" t="s">
        <v>2573</v>
      </c>
      <c r="AM424" t="s">
        <v>2573</v>
      </c>
      <c r="AN424" t="s">
        <v>2574</v>
      </c>
      <c r="AO424" t="s">
        <v>2571</v>
      </c>
      <c r="AP424">
        <v>120</v>
      </c>
      <c r="AQ424">
        <v>120</v>
      </c>
      <c r="AR424">
        <v>120</v>
      </c>
      <c r="AS424" t="s">
        <v>5142</v>
      </c>
      <c r="AT424">
        <v>0</v>
      </c>
      <c r="AU424">
        <v>0</v>
      </c>
      <c r="AV424">
        <v>0</v>
      </c>
    </row>
    <row r="425" spans="1:48">
      <c r="A425" s="1">
        <f>_xlfn.XLOOKUP(J425,数据!E:E,数据!A:A)</f>
        <v>2</v>
      </c>
      <c r="B425" s="1">
        <f>_xlfn.XLOOKUP(J425,数据!E:E,数据!B:B)</f>
        <v>9</v>
      </c>
      <c r="C425" s="1" t="str">
        <f>_xlfn.XLOOKUP(J425,数据!E:E,数据!J:J)</f>
        <v>空派</v>
      </c>
      <c r="D425" s="1" t="str" cm="1">
        <f t="array" ref="D425">IF(OR(C425="红单",C425="空派"),_xlfn.IFS(E425="未开售","新品首批发货",F425&lt;E425,"新品首批发货",F425-E425&lt;=60,"新品期补货空运",F425-E425&gt;60,"老品应急空运"),"海运，不进行分析")</f>
        <v>新品首批发货</v>
      </c>
      <c r="E425" s="2">
        <v>46115</v>
      </c>
      <c r="F425" s="2">
        <f>_xlfn.XLOOKUP(J425,数据!E:E,数据!C:C)</f>
        <v>46078</v>
      </c>
      <c r="G425" s="4">
        <v>186</v>
      </c>
      <c r="H425" s="4">
        <f t="shared" si="23"/>
        <v>29.76</v>
      </c>
      <c r="I425" s="4">
        <f>_xlfn.XLOOKUP(J425,数据!E:E,数据!S:S)*(H425/_xlfn.XLOOKUP(J425,数据!E:E,数据!X:X))</f>
        <v>1275.15088884311</v>
      </c>
      <c r="J425" t="s">
        <v>1228</v>
      </c>
      <c r="K425" t="s">
        <v>56</v>
      </c>
      <c r="L425" t="s">
        <v>2374</v>
      </c>
      <c r="M425" t="s">
        <v>5132</v>
      </c>
      <c r="N425" t="s">
        <v>2376</v>
      </c>
      <c r="O425" t="s">
        <v>2400</v>
      </c>
      <c r="P425" t="s">
        <v>2378</v>
      </c>
      <c r="Q425" t="s">
        <v>2379</v>
      </c>
      <c r="S425" t="s">
        <v>2511</v>
      </c>
      <c r="T425" s="3" t="s">
        <v>5133</v>
      </c>
      <c r="U425" t="s">
        <v>5134</v>
      </c>
      <c r="V425" t="s">
        <v>5135</v>
      </c>
      <c r="W425" t="s">
        <v>5136</v>
      </c>
      <c r="X425" t="s">
        <v>2385</v>
      </c>
      <c r="Y425" t="s">
        <v>5137</v>
      </c>
      <c r="Z425" t="s">
        <v>2405</v>
      </c>
      <c r="AA425" t="s">
        <v>5133</v>
      </c>
      <c r="AB425" t="s">
        <v>5114</v>
      </c>
      <c r="AC425" t="s">
        <v>5138</v>
      </c>
      <c r="AD425" t="s">
        <v>4263</v>
      </c>
      <c r="AG425" t="s">
        <v>2541</v>
      </c>
      <c r="AH425" t="s">
        <v>4630</v>
      </c>
      <c r="AI425" t="s">
        <v>4455</v>
      </c>
      <c r="AJ425" t="s">
        <v>5143</v>
      </c>
      <c r="AK425" t="s">
        <v>5144</v>
      </c>
      <c r="AL425" t="s">
        <v>5145</v>
      </c>
      <c r="AM425" t="s">
        <v>5145</v>
      </c>
      <c r="AN425" t="s">
        <v>5146</v>
      </c>
      <c r="AO425" t="s">
        <v>5143</v>
      </c>
      <c r="AP425">
        <v>160</v>
      </c>
      <c r="AQ425">
        <v>160</v>
      </c>
      <c r="AR425">
        <v>160</v>
      </c>
      <c r="AS425" t="s">
        <v>5147</v>
      </c>
      <c r="AT425">
        <v>0</v>
      </c>
      <c r="AU425">
        <v>0</v>
      </c>
      <c r="AV425">
        <v>0</v>
      </c>
    </row>
    <row r="426" spans="1:48">
      <c r="A426" s="1">
        <f>_xlfn.XLOOKUP(J426,数据!E:E,数据!A:A)</f>
        <v>2</v>
      </c>
      <c r="B426" s="1">
        <f>_xlfn.XLOOKUP(J426,数据!E:E,数据!B:B)</f>
        <v>9</v>
      </c>
      <c r="C426" s="1" t="str">
        <f>_xlfn.XLOOKUP(J426,数据!E:E,数据!J:J)</f>
        <v>空派</v>
      </c>
      <c r="D426" s="1" t="str" cm="1">
        <f t="array" ref="D426">IF(OR(C426="红单",C426="空派"),_xlfn.IFS(E426="未开售","新品首批发货",F426&lt;E426,"新品首批发货",F426-E426&lt;=60,"新品期补货空运",F426-E426&gt;60,"老品应急空运"),"海运，不进行分析")</f>
        <v>新品首批发货</v>
      </c>
      <c r="E426" s="2">
        <v>46115</v>
      </c>
      <c r="F426" s="2">
        <f>_xlfn.XLOOKUP(J426,数据!E:E,数据!C:C)</f>
        <v>46078</v>
      </c>
      <c r="G426" s="4">
        <v>162</v>
      </c>
      <c r="H426" s="4">
        <f t="shared" si="23"/>
        <v>22.68</v>
      </c>
      <c r="I426" s="4">
        <f>_xlfn.XLOOKUP(J426,数据!E:E,数据!S:S)*(H426/_xlfn.XLOOKUP(J426,数据!E:E,数据!X:X))</f>
        <v>971.78837899737</v>
      </c>
      <c r="J426" t="s">
        <v>1228</v>
      </c>
      <c r="K426" t="s">
        <v>56</v>
      </c>
      <c r="L426" t="s">
        <v>2374</v>
      </c>
      <c r="M426" t="s">
        <v>5132</v>
      </c>
      <c r="N426" t="s">
        <v>2376</v>
      </c>
      <c r="O426" t="s">
        <v>2400</v>
      </c>
      <c r="P426" t="s">
        <v>2378</v>
      </c>
      <c r="Q426" t="s">
        <v>2379</v>
      </c>
      <c r="S426" t="s">
        <v>2511</v>
      </c>
      <c r="T426" s="3" t="s">
        <v>5133</v>
      </c>
      <c r="U426" t="s">
        <v>5134</v>
      </c>
      <c r="V426" t="s">
        <v>5135</v>
      </c>
      <c r="W426" t="s">
        <v>5136</v>
      </c>
      <c r="X426" t="s">
        <v>2385</v>
      </c>
      <c r="Y426" t="s">
        <v>5137</v>
      </c>
      <c r="Z426" t="s">
        <v>2405</v>
      </c>
      <c r="AA426" t="s">
        <v>5133</v>
      </c>
      <c r="AB426" t="s">
        <v>5114</v>
      </c>
      <c r="AC426" t="s">
        <v>5138</v>
      </c>
      <c r="AD426" t="s">
        <v>4263</v>
      </c>
      <c r="AG426" t="s">
        <v>2541</v>
      </c>
      <c r="AH426" t="s">
        <v>4630</v>
      </c>
      <c r="AI426" t="s">
        <v>4455</v>
      </c>
      <c r="AJ426" t="s">
        <v>5148</v>
      </c>
      <c r="AK426" t="s">
        <v>5149</v>
      </c>
      <c r="AL426" t="s">
        <v>5150</v>
      </c>
      <c r="AM426" t="s">
        <v>5150</v>
      </c>
      <c r="AN426" t="s">
        <v>5151</v>
      </c>
      <c r="AO426" t="s">
        <v>5148</v>
      </c>
      <c r="AP426">
        <v>140</v>
      </c>
      <c r="AQ426">
        <v>140</v>
      </c>
      <c r="AR426">
        <v>139</v>
      </c>
      <c r="AS426" t="s">
        <v>5152</v>
      </c>
      <c r="AT426">
        <v>0</v>
      </c>
      <c r="AU426">
        <v>-1</v>
      </c>
      <c r="AV426">
        <v>1</v>
      </c>
    </row>
    <row r="427" spans="1:48">
      <c r="A427" s="1">
        <f>_xlfn.XLOOKUP(J427,数据!E:E,数据!A:A)</f>
        <v>2</v>
      </c>
      <c r="B427" s="1">
        <f>_xlfn.XLOOKUP(J427,数据!E:E,数据!B:B)</f>
        <v>9</v>
      </c>
      <c r="C427" s="1" t="str">
        <f>_xlfn.XLOOKUP(J427,数据!E:E,数据!J:J)</f>
        <v>空派</v>
      </c>
      <c r="D427" s="1" t="str" cm="1">
        <f t="array" ref="D427">IF(OR(C427="红单",C427="空派"),_xlfn.IFS(E427="未开售","新品首批发货",F427&lt;E427,"新品首批发货",F427-E427&lt;=60,"新品期补货空运",F427-E427&gt;60,"老品应急空运"),"海运，不进行分析")</f>
        <v>新品首批发货</v>
      </c>
      <c r="E427" s="2">
        <v>46113</v>
      </c>
      <c r="F427" s="2">
        <f>_xlfn.XLOOKUP(J427,数据!E:E,数据!C:C)</f>
        <v>46078</v>
      </c>
      <c r="G427" s="4">
        <v>250</v>
      </c>
      <c r="H427" s="4">
        <f t="shared" si="23"/>
        <v>30</v>
      </c>
      <c r="I427" s="4">
        <f>_xlfn.XLOOKUP(J427,数据!E:E,数据!S:S)*(H427/_xlfn.XLOOKUP(J427,数据!E:E,数据!X:X))</f>
        <v>1285.43436375314</v>
      </c>
      <c r="J427" t="s">
        <v>1228</v>
      </c>
      <c r="K427" t="s">
        <v>56</v>
      </c>
      <c r="L427" t="s">
        <v>2374</v>
      </c>
      <c r="M427" t="s">
        <v>5132</v>
      </c>
      <c r="N427" t="s">
        <v>2376</v>
      </c>
      <c r="O427" t="s">
        <v>2400</v>
      </c>
      <c r="P427" t="s">
        <v>2378</v>
      </c>
      <c r="Q427" t="s">
        <v>2379</v>
      </c>
      <c r="S427" t="s">
        <v>2511</v>
      </c>
      <c r="T427" s="3" t="s">
        <v>5133</v>
      </c>
      <c r="U427" t="s">
        <v>5134</v>
      </c>
      <c r="V427" t="s">
        <v>5135</v>
      </c>
      <c r="W427" t="s">
        <v>5136</v>
      </c>
      <c r="X427" t="s">
        <v>2385</v>
      </c>
      <c r="Y427" t="s">
        <v>5137</v>
      </c>
      <c r="Z427" t="s">
        <v>2405</v>
      </c>
      <c r="AA427" t="s">
        <v>5133</v>
      </c>
      <c r="AB427" t="s">
        <v>5114</v>
      </c>
      <c r="AC427" t="s">
        <v>5138</v>
      </c>
      <c r="AD427" t="s">
        <v>4263</v>
      </c>
      <c r="AG427" t="s">
        <v>2541</v>
      </c>
      <c r="AH427" t="s">
        <v>4630</v>
      </c>
      <c r="AI427" t="s">
        <v>4455</v>
      </c>
      <c r="AJ427" t="s">
        <v>2830</v>
      </c>
      <c r="AK427" t="s">
        <v>2831</v>
      </c>
      <c r="AL427" t="s">
        <v>2832</v>
      </c>
      <c r="AM427" t="s">
        <v>2832</v>
      </c>
      <c r="AN427" t="s">
        <v>2833</v>
      </c>
      <c r="AO427" t="s">
        <v>2830</v>
      </c>
      <c r="AP427">
        <v>120</v>
      </c>
      <c r="AQ427">
        <v>120</v>
      </c>
      <c r="AR427">
        <v>120</v>
      </c>
      <c r="AS427" t="s">
        <v>5153</v>
      </c>
      <c r="AT427">
        <v>0</v>
      </c>
      <c r="AU427">
        <v>0</v>
      </c>
      <c r="AV427">
        <v>0</v>
      </c>
    </row>
    <row r="428" spans="1:48">
      <c r="A428" s="1">
        <f>_xlfn.XLOOKUP(J428,数据!E:E,数据!A:A)</f>
        <v>2</v>
      </c>
      <c r="B428" s="1">
        <f>_xlfn.XLOOKUP(J428,数据!E:E,数据!B:B)</f>
        <v>9</v>
      </c>
      <c r="C428" s="1" t="str">
        <f>_xlfn.XLOOKUP(J428,数据!E:E,数据!J:J)</f>
        <v>空派</v>
      </c>
      <c r="D428" s="1" t="str" cm="1">
        <f t="array" ref="D428">IF(OR(C428="红单",C428="空派"),_xlfn.IFS(E428="未开售","新品首批发货",F428&lt;E428,"新品首批发货",F428-E428&lt;=60,"新品期补货空运",F428-E428&gt;60,"老品应急空运"),"海运，不进行分析")</f>
        <v>老品应急空运</v>
      </c>
      <c r="E428" s="2">
        <v>46017</v>
      </c>
      <c r="F428" s="2">
        <f>_xlfn.XLOOKUP(J428,数据!E:E,数据!C:C)</f>
        <v>46078</v>
      </c>
      <c r="G428" s="4">
        <v>457</v>
      </c>
      <c r="H428" s="4">
        <f t="shared" si="23"/>
        <v>18.28</v>
      </c>
      <c r="I428" s="4">
        <f>_xlfn.XLOOKUP(J428,数据!E:E,数据!S:S)*(H428/_xlfn.XLOOKUP(J428,数据!E:E,数据!X:X))</f>
        <v>888.948</v>
      </c>
      <c r="J428" t="s">
        <v>1226</v>
      </c>
      <c r="K428" t="s">
        <v>39</v>
      </c>
      <c r="L428" t="s">
        <v>2374</v>
      </c>
      <c r="M428" t="s">
        <v>5154</v>
      </c>
      <c r="N428" t="s">
        <v>2376</v>
      </c>
      <c r="O428" t="s">
        <v>2377</v>
      </c>
      <c r="P428" t="s">
        <v>2378</v>
      </c>
      <c r="Q428" t="s">
        <v>2379</v>
      </c>
      <c r="S428" t="s">
        <v>2511</v>
      </c>
      <c r="T428" s="3" t="s">
        <v>5133</v>
      </c>
      <c r="U428" t="s">
        <v>5155</v>
      </c>
      <c r="V428" t="s">
        <v>5156</v>
      </c>
      <c r="W428" t="s">
        <v>5157</v>
      </c>
      <c r="X428" t="s">
        <v>2403</v>
      </c>
      <c r="Y428" t="s">
        <v>5158</v>
      </c>
      <c r="Z428" t="s">
        <v>2387</v>
      </c>
      <c r="AA428" t="s">
        <v>5133</v>
      </c>
      <c r="AB428" t="s">
        <v>5159</v>
      </c>
      <c r="AC428" t="s">
        <v>5160</v>
      </c>
      <c r="AD428" t="s">
        <v>4263</v>
      </c>
      <c r="AG428" t="s">
        <v>2541</v>
      </c>
      <c r="AH428" t="s">
        <v>4630</v>
      </c>
      <c r="AI428" t="s">
        <v>4455</v>
      </c>
      <c r="AJ428" t="s">
        <v>5161</v>
      </c>
      <c r="AK428" t="s">
        <v>5162</v>
      </c>
      <c r="AL428" t="s">
        <v>5163</v>
      </c>
      <c r="AM428" t="s">
        <v>4050</v>
      </c>
      <c r="AN428" t="s">
        <v>5164</v>
      </c>
      <c r="AO428" t="s">
        <v>5161</v>
      </c>
      <c r="AP428">
        <v>40</v>
      </c>
      <c r="AQ428">
        <v>40</v>
      </c>
      <c r="AR428">
        <v>40</v>
      </c>
      <c r="AS428" t="s">
        <v>5165</v>
      </c>
      <c r="AT428">
        <v>0</v>
      </c>
      <c r="AU428">
        <v>0</v>
      </c>
      <c r="AV428">
        <v>0</v>
      </c>
    </row>
    <row r="429" spans="1:48">
      <c r="A429" s="1">
        <f>_xlfn.XLOOKUP(J429,数据!E:E,数据!A:A)</f>
        <v>2</v>
      </c>
      <c r="B429" s="1">
        <f>_xlfn.XLOOKUP(J429,数据!E:E,数据!B:B)</f>
        <v>9</v>
      </c>
      <c r="C429" s="1" t="str">
        <f>_xlfn.XLOOKUP(J429,数据!E:E,数据!J:J)</f>
        <v>空派</v>
      </c>
      <c r="D429" s="1" t="str" cm="1">
        <f t="array" ref="D429">IF(OR(C429="红单",C429="空派"),_xlfn.IFS(E429="未开售","新品首批发货",F429&lt;E429,"新品首批发货",F429-E429&lt;=60,"新品期补货空运",F429-E429&gt;60,"老品应急空运"),"海运，不进行分析")</f>
        <v>新品期补货空运</v>
      </c>
      <c r="E429" s="2">
        <v>46028</v>
      </c>
      <c r="F429" s="2">
        <f>_xlfn.XLOOKUP(J429,数据!E:E,数据!C:C)</f>
        <v>46078</v>
      </c>
      <c r="G429" s="4">
        <v>143</v>
      </c>
      <c r="H429" s="4">
        <f t="shared" si="23"/>
        <v>7.15</v>
      </c>
      <c r="I429" s="4">
        <f>_xlfn.XLOOKUP(J429,数据!E:E,数据!S:S)*(H429/_xlfn.XLOOKUP(J429,数据!E:E,数据!X:X))</f>
        <v>423.722740213523</v>
      </c>
      <c r="J429" t="s">
        <v>1225</v>
      </c>
      <c r="K429" t="s">
        <v>31</v>
      </c>
      <c r="L429" t="s">
        <v>2374</v>
      </c>
      <c r="M429" t="s">
        <v>5166</v>
      </c>
      <c r="N429" t="s">
        <v>2376</v>
      </c>
      <c r="O429" t="s">
        <v>2400</v>
      </c>
      <c r="P429" t="s">
        <v>2378</v>
      </c>
      <c r="Q429" t="s">
        <v>2379</v>
      </c>
      <c r="S429" t="s">
        <v>2511</v>
      </c>
      <c r="T429" s="3" t="s">
        <v>5167</v>
      </c>
      <c r="U429" t="s">
        <v>5168</v>
      </c>
      <c r="V429" t="s">
        <v>5169</v>
      </c>
      <c r="W429" t="s">
        <v>5170</v>
      </c>
      <c r="X429" t="s">
        <v>2385</v>
      </c>
      <c r="Y429" t="s">
        <v>5171</v>
      </c>
      <c r="Z429" t="s">
        <v>2405</v>
      </c>
      <c r="AA429" t="s">
        <v>5167</v>
      </c>
      <c r="AB429" t="s">
        <v>4392</v>
      </c>
      <c r="AC429" t="s">
        <v>5172</v>
      </c>
      <c r="AD429" t="s">
        <v>5173</v>
      </c>
      <c r="AG429" t="s">
        <v>2432</v>
      </c>
      <c r="AH429" t="s">
        <v>5067</v>
      </c>
      <c r="AI429" t="s">
        <v>4630</v>
      </c>
      <c r="AJ429" t="s">
        <v>3920</v>
      </c>
      <c r="AK429" t="s">
        <v>3921</v>
      </c>
      <c r="AL429" t="s">
        <v>3922</v>
      </c>
      <c r="AM429" t="s">
        <v>2787</v>
      </c>
      <c r="AN429" t="s">
        <v>3923</v>
      </c>
      <c r="AO429" t="s">
        <v>3920</v>
      </c>
      <c r="AP429">
        <v>50</v>
      </c>
      <c r="AQ429">
        <v>50</v>
      </c>
      <c r="AR429">
        <v>49</v>
      </c>
      <c r="AS429" t="s">
        <v>5174</v>
      </c>
      <c r="AT429">
        <v>0</v>
      </c>
      <c r="AU429">
        <v>-1</v>
      </c>
      <c r="AV429">
        <v>1</v>
      </c>
    </row>
    <row r="430" spans="1:48">
      <c r="A430" s="1">
        <f>_xlfn.XLOOKUP(J430,数据!E:E,数据!A:A)</f>
        <v>2</v>
      </c>
      <c r="B430" s="1">
        <f>_xlfn.XLOOKUP(J430,数据!E:E,数据!B:B)</f>
        <v>9</v>
      </c>
      <c r="C430" s="1" t="str">
        <f>_xlfn.XLOOKUP(J430,数据!E:E,数据!J:J)</f>
        <v>空派</v>
      </c>
      <c r="D430" s="1" t="str" cm="1">
        <f t="array" ref="D430">IF(OR(C430="红单",C430="空派"),_xlfn.IFS(E430="未开售","新品首批发货",F430&lt;E430,"新品首批发货",F430-E430&lt;=60,"新品期补货空运",F430-E430&gt;60,"老品应急空运"),"海运，不进行分析")</f>
        <v>老品应急空运</v>
      </c>
      <c r="E430" s="2">
        <v>46017</v>
      </c>
      <c r="F430" s="2">
        <f>_xlfn.XLOOKUP(J430,数据!E:E,数据!C:C)</f>
        <v>46078</v>
      </c>
      <c r="G430" s="4">
        <v>144</v>
      </c>
      <c r="H430" s="4">
        <f t="shared" si="23"/>
        <v>1.44</v>
      </c>
      <c r="I430" s="4">
        <f>_xlfn.XLOOKUP(J430,数据!E:E,数据!S:S)*(H430/_xlfn.XLOOKUP(J430,数据!E:E,数据!X:X))</f>
        <v>85.3371672597865</v>
      </c>
      <c r="J430" t="s">
        <v>1225</v>
      </c>
      <c r="K430" t="s">
        <v>31</v>
      </c>
      <c r="L430" t="s">
        <v>2374</v>
      </c>
      <c r="M430" t="s">
        <v>5166</v>
      </c>
      <c r="N430" t="s">
        <v>2376</v>
      </c>
      <c r="O430" t="s">
        <v>2400</v>
      </c>
      <c r="P430" t="s">
        <v>2378</v>
      </c>
      <c r="Q430" t="s">
        <v>2379</v>
      </c>
      <c r="S430" t="s">
        <v>2511</v>
      </c>
      <c r="T430" s="3" t="s">
        <v>5167</v>
      </c>
      <c r="U430" t="s">
        <v>5168</v>
      </c>
      <c r="V430" t="s">
        <v>5169</v>
      </c>
      <c r="W430" t="s">
        <v>5170</v>
      </c>
      <c r="X430" t="s">
        <v>2385</v>
      </c>
      <c r="Y430" t="s">
        <v>5171</v>
      </c>
      <c r="Z430" t="s">
        <v>2405</v>
      </c>
      <c r="AA430" t="s">
        <v>5167</v>
      </c>
      <c r="AB430" t="s">
        <v>4392</v>
      </c>
      <c r="AC430" t="s">
        <v>5172</v>
      </c>
      <c r="AD430" t="s">
        <v>5173</v>
      </c>
      <c r="AG430" t="s">
        <v>2432</v>
      </c>
      <c r="AH430" t="s">
        <v>5067</v>
      </c>
      <c r="AI430" t="s">
        <v>4630</v>
      </c>
      <c r="AJ430" t="s">
        <v>5007</v>
      </c>
      <c r="AK430" t="s">
        <v>5008</v>
      </c>
      <c r="AL430" t="s">
        <v>5009</v>
      </c>
      <c r="AM430" t="s">
        <v>2989</v>
      </c>
      <c r="AN430" t="s">
        <v>5010</v>
      </c>
      <c r="AO430" t="s">
        <v>5007</v>
      </c>
      <c r="AP430">
        <v>10</v>
      </c>
      <c r="AQ430">
        <v>10</v>
      </c>
      <c r="AR430">
        <v>10</v>
      </c>
      <c r="AS430" t="s">
        <v>4518</v>
      </c>
      <c r="AT430">
        <v>0</v>
      </c>
      <c r="AU430">
        <v>0</v>
      </c>
      <c r="AV430">
        <v>0</v>
      </c>
    </row>
    <row r="431" spans="1:48">
      <c r="A431" s="1">
        <f>_xlfn.XLOOKUP(J431,数据!E:E,数据!A:A)</f>
        <v>2</v>
      </c>
      <c r="B431" s="1">
        <f>_xlfn.XLOOKUP(J431,数据!E:E,数据!B:B)</f>
        <v>9</v>
      </c>
      <c r="C431" s="1" t="str">
        <f>_xlfn.XLOOKUP(J431,数据!E:E,数据!J:J)</f>
        <v>空派</v>
      </c>
      <c r="D431" s="1" t="str" cm="1">
        <f t="array" ref="D431">IF(OR(C431="红单",C431="空派"),_xlfn.IFS(E431="未开售","新品首批发货",F431&lt;E431,"新品首批发货",F431-E431&lt;=60,"新品期补货空运",F431-E431&gt;60,"老品应急空运"),"海运，不进行分析")</f>
        <v>老品应急空运</v>
      </c>
      <c r="E431" s="2">
        <v>45945</v>
      </c>
      <c r="F431" s="2">
        <f>_xlfn.XLOOKUP(J431,数据!E:E,数据!C:C)</f>
        <v>46078</v>
      </c>
      <c r="G431" s="4">
        <v>364</v>
      </c>
      <c r="H431" s="4">
        <f t="shared" si="23"/>
        <v>5.46</v>
      </c>
      <c r="I431" s="4">
        <f>_xlfn.XLOOKUP(J431,数据!E:E,数据!S:S)*(H431/_xlfn.XLOOKUP(J431,数据!E:E,数据!X:X))</f>
        <v>323.57009252669</v>
      </c>
      <c r="J431" t="s">
        <v>1225</v>
      </c>
      <c r="K431" t="s">
        <v>31</v>
      </c>
      <c r="L431" t="s">
        <v>2374</v>
      </c>
      <c r="M431" t="s">
        <v>5166</v>
      </c>
      <c r="N431" t="s">
        <v>2376</v>
      </c>
      <c r="O431" t="s">
        <v>2400</v>
      </c>
      <c r="P431" t="s">
        <v>2378</v>
      </c>
      <c r="Q431" t="s">
        <v>2379</v>
      </c>
      <c r="S431" t="s">
        <v>2511</v>
      </c>
      <c r="T431" s="3" t="s">
        <v>5167</v>
      </c>
      <c r="U431" t="s">
        <v>5168</v>
      </c>
      <c r="V431" t="s">
        <v>5169</v>
      </c>
      <c r="W431" t="s">
        <v>5170</v>
      </c>
      <c r="X431" t="s">
        <v>2385</v>
      </c>
      <c r="Y431" t="s">
        <v>5171</v>
      </c>
      <c r="Z431" t="s">
        <v>2405</v>
      </c>
      <c r="AA431" t="s">
        <v>5167</v>
      </c>
      <c r="AB431" t="s">
        <v>4392</v>
      </c>
      <c r="AC431" t="s">
        <v>5172</v>
      </c>
      <c r="AD431" t="s">
        <v>5173</v>
      </c>
      <c r="AG431" t="s">
        <v>2432</v>
      </c>
      <c r="AH431" t="s">
        <v>5067</v>
      </c>
      <c r="AI431" t="s">
        <v>4630</v>
      </c>
      <c r="AJ431" t="s">
        <v>4965</v>
      </c>
      <c r="AK431" t="s">
        <v>4966</v>
      </c>
      <c r="AL431" t="s">
        <v>4967</v>
      </c>
      <c r="AM431" t="s">
        <v>2781</v>
      </c>
      <c r="AN431" t="s">
        <v>4968</v>
      </c>
      <c r="AO431" t="s">
        <v>4965</v>
      </c>
      <c r="AP431">
        <v>15</v>
      </c>
      <c r="AQ431">
        <v>15</v>
      </c>
      <c r="AR431">
        <v>15</v>
      </c>
      <c r="AS431" t="s">
        <v>5175</v>
      </c>
      <c r="AT431">
        <v>0</v>
      </c>
      <c r="AU431">
        <v>0</v>
      </c>
      <c r="AV431">
        <v>0</v>
      </c>
    </row>
    <row r="432" spans="1:48">
      <c r="A432" s="1">
        <f>_xlfn.XLOOKUP(J432,数据!E:E,数据!A:A)</f>
        <v>2</v>
      </c>
      <c r="B432" s="1">
        <f>_xlfn.XLOOKUP(J432,数据!E:E,数据!B:B)</f>
        <v>9</v>
      </c>
      <c r="C432" s="1" t="str">
        <f>_xlfn.XLOOKUP(J432,数据!E:E,数据!J:J)</f>
        <v>空派</v>
      </c>
      <c r="D432" s="1" t="str" cm="1">
        <f t="array" ref="D432">IF(OR(C432="红单",C432="空派"),_xlfn.IFS(E432="未开售","新品首批发货",F432&lt;E432,"新品首批发货",F432-E432&lt;=60,"新品期补货空运",F432-E432&gt;60,"老品应急空运"),"海运，不进行分析")</f>
        <v>老品应急空运</v>
      </c>
      <c r="E432" s="2">
        <v>45148</v>
      </c>
      <c r="F432" s="2">
        <f>_xlfn.XLOOKUP(J432,数据!E:E,数据!C:C)</f>
        <v>46078</v>
      </c>
      <c r="G432" s="4">
        <v>299</v>
      </c>
      <c r="H432" s="4">
        <f t="shared" si="23"/>
        <v>3.588</v>
      </c>
      <c r="I432" s="4">
        <f>_xlfn.XLOOKUP(J432,数据!E:E,数据!S:S)*(H432/_xlfn.XLOOKUP(J432,数据!E:E,数据!X:X))</f>
        <v>227.761482263514</v>
      </c>
      <c r="J432" t="s">
        <v>1224</v>
      </c>
      <c r="K432" t="s">
        <v>37</v>
      </c>
      <c r="L432" t="s">
        <v>2374</v>
      </c>
      <c r="M432" t="s">
        <v>5176</v>
      </c>
      <c r="N432" t="s">
        <v>2376</v>
      </c>
      <c r="O432" t="s">
        <v>2400</v>
      </c>
      <c r="P432" t="s">
        <v>2378</v>
      </c>
      <c r="Q432" t="s">
        <v>2379</v>
      </c>
      <c r="S432" t="s">
        <v>2511</v>
      </c>
      <c r="T432" s="3" t="s">
        <v>5167</v>
      </c>
      <c r="U432" t="s">
        <v>5177</v>
      </c>
      <c r="V432" t="s">
        <v>5178</v>
      </c>
      <c r="W432" t="s">
        <v>5179</v>
      </c>
      <c r="X432" t="s">
        <v>2385</v>
      </c>
      <c r="Y432" t="s">
        <v>5180</v>
      </c>
      <c r="Z432" t="s">
        <v>2405</v>
      </c>
      <c r="AA432" t="s">
        <v>5167</v>
      </c>
      <c r="AB432" t="s">
        <v>4897</v>
      </c>
      <c r="AC432" t="s">
        <v>5181</v>
      </c>
      <c r="AD432" t="s">
        <v>5173</v>
      </c>
      <c r="AG432" t="s">
        <v>2432</v>
      </c>
      <c r="AH432" t="s">
        <v>5067</v>
      </c>
      <c r="AI432" t="s">
        <v>4630</v>
      </c>
      <c r="AJ432" t="s">
        <v>5182</v>
      </c>
      <c r="AK432" t="s">
        <v>5183</v>
      </c>
      <c r="AL432" t="s">
        <v>5184</v>
      </c>
      <c r="AM432" t="s">
        <v>5185</v>
      </c>
      <c r="AN432" t="s">
        <v>5186</v>
      </c>
      <c r="AO432" t="s">
        <v>5182</v>
      </c>
      <c r="AP432">
        <v>12</v>
      </c>
      <c r="AQ432">
        <v>12</v>
      </c>
      <c r="AR432">
        <v>12</v>
      </c>
      <c r="AS432" t="s">
        <v>5187</v>
      </c>
      <c r="AT432">
        <v>0</v>
      </c>
      <c r="AU432">
        <v>0</v>
      </c>
      <c r="AV432">
        <v>0</v>
      </c>
    </row>
    <row r="433" spans="1:48">
      <c r="A433" s="1">
        <f>_xlfn.XLOOKUP(J433,数据!E:E,数据!A:A)</f>
        <v>2</v>
      </c>
      <c r="B433" s="1">
        <f>_xlfn.XLOOKUP(J433,数据!E:E,数据!B:B)</f>
        <v>9</v>
      </c>
      <c r="C433" s="1" t="str">
        <f>_xlfn.XLOOKUP(J433,数据!E:E,数据!J:J)</f>
        <v>空派</v>
      </c>
      <c r="D433" s="1" t="str" cm="1">
        <f t="array" ref="D433">IF(OR(C433="红单",C433="空派"),_xlfn.IFS(E433="未开售","新品首批发货",F433&lt;E433,"新品首批发货",F433-E433&lt;=60,"新品期补货空运",F433-E433&gt;60,"老品应急空运"),"海运，不进行分析")</f>
        <v>老品应急空运</v>
      </c>
      <c r="E433" s="2">
        <v>44604</v>
      </c>
      <c r="F433" s="2">
        <f>_xlfn.XLOOKUP(J433,数据!E:E,数据!C:C)</f>
        <v>46078</v>
      </c>
      <c r="G433" s="4">
        <v>142</v>
      </c>
      <c r="H433" s="4">
        <f t="shared" si="23"/>
        <v>1.42</v>
      </c>
      <c r="I433" s="4">
        <f>_xlfn.XLOOKUP(J433,数据!E:E,数据!S:S)*(H433/_xlfn.XLOOKUP(J433,数据!E:E,数据!X:X))</f>
        <v>90.1397170608108</v>
      </c>
      <c r="J433" t="s">
        <v>1224</v>
      </c>
      <c r="K433" t="s">
        <v>37</v>
      </c>
      <c r="L433" t="s">
        <v>2374</v>
      </c>
      <c r="M433" t="s">
        <v>5176</v>
      </c>
      <c r="N433" t="s">
        <v>2376</v>
      </c>
      <c r="O433" t="s">
        <v>2400</v>
      </c>
      <c r="P433" t="s">
        <v>2378</v>
      </c>
      <c r="Q433" t="s">
        <v>2379</v>
      </c>
      <c r="S433" t="s">
        <v>2511</v>
      </c>
      <c r="T433" s="3" t="s">
        <v>5167</v>
      </c>
      <c r="U433" t="s">
        <v>5177</v>
      </c>
      <c r="V433" t="s">
        <v>5178</v>
      </c>
      <c r="W433" t="s">
        <v>5179</v>
      </c>
      <c r="X433" t="s">
        <v>2385</v>
      </c>
      <c r="Y433" t="s">
        <v>5180</v>
      </c>
      <c r="Z433" t="s">
        <v>2405</v>
      </c>
      <c r="AA433" t="s">
        <v>5167</v>
      </c>
      <c r="AB433" t="s">
        <v>4897</v>
      </c>
      <c r="AC433" t="s">
        <v>5181</v>
      </c>
      <c r="AD433" t="s">
        <v>5173</v>
      </c>
      <c r="AG433" t="s">
        <v>2432</v>
      </c>
      <c r="AH433" t="s">
        <v>5067</v>
      </c>
      <c r="AI433" t="s">
        <v>4630</v>
      </c>
      <c r="AJ433" t="s">
        <v>5188</v>
      </c>
      <c r="AK433" t="s">
        <v>5189</v>
      </c>
      <c r="AL433" t="s">
        <v>5190</v>
      </c>
      <c r="AM433" t="s">
        <v>5191</v>
      </c>
      <c r="AN433" t="s">
        <v>5192</v>
      </c>
      <c r="AO433" t="s">
        <v>5188</v>
      </c>
      <c r="AP433">
        <v>10</v>
      </c>
      <c r="AQ433">
        <v>10</v>
      </c>
      <c r="AR433">
        <v>10</v>
      </c>
      <c r="AS433" t="s">
        <v>5193</v>
      </c>
      <c r="AT433">
        <v>0</v>
      </c>
      <c r="AU433">
        <v>0</v>
      </c>
      <c r="AV433">
        <v>0</v>
      </c>
    </row>
    <row r="434" spans="1:48">
      <c r="A434" s="1">
        <f>_xlfn.XLOOKUP(J434,数据!E:E,数据!A:A)</f>
        <v>2</v>
      </c>
      <c r="B434" s="1">
        <f>_xlfn.XLOOKUP(J434,数据!E:E,数据!B:B)</f>
        <v>9</v>
      </c>
      <c r="C434" s="1" t="str">
        <f>_xlfn.XLOOKUP(J434,数据!E:E,数据!J:J)</f>
        <v>空派</v>
      </c>
      <c r="D434" s="1" t="str" cm="1">
        <f t="array" ref="D434">IF(OR(C434="红单",C434="空派"),_xlfn.IFS(E434="未开售","新品首批发货",F434&lt;E434,"新品首批发货",F434-E434&lt;=60,"新品期补货空运",F434-E434&gt;60,"老品应急空运"),"海运，不进行分析")</f>
        <v>老品应急空运</v>
      </c>
      <c r="E434" s="2">
        <v>45847</v>
      </c>
      <c r="F434" s="2">
        <f>_xlfn.XLOOKUP(J434,数据!E:E,数据!C:C)</f>
        <v>46078</v>
      </c>
      <c r="G434" s="4">
        <v>200</v>
      </c>
      <c r="H434" s="4">
        <f t="shared" si="23"/>
        <v>2.2</v>
      </c>
      <c r="I434" s="4">
        <f>_xlfn.XLOOKUP(J434,数据!E:E,数据!S:S)*(H434/_xlfn.XLOOKUP(J434,数据!E:E,数据!X:X))</f>
        <v>139.65308277027</v>
      </c>
      <c r="J434" t="s">
        <v>1224</v>
      </c>
      <c r="K434" t="s">
        <v>37</v>
      </c>
      <c r="L434" t="s">
        <v>2374</v>
      </c>
      <c r="M434" t="s">
        <v>5176</v>
      </c>
      <c r="N434" t="s">
        <v>2376</v>
      </c>
      <c r="O434" t="s">
        <v>2400</v>
      </c>
      <c r="P434" t="s">
        <v>2378</v>
      </c>
      <c r="Q434" t="s">
        <v>2379</v>
      </c>
      <c r="S434" t="s">
        <v>2511</v>
      </c>
      <c r="T434" s="3" t="s">
        <v>5167</v>
      </c>
      <c r="U434" t="s">
        <v>5177</v>
      </c>
      <c r="V434" t="s">
        <v>5178</v>
      </c>
      <c r="W434" t="s">
        <v>5179</v>
      </c>
      <c r="X434" t="s">
        <v>2385</v>
      </c>
      <c r="Y434" t="s">
        <v>5180</v>
      </c>
      <c r="Z434" t="s">
        <v>2405</v>
      </c>
      <c r="AA434" t="s">
        <v>5167</v>
      </c>
      <c r="AB434" t="s">
        <v>4897</v>
      </c>
      <c r="AC434" t="s">
        <v>5181</v>
      </c>
      <c r="AD434" t="s">
        <v>5173</v>
      </c>
      <c r="AG434" t="s">
        <v>2432</v>
      </c>
      <c r="AH434" t="s">
        <v>5067</v>
      </c>
      <c r="AI434" t="s">
        <v>4630</v>
      </c>
      <c r="AJ434" t="s">
        <v>4883</v>
      </c>
      <c r="AK434" t="s">
        <v>4884</v>
      </c>
      <c r="AL434" t="s">
        <v>4885</v>
      </c>
      <c r="AM434" t="s">
        <v>4885</v>
      </c>
      <c r="AN434" t="s">
        <v>4886</v>
      </c>
      <c r="AO434" t="s">
        <v>4883</v>
      </c>
      <c r="AP434">
        <v>11</v>
      </c>
      <c r="AQ434">
        <v>11</v>
      </c>
      <c r="AR434">
        <v>11</v>
      </c>
      <c r="AS434" t="s">
        <v>5194</v>
      </c>
      <c r="AT434">
        <v>0</v>
      </c>
      <c r="AU434">
        <v>0</v>
      </c>
      <c r="AV434">
        <v>0</v>
      </c>
    </row>
    <row r="435" spans="1:48">
      <c r="A435" s="1">
        <f>_xlfn.XLOOKUP(J435,数据!E:E,数据!A:A)</f>
        <v>2</v>
      </c>
      <c r="B435" s="1">
        <f>_xlfn.XLOOKUP(J435,数据!E:E,数据!B:B)</f>
        <v>9</v>
      </c>
      <c r="C435" s="1" t="str">
        <f>_xlfn.XLOOKUP(J435,数据!E:E,数据!J:J)</f>
        <v>空派</v>
      </c>
      <c r="D435" s="1" t="str" cm="1">
        <f t="array" ref="D435">IF(OR(C435="红单",C435="空派"),_xlfn.IFS(E435="未开售","新品首批发货",F435&lt;E435,"新品首批发货",F435-E435&lt;=60,"新品期补货空运",F435-E435&gt;60,"老品应急空运"),"海运，不进行分析")</f>
        <v>新品期补货空运</v>
      </c>
      <c r="E435" s="2">
        <v>46032</v>
      </c>
      <c r="F435" s="2">
        <f>_xlfn.XLOOKUP(J435,数据!E:E,数据!C:C)</f>
        <v>46078</v>
      </c>
      <c r="G435" s="4">
        <v>121</v>
      </c>
      <c r="H435" s="4">
        <f t="shared" si="23"/>
        <v>6.05</v>
      </c>
      <c r="I435" s="4">
        <f>_xlfn.XLOOKUP(J435,数据!E:E,数据!S:S)*(H435/_xlfn.XLOOKUP(J435,数据!E:E,数据!X:X))</f>
        <v>384.045977618243</v>
      </c>
      <c r="J435" t="s">
        <v>1224</v>
      </c>
      <c r="K435" t="s">
        <v>37</v>
      </c>
      <c r="L435" t="s">
        <v>2374</v>
      </c>
      <c r="M435" t="s">
        <v>5176</v>
      </c>
      <c r="N435" t="s">
        <v>2376</v>
      </c>
      <c r="O435" t="s">
        <v>2400</v>
      </c>
      <c r="P435" t="s">
        <v>2378</v>
      </c>
      <c r="Q435" t="s">
        <v>2379</v>
      </c>
      <c r="S435" t="s">
        <v>2511</v>
      </c>
      <c r="T435" s="3" t="s">
        <v>5167</v>
      </c>
      <c r="U435" t="s">
        <v>5177</v>
      </c>
      <c r="V435" t="s">
        <v>5178</v>
      </c>
      <c r="W435" t="s">
        <v>5179</v>
      </c>
      <c r="X435" t="s">
        <v>2385</v>
      </c>
      <c r="Y435" t="s">
        <v>5180</v>
      </c>
      <c r="Z435" t="s">
        <v>2405</v>
      </c>
      <c r="AA435" t="s">
        <v>5167</v>
      </c>
      <c r="AB435" t="s">
        <v>4897</v>
      </c>
      <c r="AC435" t="s">
        <v>5181</v>
      </c>
      <c r="AD435" t="s">
        <v>5173</v>
      </c>
      <c r="AG435" t="s">
        <v>2432</v>
      </c>
      <c r="AH435" t="s">
        <v>5067</v>
      </c>
      <c r="AI435" t="s">
        <v>4630</v>
      </c>
      <c r="AJ435" t="s">
        <v>4888</v>
      </c>
      <c r="AK435" t="s">
        <v>4889</v>
      </c>
      <c r="AL435" t="s">
        <v>4890</v>
      </c>
      <c r="AM435" t="s">
        <v>2893</v>
      </c>
      <c r="AN435" t="s">
        <v>4891</v>
      </c>
      <c r="AO435" t="s">
        <v>4888</v>
      </c>
      <c r="AP435">
        <v>50</v>
      </c>
      <c r="AQ435">
        <v>50</v>
      </c>
      <c r="AR435">
        <v>49</v>
      </c>
      <c r="AS435" t="s">
        <v>5195</v>
      </c>
      <c r="AT435">
        <v>0</v>
      </c>
      <c r="AU435">
        <v>-1</v>
      </c>
      <c r="AV435">
        <v>1</v>
      </c>
    </row>
    <row r="436" spans="1:48">
      <c r="A436" s="1">
        <f>_xlfn.XLOOKUP(J436,数据!E:E,数据!A:A)</f>
        <v>2</v>
      </c>
      <c r="B436" s="1">
        <f>_xlfn.XLOOKUP(J436,数据!E:E,数据!B:B)</f>
        <v>9</v>
      </c>
      <c r="C436" s="1" t="str">
        <f>_xlfn.XLOOKUP(J436,数据!E:E,数据!J:J)</f>
        <v>空派</v>
      </c>
      <c r="D436" s="1" t="str" cm="1">
        <f t="array" ref="D436">IF(OR(C436="红单",C436="空派"),_xlfn.IFS(E436="未开售","新品首批发货",F436&lt;E436,"新品首批发货",F436-E436&lt;=60,"新品期补货空运",F436-E436&gt;60,"老品应急空运"),"海运，不进行分析")</f>
        <v>新品期补货空运</v>
      </c>
      <c r="E436" s="2">
        <v>46029</v>
      </c>
      <c r="F436" s="2">
        <f>_xlfn.XLOOKUP(J436,数据!E:E,数据!C:C)</f>
        <v>46078</v>
      </c>
      <c r="G436" s="4">
        <v>95</v>
      </c>
      <c r="H436" s="4">
        <f t="shared" si="23"/>
        <v>0.95</v>
      </c>
      <c r="I436" s="4">
        <f>_xlfn.XLOOKUP(J436,数据!E:E,数据!S:S)*(H436/_xlfn.XLOOKUP(J436,数据!E:E,数据!X:X))</f>
        <v>60.3047402871622</v>
      </c>
      <c r="J436" t="s">
        <v>1224</v>
      </c>
      <c r="K436" t="s">
        <v>37</v>
      </c>
      <c r="L436" t="s">
        <v>2374</v>
      </c>
      <c r="M436" t="s">
        <v>5176</v>
      </c>
      <c r="N436" t="s">
        <v>2376</v>
      </c>
      <c r="O436" t="s">
        <v>2400</v>
      </c>
      <c r="P436" t="s">
        <v>2378</v>
      </c>
      <c r="Q436" t="s">
        <v>2379</v>
      </c>
      <c r="S436" t="s">
        <v>2511</v>
      </c>
      <c r="T436" s="3" t="s">
        <v>5167</v>
      </c>
      <c r="U436" t="s">
        <v>5177</v>
      </c>
      <c r="V436" t="s">
        <v>5178</v>
      </c>
      <c r="W436" t="s">
        <v>5179</v>
      </c>
      <c r="X436" t="s">
        <v>2385</v>
      </c>
      <c r="Y436" t="s">
        <v>5180</v>
      </c>
      <c r="Z436" t="s">
        <v>2405</v>
      </c>
      <c r="AA436" t="s">
        <v>5167</v>
      </c>
      <c r="AB436" t="s">
        <v>4897</v>
      </c>
      <c r="AC436" t="s">
        <v>5181</v>
      </c>
      <c r="AD436" t="s">
        <v>5173</v>
      </c>
      <c r="AG436" t="s">
        <v>2432</v>
      </c>
      <c r="AH436" t="s">
        <v>5067</v>
      </c>
      <c r="AI436" t="s">
        <v>4630</v>
      </c>
      <c r="AJ436" t="s">
        <v>4749</v>
      </c>
      <c r="AK436" t="s">
        <v>4750</v>
      </c>
      <c r="AL436" t="s">
        <v>4751</v>
      </c>
      <c r="AM436" t="s">
        <v>4752</v>
      </c>
      <c r="AN436" t="s">
        <v>4753</v>
      </c>
      <c r="AO436" t="s">
        <v>4749</v>
      </c>
      <c r="AP436">
        <v>10</v>
      </c>
      <c r="AQ436">
        <v>10</v>
      </c>
      <c r="AR436">
        <v>10</v>
      </c>
      <c r="AS436" t="s">
        <v>5193</v>
      </c>
      <c r="AT436">
        <v>0</v>
      </c>
      <c r="AU436">
        <v>0</v>
      </c>
      <c r="AV436">
        <v>0</v>
      </c>
    </row>
    <row r="437" spans="1:48">
      <c r="A437" s="1">
        <f>_xlfn.XLOOKUP(J437,数据!E:E,数据!A:A)</f>
        <v>2</v>
      </c>
      <c r="B437" s="1">
        <f>_xlfn.XLOOKUP(J437,数据!E:E,数据!B:B)</f>
        <v>9</v>
      </c>
      <c r="C437" s="1" t="str">
        <f>_xlfn.XLOOKUP(J437,数据!E:E,数据!J:J)</f>
        <v>空派</v>
      </c>
      <c r="D437" s="1" t="str" cm="1">
        <f t="array" ref="D437">IF(OR(C437="红单",C437="空派"),_xlfn.IFS(E437="未开售","新品首批发货",F437&lt;E437,"新品首批发货",F437-E437&lt;=60,"新品期补货空运",F437-E437&gt;60,"老品应急空运"),"海运，不进行分析")</f>
        <v>新品期补货空运</v>
      </c>
      <c r="E437" s="2">
        <v>46058</v>
      </c>
      <c r="F437" s="2">
        <f>_xlfn.XLOOKUP(J437,数据!E:E,数据!C:C)</f>
        <v>46078</v>
      </c>
      <c r="G437" s="4">
        <v>87</v>
      </c>
      <c r="H437" s="4">
        <f t="shared" si="23"/>
        <v>13.05</v>
      </c>
      <c r="I437" s="4">
        <f>_xlfn.XLOOKUP(J437,数据!E:E,数据!S:S)*(H437/_xlfn.XLOOKUP(J437,数据!E:E,数据!X:X))</f>
        <v>944.75</v>
      </c>
      <c r="J437" t="s">
        <v>1223</v>
      </c>
      <c r="K437" t="s">
        <v>54</v>
      </c>
      <c r="L437" t="s">
        <v>2374</v>
      </c>
      <c r="M437" t="s">
        <v>5196</v>
      </c>
      <c r="N437" t="s">
        <v>2376</v>
      </c>
      <c r="O437" t="s">
        <v>2377</v>
      </c>
      <c r="P437" t="s">
        <v>2378</v>
      </c>
      <c r="Q437" t="s">
        <v>2379</v>
      </c>
      <c r="S437" t="s">
        <v>2511</v>
      </c>
      <c r="T437" s="3" t="s">
        <v>5197</v>
      </c>
      <c r="U437" t="s">
        <v>5198</v>
      </c>
      <c r="V437" t="s">
        <v>5199</v>
      </c>
      <c r="W437" t="s">
        <v>5200</v>
      </c>
      <c r="X437" t="s">
        <v>2403</v>
      </c>
      <c r="Y437" t="s">
        <v>5201</v>
      </c>
      <c r="Z437" t="s">
        <v>2387</v>
      </c>
      <c r="AA437" t="s">
        <v>5197</v>
      </c>
      <c r="AB437" t="s">
        <v>3858</v>
      </c>
      <c r="AC437" t="s">
        <v>5202</v>
      </c>
      <c r="AD437" t="s">
        <v>5173</v>
      </c>
      <c r="AG437" t="s">
        <v>2432</v>
      </c>
      <c r="AH437" t="s">
        <v>5067</v>
      </c>
      <c r="AI437" t="s">
        <v>4630</v>
      </c>
      <c r="AJ437" t="s">
        <v>4206</v>
      </c>
      <c r="AK437" t="s">
        <v>4207</v>
      </c>
      <c r="AL437" t="s">
        <v>4208</v>
      </c>
      <c r="AM437" t="s">
        <v>3546</v>
      </c>
      <c r="AN437" t="s">
        <v>4209</v>
      </c>
      <c r="AO437" t="s">
        <v>4206</v>
      </c>
      <c r="AP437">
        <v>150</v>
      </c>
      <c r="AQ437">
        <v>150</v>
      </c>
      <c r="AR437">
        <v>150</v>
      </c>
      <c r="AS437" t="s">
        <v>5203</v>
      </c>
      <c r="AT437">
        <v>0</v>
      </c>
      <c r="AU437">
        <v>0</v>
      </c>
      <c r="AV437">
        <v>0</v>
      </c>
    </row>
    <row r="438" spans="1:48">
      <c r="A438" s="1">
        <f>_xlfn.XLOOKUP(J438,数据!E:E,数据!A:A)</f>
        <v>2</v>
      </c>
      <c r="B438" s="1">
        <f>_xlfn.XLOOKUP(J438,数据!E:E,数据!B:B)</f>
        <v>9</v>
      </c>
      <c r="C438" s="1" t="str">
        <f>_xlfn.XLOOKUP(J438,数据!E:E,数据!J:J)</f>
        <v>红单</v>
      </c>
      <c r="D438" s="1" t="str" cm="1">
        <f t="array" ref="D438">IF(OR(C438="红单",C438="空派"),_xlfn.IFS(E438="未开售","新品首批发货",F438&lt;E438,"新品首批发货",F438-E438&lt;=60,"新品期补货空运",F438-E438&gt;60,"老品应急空运"),"海运，不进行分析")</f>
        <v>新品期补货空运</v>
      </c>
      <c r="E438" s="2">
        <v>46043</v>
      </c>
      <c r="F438" s="2">
        <f>_xlfn.XLOOKUP(J438,数据!E:E,数据!C:C)</f>
        <v>46078</v>
      </c>
      <c r="G438" s="4">
        <v>132</v>
      </c>
      <c r="H438" s="4">
        <f>G438*AP438/1000</f>
        <v>20.724</v>
      </c>
      <c r="I438" s="4">
        <f>_xlfn.XLOOKUP(J438,数据!E:E,数据!S:S)*(H438/_xlfn.XLOOKUP(J438,数据!E:E,数据!X:X))</f>
        <v>1696.984</v>
      </c>
      <c r="J438" t="s">
        <v>1222</v>
      </c>
      <c r="K438" t="s">
        <v>46</v>
      </c>
      <c r="L438" t="s">
        <v>2374</v>
      </c>
      <c r="M438" t="s">
        <v>5204</v>
      </c>
      <c r="N438" t="s">
        <v>2376</v>
      </c>
      <c r="O438" t="s">
        <v>2377</v>
      </c>
      <c r="P438" t="s">
        <v>2378</v>
      </c>
      <c r="Q438" t="s">
        <v>2379</v>
      </c>
      <c r="R438" t="s">
        <v>5205</v>
      </c>
      <c r="S438" t="s">
        <v>2511</v>
      </c>
      <c r="T438" s="3" t="s">
        <v>5206</v>
      </c>
      <c r="U438" t="s">
        <v>5207</v>
      </c>
      <c r="V438" t="s">
        <v>5208</v>
      </c>
      <c r="W438" t="s">
        <v>5209</v>
      </c>
      <c r="X438" t="s">
        <v>2403</v>
      </c>
      <c r="Y438" t="s">
        <v>5210</v>
      </c>
      <c r="Z438" t="s">
        <v>2405</v>
      </c>
      <c r="AA438" t="s">
        <v>5206</v>
      </c>
      <c r="AB438" t="s">
        <v>5211</v>
      </c>
      <c r="AC438" t="s">
        <v>5212</v>
      </c>
      <c r="AD438" t="s">
        <v>5213</v>
      </c>
      <c r="AH438" t="s">
        <v>5067</v>
      </c>
      <c r="AI438" t="s">
        <v>4630</v>
      </c>
      <c r="AJ438" t="s">
        <v>5214</v>
      </c>
      <c r="AK438" t="s">
        <v>5215</v>
      </c>
      <c r="AL438" t="s">
        <v>5216</v>
      </c>
      <c r="AM438" t="s">
        <v>2437</v>
      </c>
      <c r="AN438" t="s">
        <v>5217</v>
      </c>
      <c r="AO438" t="s">
        <v>5214</v>
      </c>
      <c r="AP438">
        <v>157</v>
      </c>
      <c r="AQ438">
        <v>157</v>
      </c>
      <c r="AR438">
        <v>157</v>
      </c>
      <c r="AS438" t="s">
        <v>5218</v>
      </c>
      <c r="AT438">
        <v>0</v>
      </c>
      <c r="AU438">
        <v>0</v>
      </c>
      <c r="AV438">
        <v>0</v>
      </c>
    </row>
    <row r="439" spans="1:48">
      <c r="A439" s="1">
        <f>_xlfn.XLOOKUP(J439,数据!E:E,数据!A:A)</f>
        <v>2</v>
      </c>
      <c r="B439" s="1">
        <f>_xlfn.XLOOKUP(J439,数据!E:E,数据!B:B)</f>
        <v>7</v>
      </c>
      <c r="C439" s="1" t="str">
        <f>_xlfn.XLOOKUP(J439,数据!E:E,数据!J:J)</f>
        <v>红单</v>
      </c>
      <c r="D439" s="1" t="str" cm="1">
        <f t="array" ref="D439">IF(OR(C439="红单",C439="空派"),_xlfn.IFS(E439="未开售","新品首批发货",F439&lt;E439,"新品首批发货",F439-E439&lt;=60,"新品期补货空运",F439-E439&gt;60,"老品应急空运"),"海运，不进行分析")</f>
        <v>新品期补货空运</v>
      </c>
      <c r="E439" s="2">
        <v>46036</v>
      </c>
      <c r="F439" s="2">
        <f>_xlfn.XLOOKUP(J439,数据!E:E,数据!C:C)</f>
        <v>46063</v>
      </c>
      <c r="G439" s="4">
        <v>115</v>
      </c>
      <c r="H439" s="4">
        <f t="shared" ref="H439:H456" si="24">G439*AP439/1000</f>
        <v>14.95</v>
      </c>
      <c r="I439" s="4">
        <f>_xlfn.XLOOKUP(J439,数据!E:E,数据!S:S)*(H439/_xlfn.XLOOKUP(J439,数据!E:E,数据!X:X))</f>
        <v>1263.56</v>
      </c>
      <c r="J439" t="s">
        <v>1085</v>
      </c>
      <c r="K439" t="s">
        <v>37</v>
      </c>
      <c r="L439" t="s">
        <v>2374</v>
      </c>
      <c r="M439" t="s">
        <v>5219</v>
      </c>
      <c r="N439" t="s">
        <v>2376</v>
      </c>
      <c r="O439" t="s">
        <v>2377</v>
      </c>
      <c r="P439" t="s">
        <v>2378</v>
      </c>
      <c r="Q439" t="s">
        <v>2379</v>
      </c>
      <c r="R439" t="s">
        <v>5220</v>
      </c>
      <c r="S439" t="s">
        <v>2511</v>
      </c>
      <c r="T439" s="3" t="s">
        <v>5221</v>
      </c>
      <c r="U439" t="s">
        <v>2384</v>
      </c>
      <c r="V439" t="s">
        <v>5222</v>
      </c>
      <c r="W439" t="s">
        <v>5223</v>
      </c>
      <c r="X439" t="s">
        <v>2403</v>
      </c>
      <c r="Y439" t="s">
        <v>5224</v>
      </c>
      <c r="Z439" t="s">
        <v>2405</v>
      </c>
      <c r="AA439" t="s">
        <v>5221</v>
      </c>
      <c r="AB439" t="s">
        <v>4897</v>
      </c>
      <c r="AC439" t="s">
        <v>5225</v>
      </c>
      <c r="AD439" t="s">
        <v>5226</v>
      </c>
      <c r="AH439" t="s">
        <v>5227</v>
      </c>
      <c r="AI439" t="s">
        <v>5228</v>
      </c>
      <c r="AJ439" t="s">
        <v>4744</v>
      </c>
      <c r="AK439" t="s">
        <v>4745</v>
      </c>
      <c r="AL439" t="s">
        <v>4746</v>
      </c>
      <c r="AM439" t="s">
        <v>4093</v>
      </c>
      <c r="AN439" t="s">
        <v>4747</v>
      </c>
      <c r="AO439" t="s">
        <v>4744</v>
      </c>
      <c r="AP439">
        <v>130</v>
      </c>
      <c r="AQ439">
        <v>130</v>
      </c>
      <c r="AR439">
        <v>130</v>
      </c>
      <c r="AS439" t="s">
        <v>5229</v>
      </c>
      <c r="AT439">
        <v>0</v>
      </c>
      <c r="AU439">
        <v>0</v>
      </c>
      <c r="AV439">
        <v>0</v>
      </c>
    </row>
    <row r="440" spans="1:48">
      <c r="A440" s="1">
        <f>_xlfn.XLOOKUP(J440,数据!E:E,数据!A:A)</f>
        <v>2</v>
      </c>
      <c r="B440" s="1">
        <f>_xlfn.XLOOKUP(J440,数据!E:E,数据!B:B)</f>
        <v>7</v>
      </c>
      <c r="C440" s="1" t="str">
        <f>_xlfn.XLOOKUP(J440,数据!E:E,数据!J:J)</f>
        <v>红单</v>
      </c>
      <c r="D440" s="1" t="str" cm="1">
        <f t="array" ref="D440">IF(OR(C440="红单",C440="空派"),_xlfn.IFS(E440="未开售","新品首批发货",F440&lt;E440,"新品首批发货",F440-E440&lt;=60,"新品期补货空运",F440-E440&gt;60,"老品应急空运"),"海运，不进行分析")</f>
        <v>新品首批发货</v>
      </c>
      <c r="E440" s="2">
        <v>46097</v>
      </c>
      <c r="F440" s="2">
        <f>_xlfn.XLOOKUP(J440,数据!E:E,数据!C:C)</f>
        <v>46063</v>
      </c>
      <c r="G440" s="4">
        <v>144</v>
      </c>
      <c r="H440" s="4">
        <f t="shared" si="24"/>
        <v>12.96</v>
      </c>
      <c r="I440" s="4">
        <f>_xlfn.XLOOKUP(J440,数据!E:E,数据!S:S)*(H440/_xlfn.XLOOKUP(J440,数据!E:E,数据!X:X))</f>
        <v>1012.96221075412</v>
      </c>
      <c r="J440" t="s">
        <v>1084</v>
      </c>
      <c r="K440" t="s">
        <v>31</v>
      </c>
      <c r="L440" t="s">
        <v>2374</v>
      </c>
      <c r="M440" t="s">
        <v>5230</v>
      </c>
      <c r="N440" t="s">
        <v>2376</v>
      </c>
      <c r="O440" t="s">
        <v>2400</v>
      </c>
      <c r="P440" t="s">
        <v>2378</v>
      </c>
      <c r="Q440" t="s">
        <v>2379</v>
      </c>
      <c r="R440" t="s">
        <v>5231</v>
      </c>
      <c r="S440" t="s">
        <v>2511</v>
      </c>
      <c r="T440" s="3" t="s">
        <v>5232</v>
      </c>
      <c r="U440" t="s">
        <v>2384</v>
      </c>
      <c r="V440" t="s">
        <v>2384</v>
      </c>
      <c r="W440" t="s">
        <v>5233</v>
      </c>
      <c r="X440" t="s">
        <v>2385</v>
      </c>
      <c r="Y440" t="s">
        <v>5234</v>
      </c>
      <c r="Z440" t="s">
        <v>2405</v>
      </c>
      <c r="AA440" t="s">
        <v>5232</v>
      </c>
      <c r="AB440" t="s">
        <v>5235</v>
      </c>
      <c r="AC440" t="s">
        <v>5236</v>
      </c>
      <c r="AD440" t="s">
        <v>5237</v>
      </c>
      <c r="AH440" t="s">
        <v>5227</v>
      </c>
      <c r="AI440" t="s">
        <v>5228</v>
      </c>
      <c r="AJ440" t="s">
        <v>4945</v>
      </c>
      <c r="AK440" t="s">
        <v>4946</v>
      </c>
      <c r="AL440" t="s">
        <v>4947</v>
      </c>
      <c r="AM440" t="s">
        <v>4948</v>
      </c>
      <c r="AN440" t="s">
        <v>4949</v>
      </c>
      <c r="AO440" t="s">
        <v>4945</v>
      </c>
      <c r="AP440">
        <v>90</v>
      </c>
      <c r="AQ440">
        <v>90</v>
      </c>
      <c r="AR440">
        <v>90</v>
      </c>
      <c r="AS440" t="s">
        <v>5238</v>
      </c>
      <c r="AT440">
        <v>0</v>
      </c>
      <c r="AU440">
        <v>0</v>
      </c>
      <c r="AV440">
        <v>0</v>
      </c>
    </row>
    <row r="441" spans="1:48">
      <c r="A441" s="1">
        <f>_xlfn.XLOOKUP(J441,数据!E:E,数据!A:A)</f>
        <v>2</v>
      </c>
      <c r="B441" s="1">
        <f>_xlfn.XLOOKUP(J441,数据!E:E,数据!B:B)</f>
        <v>7</v>
      </c>
      <c r="C441" s="1" t="str">
        <f>_xlfn.XLOOKUP(J441,数据!E:E,数据!J:J)</f>
        <v>红单</v>
      </c>
      <c r="D441" s="1" t="str" cm="1">
        <f t="array" ref="D441">IF(OR(C441="红单",C441="空派"),_xlfn.IFS(E441="未开售","新品首批发货",F441&lt;E441,"新品首批发货",F441-E441&lt;=60,"新品期补货空运",F441-E441&gt;60,"老品应急空运"),"海运，不进行分析")</f>
        <v>新品首批发货</v>
      </c>
      <c r="E441" s="2">
        <v>46095</v>
      </c>
      <c r="F441" s="2">
        <f>_xlfn.XLOOKUP(J441,数据!E:E,数据!C:C)</f>
        <v>46063</v>
      </c>
      <c r="G441" s="4">
        <v>143.7</v>
      </c>
      <c r="H441" s="4">
        <f t="shared" si="24"/>
        <v>12.933</v>
      </c>
      <c r="I441" s="4">
        <f>_xlfn.XLOOKUP(J441,数据!E:E,数据!S:S)*(H441/_xlfn.XLOOKUP(J441,数据!E:E,数据!X:X))</f>
        <v>1010.85187281505</v>
      </c>
      <c r="J441" t="s">
        <v>1084</v>
      </c>
      <c r="K441" t="s">
        <v>31</v>
      </c>
      <c r="L441" t="s">
        <v>2374</v>
      </c>
      <c r="M441" t="s">
        <v>5230</v>
      </c>
      <c r="N441" t="s">
        <v>2376</v>
      </c>
      <c r="O441" t="s">
        <v>2400</v>
      </c>
      <c r="P441" t="s">
        <v>2378</v>
      </c>
      <c r="Q441" t="s">
        <v>2379</v>
      </c>
      <c r="R441" t="s">
        <v>5231</v>
      </c>
      <c r="S441" t="s">
        <v>2511</v>
      </c>
      <c r="T441" s="3" t="s">
        <v>5232</v>
      </c>
      <c r="U441" t="s">
        <v>2384</v>
      </c>
      <c r="V441" t="s">
        <v>2384</v>
      </c>
      <c r="W441" t="s">
        <v>5233</v>
      </c>
      <c r="X441" t="s">
        <v>2385</v>
      </c>
      <c r="Y441" t="s">
        <v>5234</v>
      </c>
      <c r="Z441" t="s">
        <v>2405</v>
      </c>
      <c r="AA441" t="s">
        <v>5232</v>
      </c>
      <c r="AB441" t="s">
        <v>5235</v>
      </c>
      <c r="AC441" t="s">
        <v>5236</v>
      </c>
      <c r="AD441" t="s">
        <v>5237</v>
      </c>
      <c r="AH441" t="s">
        <v>5227</v>
      </c>
      <c r="AI441" t="s">
        <v>5228</v>
      </c>
      <c r="AJ441" t="s">
        <v>4951</v>
      </c>
      <c r="AK441" t="s">
        <v>4952</v>
      </c>
      <c r="AL441" t="s">
        <v>4953</v>
      </c>
      <c r="AM441" t="s">
        <v>4948</v>
      </c>
      <c r="AN441" t="s">
        <v>4954</v>
      </c>
      <c r="AO441" t="s">
        <v>4951</v>
      </c>
      <c r="AP441">
        <v>90</v>
      </c>
      <c r="AQ441">
        <v>90</v>
      </c>
      <c r="AR441">
        <v>88</v>
      </c>
      <c r="AS441" t="s">
        <v>5239</v>
      </c>
      <c r="AT441">
        <v>0</v>
      </c>
      <c r="AU441">
        <v>-2</v>
      </c>
      <c r="AV441">
        <v>2</v>
      </c>
    </row>
    <row r="442" spans="1:48">
      <c r="A442" s="1">
        <f>_xlfn.XLOOKUP(J442,数据!E:E,数据!A:A)</f>
        <v>2</v>
      </c>
      <c r="B442" s="1">
        <f>_xlfn.XLOOKUP(J442,数据!E:E,数据!B:B)</f>
        <v>7</v>
      </c>
      <c r="C442" s="1" t="str">
        <f>_xlfn.XLOOKUP(J442,数据!E:E,数据!J:J)</f>
        <v>红单</v>
      </c>
      <c r="D442" s="1" t="str" cm="1">
        <f t="array" ref="D442">IF(OR(C442="红单",C442="空派"),_xlfn.IFS(E442="未开售","新品首批发货",F442&lt;E442,"新品首批发货",F442-E442&lt;=60,"新品期补货空运",F442-E442&gt;60,"老品应急空运"),"海运，不进行分析")</f>
        <v>新品首批发货</v>
      </c>
      <c r="E442" s="2">
        <v>46099</v>
      </c>
      <c r="F442" s="2">
        <f>_xlfn.XLOOKUP(J442,数据!E:E,数据!C:C)</f>
        <v>46063</v>
      </c>
      <c r="G442" s="4">
        <v>145</v>
      </c>
      <c r="H442" s="4">
        <f t="shared" si="24"/>
        <v>13.05</v>
      </c>
      <c r="I442" s="4">
        <f>_xlfn.XLOOKUP(J442,数据!E:E,数据!S:S)*(H442/_xlfn.XLOOKUP(J442,数据!E:E,数据!X:X))</f>
        <v>1019.99667055102</v>
      </c>
      <c r="J442" t="s">
        <v>1084</v>
      </c>
      <c r="K442" t="s">
        <v>31</v>
      </c>
      <c r="L442" t="s">
        <v>2374</v>
      </c>
      <c r="M442" t="s">
        <v>5230</v>
      </c>
      <c r="N442" t="s">
        <v>2376</v>
      </c>
      <c r="O442" t="s">
        <v>2400</v>
      </c>
      <c r="P442" t="s">
        <v>2378</v>
      </c>
      <c r="Q442" t="s">
        <v>2379</v>
      </c>
      <c r="R442" t="s">
        <v>5231</v>
      </c>
      <c r="S442" t="s">
        <v>2511</v>
      </c>
      <c r="T442" s="3" t="s">
        <v>5232</v>
      </c>
      <c r="U442" t="s">
        <v>2384</v>
      </c>
      <c r="V442" t="s">
        <v>2384</v>
      </c>
      <c r="W442" t="s">
        <v>5233</v>
      </c>
      <c r="X442" t="s">
        <v>2385</v>
      </c>
      <c r="Y442" t="s">
        <v>5234</v>
      </c>
      <c r="Z442" t="s">
        <v>2405</v>
      </c>
      <c r="AA442" t="s">
        <v>5232</v>
      </c>
      <c r="AB442" t="s">
        <v>5235</v>
      </c>
      <c r="AC442" t="s">
        <v>5236</v>
      </c>
      <c r="AD442" t="s">
        <v>5237</v>
      </c>
      <c r="AH442" t="s">
        <v>5227</v>
      </c>
      <c r="AI442" t="s">
        <v>5228</v>
      </c>
      <c r="AJ442" t="s">
        <v>4955</v>
      </c>
      <c r="AK442" t="s">
        <v>4956</v>
      </c>
      <c r="AL442" t="s">
        <v>4957</v>
      </c>
      <c r="AM442" t="s">
        <v>4948</v>
      </c>
      <c r="AN442" t="s">
        <v>4958</v>
      </c>
      <c r="AO442" t="s">
        <v>4955</v>
      </c>
      <c r="AP442">
        <v>90</v>
      </c>
      <c r="AQ442">
        <v>90</v>
      </c>
      <c r="AR442">
        <v>90</v>
      </c>
      <c r="AS442" t="s">
        <v>5240</v>
      </c>
      <c r="AT442">
        <v>0</v>
      </c>
      <c r="AU442">
        <v>0</v>
      </c>
      <c r="AV442">
        <v>0</v>
      </c>
    </row>
    <row r="443" spans="1:48">
      <c r="A443" s="1">
        <f>_xlfn.XLOOKUP(J443,数据!E:E,数据!A:A)</f>
        <v>2</v>
      </c>
      <c r="B443" s="1">
        <f>_xlfn.XLOOKUP(J443,数据!E:E,数据!B:B)</f>
        <v>7</v>
      </c>
      <c r="C443" s="1" t="str">
        <f>_xlfn.XLOOKUP(J443,数据!E:E,数据!J:J)</f>
        <v>红单</v>
      </c>
      <c r="D443" s="1" t="str" cm="1">
        <f t="array" ref="D443">IF(OR(C443="红单",C443="空派"),_xlfn.IFS(E443="未开售","新品首批发货",F443&lt;E443,"新品首批发货",F443-E443&lt;=60,"新品期补货空运",F443-E443&gt;60,"老品应急空运"),"海运，不进行分析")</f>
        <v>新品首批发货</v>
      </c>
      <c r="E443" s="2">
        <v>46100</v>
      </c>
      <c r="F443" s="2">
        <f>_xlfn.XLOOKUP(J443,数据!E:E,数据!C:C)</f>
        <v>46063</v>
      </c>
      <c r="G443" s="4">
        <v>168</v>
      </c>
      <c r="H443" s="4">
        <f t="shared" si="24"/>
        <v>15.12</v>
      </c>
      <c r="I443" s="4">
        <f>_xlfn.XLOOKUP(J443,数据!E:E,数据!S:S)*(H443/_xlfn.XLOOKUP(J443,数据!E:E,数据!X:X))</f>
        <v>1181.78924587981</v>
      </c>
      <c r="J443" t="s">
        <v>1084</v>
      </c>
      <c r="K443" t="s">
        <v>31</v>
      </c>
      <c r="L443" t="s">
        <v>2374</v>
      </c>
      <c r="M443" t="s">
        <v>5230</v>
      </c>
      <c r="N443" t="s">
        <v>2376</v>
      </c>
      <c r="O443" t="s">
        <v>2400</v>
      </c>
      <c r="P443" t="s">
        <v>2378</v>
      </c>
      <c r="Q443" t="s">
        <v>2379</v>
      </c>
      <c r="R443" t="s">
        <v>5231</v>
      </c>
      <c r="S443" t="s">
        <v>2511</v>
      </c>
      <c r="T443" s="3" t="s">
        <v>5232</v>
      </c>
      <c r="U443" t="s">
        <v>2384</v>
      </c>
      <c r="V443" t="s">
        <v>2384</v>
      </c>
      <c r="W443" t="s">
        <v>5233</v>
      </c>
      <c r="X443" t="s">
        <v>2385</v>
      </c>
      <c r="Y443" t="s">
        <v>5234</v>
      </c>
      <c r="Z443" t="s">
        <v>2405</v>
      </c>
      <c r="AA443" t="s">
        <v>5232</v>
      </c>
      <c r="AB443" t="s">
        <v>5235</v>
      </c>
      <c r="AC443" t="s">
        <v>5236</v>
      </c>
      <c r="AD443" t="s">
        <v>5237</v>
      </c>
      <c r="AH443" t="s">
        <v>5227</v>
      </c>
      <c r="AI443" t="s">
        <v>5228</v>
      </c>
      <c r="AJ443" t="s">
        <v>4960</v>
      </c>
      <c r="AK443" t="s">
        <v>4961</v>
      </c>
      <c r="AL443" t="s">
        <v>4962</v>
      </c>
      <c r="AM443" t="s">
        <v>4948</v>
      </c>
      <c r="AN443" t="s">
        <v>4963</v>
      </c>
      <c r="AO443" t="s">
        <v>4960</v>
      </c>
      <c r="AP443">
        <v>90</v>
      </c>
      <c r="AQ443">
        <v>90</v>
      </c>
      <c r="AR443">
        <v>89</v>
      </c>
      <c r="AS443" t="s">
        <v>5241</v>
      </c>
      <c r="AT443">
        <v>0</v>
      </c>
      <c r="AU443">
        <v>-1</v>
      </c>
      <c r="AV443">
        <v>1</v>
      </c>
    </row>
    <row r="444" spans="1:48">
      <c r="A444" s="1">
        <f>_xlfn.XLOOKUP(J444,数据!E:E,数据!A:A)</f>
        <v>2</v>
      </c>
      <c r="B444" s="1">
        <f>_xlfn.XLOOKUP(J444,数据!E:E,数据!B:B)</f>
        <v>7</v>
      </c>
      <c r="C444" s="1" t="str">
        <f>_xlfn.XLOOKUP(J444,数据!E:E,数据!J:J)</f>
        <v>空派</v>
      </c>
      <c r="D444" s="1" t="str" cm="1">
        <f t="array" ref="D444">IF(OR(C444="红单",C444="空派"),_xlfn.IFS(E444="未开售","新品首批发货",F444&lt;E444,"新品首批发货",F444-E444&lt;=60,"新品期补货空运",F444-E444&gt;60,"老品应急空运"),"海运，不进行分析")</f>
        <v>新品期补货空运</v>
      </c>
      <c r="E444" s="2">
        <v>46029</v>
      </c>
      <c r="F444" s="2">
        <f>_xlfn.XLOOKUP(J444,数据!E:E,数据!C:C)</f>
        <v>46063</v>
      </c>
      <c r="G444" s="4">
        <v>142</v>
      </c>
      <c r="H444" s="4">
        <f t="shared" si="24"/>
        <v>28.4</v>
      </c>
      <c r="I444" s="4">
        <f>_xlfn.XLOOKUP(J444,数据!E:E,数据!S:S)*(H444/_xlfn.XLOOKUP(J444,数据!E:E,数据!X:X))</f>
        <v>1601.99129417271</v>
      </c>
      <c r="J444" t="s">
        <v>1091</v>
      </c>
      <c r="K444" t="s">
        <v>31</v>
      </c>
      <c r="L444" t="s">
        <v>2374</v>
      </c>
      <c r="M444" t="s">
        <v>5242</v>
      </c>
      <c r="N444" t="s">
        <v>2376</v>
      </c>
      <c r="O444" t="s">
        <v>2377</v>
      </c>
      <c r="P444" t="s">
        <v>2378</v>
      </c>
      <c r="Q444" t="s">
        <v>2379</v>
      </c>
      <c r="S444" t="s">
        <v>2511</v>
      </c>
      <c r="T444" s="3" t="s">
        <v>5243</v>
      </c>
      <c r="U444" t="s">
        <v>5244</v>
      </c>
      <c r="V444" t="s">
        <v>5245</v>
      </c>
      <c r="W444" t="s">
        <v>5246</v>
      </c>
      <c r="X444" t="s">
        <v>2385</v>
      </c>
      <c r="Y444" t="s">
        <v>5247</v>
      </c>
      <c r="Z444" t="s">
        <v>2405</v>
      </c>
      <c r="AA444" t="s">
        <v>5243</v>
      </c>
      <c r="AB444" t="s">
        <v>5248</v>
      </c>
      <c r="AC444" t="s">
        <v>5249</v>
      </c>
      <c r="AD444" t="s">
        <v>5250</v>
      </c>
      <c r="AG444" t="s">
        <v>2432</v>
      </c>
      <c r="AH444" t="s">
        <v>5227</v>
      </c>
      <c r="AI444" t="s">
        <v>5228</v>
      </c>
      <c r="AJ444" t="s">
        <v>4142</v>
      </c>
      <c r="AK444" t="s">
        <v>4143</v>
      </c>
      <c r="AL444" t="s">
        <v>4144</v>
      </c>
      <c r="AM444" t="s">
        <v>2787</v>
      </c>
      <c r="AN444" t="s">
        <v>4145</v>
      </c>
      <c r="AO444" t="s">
        <v>4142</v>
      </c>
      <c r="AP444">
        <v>200</v>
      </c>
      <c r="AQ444">
        <v>200</v>
      </c>
      <c r="AR444">
        <v>197</v>
      </c>
      <c r="AS444" t="s">
        <v>5251</v>
      </c>
      <c r="AT444">
        <v>0</v>
      </c>
      <c r="AU444">
        <v>-3</v>
      </c>
      <c r="AV444">
        <v>3</v>
      </c>
    </row>
    <row r="445" spans="1:48">
      <c r="A445" s="1">
        <f>_xlfn.XLOOKUP(J445,数据!E:E,数据!A:A)</f>
        <v>2</v>
      </c>
      <c r="B445" s="1">
        <f>_xlfn.XLOOKUP(J445,数据!E:E,数据!B:B)</f>
        <v>7</v>
      </c>
      <c r="C445" s="1" t="str">
        <f>_xlfn.XLOOKUP(J445,数据!E:E,数据!J:J)</f>
        <v>空派</v>
      </c>
      <c r="D445" s="1" t="str" cm="1">
        <f t="array" ref="D445">IF(OR(C445="红单",C445="空派"),_xlfn.IFS(E445="未开售","新品首批发货",F445&lt;E445,"新品首批发货",F445-E445&lt;=60,"新品期补货空运",F445-E445&gt;60,"老品应急空运"),"海运，不进行分析")</f>
        <v>新品期补货空运</v>
      </c>
      <c r="E445" s="2">
        <v>46028</v>
      </c>
      <c r="F445" s="2">
        <f>_xlfn.XLOOKUP(J445,数据!E:E,数据!C:C)</f>
        <v>46063</v>
      </c>
      <c r="G445" s="4">
        <v>143.3</v>
      </c>
      <c r="H445" s="4">
        <f t="shared" si="24"/>
        <v>14.33</v>
      </c>
      <c r="I445" s="4">
        <f>_xlfn.XLOOKUP(J445,数据!E:E,数据!S:S)*(H445/_xlfn.XLOOKUP(J445,数据!E:E,数据!X:X))</f>
        <v>808.328705827288</v>
      </c>
      <c r="J445" t="s">
        <v>1091</v>
      </c>
      <c r="K445" t="s">
        <v>31</v>
      </c>
      <c r="L445" t="s">
        <v>2374</v>
      </c>
      <c r="M445" t="s">
        <v>5242</v>
      </c>
      <c r="N445" t="s">
        <v>2376</v>
      </c>
      <c r="O445" t="s">
        <v>2377</v>
      </c>
      <c r="P445" t="s">
        <v>2378</v>
      </c>
      <c r="Q445" t="s">
        <v>2379</v>
      </c>
      <c r="S445" t="s">
        <v>2511</v>
      </c>
      <c r="T445" s="3" t="s">
        <v>5243</v>
      </c>
      <c r="U445" t="s">
        <v>5244</v>
      </c>
      <c r="V445" t="s">
        <v>5245</v>
      </c>
      <c r="W445" t="s">
        <v>5246</v>
      </c>
      <c r="X445" t="s">
        <v>2385</v>
      </c>
      <c r="Y445" t="s">
        <v>5247</v>
      </c>
      <c r="Z445" t="s">
        <v>2405</v>
      </c>
      <c r="AA445" t="s">
        <v>5243</v>
      </c>
      <c r="AB445" t="s">
        <v>5248</v>
      </c>
      <c r="AC445" t="s">
        <v>5249</v>
      </c>
      <c r="AD445" t="s">
        <v>5250</v>
      </c>
      <c r="AG445" t="s">
        <v>2432</v>
      </c>
      <c r="AH445" t="s">
        <v>5227</v>
      </c>
      <c r="AI445" t="s">
        <v>5228</v>
      </c>
      <c r="AJ445" t="s">
        <v>4319</v>
      </c>
      <c r="AK445" t="s">
        <v>4320</v>
      </c>
      <c r="AL445" t="s">
        <v>4321</v>
      </c>
      <c r="AM445" t="s">
        <v>2787</v>
      </c>
      <c r="AN445" t="s">
        <v>4322</v>
      </c>
      <c r="AO445" t="s">
        <v>4319</v>
      </c>
      <c r="AP445">
        <v>100</v>
      </c>
      <c r="AQ445">
        <v>100</v>
      </c>
      <c r="AR445">
        <v>100</v>
      </c>
      <c r="AS445" t="s">
        <v>5252</v>
      </c>
      <c r="AT445">
        <v>0</v>
      </c>
      <c r="AU445">
        <v>0</v>
      </c>
      <c r="AV445">
        <v>0</v>
      </c>
    </row>
    <row r="446" spans="1:48">
      <c r="A446" s="1">
        <f>_xlfn.XLOOKUP(J446,数据!E:E,数据!A:A)</f>
        <v>2</v>
      </c>
      <c r="B446" s="1">
        <f>_xlfn.XLOOKUP(J446,数据!E:E,数据!B:B)</f>
        <v>7</v>
      </c>
      <c r="C446" s="1" t="str">
        <f>_xlfn.XLOOKUP(J446,数据!E:E,数据!J:J)</f>
        <v>空派</v>
      </c>
      <c r="D446" s="1" t="str" cm="1">
        <f t="array" ref="D446">IF(OR(C446="红单",C446="空派"),_xlfn.IFS(E446="未开售","新品首批发货",F446&lt;E446,"新品首批发货",F446-E446&lt;=60,"新品期补货空运",F446-E446&gt;60,"老品应急空运"),"海运，不进行分析")</f>
        <v>新品期补货空运</v>
      </c>
      <c r="E446" s="2">
        <v>46036</v>
      </c>
      <c r="F446" s="2">
        <f>_xlfn.XLOOKUP(J446,数据!E:E,数据!C:C)</f>
        <v>46063</v>
      </c>
      <c r="G446" s="4">
        <v>115</v>
      </c>
      <c r="H446" s="4">
        <f t="shared" si="24"/>
        <v>3.45</v>
      </c>
      <c r="I446" s="4">
        <f>_xlfn.XLOOKUP(J446,数据!E:E,数据!S:S)*(H446/_xlfn.XLOOKUP(J446,数据!E:E,数据!X:X))</f>
        <v>200.061126760563</v>
      </c>
      <c r="J446" t="s">
        <v>1094</v>
      </c>
      <c r="K446" t="s">
        <v>37</v>
      </c>
      <c r="L446" t="s">
        <v>2374</v>
      </c>
      <c r="M446" t="s">
        <v>5253</v>
      </c>
      <c r="N446" t="s">
        <v>2376</v>
      </c>
      <c r="O446" t="s">
        <v>2400</v>
      </c>
      <c r="P446" t="s">
        <v>2378</v>
      </c>
      <c r="Q446" t="s">
        <v>2379</v>
      </c>
      <c r="S446" t="s">
        <v>2511</v>
      </c>
      <c r="T446" s="3" t="s">
        <v>5254</v>
      </c>
      <c r="U446" t="s">
        <v>5255</v>
      </c>
      <c r="V446" t="s">
        <v>5256</v>
      </c>
      <c r="W446" t="s">
        <v>5257</v>
      </c>
      <c r="X446" t="s">
        <v>2403</v>
      </c>
      <c r="Y446" t="s">
        <v>5258</v>
      </c>
      <c r="Z446" t="s">
        <v>2405</v>
      </c>
      <c r="AA446" t="s">
        <v>5254</v>
      </c>
      <c r="AB446" t="s">
        <v>5259</v>
      </c>
      <c r="AC446" t="s">
        <v>5260</v>
      </c>
      <c r="AD446" t="s">
        <v>5250</v>
      </c>
      <c r="AG446" t="s">
        <v>2432</v>
      </c>
      <c r="AH446" t="s">
        <v>5227</v>
      </c>
      <c r="AI446" t="s">
        <v>5228</v>
      </c>
      <c r="AJ446" t="s">
        <v>4744</v>
      </c>
      <c r="AK446" t="s">
        <v>4745</v>
      </c>
      <c r="AL446" t="s">
        <v>4746</v>
      </c>
      <c r="AM446" t="s">
        <v>4093</v>
      </c>
      <c r="AN446" t="s">
        <v>4747</v>
      </c>
      <c r="AO446" t="s">
        <v>4744</v>
      </c>
      <c r="AP446">
        <v>30</v>
      </c>
      <c r="AQ446">
        <v>30</v>
      </c>
      <c r="AR446">
        <v>30</v>
      </c>
      <c r="AS446" t="s">
        <v>5261</v>
      </c>
      <c r="AT446">
        <v>0</v>
      </c>
      <c r="AU446">
        <v>0</v>
      </c>
      <c r="AV446">
        <v>0</v>
      </c>
    </row>
    <row r="447" spans="1:48">
      <c r="A447" s="1">
        <f>_xlfn.XLOOKUP(J447,数据!E:E,数据!A:A)</f>
        <v>2</v>
      </c>
      <c r="B447" s="1">
        <f>_xlfn.XLOOKUP(J447,数据!E:E,数据!B:B)</f>
        <v>7</v>
      </c>
      <c r="C447" s="1" t="str">
        <f>_xlfn.XLOOKUP(J447,数据!E:E,数据!J:J)</f>
        <v>空派</v>
      </c>
      <c r="D447" s="1" t="str" cm="1">
        <f t="array" ref="D447">IF(OR(C447="红单",C447="空派"),_xlfn.IFS(E447="未开售","新品首批发货",F447&lt;E447,"新品首批发货",F447-E447&lt;=60,"新品期补货空运",F447-E447&gt;60,"老品应急空运"),"海运，不进行分析")</f>
        <v>新品首批发货</v>
      </c>
      <c r="E447" s="2">
        <v>46073</v>
      </c>
      <c r="F447" s="2">
        <f>_xlfn.XLOOKUP(J447,数据!E:E,数据!C:C)</f>
        <v>46063</v>
      </c>
      <c r="G447" s="4">
        <v>116</v>
      </c>
      <c r="H447" s="4">
        <f t="shared" si="24"/>
        <v>2.32</v>
      </c>
      <c r="I447" s="4">
        <f>_xlfn.XLOOKUP(J447,数据!E:E,数据!S:S)*(H447/_xlfn.XLOOKUP(J447,数据!E:E,数据!X:X))</f>
        <v>134.53385915493</v>
      </c>
      <c r="J447" t="s">
        <v>1094</v>
      </c>
      <c r="K447" t="s">
        <v>37</v>
      </c>
      <c r="L447" t="s">
        <v>2374</v>
      </c>
      <c r="M447" t="s">
        <v>5253</v>
      </c>
      <c r="N447" t="s">
        <v>2376</v>
      </c>
      <c r="O447" t="s">
        <v>2400</v>
      </c>
      <c r="P447" t="s">
        <v>2378</v>
      </c>
      <c r="Q447" t="s">
        <v>2379</v>
      </c>
      <c r="S447" t="s">
        <v>2511</v>
      </c>
      <c r="T447" s="3" t="s">
        <v>5254</v>
      </c>
      <c r="U447" t="s">
        <v>5255</v>
      </c>
      <c r="V447" t="s">
        <v>5256</v>
      </c>
      <c r="W447" t="s">
        <v>5257</v>
      </c>
      <c r="X447" t="s">
        <v>2403</v>
      </c>
      <c r="Y447" t="s">
        <v>5258</v>
      </c>
      <c r="Z447" t="s">
        <v>2405</v>
      </c>
      <c r="AA447" t="s">
        <v>5254</v>
      </c>
      <c r="AB447" t="s">
        <v>5259</v>
      </c>
      <c r="AC447" t="s">
        <v>5260</v>
      </c>
      <c r="AD447" t="s">
        <v>5250</v>
      </c>
      <c r="AG447" t="s">
        <v>2432</v>
      </c>
      <c r="AH447" t="s">
        <v>5227</v>
      </c>
      <c r="AI447" t="s">
        <v>5228</v>
      </c>
      <c r="AJ447" t="s">
        <v>5262</v>
      </c>
      <c r="AK447" t="s">
        <v>5263</v>
      </c>
      <c r="AL447" t="s">
        <v>5264</v>
      </c>
      <c r="AM447" t="s">
        <v>4093</v>
      </c>
      <c r="AN447" t="s">
        <v>5265</v>
      </c>
      <c r="AO447" t="s">
        <v>5262</v>
      </c>
      <c r="AP447">
        <v>20</v>
      </c>
      <c r="AQ447">
        <v>20</v>
      </c>
      <c r="AR447">
        <v>20</v>
      </c>
      <c r="AS447" t="s">
        <v>5266</v>
      </c>
      <c r="AT447">
        <v>0</v>
      </c>
      <c r="AU447">
        <v>0</v>
      </c>
      <c r="AV447">
        <v>0</v>
      </c>
    </row>
    <row r="448" spans="1:48">
      <c r="A448" s="1">
        <f>_xlfn.XLOOKUP(J448,数据!E:E,数据!A:A)</f>
        <v>2</v>
      </c>
      <c r="B448" s="1">
        <f>_xlfn.XLOOKUP(J448,数据!E:E,数据!B:B)</f>
        <v>7</v>
      </c>
      <c r="C448" s="1" t="str">
        <f>_xlfn.XLOOKUP(J448,数据!E:E,数据!J:J)</f>
        <v>空派</v>
      </c>
      <c r="D448" s="1" t="str" cm="1">
        <f t="array" ref="D448">IF(OR(C448="红单",C448="空派"),_xlfn.IFS(E448="未开售","新品首批发货",F448&lt;E448,"新品首批发货",F448-E448&lt;=60,"新品期补货空运",F448-E448&gt;60,"老品应急空运"),"海运，不进行分析")</f>
        <v>新品首批发货</v>
      </c>
      <c r="E448" s="2">
        <v>46074</v>
      </c>
      <c r="F448" s="2">
        <f>_xlfn.XLOOKUP(J448,数据!E:E,数据!C:C)</f>
        <v>46063</v>
      </c>
      <c r="G448" s="4">
        <v>117</v>
      </c>
      <c r="H448" s="4">
        <f t="shared" si="24"/>
        <v>2.34</v>
      </c>
      <c r="I448" s="4">
        <f>_xlfn.XLOOKUP(J448,数据!E:E,数据!S:S)*(H448/_xlfn.XLOOKUP(J448,数据!E:E,数据!X:X))</f>
        <v>135.693633802817</v>
      </c>
      <c r="J448" t="s">
        <v>1094</v>
      </c>
      <c r="K448" t="s">
        <v>37</v>
      </c>
      <c r="L448" t="s">
        <v>2374</v>
      </c>
      <c r="M448" t="s">
        <v>5253</v>
      </c>
      <c r="N448" t="s">
        <v>2376</v>
      </c>
      <c r="O448" t="s">
        <v>2400</v>
      </c>
      <c r="P448" t="s">
        <v>2378</v>
      </c>
      <c r="Q448" t="s">
        <v>2379</v>
      </c>
      <c r="S448" t="s">
        <v>2511</v>
      </c>
      <c r="T448" s="3" t="s">
        <v>5254</v>
      </c>
      <c r="U448" t="s">
        <v>5255</v>
      </c>
      <c r="V448" t="s">
        <v>5256</v>
      </c>
      <c r="W448" t="s">
        <v>5257</v>
      </c>
      <c r="X448" t="s">
        <v>2403</v>
      </c>
      <c r="Y448" t="s">
        <v>5258</v>
      </c>
      <c r="Z448" t="s">
        <v>2405</v>
      </c>
      <c r="AA448" t="s">
        <v>5254</v>
      </c>
      <c r="AB448" t="s">
        <v>5259</v>
      </c>
      <c r="AC448" t="s">
        <v>5260</v>
      </c>
      <c r="AD448" t="s">
        <v>5250</v>
      </c>
      <c r="AG448" t="s">
        <v>2432</v>
      </c>
      <c r="AH448" t="s">
        <v>5227</v>
      </c>
      <c r="AI448" t="s">
        <v>5228</v>
      </c>
      <c r="AJ448" t="s">
        <v>4755</v>
      </c>
      <c r="AK448" t="s">
        <v>4756</v>
      </c>
      <c r="AL448" t="s">
        <v>4757</v>
      </c>
      <c r="AM448" t="s">
        <v>4093</v>
      </c>
      <c r="AN448" t="s">
        <v>4758</v>
      </c>
      <c r="AO448" t="s">
        <v>4755</v>
      </c>
      <c r="AP448">
        <v>20</v>
      </c>
      <c r="AQ448">
        <v>20</v>
      </c>
      <c r="AR448">
        <v>20</v>
      </c>
      <c r="AS448" t="s">
        <v>5266</v>
      </c>
      <c r="AT448">
        <v>0</v>
      </c>
      <c r="AU448">
        <v>0</v>
      </c>
      <c r="AV448">
        <v>0</v>
      </c>
    </row>
    <row r="449" spans="1:48">
      <c r="A449" s="1">
        <f>_xlfn.XLOOKUP(J449,数据!E:E,数据!A:A)</f>
        <v>2</v>
      </c>
      <c r="B449" s="1">
        <f>_xlfn.XLOOKUP(J449,数据!E:E,数据!B:B)</f>
        <v>7</v>
      </c>
      <c r="C449" s="1" t="str">
        <f>_xlfn.XLOOKUP(J449,数据!E:E,数据!J:J)</f>
        <v>空派</v>
      </c>
      <c r="D449" s="1" t="str" cm="1">
        <f t="array" ref="D449">IF(OR(C449="红单",C449="空派"),_xlfn.IFS(E449="未开售","新品首批发货",F449&lt;E449,"新品首批发货",F449-E449&lt;=60,"新品期补货空运",F449-E449&gt;60,"老品应急空运"),"海运，不进行分析")</f>
        <v>新品首批发货</v>
      </c>
      <c r="E449" s="2">
        <v>46073</v>
      </c>
      <c r="F449" s="2">
        <f>_xlfn.XLOOKUP(J449,数据!E:E,数据!C:C)</f>
        <v>46063</v>
      </c>
      <c r="G449" s="4">
        <v>117</v>
      </c>
      <c r="H449" s="4">
        <f t="shared" si="24"/>
        <v>2.34</v>
      </c>
      <c r="I449" s="4">
        <f>_xlfn.XLOOKUP(J449,数据!E:E,数据!S:S)*(H449/_xlfn.XLOOKUP(J449,数据!E:E,数据!X:X))</f>
        <v>135.693633802817</v>
      </c>
      <c r="J449" t="s">
        <v>1094</v>
      </c>
      <c r="K449" t="s">
        <v>37</v>
      </c>
      <c r="L449" t="s">
        <v>2374</v>
      </c>
      <c r="M449" t="s">
        <v>5253</v>
      </c>
      <c r="N449" t="s">
        <v>2376</v>
      </c>
      <c r="O449" t="s">
        <v>2400</v>
      </c>
      <c r="P449" t="s">
        <v>2378</v>
      </c>
      <c r="Q449" t="s">
        <v>2379</v>
      </c>
      <c r="S449" t="s">
        <v>2511</v>
      </c>
      <c r="T449" s="3" t="s">
        <v>5254</v>
      </c>
      <c r="U449" t="s">
        <v>5255</v>
      </c>
      <c r="V449" t="s">
        <v>5256</v>
      </c>
      <c r="W449" t="s">
        <v>5257</v>
      </c>
      <c r="X449" t="s">
        <v>2403</v>
      </c>
      <c r="Y449" t="s">
        <v>5258</v>
      </c>
      <c r="Z449" t="s">
        <v>2405</v>
      </c>
      <c r="AA449" t="s">
        <v>5254</v>
      </c>
      <c r="AB449" t="s">
        <v>5259</v>
      </c>
      <c r="AC449" t="s">
        <v>5260</v>
      </c>
      <c r="AD449" t="s">
        <v>5250</v>
      </c>
      <c r="AG449" t="s">
        <v>2432</v>
      </c>
      <c r="AH449" t="s">
        <v>5227</v>
      </c>
      <c r="AI449" t="s">
        <v>5228</v>
      </c>
      <c r="AJ449" t="s">
        <v>4440</v>
      </c>
      <c r="AK449" t="s">
        <v>4441</v>
      </c>
      <c r="AL449" t="s">
        <v>4442</v>
      </c>
      <c r="AM449" t="s">
        <v>4093</v>
      </c>
      <c r="AN449" t="s">
        <v>4443</v>
      </c>
      <c r="AO449" t="s">
        <v>4440</v>
      </c>
      <c r="AP449">
        <v>20</v>
      </c>
      <c r="AQ449">
        <v>20</v>
      </c>
      <c r="AR449">
        <v>20</v>
      </c>
      <c r="AS449" t="s">
        <v>5266</v>
      </c>
      <c r="AT449">
        <v>0</v>
      </c>
      <c r="AU449">
        <v>0</v>
      </c>
      <c r="AV449">
        <v>0</v>
      </c>
    </row>
    <row r="450" spans="1:48">
      <c r="A450" s="1">
        <f>_xlfn.XLOOKUP(J450,数据!E:E,数据!A:A)</f>
        <v>2</v>
      </c>
      <c r="B450" s="1">
        <f>_xlfn.XLOOKUP(J450,数据!E:E,数据!B:B)</f>
        <v>7</v>
      </c>
      <c r="C450" s="1" t="str">
        <f>_xlfn.XLOOKUP(J450,数据!E:E,数据!J:J)</f>
        <v>空派</v>
      </c>
      <c r="D450" s="1" t="str" cm="1">
        <f t="array" ref="D450">IF(OR(C450="红单",C450="空派"),_xlfn.IFS(E450="未开售","新品首批发货",F450&lt;E450,"新品首批发货",F450-E450&lt;=60,"新品期补货空运",F450-E450&gt;60,"老品应急空运"),"海运，不进行分析")</f>
        <v>新品首批发货</v>
      </c>
      <c r="E450" s="2">
        <v>46080</v>
      </c>
      <c r="F450" s="2">
        <f>_xlfn.XLOOKUP(J450,数据!E:E,数据!C:C)</f>
        <v>46063</v>
      </c>
      <c r="G450" s="4">
        <v>125</v>
      </c>
      <c r="H450" s="4">
        <f t="shared" si="24"/>
        <v>3.75</v>
      </c>
      <c r="I450" s="4">
        <f>_xlfn.XLOOKUP(J450,数据!E:E,数据!S:S)*(H450/_xlfn.XLOOKUP(J450,数据!E:E,数据!X:X))</f>
        <v>217.457746478873</v>
      </c>
      <c r="J450" t="s">
        <v>1094</v>
      </c>
      <c r="K450" t="s">
        <v>37</v>
      </c>
      <c r="L450" t="s">
        <v>2374</v>
      </c>
      <c r="M450" t="s">
        <v>5253</v>
      </c>
      <c r="N450" t="s">
        <v>2376</v>
      </c>
      <c r="O450" t="s">
        <v>2400</v>
      </c>
      <c r="P450" t="s">
        <v>2378</v>
      </c>
      <c r="Q450" t="s">
        <v>2379</v>
      </c>
      <c r="S450" t="s">
        <v>2511</v>
      </c>
      <c r="T450" s="3" t="s">
        <v>5254</v>
      </c>
      <c r="U450" t="s">
        <v>5255</v>
      </c>
      <c r="V450" t="s">
        <v>5256</v>
      </c>
      <c r="W450" t="s">
        <v>5257</v>
      </c>
      <c r="X450" t="s">
        <v>2403</v>
      </c>
      <c r="Y450" t="s">
        <v>5258</v>
      </c>
      <c r="Z450" t="s">
        <v>2405</v>
      </c>
      <c r="AA450" t="s">
        <v>5254</v>
      </c>
      <c r="AB450" t="s">
        <v>5259</v>
      </c>
      <c r="AC450" t="s">
        <v>5260</v>
      </c>
      <c r="AD450" t="s">
        <v>5250</v>
      </c>
      <c r="AG450" t="s">
        <v>2432</v>
      </c>
      <c r="AH450" t="s">
        <v>5227</v>
      </c>
      <c r="AI450" t="s">
        <v>5228</v>
      </c>
      <c r="AJ450" t="s">
        <v>3320</v>
      </c>
      <c r="AK450" t="s">
        <v>3321</v>
      </c>
      <c r="AL450" t="s">
        <v>3322</v>
      </c>
      <c r="AM450" t="s">
        <v>3001</v>
      </c>
      <c r="AN450" t="s">
        <v>3323</v>
      </c>
      <c r="AO450" t="s">
        <v>3320</v>
      </c>
      <c r="AP450">
        <v>30</v>
      </c>
      <c r="AQ450">
        <v>30</v>
      </c>
      <c r="AR450">
        <v>30</v>
      </c>
      <c r="AS450" t="s">
        <v>5261</v>
      </c>
      <c r="AT450">
        <v>0</v>
      </c>
      <c r="AU450">
        <v>0</v>
      </c>
      <c r="AV450">
        <v>0</v>
      </c>
    </row>
    <row r="451" spans="1:48">
      <c r="A451" s="1">
        <f>_xlfn.XLOOKUP(J451,数据!E:E,数据!A:A)</f>
        <v>2</v>
      </c>
      <c r="B451" s="1">
        <f>_xlfn.XLOOKUP(J451,数据!E:E,数据!B:B)</f>
        <v>7</v>
      </c>
      <c r="C451" s="1" t="str">
        <f>_xlfn.XLOOKUP(J451,数据!E:E,数据!J:J)</f>
        <v>空派</v>
      </c>
      <c r="D451" s="1" t="str" cm="1">
        <f t="array" ref="D451">IF(OR(C451="红单",C451="空派"),_xlfn.IFS(E451="未开售","新品首批发货",F451&lt;E451,"新品首批发货",F451-E451&lt;=60,"新品期补货空运",F451-E451&gt;60,"老品应急空运"),"海运，不进行分析")</f>
        <v>老品应急空运</v>
      </c>
      <c r="E451" s="2">
        <v>44951</v>
      </c>
      <c r="F451" s="2">
        <f>_xlfn.XLOOKUP(J451,数据!E:E,数据!C:C)</f>
        <v>46063</v>
      </c>
      <c r="G451" s="4">
        <v>309</v>
      </c>
      <c r="H451" s="4">
        <f t="shared" si="24"/>
        <v>6.18</v>
      </c>
      <c r="I451" s="4">
        <f>_xlfn.XLOOKUP(J451,数据!E:E,数据!S:S)*(H451/_xlfn.XLOOKUP(J451,数据!E:E,数据!X:X))</f>
        <v>334.713555479217</v>
      </c>
      <c r="J451" t="s">
        <v>1093</v>
      </c>
      <c r="K451" t="s">
        <v>59</v>
      </c>
      <c r="L451" t="s">
        <v>2374</v>
      </c>
      <c r="M451" t="s">
        <v>5267</v>
      </c>
      <c r="N451" t="s">
        <v>2376</v>
      </c>
      <c r="O451" t="s">
        <v>2400</v>
      </c>
      <c r="P451" t="s">
        <v>2378</v>
      </c>
      <c r="Q451" t="s">
        <v>2379</v>
      </c>
      <c r="S451" t="s">
        <v>2511</v>
      </c>
      <c r="T451" s="3" t="s">
        <v>5268</v>
      </c>
      <c r="U451" t="s">
        <v>5255</v>
      </c>
      <c r="V451" t="s">
        <v>5269</v>
      </c>
      <c r="W451" t="s">
        <v>5270</v>
      </c>
      <c r="X451" t="s">
        <v>2385</v>
      </c>
      <c r="Y451" t="s">
        <v>5271</v>
      </c>
      <c r="Z451" t="s">
        <v>2387</v>
      </c>
      <c r="AA451" t="s">
        <v>5268</v>
      </c>
      <c r="AB451" t="s">
        <v>5272</v>
      </c>
      <c r="AC451" t="s">
        <v>5273</v>
      </c>
      <c r="AD451" t="s">
        <v>5250</v>
      </c>
      <c r="AG451" t="s">
        <v>2432</v>
      </c>
      <c r="AH451" t="s">
        <v>5227</v>
      </c>
      <c r="AI451" t="s">
        <v>5228</v>
      </c>
      <c r="AJ451" t="s">
        <v>5274</v>
      </c>
      <c r="AK451" t="s">
        <v>5275</v>
      </c>
      <c r="AL451" t="s">
        <v>5276</v>
      </c>
      <c r="AM451" t="s">
        <v>5277</v>
      </c>
      <c r="AN451" t="s">
        <v>5278</v>
      </c>
      <c r="AO451" t="s">
        <v>5274</v>
      </c>
      <c r="AP451">
        <v>20</v>
      </c>
      <c r="AQ451">
        <v>20</v>
      </c>
      <c r="AR451">
        <v>20</v>
      </c>
      <c r="AS451" t="s">
        <v>5266</v>
      </c>
      <c r="AT451">
        <v>0</v>
      </c>
      <c r="AU451">
        <v>0</v>
      </c>
      <c r="AV451">
        <v>0</v>
      </c>
    </row>
    <row r="452" spans="1:48">
      <c r="A452" s="1">
        <f>_xlfn.XLOOKUP(J452,数据!E:E,数据!A:A)</f>
        <v>2</v>
      </c>
      <c r="B452" s="1">
        <f>_xlfn.XLOOKUP(J452,数据!E:E,数据!B:B)</f>
        <v>7</v>
      </c>
      <c r="C452" s="1" t="str">
        <f>_xlfn.XLOOKUP(J452,数据!E:E,数据!J:J)</f>
        <v>空派</v>
      </c>
      <c r="D452" s="1" t="str" cm="1">
        <f t="array" ref="D452">IF(OR(C452="红单",C452="空派"),_xlfn.IFS(E452="未开售","新品首批发货",F452&lt;E452,"新品首批发货",F452-E452&lt;=60,"新品期补货空运",F452-E452&gt;60,"老品应急空运"),"海运，不进行分析")</f>
        <v>新品首批发货</v>
      </c>
      <c r="E452" s="2">
        <v>46082</v>
      </c>
      <c r="F452" s="2">
        <f>_xlfn.XLOOKUP(J452,数据!E:E,数据!C:C)</f>
        <v>46063</v>
      </c>
      <c r="G452" s="4">
        <v>170</v>
      </c>
      <c r="H452" s="4">
        <f t="shared" si="24"/>
        <v>17</v>
      </c>
      <c r="I452" s="4">
        <f>_xlfn.XLOOKUP(J452,数据!E:E,数据!S:S)*(H452/_xlfn.XLOOKUP(J452,数据!E:E,数据!X:X))</f>
        <v>920.733081415321</v>
      </c>
      <c r="J452" t="s">
        <v>1093</v>
      </c>
      <c r="K452" t="s">
        <v>59</v>
      </c>
      <c r="L452" t="s">
        <v>2374</v>
      </c>
      <c r="M452" t="s">
        <v>5267</v>
      </c>
      <c r="N452" t="s">
        <v>2376</v>
      </c>
      <c r="O452" t="s">
        <v>2400</v>
      </c>
      <c r="P452" t="s">
        <v>2378</v>
      </c>
      <c r="Q452" t="s">
        <v>2379</v>
      </c>
      <c r="S452" t="s">
        <v>2511</v>
      </c>
      <c r="T452" s="3" t="s">
        <v>5268</v>
      </c>
      <c r="U452" t="s">
        <v>5255</v>
      </c>
      <c r="V452" t="s">
        <v>5269</v>
      </c>
      <c r="W452" t="s">
        <v>5270</v>
      </c>
      <c r="X452" t="s">
        <v>2385</v>
      </c>
      <c r="Y452" t="s">
        <v>5271</v>
      </c>
      <c r="Z452" t="s">
        <v>2387</v>
      </c>
      <c r="AA452" t="s">
        <v>5268</v>
      </c>
      <c r="AB452" t="s">
        <v>5272</v>
      </c>
      <c r="AC452" t="s">
        <v>5273</v>
      </c>
      <c r="AD452" t="s">
        <v>5250</v>
      </c>
      <c r="AG452" t="s">
        <v>2432</v>
      </c>
      <c r="AH452" t="s">
        <v>5227</v>
      </c>
      <c r="AI452" t="s">
        <v>5228</v>
      </c>
      <c r="AJ452" t="s">
        <v>5279</v>
      </c>
      <c r="AK452" t="s">
        <v>5280</v>
      </c>
      <c r="AL452" t="s">
        <v>5281</v>
      </c>
      <c r="AM452" t="s">
        <v>5281</v>
      </c>
      <c r="AN452" t="s">
        <v>5282</v>
      </c>
      <c r="AO452" t="s">
        <v>5279</v>
      </c>
      <c r="AP452">
        <v>100</v>
      </c>
      <c r="AQ452">
        <v>100</v>
      </c>
      <c r="AR452">
        <v>99</v>
      </c>
      <c r="AS452" t="s">
        <v>5283</v>
      </c>
      <c r="AT452">
        <v>0</v>
      </c>
      <c r="AU452">
        <v>-1</v>
      </c>
      <c r="AV452">
        <v>1</v>
      </c>
    </row>
    <row r="453" spans="1:48">
      <c r="A453" s="1">
        <f>_xlfn.XLOOKUP(J453,数据!E:E,数据!A:A)</f>
        <v>2</v>
      </c>
      <c r="B453" s="1">
        <f>_xlfn.XLOOKUP(J453,数据!E:E,数据!B:B)</f>
        <v>7</v>
      </c>
      <c r="C453" s="1" t="str">
        <f>_xlfn.XLOOKUP(J453,数据!E:E,数据!J:J)</f>
        <v>空派</v>
      </c>
      <c r="D453" s="1" t="str" cm="1">
        <f t="array" ref="D453">IF(OR(C453="红单",C453="空派"),_xlfn.IFS(E453="未开售","新品首批发货",F453&lt;E453,"新品首批发货",F453-E453&lt;=60,"新品期补货空运",F453-E453&gt;60,"老品应急空运"),"海运，不进行分析")</f>
        <v>新品首批发货</v>
      </c>
      <c r="E453" s="2">
        <v>46081</v>
      </c>
      <c r="F453" s="2">
        <f>_xlfn.XLOOKUP(J453,数据!E:E,数据!C:C)</f>
        <v>46063</v>
      </c>
      <c r="G453" s="4">
        <v>326</v>
      </c>
      <c r="H453" s="4">
        <f t="shared" si="24"/>
        <v>26.08</v>
      </c>
      <c r="I453" s="4">
        <f>_xlfn.XLOOKUP(J453,数据!E:E,数据!S:S)*(H453/_xlfn.XLOOKUP(J453,数据!E:E,数据!X:X))</f>
        <v>1412.51286843009</v>
      </c>
      <c r="J453" t="s">
        <v>1093</v>
      </c>
      <c r="K453" t="s">
        <v>59</v>
      </c>
      <c r="L453" t="s">
        <v>2374</v>
      </c>
      <c r="M453" t="s">
        <v>5267</v>
      </c>
      <c r="N453" t="s">
        <v>2376</v>
      </c>
      <c r="O453" t="s">
        <v>2400</v>
      </c>
      <c r="P453" t="s">
        <v>2378</v>
      </c>
      <c r="Q453" t="s">
        <v>2379</v>
      </c>
      <c r="S453" t="s">
        <v>2511</v>
      </c>
      <c r="T453" s="3" t="s">
        <v>5268</v>
      </c>
      <c r="U453" t="s">
        <v>5255</v>
      </c>
      <c r="V453" t="s">
        <v>5269</v>
      </c>
      <c r="W453" t="s">
        <v>5270</v>
      </c>
      <c r="X453" t="s">
        <v>2385</v>
      </c>
      <c r="Y453" t="s">
        <v>5271</v>
      </c>
      <c r="Z453" t="s">
        <v>2387</v>
      </c>
      <c r="AA453" t="s">
        <v>5268</v>
      </c>
      <c r="AB453" t="s">
        <v>5272</v>
      </c>
      <c r="AC453" t="s">
        <v>5273</v>
      </c>
      <c r="AD453" t="s">
        <v>5250</v>
      </c>
      <c r="AG453" t="s">
        <v>2432</v>
      </c>
      <c r="AH453" t="s">
        <v>5227</v>
      </c>
      <c r="AI453" t="s">
        <v>5228</v>
      </c>
      <c r="AJ453" t="s">
        <v>2953</v>
      </c>
      <c r="AK453" t="s">
        <v>2954</v>
      </c>
      <c r="AL453" t="s">
        <v>2955</v>
      </c>
      <c r="AM453" t="s">
        <v>2955</v>
      </c>
      <c r="AN453" t="s">
        <v>2956</v>
      </c>
      <c r="AO453" t="s">
        <v>2953</v>
      </c>
      <c r="AP453">
        <v>80</v>
      </c>
      <c r="AQ453">
        <v>80</v>
      </c>
      <c r="AR453">
        <v>80</v>
      </c>
      <c r="AS453" t="s">
        <v>5284</v>
      </c>
      <c r="AT453">
        <v>0</v>
      </c>
      <c r="AU453">
        <v>0</v>
      </c>
      <c r="AV453">
        <v>0</v>
      </c>
    </row>
    <row r="454" spans="1:48">
      <c r="A454" s="1">
        <f>_xlfn.XLOOKUP(J454,数据!E:E,数据!A:A)</f>
        <v>2</v>
      </c>
      <c r="B454" s="1">
        <f>_xlfn.XLOOKUP(J454,数据!E:E,数据!B:B)</f>
        <v>7</v>
      </c>
      <c r="C454" s="1" t="str">
        <f>_xlfn.XLOOKUP(J454,数据!E:E,数据!J:J)</f>
        <v>空派</v>
      </c>
      <c r="D454" s="1" t="str" cm="1">
        <f t="array" ref="D454">IF(OR(C454="红单",C454="空派"),_xlfn.IFS(E454="未开售","新品首批发货",F454&lt;E454,"新品首批发货",F454-E454&lt;=60,"新品期补货空运",F454-E454&gt;60,"老品应急空运"),"海运，不进行分析")</f>
        <v>新品首批发货</v>
      </c>
      <c r="E454" s="2">
        <v>46078</v>
      </c>
      <c r="F454" s="2">
        <f>_xlfn.XLOOKUP(J454,数据!E:E,数据!C:C)</f>
        <v>46063</v>
      </c>
      <c r="G454" s="4">
        <v>112</v>
      </c>
      <c r="H454" s="4">
        <f t="shared" si="24"/>
        <v>8.96</v>
      </c>
      <c r="I454" s="4">
        <f>_xlfn.XLOOKUP(J454,数据!E:E,数据!S:S)*(H454/_xlfn.XLOOKUP(J454,数据!E:E,数据!X:X))</f>
        <v>485.280494675369</v>
      </c>
      <c r="J454" t="s">
        <v>1093</v>
      </c>
      <c r="K454" t="s">
        <v>59</v>
      </c>
      <c r="L454" t="s">
        <v>2374</v>
      </c>
      <c r="M454" t="s">
        <v>5267</v>
      </c>
      <c r="N454" t="s">
        <v>2376</v>
      </c>
      <c r="O454" t="s">
        <v>2400</v>
      </c>
      <c r="P454" t="s">
        <v>2378</v>
      </c>
      <c r="Q454" t="s">
        <v>2379</v>
      </c>
      <c r="S454" t="s">
        <v>2511</v>
      </c>
      <c r="T454" s="3" t="s">
        <v>5268</v>
      </c>
      <c r="U454" t="s">
        <v>5255</v>
      </c>
      <c r="V454" t="s">
        <v>5269</v>
      </c>
      <c r="W454" t="s">
        <v>5270</v>
      </c>
      <c r="X454" t="s">
        <v>2385</v>
      </c>
      <c r="Y454" t="s">
        <v>5271</v>
      </c>
      <c r="Z454" t="s">
        <v>2387</v>
      </c>
      <c r="AA454" t="s">
        <v>5268</v>
      </c>
      <c r="AB454" t="s">
        <v>5272</v>
      </c>
      <c r="AC454" t="s">
        <v>5273</v>
      </c>
      <c r="AD454" t="s">
        <v>5250</v>
      </c>
      <c r="AG454" t="s">
        <v>2432</v>
      </c>
      <c r="AH454" t="s">
        <v>5227</v>
      </c>
      <c r="AI454" t="s">
        <v>5228</v>
      </c>
      <c r="AJ454" t="s">
        <v>5285</v>
      </c>
      <c r="AK454" t="s">
        <v>5286</v>
      </c>
      <c r="AL454" t="s">
        <v>5287</v>
      </c>
      <c r="AM454" t="s">
        <v>5287</v>
      </c>
      <c r="AN454" t="s">
        <v>5288</v>
      </c>
      <c r="AO454" t="s">
        <v>5285</v>
      </c>
      <c r="AP454">
        <v>80</v>
      </c>
      <c r="AQ454">
        <v>80</v>
      </c>
      <c r="AR454">
        <v>80</v>
      </c>
      <c r="AS454" t="s">
        <v>5289</v>
      </c>
      <c r="AT454">
        <v>0</v>
      </c>
      <c r="AU454">
        <v>0</v>
      </c>
      <c r="AV454">
        <v>0</v>
      </c>
    </row>
    <row r="455" spans="1:48">
      <c r="A455" s="1">
        <f>_xlfn.XLOOKUP(J455,数据!E:E,数据!A:A)</f>
        <v>2</v>
      </c>
      <c r="B455" s="1">
        <f>_xlfn.XLOOKUP(J455,数据!E:E,数据!B:B)</f>
        <v>7</v>
      </c>
      <c r="C455" s="1" t="str">
        <f>_xlfn.XLOOKUP(J455,数据!E:E,数据!J:J)</f>
        <v>空派</v>
      </c>
      <c r="D455" s="1" t="str" cm="1">
        <f t="array" ref="D455">IF(OR(C455="红单",C455="空派"),_xlfn.IFS(E455="未开售","新品首批发货",F455&lt;E455,"新品首批发货",F455-E455&lt;=60,"新品期补货空运",F455-E455&gt;60,"老品应急空运"),"海运，不进行分析")</f>
        <v>新品期补货空运</v>
      </c>
      <c r="E455" s="2">
        <v>46036</v>
      </c>
      <c r="F455" s="2">
        <f>_xlfn.XLOOKUP(J455,数据!E:E,数据!C:C)</f>
        <v>46063</v>
      </c>
      <c r="G455" s="4">
        <v>120</v>
      </c>
      <c r="H455" s="4">
        <f t="shared" si="24"/>
        <v>12</v>
      </c>
      <c r="I455" s="4">
        <f>_xlfn.XLOOKUP(J455,数据!E:E,数据!S:S)*(H455/_xlfn.XLOOKUP(J455,数据!E:E,数据!X:X))</f>
        <v>662.6010286554</v>
      </c>
      <c r="J455" t="s">
        <v>1095</v>
      </c>
      <c r="K455" t="s">
        <v>78</v>
      </c>
      <c r="L455" t="s">
        <v>2374</v>
      </c>
      <c r="M455" t="s">
        <v>5290</v>
      </c>
      <c r="N455" t="s">
        <v>2376</v>
      </c>
      <c r="O455" t="s">
        <v>2400</v>
      </c>
      <c r="P455" t="s">
        <v>2378</v>
      </c>
      <c r="Q455" t="s">
        <v>2379</v>
      </c>
      <c r="R455" t="s">
        <v>5291</v>
      </c>
      <c r="S455" t="s">
        <v>2511</v>
      </c>
      <c r="T455" s="3" t="s">
        <v>5268</v>
      </c>
      <c r="U455" t="s">
        <v>5292</v>
      </c>
      <c r="V455" t="s">
        <v>5293</v>
      </c>
      <c r="W455" t="s">
        <v>5294</v>
      </c>
      <c r="X455" t="s">
        <v>2385</v>
      </c>
      <c r="Y455" t="s">
        <v>5295</v>
      </c>
      <c r="Z455" t="s">
        <v>2405</v>
      </c>
      <c r="AA455" t="s">
        <v>5268</v>
      </c>
      <c r="AB455" t="s">
        <v>5296</v>
      </c>
      <c r="AC455" t="s">
        <v>5297</v>
      </c>
      <c r="AD455" t="s">
        <v>5250</v>
      </c>
      <c r="AG455" t="s">
        <v>2541</v>
      </c>
      <c r="AH455" t="s">
        <v>5227</v>
      </c>
      <c r="AI455" t="s">
        <v>5228</v>
      </c>
      <c r="AJ455" t="s">
        <v>2853</v>
      </c>
      <c r="AK455" t="s">
        <v>2854</v>
      </c>
      <c r="AL455" t="s">
        <v>2855</v>
      </c>
      <c r="AM455" t="s">
        <v>2856</v>
      </c>
      <c r="AN455" t="s">
        <v>2857</v>
      </c>
      <c r="AO455" t="s">
        <v>2853</v>
      </c>
      <c r="AP455">
        <v>100</v>
      </c>
      <c r="AQ455">
        <v>100</v>
      </c>
      <c r="AR455">
        <v>100</v>
      </c>
      <c r="AS455" t="s">
        <v>5298</v>
      </c>
      <c r="AT455">
        <v>0</v>
      </c>
      <c r="AU455">
        <v>0</v>
      </c>
      <c r="AV455">
        <v>0</v>
      </c>
    </row>
    <row r="456" spans="1:48">
      <c r="A456" s="1">
        <f>_xlfn.XLOOKUP(J456,数据!E:E,数据!A:A)</f>
        <v>2</v>
      </c>
      <c r="B456" s="1">
        <f>_xlfn.XLOOKUP(J456,数据!E:E,数据!B:B)</f>
        <v>7</v>
      </c>
      <c r="C456" s="1" t="str">
        <f>_xlfn.XLOOKUP(J456,数据!E:E,数据!J:J)</f>
        <v>空派</v>
      </c>
      <c r="D456" s="1" t="str" cm="1">
        <f t="array" ref="D456">IF(OR(C456="红单",C456="空派"),_xlfn.IFS(E456="未开售","新品首批发货",F456&lt;E456,"新品首批发货",F456-E456&lt;=60,"新品期补货空运",F456-E456&gt;60,"老品应急空运"),"海运，不进行分析")</f>
        <v>新品首批发货</v>
      </c>
      <c r="E456" s="2">
        <v>46077</v>
      </c>
      <c r="F456" s="2">
        <f>_xlfn.XLOOKUP(J456,数据!E:E,数据!C:C)</f>
        <v>46063</v>
      </c>
      <c r="G456" s="4">
        <v>104</v>
      </c>
      <c r="H456" s="4">
        <f t="shared" si="24"/>
        <v>8.32</v>
      </c>
      <c r="I456" s="4">
        <f>_xlfn.XLOOKUP(J456,数据!E:E,数据!S:S)*(H456/_xlfn.XLOOKUP(J456,数据!E:E,数据!X:X))</f>
        <v>459.403379867744</v>
      </c>
      <c r="J456" t="s">
        <v>1095</v>
      </c>
      <c r="K456" t="s">
        <v>78</v>
      </c>
      <c r="L456" t="s">
        <v>2374</v>
      </c>
      <c r="M456" t="s">
        <v>5290</v>
      </c>
      <c r="N456" t="s">
        <v>2376</v>
      </c>
      <c r="O456" t="s">
        <v>2400</v>
      </c>
      <c r="P456" t="s">
        <v>2378</v>
      </c>
      <c r="Q456" t="s">
        <v>2379</v>
      </c>
      <c r="R456" t="s">
        <v>5291</v>
      </c>
      <c r="S456" t="s">
        <v>2511</v>
      </c>
      <c r="T456" s="3" t="s">
        <v>5268</v>
      </c>
      <c r="U456" t="s">
        <v>5292</v>
      </c>
      <c r="V456" t="s">
        <v>5293</v>
      </c>
      <c r="W456" t="s">
        <v>5294</v>
      </c>
      <c r="X456" t="s">
        <v>2385</v>
      </c>
      <c r="Y456" t="s">
        <v>5295</v>
      </c>
      <c r="Z456" t="s">
        <v>2405</v>
      </c>
      <c r="AA456" t="s">
        <v>5268</v>
      </c>
      <c r="AB456" t="s">
        <v>5296</v>
      </c>
      <c r="AC456" t="s">
        <v>5297</v>
      </c>
      <c r="AD456" t="s">
        <v>5250</v>
      </c>
      <c r="AG456" t="s">
        <v>2541</v>
      </c>
      <c r="AH456" t="s">
        <v>5227</v>
      </c>
      <c r="AI456" t="s">
        <v>5228</v>
      </c>
      <c r="AJ456" t="s">
        <v>5299</v>
      </c>
      <c r="AK456" t="s">
        <v>5300</v>
      </c>
      <c r="AL456" t="s">
        <v>5301</v>
      </c>
      <c r="AM456" t="s">
        <v>2865</v>
      </c>
      <c r="AN456" t="s">
        <v>5302</v>
      </c>
      <c r="AO456" t="s">
        <v>5299</v>
      </c>
      <c r="AP456">
        <v>80</v>
      </c>
      <c r="AQ456">
        <v>80</v>
      </c>
      <c r="AR456">
        <v>80</v>
      </c>
      <c r="AS456" t="s">
        <v>5289</v>
      </c>
      <c r="AT456">
        <v>0</v>
      </c>
      <c r="AU456">
        <v>0</v>
      </c>
      <c r="AV456">
        <v>0</v>
      </c>
    </row>
    <row r="457" spans="1:48">
      <c r="A457" s="1">
        <f>_xlfn.XLOOKUP(J457,数据!E:E,数据!A:A)</f>
        <v>2</v>
      </c>
      <c r="B457" s="1">
        <f>_xlfn.XLOOKUP(J457,数据!E:E,数据!B:B)</f>
        <v>7</v>
      </c>
      <c r="C457" s="1" t="str">
        <f>_xlfn.XLOOKUP(J457,数据!E:E,数据!J:J)</f>
        <v>空派</v>
      </c>
      <c r="D457" s="1" t="str" cm="1">
        <f t="array" ref="D457">IF(OR(C457="红单",C457="空派"),_xlfn.IFS(E457="未开售","新品首批发货",F457&lt;E457,"新品首批发货",F457-E457&lt;=60,"新品期补货空运",F457-E457&gt;60,"老品应急空运"),"海运，不进行分析")</f>
        <v>新品首批发货</v>
      </c>
      <c r="E457" s="2">
        <v>46077</v>
      </c>
      <c r="F457" s="2">
        <f>_xlfn.XLOOKUP(J457,数据!E:E,数据!C:C)</f>
        <v>46063</v>
      </c>
      <c r="G457" s="4">
        <v>104</v>
      </c>
      <c r="H457" s="4">
        <f t="shared" ref="H457:H463" si="25">G457*AP457/1000</f>
        <v>8.32</v>
      </c>
      <c r="I457" s="4">
        <f>_xlfn.XLOOKUP(J457,数据!E:E,数据!S:S)*(H457/_xlfn.XLOOKUP(J457,数据!E:E,数据!X:X))</f>
        <v>459.403379867744</v>
      </c>
      <c r="J457" t="s">
        <v>1095</v>
      </c>
      <c r="K457" t="s">
        <v>78</v>
      </c>
      <c r="L457" t="s">
        <v>2374</v>
      </c>
      <c r="M457" t="s">
        <v>5290</v>
      </c>
      <c r="N457" t="s">
        <v>2376</v>
      </c>
      <c r="O457" t="s">
        <v>2400</v>
      </c>
      <c r="P457" t="s">
        <v>2378</v>
      </c>
      <c r="Q457" t="s">
        <v>2379</v>
      </c>
      <c r="R457" t="s">
        <v>5291</v>
      </c>
      <c r="S457" t="s">
        <v>2511</v>
      </c>
      <c r="T457" s="3" t="s">
        <v>5268</v>
      </c>
      <c r="U457" t="s">
        <v>5292</v>
      </c>
      <c r="V457" t="s">
        <v>5293</v>
      </c>
      <c r="W457" t="s">
        <v>5294</v>
      </c>
      <c r="X457" t="s">
        <v>2385</v>
      </c>
      <c r="Y457" t="s">
        <v>5295</v>
      </c>
      <c r="Z457" t="s">
        <v>2405</v>
      </c>
      <c r="AA457" t="s">
        <v>5268</v>
      </c>
      <c r="AB457" t="s">
        <v>5296</v>
      </c>
      <c r="AC457" t="s">
        <v>5297</v>
      </c>
      <c r="AD457" t="s">
        <v>5250</v>
      </c>
      <c r="AG457" t="s">
        <v>2541</v>
      </c>
      <c r="AH457" t="s">
        <v>5227</v>
      </c>
      <c r="AI457" t="s">
        <v>5228</v>
      </c>
      <c r="AJ457" t="s">
        <v>5303</v>
      </c>
      <c r="AK457" t="s">
        <v>5304</v>
      </c>
      <c r="AL457" t="s">
        <v>5305</v>
      </c>
      <c r="AM457" t="s">
        <v>2865</v>
      </c>
      <c r="AN457" t="s">
        <v>5306</v>
      </c>
      <c r="AO457" t="s">
        <v>5303</v>
      </c>
      <c r="AP457">
        <v>80</v>
      </c>
      <c r="AQ457">
        <v>80</v>
      </c>
      <c r="AR457">
        <v>80</v>
      </c>
      <c r="AS457" t="s">
        <v>5289</v>
      </c>
      <c r="AT457">
        <v>0</v>
      </c>
      <c r="AU457">
        <v>0</v>
      </c>
      <c r="AV457">
        <v>0</v>
      </c>
    </row>
    <row r="458" spans="1:48">
      <c r="A458" s="1">
        <f>_xlfn.XLOOKUP(J458,数据!E:E,数据!A:A)</f>
        <v>2</v>
      </c>
      <c r="B458" s="1">
        <f>_xlfn.XLOOKUP(J458,数据!E:E,数据!B:B)</f>
        <v>7</v>
      </c>
      <c r="C458" s="1" t="str">
        <f>_xlfn.XLOOKUP(J458,数据!E:E,数据!J:J)</f>
        <v>空派</v>
      </c>
      <c r="D458" s="1" t="str" cm="1">
        <f t="array" ref="D458">IF(OR(C458="红单",C458="空派"),_xlfn.IFS(E458="未开售","新品首批发货",F458&lt;E458,"新品首批发货",F458-E458&lt;=60,"新品期补货空运",F458-E458&gt;60,"老品应急空运"),"海运，不进行分析")</f>
        <v>新品首批发货</v>
      </c>
      <c r="E458" s="2">
        <v>46081</v>
      </c>
      <c r="F458" s="2">
        <f>_xlfn.XLOOKUP(J458,数据!E:E,数据!C:C)</f>
        <v>46063</v>
      </c>
      <c r="G458" s="4">
        <v>108</v>
      </c>
      <c r="H458" s="4">
        <f t="shared" si="25"/>
        <v>12.96</v>
      </c>
      <c r="I458" s="4">
        <f>_xlfn.XLOOKUP(J458,数据!E:E,数据!S:S)*(H458/_xlfn.XLOOKUP(J458,数据!E:E,数据!X:X))</f>
        <v>715.609110947833</v>
      </c>
      <c r="J458" t="s">
        <v>1095</v>
      </c>
      <c r="K458" t="s">
        <v>78</v>
      </c>
      <c r="L458" t="s">
        <v>2374</v>
      </c>
      <c r="M458" t="s">
        <v>5290</v>
      </c>
      <c r="N458" t="s">
        <v>2376</v>
      </c>
      <c r="O458" t="s">
        <v>2400</v>
      </c>
      <c r="P458" t="s">
        <v>2378</v>
      </c>
      <c r="Q458" t="s">
        <v>2379</v>
      </c>
      <c r="R458" t="s">
        <v>5291</v>
      </c>
      <c r="S458" t="s">
        <v>2511</v>
      </c>
      <c r="T458" s="3" t="s">
        <v>5268</v>
      </c>
      <c r="U458" t="s">
        <v>5292</v>
      </c>
      <c r="V458" t="s">
        <v>5293</v>
      </c>
      <c r="W458" t="s">
        <v>5294</v>
      </c>
      <c r="X458" t="s">
        <v>2385</v>
      </c>
      <c r="Y458" t="s">
        <v>5295</v>
      </c>
      <c r="Z458" t="s">
        <v>2405</v>
      </c>
      <c r="AA458" t="s">
        <v>5268</v>
      </c>
      <c r="AB458" t="s">
        <v>5296</v>
      </c>
      <c r="AC458" t="s">
        <v>5297</v>
      </c>
      <c r="AD458" t="s">
        <v>5250</v>
      </c>
      <c r="AG458" t="s">
        <v>2541</v>
      </c>
      <c r="AH458" t="s">
        <v>5227</v>
      </c>
      <c r="AI458" t="s">
        <v>5228</v>
      </c>
      <c r="AJ458" t="s">
        <v>5307</v>
      </c>
      <c r="AK458" t="s">
        <v>5308</v>
      </c>
      <c r="AL458" t="s">
        <v>5309</v>
      </c>
      <c r="AM458" t="s">
        <v>3138</v>
      </c>
      <c r="AN458" t="s">
        <v>5310</v>
      </c>
      <c r="AO458" t="s">
        <v>5307</v>
      </c>
      <c r="AP458">
        <v>120</v>
      </c>
      <c r="AQ458">
        <v>120</v>
      </c>
      <c r="AR458">
        <v>115</v>
      </c>
      <c r="AS458" t="s">
        <v>5311</v>
      </c>
      <c r="AT458">
        <v>0</v>
      </c>
      <c r="AU458">
        <v>-5</v>
      </c>
      <c r="AV458">
        <v>5</v>
      </c>
    </row>
    <row r="459" spans="1:48">
      <c r="A459" s="1">
        <f>_xlfn.XLOOKUP(J459,数据!E:E,数据!A:A)</f>
        <v>2</v>
      </c>
      <c r="B459" s="1">
        <f>_xlfn.XLOOKUP(J459,数据!E:E,数据!B:B)</f>
        <v>7</v>
      </c>
      <c r="C459" s="1" t="str">
        <f>_xlfn.XLOOKUP(J459,数据!E:E,数据!J:J)</f>
        <v>空派</v>
      </c>
      <c r="D459" s="1" t="str" cm="1">
        <f t="array" ref="D459">IF(OR(C459="红单",C459="空派"),_xlfn.IFS(E459="未开售","新品首批发货",F459&lt;E459,"新品首批发货",F459-E459&lt;=60,"新品期补货空运",F459-E459&gt;60,"老品应急空运"),"海运，不进行分析")</f>
        <v>新品首批发货</v>
      </c>
      <c r="E459" s="2">
        <v>46083</v>
      </c>
      <c r="F459" s="2">
        <f>_xlfn.XLOOKUP(J459,数据!E:E,数据!C:C)</f>
        <v>46063</v>
      </c>
      <c r="G459" s="4">
        <v>107</v>
      </c>
      <c r="H459" s="4">
        <f t="shared" si="25"/>
        <v>12.84</v>
      </c>
      <c r="I459" s="4">
        <f>_xlfn.XLOOKUP(J459,数据!E:E,数据!S:S)*(H459/_xlfn.XLOOKUP(J459,数据!E:E,数据!X:X))</f>
        <v>708.983100661278</v>
      </c>
      <c r="J459" t="s">
        <v>1095</v>
      </c>
      <c r="K459" t="s">
        <v>78</v>
      </c>
      <c r="L459" t="s">
        <v>2374</v>
      </c>
      <c r="M459" t="s">
        <v>5290</v>
      </c>
      <c r="N459" t="s">
        <v>2376</v>
      </c>
      <c r="O459" t="s">
        <v>2400</v>
      </c>
      <c r="P459" t="s">
        <v>2378</v>
      </c>
      <c r="Q459" t="s">
        <v>2379</v>
      </c>
      <c r="R459" t="s">
        <v>5291</v>
      </c>
      <c r="S459" t="s">
        <v>2511</v>
      </c>
      <c r="T459" s="3" t="s">
        <v>5268</v>
      </c>
      <c r="U459" t="s">
        <v>5292</v>
      </c>
      <c r="V459" t="s">
        <v>5293</v>
      </c>
      <c r="W459" t="s">
        <v>5294</v>
      </c>
      <c r="X459" t="s">
        <v>2385</v>
      </c>
      <c r="Y459" t="s">
        <v>5295</v>
      </c>
      <c r="Z459" t="s">
        <v>2405</v>
      </c>
      <c r="AA459" t="s">
        <v>5268</v>
      </c>
      <c r="AB459" t="s">
        <v>5296</v>
      </c>
      <c r="AC459" t="s">
        <v>5297</v>
      </c>
      <c r="AD459" t="s">
        <v>5250</v>
      </c>
      <c r="AG459" t="s">
        <v>2541</v>
      </c>
      <c r="AH459" t="s">
        <v>5227</v>
      </c>
      <c r="AI459" t="s">
        <v>5228</v>
      </c>
      <c r="AJ459" t="s">
        <v>5312</v>
      </c>
      <c r="AK459" t="s">
        <v>5313</v>
      </c>
      <c r="AL459" t="s">
        <v>5314</v>
      </c>
      <c r="AM459" t="s">
        <v>3138</v>
      </c>
      <c r="AN459" t="s">
        <v>5315</v>
      </c>
      <c r="AO459" t="s">
        <v>5312</v>
      </c>
      <c r="AP459">
        <v>120</v>
      </c>
      <c r="AQ459">
        <v>120</v>
      </c>
      <c r="AR459">
        <v>120</v>
      </c>
      <c r="AS459" t="s">
        <v>5316</v>
      </c>
      <c r="AT459">
        <v>0</v>
      </c>
      <c r="AU459">
        <v>0</v>
      </c>
      <c r="AV459">
        <v>0</v>
      </c>
    </row>
    <row r="460" spans="1:48">
      <c r="A460" s="1">
        <f>_xlfn.XLOOKUP(J460,数据!E:E,数据!A:A)</f>
        <v>2</v>
      </c>
      <c r="B460" s="1">
        <f>_xlfn.XLOOKUP(J460,数据!E:E,数据!B:B)</f>
        <v>7</v>
      </c>
      <c r="C460" s="1" t="str">
        <f>_xlfn.XLOOKUP(J460,数据!E:E,数据!J:J)</f>
        <v>空派</v>
      </c>
      <c r="D460" s="1" t="str" cm="1">
        <f t="array" ref="D460">IF(OR(C460="红单",C460="空派"),_xlfn.IFS(E460="未开售","新品首批发货",F460&lt;E460,"新品首批发货",F460-E460&lt;=60,"新品期补货空运",F460-E460&gt;60,"老品应急空运"),"海运，不进行分析")</f>
        <v>新品期补货空运</v>
      </c>
      <c r="E460" s="2">
        <v>46023</v>
      </c>
      <c r="F460" s="2">
        <f>_xlfn.XLOOKUP(J460,数据!E:E,数据!C:C)</f>
        <v>46063</v>
      </c>
      <c r="G460" s="4">
        <v>237</v>
      </c>
      <c r="H460" s="4">
        <f t="shared" si="25"/>
        <v>26.07</v>
      </c>
      <c r="I460" s="4">
        <f>_xlfn.XLOOKUP(J460,数据!E:E,数据!S:S)*(H460/_xlfn.XLOOKUP(J460,数据!E:E,数据!X:X))</f>
        <v>1427.13127844615</v>
      </c>
      <c r="J460" t="s">
        <v>1092</v>
      </c>
      <c r="K460" t="s">
        <v>56</v>
      </c>
      <c r="L460" t="s">
        <v>2374</v>
      </c>
      <c r="M460" t="s">
        <v>5317</v>
      </c>
      <c r="N460" t="s">
        <v>2376</v>
      </c>
      <c r="O460" t="s">
        <v>2400</v>
      </c>
      <c r="P460" t="s">
        <v>2378</v>
      </c>
      <c r="Q460" t="s">
        <v>2379</v>
      </c>
      <c r="R460" t="s">
        <v>5291</v>
      </c>
      <c r="S460" t="s">
        <v>2511</v>
      </c>
      <c r="T460" s="3" t="s">
        <v>5268</v>
      </c>
      <c r="U460" t="s">
        <v>5255</v>
      </c>
      <c r="V460" t="s">
        <v>5318</v>
      </c>
      <c r="W460" t="s">
        <v>5319</v>
      </c>
      <c r="X460" t="s">
        <v>2385</v>
      </c>
      <c r="Y460" t="s">
        <v>5320</v>
      </c>
      <c r="Z460" t="s">
        <v>2405</v>
      </c>
      <c r="AA460" t="s">
        <v>5268</v>
      </c>
      <c r="AB460" t="s">
        <v>4868</v>
      </c>
      <c r="AC460" t="s">
        <v>5321</v>
      </c>
      <c r="AD460" t="s">
        <v>5250</v>
      </c>
      <c r="AG460" t="s">
        <v>2541</v>
      </c>
      <c r="AH460" t="s">
        <v>5227</v>
      </c>
      <c r="AI460" t="s">
        <v>5228</v>
      </c>
      <c r="AJ460" t="s">
        <v>5322</v>
      </c>
      <c r="AK460" t="s">
        <v>5323</v>
      </c>
      <c r="AL460" t="s">
        <v>5324</v>
      </c>
      <c r="AM460" t="s">
        <v>2396</v>
      </c>
      <c r="AN460" t="s">
        <v>5325</v>
      </c>
      <c r="AO460" t="s">
        <v>5322</v>
      </c>
      <c r="AP460">
        <v>110</v>
      </c>
      <c r="AQ460">
        <v>110</v>
      </c>
      <c r="AR460">
        <v>110</v>
      </c>
      <c r="AS460" t="s">
        <v>5326</v>
      </c>
      <c r="AT460">
        <v>0</v>
      </c>
      <c r="AU460">
        <v>0</v>
      </c>
      <c r="AV460">
        <v>0</v>
      </c>
    </row>
    <row r="461" spans="1:48">
      <c r="A461" s="1">
        <f>_xlfn.XLOOKUP(J461,数据!E:E,数据!A:A)</f>
        <v>2</v>
      </c>
      <c r="B461" s="1">
        <f>_xlfn.XLOOKUP(J461,数据!E:E,数据!B:B)</f>
        <v>7</v>
      </c>
      <c r="C461" s="1" t="str">
        <f>_xlfn.XLOOKUP(J461,数据!E:E,数据!J:J)</f>
        <v>空派</v>
      </c>
      <c r="D461" s="1" t="str" cm="1">
        <f t="array" ref="D461">IF(OR(C461="红单",C461="空派"),_xlfn.IFS(E461="未开售","新品首批发货",F461&lt;E461,"新品首批发货",F461-E461&lt;=60,"新品期补货空运",F461-E461&gt;60,"老品应急空运"),"海运，不进行分析")</f>
        <v>新品期补货空运</v>
      </c>
      <c r="E461" s="2">
        <v>46020</v>
      </c>
      <c r="F461" s="2">
        <f>_xlfn.XLOOKUP(J461,数据!E:E,数据!C:C)</f>
        <v>46063</v>
      </c>
      <c r="G461" s="4">
        <v>161</v>
      </c>
      <c r="H461" s="4">
        <f t="shared" si="25"/>
        <v>9.66</v>
      </c>
      <c r="I461" s="4">
        <f>_xlfn.XLOOKUP(J461,数据!E:E,数据!S:S)*(H461/_xlfn.XLOOKUP(J461,数据!E:E,数据!X:X))</f>
        <v>528.810439194086</v>
      </c>
      <c r="J461" t="s">
        <v>1092</v>
      </c>
      <c r="K461" t="s">
        <v>56</v>
      </c>
      <c r="L461" t="s">
        <v>2374</v>
      </c>
      <c r="M461" t="s">
        <v>5317</v>
      </c>
      <c r="N461" t="s">
        <v>2376</v>
      </c>
      <c r="O461" t="s">
        <v>2400</v>
      </c>
      <c r="P461" t="s">
        <v>2378</v>
      </c>
      <c r="Q461" t="s">
        <v>2379</v>
      </c>
      <c r="R461" t="s">
        <v>5291</v>
      </c>
      <c r="S461" t="s">
        <v>2511</v>
      </c>
      <c r="T461" s="3" t="s">
        <v>5268</v>
      </c>
      <c r="U461" t="s">
        <v>5255</v>
      </c>
      <c r="V461" t="s">
        <v>5318</v>
      </c>
      <c r="W461" t="s">
        <v>5319</v>
      </c>
      <c r="X461" t="s">
        <v>2385</v>
      </c>
      <c r="Y461" t="s">
        <v>5320</v>
      </c>
      <c r="Z461" t="s">
        <v>2405</v>
      </c>
      <c r="AA461" t="s">
        <v>5268</v>
      </c>
      <c r="AB461" t="s">
        <v>4868</v>
      </c>
      <c r="AC461" t="s">
        <v>5321</v>
      </c>
      <c r="AD461" t="s">
        <v>5250</v>
      </c>
      <c r="AG461" t="s">
        <v>2541</v>
      </c>
      <c r="AH461" t="s">
        <v>5227</v>
      </c>
      <c r="AI461" t="s">
        <v>5228</v>
      </c>
      <c r="AJ461" t="s">
        <v>4554</v>
      </c>
      <c r="AK461" t="s">
        <v>4555</v>
      </c>
      <c r="AL461" t="s">
        <v>4556</v>
      </c>
      <c r="AM461" t="s">
        <v>2821</v>
      </c>
      <c r="AN461" t="s">
        <v>4557</v>
      </c>
      <c r="AO461" t="s">
        <v>4554</v>
      </c>
      <c r="AP461">
        <v>60</v>
      </c>
      <c r="AQ461">
        <v>60</v>
      </c>
      <c r="AR461">
        <v>60</v>
      </c>
      <c r="AS461" t="s">
        <v>5327</v>
      </c>
      <c r="AT461">
        <v>0</v>
      </c>
      <c r="AU461">
        <v>0</v>
      </c>
      <c r="AV461">
        <v>0</v>
      </c>
    </row>
    <row r="462" spans="1:48">
      <c r="A462" s="1">
        <f>_xlfn.XLOOKUP(J462,数据!E:E,数据!A:A)</f>
        <v>2</v>
      </c>
      <c r="B462" s="1">
        <f>_xlfn.XLOOKUP(J462,数据!E:E,数据!B:B)</f>
        <v>7</v>
      </c>
      <c r="C462" s="1" t="str">
        <f>_xlfn.XLOOKUP(J462,数据!E:E,数据!J:J)</f>
        <v>空派</v>
      </c>
      <c r="D462" s="1" t="str" cm="1">
        <f t="array" ref="D462">IF(OR(C462="红单",C462="空派"),_xlfn.IFS(E462="未开售","新品首批发货",F462&lt;E462,"新品首批发货",F462-E462&lt;=60,"新品期补货空运",F462-E462&gt;60,"老品应急空运"),"海运，不进行分析")</f>
        <v>新品期补货空运</v>
      </c>
      <c r="E462" s="2">
        <v>46039</v>
      </c>
      <c r="F462" s="2">
        <f>_xlfn.XLOOKUP(J462,数据!E:E,数据!C:C)</f>
        <v>46063</v>
      </c>
      <c r="G462" s="4">
        <v>103</v>
      </c>
      <c r="H462" s="4">
        <f t="shared" si="25"/>
        <v>10.3</v>
      </c>
      <c r="I462" s="4">
        <f>_xlfn.XLOOKUP(J462,数据!E:E,数据!S:S)*(H462/_xlfn.XLOOKUP(J462,数据!E:E,数据!X:X))</f>
        <v>563.845499347731</v>
      </c>
      <c r="J462" t="s">
        <v>1092</v>
      </c>
      <c r="K462" t="s">
        <v>56</v>
      </c>
      <c r="L462" t="s">
        <v>2374</v>
      </c>
      <c r="M462" t="s">
        <v>5317</v>
      </c>
      <c r="N462" t="s">
        <v>2376</v>
      </c>
      <c r="O462" t="s">
        <v>2400</v>
      </c>
      <c r="P462" t="s">
        <v>2378</v>
      </c>
      <c r="Q462" t="s">
        <v>2379</v>
      </c>
      <c r="R462" t="s">
        <v>5291</v>
      </c>
      <c r="S462" t="s">
        <v>2511</v>
      </c>
      <c r="T462" s="3" t="s">
        <v>5268</v>
      </c>
      <c r="U462" t="s">
        <v>5255</v>
      </c>
      <c r="V462" t="s">
        <v>5318</v>
      </c>
      <c r="W462" t="s">
        <v>5319</v>
      </c>
      <c r="X462" t="s">
        <v>2385</v>
      </c>
      <c r="Y462" t="s">
        <v>5320</v>
      </c>
      <c r="Z462" t="s">
        <v>2405</v>
      </c>
      <c r="AA462" t="s">
        <v>5268</v>
      </c>
      <c r="AB462" t="s">
        <v>4868</v>
      </c>
      <c r="AC462" t="s">
        <v>5321</v>
      </c>
      <c r="AD462" t="s">
        <v>5250</v>
      </c>
      <c r="AG462" t="s">
        <v>2541</v>
      </c>
      <c r="AH462" t="s">
        <v>5227</v>
      </c>
      <c r="AI462" t="s">
        <v>5228</v>
      </c>
      <c r="AJ462" t="s">
        <v>5328</v>
      </c>
      <c r="AK462" t="s">
        <v>5329</v>
      </c>
      <c r="AL462" t="s">
        <v>5330</v>
      </c>
      <c r="AM462" t="s">
        <v>5330</v>
      </c>
      <c r="AN462" t="s">
        <v>5331</v>
      </c>
      <c r="AO462" t="s">
        <v>5328</v>
      </c>
      <c r="AP462">
        <v>100</v>
      </c>
      <c r="AQ462">
        <v>100</v>
      </c>
      <c r="AR462">
        <v>98</v>
      </c>
      <c r="AS462" t="s">
        <v>5332</v>
      </c>
      <c r="AT462">
        <v>0</v>
      </c>
      <c r="AU462">
        <v>-2</v>
      </c>
      <c r="AV462">
        <v>2</v>
      </c>
    </row>
    <row r="463" spans="1:48">
      <c r="A463" s="1">
        <f>_xlfn.XLOOKUP(J463,数据!E:E,数据!A:A)</f>
        <v>2</v>
      </c>
      <c r="B463" s="1">
        <f>_xlfn.XLOOKUP(J463,数据!E:E,数据!B:B)</f>
        <v>7</v>
      </c>
      <c r="C463" s="1" t="str">
        <f>_xlfn.XLOOKUP(J463,数据!E:E,数据!J:J)</f>
        <v>空派</v>
      </c>
      <c r="D463" s="1" t="str" cm="1">
        <f t="array" ref="D463">IF(OR(C463="红单",C463="空派"),_xlfn.IFS(E463="未开售","新品首批发货",F463&lt;E463,"新品首批发货",F463-E463&lt;=60,"新品期补货空运",F463-E463&gt;60,"老品应急空运"),"海运，不进行分析")</f>
        <v>新品首批发货</v>
      </c>
      <c r="E463" s="2">
        <v>46075</v>
      </c>
      <c r="F463" s="2">
        <f>_xlfn.XLOOKUP(J463,数据!E:E,数据!C:C)</f>
        <v>46063</v>
      </c>
      <c r="G463" s="4">
        <v>164</v>
      </c>
      <c r="H463" s="4">
        <f t="shared" si="25"/>
        <v>22.96</v>
      </c>
      <c r="I463" s="4">
        <f>_xlfn.XLOOKUP(J463,数据!E:E,数据!S:S)*(H463/_xlfn.XLOOKUP(J463,数据!E:E,数据!X:X))</f>
        <v>1256.88278301203</v>
      </c>
      <c r="J463" t="s">
        <v>1092</v>
      </c>
      <c r="K463" t="s">
        <v>56</v>
      </c>
      <c r="L463" t="s">
        <v>2374</v>
      </c>
      <c r="M463" t="s">
        <v>5317</v>
      </c>
      <c r="N463" t="s">
        <v>2376</v>
      </c>
      <c r="O463" t="s">
        <v>2400</v>
      </c>
      <c r="P463" t="s">
        <v>2378</v>
      </c>
      <c r="Q463" t="s">
        <v>2379</v>
      </c>
      <c r="R463" t="s">
        <v>5291</v>
      </c>
      <c r="S463" t="s">
        <v>2511</v>
      </c>
      <c r="T463" s="3" t="s">
        <v>5268</v>
      </c>
      <c r="U463" t="s">
        <v>5255</v>
      </c>
      <c r="V463" t="s">
        <v>5318</v>
      </c>
      <c r="W463" t="s">
        <v>5319</v>
      </c>
      <c r="X463" t="s">
        <v>2385</v>
      </c>
      <c r="Y463" t="s">
        <v>5320</v>
      </c>
      <c r="Z463" t="s">
        <v>2405</v>
      </c>
      <c r="AA463" t="s">
        <v>5268</v>
      </c>
      <c r="AB463" t="s">
        <v>4868</v>
      </c>
      <c r="AC463" t="s">
        <v>5321</v>
      </c>
      <c r="AD463" t="s">
        <v>5250</v>
      </c>
      <c r="AG463" t="s">
        <v>2541</v>
      </c>
      <c r="AH463" t="s">
        <v>5227</v>
      </c>
      <c r="AI463" t="s">
        <v>5228</v>
      </c>
      <c r="AJ463" t="s">
        <v>4469</v>
      </c>
      <c r="AK463" t="s">
        <v>4470</v>
      </c>
      <c r="AL463" t="s">
        <v>4471</v>
      </c>
      <c r="AM463" t="s">
        <v>4471</v>
      </c>
      <c r="AN463" t="s">
        <v>4472</v>
      </c>
      <c r="AO463" t="s">
        <v>4469</v>
      </c>
      <c r="AP463">
        <v>140</v>
      </c>
      <c r="AQ463">
        <v>140</v>
      </c>
      <c r="AR463">
        <v>140</v>
      </c>
      <c r="AS463" t="s">
        <v>5333</v>
      </c>
      <c r="AT463">
        <v>0</v>
      </c>
      <c r="AU463">
        <v>0</v>
      </c>
      <c r="AV463">
        <v>0</v>
      </c>
    </row>
    <row r="464" spans="1:48">
      <c r="A464" s="1">
        <f>_xlfn.XLOOKUP(J464,数据!E:E,数据!A:A)</f>
        <v>2</v>
      </c>
      <c r="B464" s="1">
        <f>_xlfn.XLOOKUP(J464,数据!E:E,数据!B:B)</f>
        <v>7</v>
      </c>
      <c r="C464" s="1" t="str">
        <f>_xlfn.XLOOKUP(J464,数据!E:E,数据!J:J)</f>
        <v>空派</v>
      </c>
      <c r="D464" s="1" t="str" cm="1">
        <f t="array" ref="D464">IF(OR(C464="红单",C464="空派"),_xlfn.IFS(E464="未开售","新品首批发货",F464&lt;E464,"新品首批发货",F464-E464&lt;=60,"新品期补货空运",F464-E464&gt;60,"老品应急空运"),"海运，不进行分析")</f>
        <v>老品应急空运</v>
      </c>
      <c r="E464" s="2">
        <v>45797</v>
      </c>
      <c r="F464" s="2">
        <f>_xlfn.XLOOKUP(J464,数据!E:E,数据!C:C)</f>
        <v>46063</v>
      </c>
      <c r="G464" s="4">
        <v>122</v>
      </c>
      <c r="H464" s="4">
        <f t="shared" ref="H464:H520" si="26">G464*AP464/1000</f>
        <v>2.44</v>
      </c>
      <c r="I464" s="4">
        <f>_xlfn.XLOOKUP(J464,数据!E:E,数据!S:S)*(H464/_xlfn.XLOOKUP(J464,数据!E:E,数据!X:X))</f>
        <v>143.390773510548</v>
      </c>
      <c r="J464" t="s">
        <v>1096</v>
      </c>
      <c r="K464" t="s">
        <v>37</v>
      </c>
      <c r="L464" t="s">
        <v>2374</v>
      </c>
      <c r="M464" t="s">
        <v>5334</v>
      </c>
      <c r="N464" t="s">
        <v>2376</v>
      </c>
      <c r="O464" t="s">
        <v>2400</v>
      </c>
      <c r="P464" t="s">
        <v>2378</v>
      </c>
      <c r="Q464" t="s">
        <v>2379</v>
      </c>
      <c r="S464" t="s">
        <v>2511</v>
      </c>
      <c r="T464" s="3" t="s">
        <v>5335</v>
      </c>
      <c r="U464" t="s">
        <v>5255</v>
      </c>
      <c r="V464" t="s">
        <v>5336</v>
      </c>
      <c r="W464" t="s">
        <v>5337</v>
      </c>
      <c r="X464" t="s">
        <v>2385</v>
      </c>
      <c r="Y464" t="s">
        <v>5338</v>
      </c>
      <c r="Z464" t="s">
        <v>2405</v>
      </c>
      <c r="AA464" t="s">
        <v>5335</v>
      </c>
      <c r="AB464" t="s">
        <v>5339</v>
      </c>
      <c r="AC464" t="s">
        <v>5340</v>
      </c>
      <c r="AD464" t="s">
        <v>5341</v>
      </c>
      <c r="AG464" t="s">
        <v>2432</v>
      </c>
      <c r="AH464" t="s">
        <v>5227</v>
      </c>
      <c r="AI464" t="s">
        <v>5228</v>
      </c>
      <c r="AJ464" t="s">
        <v>5342</v>
      </c>
      <c r="AK464" t="s">
        <v>5343</v>
      </c>
      <c r="AL464" t="s">
        <v>5344</v>
      </c>
      <c r="AM464" t="s">
        <v>2893</v>
      </c>
      <c r="AN464" t="s">
        <v>5345</v>
      </c>
      <c r="AO464" t="s">
        <v>5342</v>
      </c>
      <c r="AP464">
        <v>20</v>
      </c>
      <c r="AQ464">
        <v>20</v>
      </c>
      <c r="AR464">
        <v>19</v>
      </c>
      <c r="AS464" t="s">
        <v>5346</v>
      </c>
      <c r="AT464">
        <v>0</v>
      </c>
      <c r="AU464">
        <v>-1</v>
      </c>
      <c r="AV464">
        <v>1</v>
      </c>
    </row>
    <row r="465" spans="1:48">
      <c r="A465" s="1">
        <f>_xlfn.XLOOKUP(J465,数据!E:E,数据!A:A)</f>
        <v>2</v>
      </c>
      <c r="B465" s="1">
        <f>_xlfn.XLOOKUP(J465,数据!E:E,数据!B:B)</f>
        <v>7</v>
      </c>
      <c r="C465" s="1" t="str">
        <f>_xlfn.XLOOKUP(J465,数据!E:E,数据!J:J)</f>
        <v>空派</v>
      </c>
      <c r="D465" s="1" t="str" cm="1">
        <f t="array" ref="D465">IF(OR(C465="红单",C465="空派"),_xlfn.IFS(E465="未开售","新品首批发货",F465&lt;E465,"新品首批发货",F465-E465&lt;=60,"新品期补货空运",F465-E465&gt;60,"老品应急空运"),"海运，不进行分析")</f>
        <v>老品应急空运</v>
      </c>
      <c r="E465" s="2">
        <v>45847</v>
      </c>
      <c r="F465" s="2">
        <f>_xlfn.XLOOKUP(J465,数据!E:E,数据!C:C)</f>
        <v>46063</v>
      </c>
      <c r="G465" s="4">
        <v>200</v>
      </c>
      <c r="H465" s="4">
        <f t="shared" si="26"/>
        <v>0.8</v>
      </c>
      <c r="I465" s="4">
        <f>_xlfn.XLOOKUP(J465,数据!E:E,数据!S:S)*(H465/_xlfn.XLOOKUP(J465,数据!E:E,数据!X:X))</f>
        <v>47.0133683641141</v>
      </c>
      <c r="J465" t="s">
        <v>1096</v>
      </c>
      <c r="K465" t="s">
        <v>37</v>
      </c>
      <c r="L465" t="s">
        <v>2374</v>
      </c>
      <c r="M465" t="s">
        <v>5334</v>
      </c>
      <c r="N465" t="s">
        <v>2376</v>
      </c>
      <c r="O465" t="s">
        <v>2400</v>
      </c>
      <c r="P465" t="s">
        <v>2378</v>
      </c>
      <c r="Q465" t="s">
        <v>2379</v>
      </c>
      <c r="S465" t="s">
        <v>2511</v>
      </c>
      <c r="T465" s="3" t="s">
        <v>5335</v>
      </c>
      <c r="U465" t="s">
        <v>5255</v>
      </c>
      <c r="V465" t="s">
        <v>5336</v>
      </c>
      <c r="W465" t="s">
        <v>5337</v>
      </c>
      <c r="X465" t="s">
        <v>2385</v>
      </c>
      <c r="Y465" t="s">
        <v>5338</v>
      </c>
      <c r="Z465" t="s">
        <v>2405</v>
      </c>
      <c r="AA465" t="s">
        <v>5335</v>
      </c>
      <c r="AB465" t="s">
        <v>5339</v>
      </c>
      <c r="AC465" t="s">
        <v>5340</v>
      </c>
      <c r="AD465" t="s">
        <v>5341</v>
      </c>
      <c r="AG465" t="s">
        <v>2432</v>
      </c>
      <c r="AH465" t="s">
        <v>5227</v>
      </c>
      <c r="AI465" t="s">
        <v>5228</v>
      </c>
      <c r="AJ465" t="s">
        <v>4883</v>
      </c>
      <c r="AK465" t="s">
        <v>4884</v>
      </c>
      <c r="AL465" t="s">
        <v>4885</v>
      </c>
      <c r="AM465" t="s">
        <v>4885</v>
      </c>
      <c r="AN465" t="s">
        <v>4886</v>
      </c>
      <c r="AO465" t="s">
        <v>4883</v>
      </c>
      <c r="AP465">
        <v>4</v>
      </c>
      <c r="AQ465">
        <v>4</v>
      </c>
      <c r="AR465">
        <v>4</v>
      </c>
      <c r="AS465" t="s">
        <v>5347</v>
      </c>
      <c r="AT465">
        <v>0</v>
      </c>
      <c r="AU465">
        <v>0</v>
      </c>
      <c r="AV465">
        <v>0</v>
      </c>
    </row>
    <row r="466" spans="1:48">
      <c r="A466" s="1">
        <f>_xlfn.XLOOKUP(J466,数据!E:E,数据!A:A)</f>
        <v>2</v>
      </c>
      <c r="B466" s="1">
        <f>_xlfn.XLOOKUP(J466,数据!E:E,数据!B:B)</f>
        <v>7</v>
      </c>
      <c r="C466" s="1" t="str">
        <f>_xlfn.XLOOKUP(J466,数据!E:E,数据!J:J)</f>
        <v>空派</v>
      </c>
      <c r="D466" s="1" t="str" cm="1">
        <f t="array" ref="D466">IF(OR(C466="红单",C466="空派"),_xlfn.IFS(E466="未开售","新品首批发货",F466&lt;E466,"新品首批发货",F466-E466&lt;=60,"新品期补货空运",F466-E466&gt;60,"老品应急空运"),"海运，不进行分析")</f>
        <v>新品期补货空运</v>
      </c>
      <c r="E466" s="2">
        <v>46035</v>
      </c>
      <c r="F466" s="2">
        <f>_xlfn.XLOOKUP(J466,数据!E:E,数据!C:C)</f>
        <v>46063</v>
      </c>
      <c r="G466" s="4">
        <v>125</v>
      </c>
      <c r="H466" s="4">
        <f t="shared" si="26"/>
        <v>2</v>
      </c>
      <c r="I466" s="4">
        <f>_xlfn.XLOOKUP(J466,数据!E:E,数据!S:S)*(H466/_xlfn.XLOOKUP(J466,数据!E:E,数据!X:X))</f>
        <v>117.533420910285</v>
      </c>
      <c r="J466" t="s">
        <v>1096</v>
      </c>
      <c r="K466" t="s">
        <v>37</v>
      </c>
      <c r="L466" t="s">
        <v>2374</v>
      </c>
      <c r="M466" t="s">
        <v>5334</v>
      </c>
      <c r="N466" t="s">
        <v>2376</v>
      </c>
      <c r="O466" t="s">
        <v>2400</v>
      </c>
      <c r="P466" t="s">
        <v>2378</v>
      </c>
      <c r="Q466" t="s">
        <v>2379</v>
      </c>
      <c r="S466" t="s">
        <v>2511</v>
      </c>
      <c r="T466" s="3" t="s">
        <v>5335</v>
      </c>
      <c r="U466" t="s">
        <v>5255</v>
      </c>
      <c r="V466" t="s">
        <v>5336</v>
      </c>
      <c r="W466" t="s">
        <v>5337</v>
      </c>
      <c r="X466" t="s">
        <v>2385</v>
      </c>
      <c r="Y466" t="s">
        <v>5338</v>
      </c>
      <c r="Z466" t="s">
        <v>2405</v>
      </c>
      <c r="AA466" t="s">
        <v>5335</v>
      </c>
      <c r="AB466" t="s">
        <v>5339</v>
      </c>
      <c r="AC466" t="s">
        <v>5340</v>
      </c>
      <c r="AD466" t="s">
        <v>5341</v>
      </c>
      <c r="AG466" t="s">
        <v>2432</v>
      </c>
      <c r="AH466" t="s">
        <v>5227</v>
      </c>
      <c r="AI466" t="s">
        <v>5228</v>
      </c>
      <c r="AJ466" t="s">
        <v>4900</v>
      </c>
      <c r="AK466" t="s">
        <v>4901</v>
      </c>
      <c r="AL466" t="s">
        <v>4902</v>
      </c>
      <c r="AM466" t="s">
        <v>2893</v>
      </c>
      <c r="AN466" t="s">
        <v>4903</v>
      </c>
      <c r="AO466" t="s">
        <v>4900</v>
      </c>
      <c r="AP466">
        <v>16</v>
      </c>
      <c r="AQ466">
        <v>16</v>
      </c>
      <c r="AR466">
        <v>16</v>
      </c>
      <c r="AS466" t="s">
        <v>5348</v>
      </c>
      <c r="AT466">
        <v>0</v>
      </c>
      <c r="AU466">
        <v>0</v>
      </c>
      <c r="AV466">
        <v>0</v>
      </c>
    </row>
    <row r="467" spans="1:48">
      <c r="A467" s="1">
        <f>_xlfn.XLOOKUP(J467,数据!E:E,数据!A:A)</f>
        <v>2</v>
      </c>
      <c r="B467" s="1">
        <f>_xlfn.XLOOKUP(J467,数据!E:E,数据!B:B)</f>
        <v>7</v>
      </c>
      <c r="C467" s="1" t="str">
        <f>_xlfn.XLOOKUP(J467,数据!E:E,数据!J:J)</f>
        <v>空派</v>
      </c>
      <c r="D467" s="1" t="str" cm="1">
        <f t="array" ref="D467">IF(OR(C467="红单",C467="空派"),_xlfn.IFS(E467="未开售","新品首批发货",F467&lt;E467,"新品首批发货",F467-E467&lt;=60,"新品期补货空运",F467-E467&gt;60,"老品应急空运"),"海运，不进行分析")</f>
        <v>新品首批发货</v>
      </c>
      <c r="E467" s="2">
        <v>46080</v>
      </c>
      <c r="F467" s="2">
        <f>_xlfn.XLOOKUP(J467,数据!E:E,数据!C:C)</f>
        <v>46063</v>
      </c>
      <c r="G467" s="4">
        <v>125</v>
      </c>
      <c r="H467" s="4">
        <f t="shared" si="26"/>
        <v>2.25</v>
      </c>
      <c r="I467" s="4">
        <f>_xlfn.XLOOKUP(J467,数据!E:E,数据!S:S)*(H467/_xlfn.XLOOKUP(J467,数据!E:E,数据!X:X))</f>
        <v>132.225098524071</v>
      </c>
      <c r="J467" t="s">
        <v>1096</v>
      </c>
      <c r="K467" t="s">
        <v>37</v>
      </c>
      <c r="L467" t="s">
        <v>2374</v>
      </c>
      <c r="M467" t="s">
        <v>5334</v>
      </c>
      <c r="N467" t="s">
        <v>2376</v>
      </c>
      <c r="O467" t="s">
        <v>2400</v>
      </c>
      <c r="P467" t="s">
        <v>2378</v>
      </c>
      <c r="Q467" t="s">
        <v>2379</v>
      </c>
      <c r="S467" t="s">
        <v>2511</v>
      </c>
      <c r="T467" s="3" t="s">
        <v>5335</v>
      </c>
      <c r="U467" t="s">
        <v>5255</v>
      </c>
      <c r="V467" t="s">
        <v>5336</v>
      </c>
      <c r="W467" t="s">
        <v>5337</v>
      </c>
      <c r="X467" t="s">
        <v>2385</v>
      </c>
      <c r="Y467" t="s">
        <v>5338</v>
      </c>
      <c r="Z467" t="s">
        <v>2405</v>
      </c>
      <c r="AA467" t="s">
        <v>5335</v>
      </c>
      <c r="AB467" t="s">
        <v>5339</v>
      </c>
      <c r="AC467" t="s">
        <v>5340</v>
      </c>
      <c r="AD467" t="s">
        <v>5341</v>
      </c>
      <c r="AG467" t="s">
        <v>2432</v>
      </c>
      <c r="AH467" t="s">
        <v>5227</v>
      </c>
      <c r="AI467" t="s">
        <v>5228</v>
      </c>
      <c r="AJ467" t="s">
        <v>3320</v>
      </c>
      <c r="AK467" t="s">
        <v>3321</v>
      </c>
      <c r="AL467" t="s">
        <v>3322</v>
      </c>
      <c r="AM467" t="s">
        <v>3001</v>
      </c>
      <c r="AN467" t="s">
        <v>3323</v>
      </c>
      <c r="AO467" t="s">
        <v>3320</v>
      </c>
      <c r="AP467">
        <v>18</v>
      </c>
      <c r="AQ467">
        <v>18</v>
      </c>
      <c r="AR467">
        <v>18</v>
      </c>
      <c r="AS467" t="s">
        <v>5349</v>
      </c>
      <c r="AT467">
        <v>0</v>
      </c>
      <c r="AU467">
        <v>0</v>
      </c>
      <c r="AV467">
        <v>0</v>
      </c>
    </row>
    <row r="468" spans="1:48">
      <c r="A468" s="1">
        <f>_xlfn.XLOOKUP(J468,数据!E:E,数据!A:A)</f>
        <v>2</v>
      </c>
      <c r="B468" s="1">
        <f>_xlfn.XLOOKUP(J468,数据!E:E,数据!B:B)</f>
        <v>7</v>
      </c>
      <c r="C468" s="1" t="str">
        <f>_xlfn.XLOOKUP(J468,数据!E:E,数据!J:J)</f>
        <v>空派</v>
      </c>
      <c r="D468" s="1" t="str" cm="1">
        <f t="array" ref="D468">IF(OR(C468="红单",C468="空派"),_xlfn.IFS(E468="未开售","新品首批发货",F468&lt;E468,"新品首批发货",F468-E468&lt;=60,"新品期补货空运",F468-E468&gt;60,"老品应急空运"),"海运，不进行分析")</f>
        <v>新品首批发货</v>
      </c>
      <c r="E468" s="2">
        <v>46079</v>
      </c>
      <c r="F468" s="2">
        <f>_xlfn.XLOOKUP(J468,数据!E:E,数据!C:C)</f>
        <v>46063</v>
      </c>
      <c r="G468" s="4">
        <v>126</v>
      </c>
      <c r="H468" s="4">
        <f t="shared" si="26"/>
        <v>3.024</v>
      </c>
      <c r="I468" s="4">
        <f>_xlfn.XLOOKUP(J468,数据!E:E,数据!S:S)*(H468/_xlfn.XLOOKUP(J468,数据!E:E,数据!X:X))</f>
        <v>177.710532416351</v>
      </c>
      <c r="J468" t="s">
        <v>1096</v>
      </c>
      <c r="K468" t="s">
        <v>37</v>
      </c>
      <c r="L468" t="s">
        <v>2374</v>
      </c>
      <c r="M468" t="s">
        <v>5334</v>
      </c>
      <c r="N468" t="s">
        <v>2376</v>
      </c>
      <c r="O468" t="s">
        <v>2400</v>
      </c>
      <c r="P468" t="s">
        <v>2378</v>
      </c>
      <c r="Q468" t="s">
        <v>2379</v>
      </c>
      <c r="S468" t="s">
        <v>2511</v>
      </c>
      <c r="T468" s="3" t="s">
        <v>5335</v>
      </c>
      <c r="U468" t="s">
        <v>5255</v>
      </c>
      <c r="V468" t="s">
        <v>5336</v>
      </c>
      <c r="W468" t="s">
        <v>5337</v>
      </c>
      <c r="X468" t="s">
        <v>2385</v>
      </c>
      <c r="Y468" t="s">
        <v>5338</v>
      </c>
      <c r="Z468" t="s">
        <v>2405</v>
      </c>
      <c r="AA468" t="s">
        <v>5335</v>
      </c>
      <c r="AB468" t="s">
        <v>5339</v>
      </c>
      <c r="AC468" t="s">
        <v>5340</v>
      </c>
      <c r="AD468" t="s">
        <v>5341</v>
      </c>
      <c r="AG468" t="s">
        <v>2432</v>
      </c>
      <c r="AH468" t="s">
        <v>5227</v>
      </c>
      <c r="AI468" t="s">
        <v>5228</v>
      </c>
      <c r="AJ468" t="s">
        <v>5350</v>
      </c>
      <c r="AK468" t="s">
        <v>5351</v>
      </c>
      <c r="AL468" t="s">
        <v>5352</v>
      </c>
      <c r="AM468" t="s">
        <v>3001</v>
      </c>
      <c r="AN468" t="s">
        <v>5353</v>
      </c>
      <c r="AO468" t="s">
        <v>5350</v>
      </c>
      <c r="AP468">
        <v>24</v>
      </c>
      <c r="AQ468">
        <v>24</v>
      </c>
      <c r="AR468">
        <v>24</v>
      </c>
      <c r="AS468" t="s">
        <v>5354</v>
      </c>
      <c r="AT468">
        <v>0</v>
      </c>
      <c r="AU468">
        <v>0</v>
      </c>
      <c r="AV468">
        <v>0</v>
      </c>
    </row>
    <row r="469" spans="1:48">
      <c r="A469" s="1">
        <f>_xlfn.XLOOKUP(J469,数据!E:E,数据!A:A)</f>
        <v>2</v>
      </c>
      <c r="B469" s="1">
        <f>_xlfn.XLOOKUP(J469,数据!E:E,数据!B:B)</f>
        <v>7</v>
      </c>
      <c r="C469" s="1" t="str">
        <f>_xlfn.XLOOKUP(J469,数据!E:E,数据!J:J)</f>
        <v>空派</v>
      </c>
      <c r="D469" s="1" t="str" cm="1">
        <f t="array" ref="D469">IF(OR(C469="红单",C469="空派"),_xlfn.IFS(E469="未开售","新品首批发货",F469&lt;E469,"新品首批发货",F469-E469&lt;=60,"新品期补货空运",F469-E469&gt;60,"老品应急空运"),"海运，不进行分析")</f>
        <v>新品首批发货</v>
      </c>
      <c r="E469" s="2">
        <v>46081</v>
      </c>
      <c r="F469" s="2">
        <f>_xlfn.XLOOKUP(J469,数据!E:E,数据!C:C)</f>
        <v>46063</v>
      </c>
      <c r="G469" s="4">
        <v>50</v>
      </c>
      <c r="H469" s="4">
        <f t="shared" si="26"/>
        <v>1.1</v>
      </c>
      <c r="I469" s="4">
        <f>_xlfn.XLOOKUP(J469,数据!E:E,数据!S:S)*(H469/_xlfn.XLOOKUP(J469,数据!E:E,数据!X:X))</f>
        <v>64.6433815006568</v>
      </c>
      <c r="J469" t="s">
        <v>1096</v>
      </c>
      <c r="K469" t="s">
        <v>37</v>
      </c>
      <c r="L469" t="s">
        <v>2374</v>
      </c>
      <c r="M469" t="s">
        <v>5334</v>
      </c>
      <c r="N469" t="s">
        <v>2376</v>
      </c>
      <c r="O469" t="s">
        <v>2400</v>
      </c>
      <c r="P469" t="s">
        <v>2378</v>
      </c>
      <c r="Q469" t="s">
        <v>2379</v>
      </c>
      <c r="S469" t="s">
        <v>2511</v>
      </c>
      <c r="T469" s="3" t="s">
        <v>5335</v>
      </c>
      <c r="U469" t="s">
        <v>5255</v>
      </c>
      <c r="V469" t="s">
        <v>5336</v>
      </c>
      <c r="W469" t="s">
        <v>5337</v>
      </c>
      <c r="X469" t="s">
        <v>2385</v>
      </c>
      <c r="Y469" t="s">
        <v>5338</v>
      </c>
      <c r="Z469" t="s">
        <v>2405</v>
      </c>
      <c r="AA469" t="s">
        <v>5335</v>
      </c>
      <c r="AB469" t="s">
        <v>5339</v>
      </c>
      <c r="AC469" t="s">
        <v>5340</v>
      </c>
      <c r="AD469" t="s">
        <v>5341</v>
      </c>
      <c r="AG469" t="s">
        <v>2432</v>
      </c>
      <c r="AH469" t="s">
        <v>5227</v>
      </c>
      <c r="AI469" t="s">
        <v>5228</v>
      </c>
      <c r="AJ469" t="s">
        <v>5355</v>
      </c>
      <c r="AK469" t="s">
        <v>5356</v>
      </c>
      <c r="AL469" t="s">
        <v>5357</v>
      </c>
      <c r="AM469" t="s">
        <v>5358</v>
      </c>
      <c r="AN469" t="s">
        <v>5359</v>
      </c>
      <c r="AO469" t="s">
        <v>5355</v>
      </c>
      <c r="AP469">
        <v>22</v>
      </c>
      <c r="AQ469">
        <v>22</v>
      </c>
      <c r="AR469">
        <v>22</v>
      </c>
      <c r="AS469" t="s">
        <v>5360</v>
      </c>
      <c r="AT469">
        <v>0</v>
      </c>
      <c r="AU469">
        <v>0</v>
      </c>
      <c r="AV469">
        <v>0</v>
      </c>
    </row>
    <row r="470" spans="1:48">
      <c r="A470" s="1">
        <f>_xlfn.XLOOKUP(J470,数据!E:E,数据!A:A)</f>
        <v>2</v>
      </c>
      <c r="B470" s="1">
        <f>_xlfn.XLOOKUP(J470,数据!E:E,数据!B:B)</f>
        <v>7</v>
      </c>
      <c r="C470" s="1" t="str">
        <f>_xlfn.XLOOKUP(J470,数据!E:E,数据!J:J)</f>
        <v>空派</v>
      </c>
      <c r="D470" s="1" t="str" cm="1">
        <f t="array" ref="D470">IF(OR(C470="红单",C470="空派"),_xlfn.IFS(E470="未开售","新品首批发货",F470&lt;E470,"新品首批发货",F470-E470&lt;=60,"新品期补货空运",F470-E470&gt;60,"老品应急空运"),"海运，不进行分析")</f>
        <v>新品首批发货</v>
      </c>
      <c r="E470" s="2">
        <v>46080</v>
      </c>
      <c r="F470" s="2">
        <f>_xlfn.XLOOKUP(J470,数据!E:E,数据!C:C)</f>
        <v>46063</v>
      </c>
      <c r="G470" s="4">
        <v>50</v>
      </c>
      <c r="H470" s="4">
        <f t="shared" si="26"/>
        <v>1.1</v>
      </c>
      <c r="I470" s="4">
        <f>_xlfn.XLOOKUP(J470,数据!E:E,数据!S:S)*(H470/_xlfn.XLOOKUP(J470,数据!E:E,数据!X:X))</f>
        <v>64.6433815006568</v>
      </c>
      <c r="J470" t="s">
        <v>1096</v>
      </c>
      <c r="K470" t="s">
        <v>37</v>
      </c>
      <c r="L470" t="s">
        <v>2374</v>
      </c>
      <c r="M470" t="s">
        <v>5334</v>
      </c>
      <c r="N470" t="s">
        <v>2376</v>
      </c>
      <c r="O470" t="s">
        <v>2400</v>
      </c>
      <c r="P470" t="s">
        <v>2378</v>
      </c>
      <c r="Q470" t="s">
        <v>2379</v>
      </c>
      <c r="S470" t="s">
        <v>2511</v>
      </c>
      <c r="T470" s="3" t="s">
        <v>5335</v>
      </c>
      <c r="U470" t="s">
        <v>5255</v>
      </c>
      <c r="V470" t="s">
        <v>5336</v>
      </c>
      <c r="W470" t="s">
        <v>5337</v>
      </c>
      <c r="X470" t="s">
        <v>2385</v>
      </c>
      <c r="Y470" t="s">
        <v>5338</v>
      </c>
      <c r="Z470" t="s">
        <v>2405</v>
      </c>
      <c r="AA470" t="s">
        <v>5335</v>
      </c>
      <c r="AB470" t="s">
        <v>5339</v>
      </c>
      <c r="AC470" t="s">
        <v>5340</v>
      </c>
      <c r="AD470" t="s">
        <v>5341</v>
      </c>
      <c r="AG470" t="s">
        <v>2432</v>
      </c>
      <c r="AH470" t="s">
        <v>5227</v>
      </c>
      <c r="AI470" t="s">
        <v>5228</v>
      </c>
      <c r="AJ470" t="s">
        <v>5361</v>
      </c>
      <c r="AK470" t="s">
        <v>5362</v>
      </c>
      <c r="AL470" t="s">
        <v>5363</v>
      </c>
      <c r="AM470" t="s">
        <v>5358</v>
      </c>
      <c r="AN470" t="s">
        <v>5364</v>
      </c>
      <c r="AO470" t="s">
        <v>5361</v>
      </c>
      <c r="AP470">
        <v>22</v>
      </c>
      <c r="AQ470">
        <v>22</v>
      </c>
      <c r="AR470">
        <v>22</v>
      </c>
      <c r="AS470" t="s">
        <v>5365</v>
      </c>
      <c r="AT470">
        <v>0</v>
      </c>
      <c r="AU470">
        <v>0</v>
      </c>
      <c r="AV470">
        <v>0</v>
      </c>
    </row>
    <row r="471" spans="1:48">
      <c r="A471" s="1">
        <f>_xlfn.XLOOKUP(J471,数据!E:E,数据!A:A)</f>
        <v>2</v>
      </c>
      <c r="B471" s="1">
        <f>_xlfn.XLOOKUP(J471,数据!E:E,数据!B:B)</f>
        <v>7</v>
      </c>
      <c r="C471" s="1" t="str">
        <f>_xlfn.XLOOKUP(J471,数据!E:E,数据!J:J)</f>
        <v>空派</v>
      </c>
      <c r="D471" s="1" t="str" cm="1">
        <f t="array" ref="D471">IF(OR(C471="红单",C471="空派"),_xlfn.IFS(E471="未开售","新品首批发货",F471&lt;E471,"新品首批发货",F471-E471&lt;=60,"新品期补货空运",F471-E471&gt;60,"老品应急空运"),"海运，不进行分析")</f>
        <v>新品首批发货</v>
      </c>
      <c r="E471" s="2">
        <v>46081</v>
      </c>
      <c r="F471" s="2">
        <f>_xlfn.XLOOKUP(J471,数据!E:E,数据!C:C)</f>
        <v>46063</v>
      </c>
      <c r="G471" s="4">
        <v>50</v>
      </c>
      <c r="H471" s="4">
        <f t="shared" si="26"/>
        <v>1.1</v>
      </c>
      <c r="I471" s="4">
        <f>_xlfn.XLOOKUP(J471,数据!E:E,数据!S:S)*(H471/_xlfn.XLOOKUP(J471,数据!E:E,数据!X:X))</f>
        <v>64.6433815006568</v>
      </c>
      <c r="J471" t="s">
        <v>1096</v>
      </c>
      <c r="K471" t="s">
        <v>37</v>
      </c>
      <c r="L471" t="s">
        <v>2374</v>
      </c>
      <c r="M471" t="s">
        <v>5334</v>
      </c>
      <c r="N471" t="s">
        <v>2376</v>
      </c>
      <c r="O471" t="s">
        <v>2400</v>
      </c>
      <c r="P471" t="s">
        <v>2378</v>
      </c>
      <c r="Q471" t="s">
        <v>2379</v>
      </c>
      <c r="S471" t="s">
        <v>2511</v>
      </c>
      <c r="T471" s="3" t="s">
        <v>5335</v>
      </c>
      <c r="U471" t="s">
        <v>5255</v>
      </c>
      <c r="V471" t="s">
        <v>5336</v>
      </c>
      <c r="W471" t="s">
        <v>5337</v>
      </c>
      <c r="X471" t="s">
        <v>2385</v>
      </c>
      <c r="Y471" t="s">
        <v>5338</v>
      </c>
      <c r="Z471" t="s">
        <v>2405</v>
      </c>
      <c r="AA471" t="s">
        <v>5335</v>
      </c>
      <c r="AB471" t="s">
        <v>5339</v>
      </c>
      <c r="AC471" t="s">
        <v>5340</v>
      </c>
      <c r="AD471" t="s">
        <v>5341</v>
      </c>
      <c r="AG471" t="s">
        <v>2432</v>
      </c>
      <c r="AH471" t="s">
        <v>5227</v>
      </c>
      <c r="AI471" t="s">
        <v>5228</v>
      </c>
      <c r="AJ471" t="s">
        <v>5366</v>
      </c>
      <c r="AK471" t="s">
        <v>5367</v>
      </c>
      <c r="AL471" t="s">
        <v>5368</v>
      </c>
      <c r="AM471" t="s">
        <v>5358</v>
      </c>
      <c r="AN471" t="s">
        <v>5369</v>
      </c>
      <c r="AO471" t="s">
        <v>5366</v>
      </c>
      <c r="AP471">
        <v>22</v>
      </c>
      <c r="AQ471">
        <v>22</v>
      </c>
      <c r="AR471">
        <v>22</v>
      </c>
      <c r="AS471" t="s">
        <v>5370</v>
      </c>
      <c r="AT471">
        <v>0</v>
      </c>
      <c r="AU471">
        <v>0</v>
      </c>
      <c r="AV471">
        <v>0</v>
      </c>
    </row>
    <row r="472" spans="1:48">
      <c r="A472" s="1">
        <f>_xlfn.XLOOKUP(J472,数据!E:E,数据!A:A)</f>
        <v>2</v>
      </c>
      <c r="B472" s="1">
        <f>_xlfn.XLOOKUP(J472,数据!E:E,数据!B:B)</f>
        <v>7</v>
      </c>
      <c r="C472" s="1" t="str">
        <f>_xlfn.XLOOKUP(J472,数据!E:E,数据!J:J)</f>
        <v>空派</v>
      </c>
      <c r="D472" s="1" t="str" cm="1">
        <f t="array" ref="D472">IF(OR(C472="红单",C472="空派"),_xlfn.IFS(E472="未开售","新品首批发货",F472&lt;E472,"新品首批发货",F472-E472&lt;=60,"新品期补货空运",F472-E472&gt;60,"老品应急空运"),"海运，不进行分析")</f>
        <v>新品首批发货</v>
      </c>
      <c r="E472" s="2">
        <v>46081</v>
      </c>
      <c r="F472" s="2">
        <f>_xlfn.XLOOKUP(J472,数据!E:E,数据!C:C)</f>
        <v>46063</v>
      </c>
      <c r="G472" s="4">
        <v>50</v>
      </c>
      <c r="H472" s="4">
        <f t="shared" si="26"/>
        <v>1.1</v>
      </c>
      <c r="I472" s="4">
        <f>_xlfn.XLOOKUP(J472,数据!E:E,数据!S:S)*(H472/_xlfn.XLOOKUP(J472,数据!E:E,数据!X:X))</f>
        <v>64.6433815006568</v>
      </c>
      <c r="J472" t="s">
        <v>1096</v>
      </c>
      <c r="K472" t="s">
        <v>37</v>
      </c>
      <c r="L472" t="s">
        <v>2374</v>
      </c>
      <c r="M472" t="s">
        <v>5334</v>
      </c>
      <c r="N472" t="s">
        <v>2376</v>
      </c>
      <c r="O472" t="s">
        <v>2400</v>
      </c>
      <c r="P472" t="s">
        <v>2378</v>
      </c>
      <c r="Q472" t="s">
        <v>2379</v>
      </c>
      <c r="S472" t="s">
        <v>2511</v>
      </c>
      <c r="T472" s="3" t="s">
        <v>5335</v>
      </c>
      <c r="U472" t="s">
        <v>5255</v>
      </c>
      <c r="V472" t="s">
        <v>5336</v>
      </c>
      <c r="W472" t="s">
        <v>5337</v>
      </c>
      <c r="X472" t="s">
        <v>2385</v>
      </c>
      <c r="Y472" t="s">
        <v>5338</v>
      </c>
      <c r="Z472" t="s">
        <v>2405</v>
      </c>
      <c r="AA472" t="s">
        <v>5335</v>
      </c>
      <c r="AB472" t="s">
        <v>5339</v>
      </c>
      <c r="AC472" t="s">
        <v>5340</v>
      </c>
      <c r="AD472" t="s">
        <v>5341</v>
      </c>
      <c r="AG472" t="s">
        <v>2432</v>
      </c>
      <c r="AH472" t="s">
        <v>5227</v>
      </c>
      <c r="AI472" t="s">
        <v>5228</v>
      </c>
      <c r="AJ472" t="s">
        <v>5371</v>
      </c>
      <c r="AK472" t="s">
        <v>5372</v>
      </c>
      <c r="AL472" t="s">
        <v>5373</v>
      </c>
      <c r="AM472" t="s">
        <v>5358</v>
      </c>
      <c r="AN472" t="s">
        <v>5374</v>
      </c>
      <c r="AO472" t="s">
        <v>5371</v>
      </c>
      <c r="AP472">
        <v>22</v>
      </c>
      <c r="AQ472">
        <v>22</v>
      </c>
      <c r="AR472">
        <v>22</v>
      </c>
      <c r="AS472" t="s">
        <v>5375</v>
      </c>
      <c r="AT472">
        <v>0</v>
      </c>
      <c r="AU472">
        <v>0</v>
      </c>
      <c r="AV472">
        <v>0</v>
      </c>
    </row>
    <row r="473" spans="1:48">
      <c r="A473" s="1">
        <f>_xlfn.XLOOKUP(J473,数据!E:E,数据!A:A)</f>
        <v>2</v>
      </c>
      <c r="B473" s="1">
        <f>_xlfn.XLOOKUP(J473,数据!E:E,数据!B:B)</f>
        <v>7</v>
      </c>
      <c r="C473" s="1" t="str">
        <f>_xlfn.XLOOKUP(J473,数据!E:E,数据!J:J)</f>
        <v>空派</v>
      </c>
      <c r="D473" s="1" t="str" cm="1">
        <f t="array" ref="D473">IF(OR(C473="红单",C473="空派"),_xlfn.IFS(E473="未开售","新品首批发货",F473&lt;E473,"新品首批发货",F473-E473&lt;=60,"新品期补货空运",F473-E473&gt;60,"老品应急空运"),"海运，不进行分析")</f>
        <v>新品首批发货</v>
      </c>
      <c r="E473" s="2">
        <v>46082</v>
      </c>
      <c r="F473" s="2">
        <f>_xlfn.XLOOKUP(J473,数据!E:E,数据!C:C)</f>
        <v>46063</v>
      </c>
      <c r="G473" s="4">
        <v>457</v>
      </c>
      <c r="H473" s="4">
        <f t="shared" si="26"/>
        <v>10.968</v>
      </c>
      <c r="I473" s="4">
        <f>_xlfn.XLOOKUP(J473,数据!E:E,数据!S:S)*(H473/_xlfn.XLOOKUP(J473,数据!E:E,数据!X:X))</f>
        <v>644.553280272004</v>
      </c>
      <c r="J473" t="s">
        <v>1096</v>
      </c>
      <c r="K473" t="s">
        <v>37</v>
      </c>
      <c r="L473" t="s">
        <v>2374</v>
      </c>
      <c r="M473" t="s">
        <v>5334</v>
      </c>
      <c r="N473" t="s">
        <v>2376</v>
      </c>
      <c r="O473" t="s">
        <v>2400</v>
      </c>
      <c r="P473" t="s">
        <v>2378</v>
      </c>
      <c r="Q473" t="s">
        <v>2379</v>
      </c>
      <c r="S473" t="s">
        <v>2511</v>
      </c>
      <c r="T473" s="3" t="s">
        <v>5335</v>
      </c>
      <c r="U473" t="s">
        <v>5255</v>
      </c>
      <c r="V473" t="s">
        <v>5336</v>
      </c>
      <c r="W473" t="s">
        <v>5337</v>
      </c>
      <c r="X473" t="s">
        <v>2385</v>
      </c>
      <c r="Y473" t="s">
        <v>5338</v>
      </c>
      <c r="Z473" t="s">
        <v>2405</v>
      </c>
      <c r="AA473" t="s">
        <v>5335</v>
      </c>
      <c r="AB473" t="s">
        <v>5339</v>
      </c>
      <c r="AC473" t="s">
        <v>5340</v>
      </c>
      <c r="AD473" t="s">
        <v>5341</v>
      </c>
      <c r="AG473" t="s">
        <v>2432</v>
      </c>
      <c r="AH473" t="s">
        <v>5227</v>
      </c>
      <c r="AI473" t="s">
        <v>5228</v>
      </c>
      <c r="AJ473" t="s">
        <v>5376</v>
      </c>
      <c r="AK473" t="s">
        <v>5377</v>
      </c>
      <c r="AL473" t="s">
        <v>5378</v>
      </c>
      <c r="AM473" t="s">
        <v>5378</v>
      </c>
      <c r="AN473" t="s">
        <v>5379</v>
      </c>
      <c r="AO473" t="s">
        <v>5376</v>
      </c>
      <c r="AP473">
        <v>24</v>
      </c>
      <c r="AQ473">
        <v>24</v>
      </c>
      <c r="AR473">
        <v>24</v>
      </c>
      <c r="AS473" t="s">
        <v>5380</v>
      </c>
      <c r="AT473">
        <v>0</v>
      </c>
      <c r="AU473">
        <v>0</v>
      </c>
      <c r="AV473">
        <v>0</v>
      </c>
    </row>
    <row r="474" spans="1:48">
      <c r="A474" s="1">
        <f>_xlfn.XLOOKUP(J474,数据!E:E,数据!A:A)</f>
        <v>2</v>
      </c>
      <c r="B474" s="1">
        <f>_xlfn.XLOOKUP(J474,数据!E:E,数据!B:B)</f>
        <v>7</v>
      </c>
      <c r="C474" s="1" t="str">
        <f>_xlfn.XLOOKUP(J474,数据!E:E,数据!J:J)</f>
        <v>空派</v>
      </c>
      <c r="D474" s="1" t="str" cm="1">
        <f t="array" ref="D474">IF(OR(C474="红单",C474="空派"),_xlfn.IFS(E474="未开售","新品首批发货",F474&lt;E474,"新品首批发货",F474-E474&lt;=60,"新品期补货空运",F474-E474&gt;60,"老品应急空运"),"海运，不进行分析")</f>
        <v>老品应急空运</v>
      </c>
      <c r="E474" s="2">
        <v>45797</v>
      </c>
      <c r="F474" s="2">
        <f>_xlfn.XLOOKUP(J474,数据!E:E,数据!C:C)</f>
        <v>46063</v>
      </c>
      <c r="G474" s="4">
        <v>122</v>
      </c>
      <c r="H474" s="4">
        <f t="shared" si="26"/>
        <v>2.44</v>
      </c>
      <c r="I474" s="4">
        <f>_xlfn.XLOOKUP(J474,数据!E:E,数据!S:S)*(H474/_xlfn.XLOOKUP(J474,数据!E:E,数据!X:X))</f>
        <v>145.370527779924</v>
      </c>
      <c r="J474" t="s">
        <v>1100</v>
      </c>
      <c r="K474" t="s">
        <v>37</v>
      </c>
      <c r="L474" t="s">
        <v>2374</v>
      </c>
      <c r="M474" t="s">
        <v>5381</v>
      </c>
      <c r="N474" t="s">
        <v>2376</v>
      </c>
      <c r="O474" t="s">
        <v>2400</v>
      </c>
      <c r="P474" t="s">
        <v>2378</v>
      </c>
      <c r="Q474" t="s">
        <v>2379</v>
      </c>
      <c r="S474" t="s">
        <v>2511</v>
      </c>
      <c r="T474" s="3" t="s">
        <v>5335</v>
      </c>
      <c r="U474" t="s">
        <v>5255</v>
      </c>
      <c r="V474" t="s">
        <v>5382</v>
      </c>
      <c r="W474" t="s">
        <v>5383</v>
      </c>
      <c r="X474" t="s">
        <v>2403</v>
      </c>
      <c r="Y474" t="s">
        <v>5384</v>
      </c>
      <c r="Z474" t="s">
        <v>2405</v>
      </c>
      <c r="AA474" t="s">
        <v>5335</v>
      </c>
      <c r="AB474" t="s">
        <v>5339</v>
      </c>
      <c r="AC474" t="s">
        <v>5385</v>
      </c>
      <c r="AD474" t="s">
        <v>5250</v>
      </c>
      <c r="AG474" t="s">
        <v>2432</v>
      </c>
      <c r="AH474" t="s">
        <v>5227</v>
      </c>
      <c r="AI474" t="s">
        <v>5228</v>
      </c>
      <c r="AJ474" t="s">
        <v>5342</v>
      </c>
      <c r="AK474" t="s">
        <v>5343</v>
      </c>
      <c r="AL474" t="s">
        <v>5344</v>
      </c>
      <c r="AM474" t="s">
        <v>2893</v>
      </c>
      <c r="AN474" t="s">
        <v>5345</v>
      </c>
      <c r="AO474" t="s">
        <v>5342</v>
      </c>
      <c r="AP474">
        <v>20</v>
      </c>
      <c r="AQ474">
        <v>20</v>
      </c>
      <c r="AR474">
        <v>20</v>
      </c>
      <c r="AS474" t="s">
        <v>5386</v>
      </c>
      <c r="AT474">
        <v>0</v>
      </c>
      <c r="AU474">
        <v>0</v>
      </c>
      <c r="AV474">
        <v>0</v>
      </c>
    </row>
    <row r="475" spans="1:48">
      <c r="A475" s="1">
        <f>_xlfn.XLOOKUP(J475,数据!E:E,数据!A:A)</f>
        <v>2</v>
      </c>
      <c r="B475" s="1">
        <f>_xlfn.XLOOKUP(J475,数据!E:E,数据!B:B)</f>
        <v>7</v>
      </c>
      <c r="C475" s="1" t="str">
        <f>_xlfn.XLOOKUP(J475,数据!E:E,数据!J:J)</f>
        <v>空派</v>
      </c>
      <c r="D475" s="1" t="str" cm="1">
        <f t="array" ref="D475">IF(OR(C475="红单",C475="空派"),_xlfn.IFS(E475="未开售","新品首批发货",F475&lt;E475,"新品首批发货",F475-E475&lt;=60,"新品期补货空运",F475-E475&gt;60,"老品应急空运"),"海运，不进行分析")</f>
        <v>老品应急空运</v>
      </c>
      <c r="E475" s="2">
        <v>45847</v>
      </c>
      <c r="F475" s="2">
        <f>_xlfn.XLOOKUP(J475,数据!E:E,数据!C:C)</f>
        <v>46063</v>
      </c>
      <c r="G475" s="4">
        <v>200</v>
      </c>
      <c r="H475" s="4">
        <f t="shared" si="26"/>
        <v>0.8</v>
      </c>
      <c r="I475" s="4">
        <f>_xlfn.XLOOKUP(J475,数据!E:E,数据!S:S)*(H475/_xlfn.XLOOKUP(J475,数据!E:E,数据!X:X))</f>
        <v>47.6624681245653</v>
      </c>
      <c r="J475" t="s">
        <v>1100</v>
      </c>
      <c r="K475" t="s">
        <v>37</v>
      </c>
      <c r="L475" t="s">
        <v>2374</v>
      </c>
      <c r="M475" t="s">
        <v>5381</v>
      </c>
      <c r="N475" t="s">
        <v>2376</v>
      </c>
      <c r="O475" t="s">
        <v>2400</v>
      </c>
      <c r="P475" t="s">
        <v>2378</v>
      </c>
      <c r="Q475" t="s">
        <v>2379</v>
      </c>
      <c r="S475" t="s">
        <v>2511</v>
      </c>
      <c r="T475" s="3" t="s">
        <v>5335</v>
      </c>
      <c r="U475" t="s">
        <v>5255</v>
      </c>
      <c r="V475" t="s">
        <v>5382</v>
      </c>
      <c r="W475" t="s">
        <v>5383</v>
      </c>
      <c r="X475" t="s">
        <v>2403</v>
      </c>
      <c r="Y475" t="s">
        <v>5384</v>
      </c>
      <c r="Z475" t="s">
        <v>2405</v>
      </c>
      <c r="AA475" t="s">
        <v>5335</v>
      </c>
      <c r="AB475" t="s">
        <v>5339</v>
      </c>
      <c r="AC475" t="s">
        <v>5385</v>
      </c>
      <c r="AD475" t="s">
        <v>5250</v>
      </c>
      <c r="AG475" t="s">
        <v>2432</v>
      </c>
      <c r="AH475" t="s">
        <v>5227</v>
      </c>
      <c r="AI475" t="s">
        <v>5228</v>
      </c>
      <c r="AJ475" t="s">
        <v>4883</v>
      </c>
      <c r="AK475" t="s">
        <v>4884</v>
      </c>
      <c r="AL475" t="s">
        <v>4885</v>
      </c>
      <c r="AM475" t="s">
        <v>4885</v>
      </c>
      <c r="AN475" t="s">
        <v>4886</v>
      </c>
      <c r="AO475" t="s">
        <v>4883</v>
      </c>
      <c r="AP475">
        <v>4</v>
      </c>
      <c r="AQ475">
        <v>4</v>
      </c>
      <c r="AR475">
        <v>4</v>
      </c>
      <c r="AS475" t="s">
        <v>5387</v>
      </c>
      <c r="AT475">
        <v>0</v>
      </c>
      <c r="AU475">
        <v>0</v>
      </c>
      <c r="AV475">
        <v>0</v>
      </c>
    </row>
    <row r="476" spans="1:48">
      <c r="A476" s="1">
        <f>_xlfn.XLOOKUP(J476,数据!E:E,数据!A:A)</f>
        <v>2</v>
      </c>
      <c r="B476" s="1">
        <f>_xlfn.XLOOKUP(J476,数据!E:E,数据!B:B)</f>
        <v>7</v>
      </c>
      <c r="C476" s="1" t="str">
        <f>_xlfn.XLOOKUP(J476,数据!E:E,数据!J:J)</f>
        <v>空派</v>
      </c>
      <c r="D476" s="1" t="str" cm="1">
        <f t="array" ref="D476">IF(OR(C476="红单",C476="空派"),_xlfn.IFS(E476="未开售","新品首批发货",F476&lt;E476,"新品首批发货",F476-E476&lt;=60,"新品期补货空运",F476-E476&gt;60,"老品应急空运"),"海运，不进行分析")</f>
        <v>新品期补货空运</v>
      </c>
      <c r="E476" s="2">
        <v>46035</v>
      </c>
      <c r="F476" s="2">
        <f>_xlfn.XLOOKUP(J476,数据!E:E,数据!C:C)</f>
        <v>46063</v>
      </c>
      <c r="G476" s="4">
        <v>125</v>
      </c>
      <c r="H476" s="4">
        <f t="shared" si="26"/>
        <v>2</v>
      </c>
      <c r="I476" s="4">
        <f>_xlfn.XLOOKUP(J476,数据!E:E,数据!S:S)*(H476/_xlfn.XLOOKUP(J476,数据!E:E,数据!X:X))</f>
        <v>119.156170311413</v>
      </c>
      <c r="J476" t="s">
        <v>1100</v>
      </c>
      <c r="K476" t="s">
        <v>37</v>
      </c>
      <c r="L476" t="s">
        <v>2374</v>
      </c>
      <c r="M476" t="s">
        <v>5381</v>
      </c>
      <c r="N476" t="s">
        <v>2376</v>
      </c>
      <c r="O476" t="s">
        <v>2400</v>
      </c>
      <c r="P476" t="s">
        <v>2378</v>
      </c>
      <c r="Q476" t="s">
        <v>2379</v>
      </c>
      <c r="S476" t="s">
        <v>2511</v>
      </c>
      <c r="T476" s="3" t="s">
        <v>5335</v>
      </c>
      <c r="U476" t="s">
        <v>5255</v>
      </c>
      <c r="V476" t="s">
        <v>5382</v>
      </c>
      <c r="W476" t="s">
        <v>5383</v>
      </c>
      <c r="X476" t="s">
        <v>2403</v>
      </c>
      <c r="Y476" t="s">
        <v>5384</v>
      </c>
      <c r="Z476" t="s">
        <v>2405</v>
      </c>
      <c r="AA476" t="s">
        <v>5335</v>
      </c>
      <c r="AB476" t="s">
        <v>5339</v>
      </c>
      <c r="AC476" t="s">
        <v>5385</v>
      </c>
      <c r="AD476" t="s">
        <v>5250</v>
      </c>
      <c r="AG476" t="s">
        <v>2432</v>
      </c>
      <c r="AH476" t="s">
        <v>5227</v>
      </c>
      <c r="AI476" t="s">
        <v>5228</v>
      </c>
      <c r="AJ476" t="s">
        <v>4900</v>
      </c>
      <c r="AK476" t="s">
        <v>4901</v>
      </c>
      <c r="AL476" t="s">
        <v>4902</v>
      </c>
      <c r="AM476" t="s">
        <v>2893</v>
      </c>
      <c r="AN476" t="s">
        <v>4903</v>
      </c>
      <c r="AO476" t="s">
        <v>4900</v>
      </c>
      <c r="AP476">
        <v>16</v>
      </c>
      <c r="AQ476">
        <v>16</v>
      </c>
      <c r="AR476">
        <v>16</v>
      </c>
      <c r="AS476" t="s">
        <v>5388</v>
      </c>
      <c r="AT476">
        <v>0</v>
      </c>
      <c r="AU476">
        <v>0</v>
      </c>
      <c r="AV476">
        <v>0</v>
      </c>
    </row>
    <row r="477" spans="1:48">
      <c r="A477" s="1">
        <f>_xlfn.XLOOKUP(J477,数据!E:E,数据!A:A)</f>
        <v>2</v>
      </c>
      <c r="B477" s="1">
        <f>_xlfn.XLOOKUP(J477,数据!E:E,数据!B:B)</f>
        <v>7</v>
      </c>
      <c r="C477" s="1" t="str">
        <f>_xlfn.XLOOKUP(J477,数据!E:E,数据!J:J)</f>
        <v>空派</v>
      </c>
      <c r="D477" s="1" t="str" cm="1">
        <f t="array" ref="D477">IF(OR(C477="红单",C477="空派"),_xlfn.IFS(E477="未开售","新品首批发货",F477&lt;E477,"新品首批发货",F477-E477&lt;=60,"新品期补货空运",F477-E477&gt;60,"老品应急空运"),"海运，不进行分析")</f>
        <v>新品首批发货</v>
      </c>
      <c r="E477" s="2">
        <v>46080</v>
      </c>
      <c r="F477" s="2">
        <f>_xlfn.XLOOKUP(J477,数据!E:E,数据!C:C)</f>
        <v>46063</v>
      </c>
      <c r="G477" s="4">
        <v>125</v>
      </c>
      <c r="H477" s="4">
        <f t="shared" si="26"/>
        <v>2.25</v>
      </c>
      <c r="I477" s="4">
        <f>_xlfn.XLOOKUP(J477,数据!E:E,数据!S:S)*(H477/_xlfn.XLOOKUP(J477,数据!E:E,数据!X:X))</f>
        <v>134.05069160034</v>
      </c>
      <c r="J477" t="s">
        <v>1100</v>
      </c>
      <c r="K477" t="s">
        <v>37</v>
      </c>
      <c r="L477" t="s">
        <v>2374</v>
      </c>
      <c r="M477" t="s">
        <v>5381</v>
      </c>
      <c r="N477" t="s">
        <v>2376</v>
      </c>
      <c r="O477" t="s">
        <v>2400</v>
      </c>
      <c r="P477" t="s">
        <v>2378</v>
      </c>
      <c r="Q477" t="s">
        <v>2379</v>
      </c>
      <c r="S477" t="s">
        <v>2511</v>
      </c>
      <c r="T477" s="3" t="s">
        <v>5335</v>
      </c>
      <c r="U477" t="s">
        <v>5255</v>
      </c>
      <c r="V477" t="s">
        <v>5382</v>
      </c>
      <c r="W477" t="s">
        <v>5383</v>
      </c>
      <c r="X477" t="s">
        <v>2403</v>
      </c>
      <c r="Y477" t="s">
        <v>5384</v>
      </c>
      <c r="Z477" t="s">
        <v>2405</v>
      </c>
      <c r="AA477" t="s">
        <v>5335</v>
      </c>
      <c r="AB477" t="s">
        <v>5339</v>
      </c>
      <c r="AC477" t="s">
        <v>5385</v>
      </c>
      <c r="AD477" t="s">
        <v>5250</v>
      </c>
      <c r="AG477" t="s">
        <v>2432</v>
      </c>
      <c r="AH477" t="s">
        <v>5227</v>
      </c>
      <c r="AI477" t="s">
        <v>5228</v>
      </c>
      <c r="AJ477" t="s">
        <v>3320</v>
      </c>
      <c r="AK477" t="s">
        <v>3321</v>
      </c>
      <c r="AL477" t="s">
        <v>3322</v>
      </c>
      <c r="AM477" t="s">
        <v>3001</v>
      </c>
      <c r="AN477" t="s">
        <v>3323</v>
      </c>
      <c r="AO477" t="s">
        <v>3320</v>
      </c>
      <c r="AP477">
        <v>18</v>
      </c>
      <c r="AQ477">
        <v>18</v>
      </c>
      <c r="AR477">
        <v>18</v>
      </c>
      <c r="AS477" t="s">
        <v>5389</v>
      </c>
      <c r="AT477">
        <v>0</v>
      </c>
      <c r="AU477">
        <v>0</v>
      </c>
      <c r="AV477">
        <v>0</v>
      </c>
    </row>
    <row r="478" spans="1:48">
      <c r="A478" s="1">
        <f>_xlfn.XLOOKUP(J478,数据!E:E,数据!A:A)</f>
        <v>2</v>
      </c>
      <c r="B478" s="1">
        <f>_xlfn.XLOOKUP(J478,数据!E:E,数据!B:B)</f>
        <v>7</v>
      </c>
      <c r="C478" s="1" t="str">
        <f>_xlfn.XLOOKUP(J478,数据!E:E,数据!J:J)</f>
        <v>空派</v>
      </c>
      <c r="D478" s="1" t="str" cm="1">
        <f t="array" ref="D478">IF(OR(C478="红单",C478="空派"),_xlfn.IFS(E478="未开售","新品首批发货",F478&lt;E478,"新品首批发货",F478-E478&lt;=60,"新品期补货空运",F478-E478&gt;60,"老品应急空运"),"海运，不进行分析")</f>
        <v>新品首批发货</v>
      </c>
      <c r="E478" s="2">
        <v>46079</v>
      </c>
      <c r="F478" s="2">
        <f>_xlfn.XLOOKUP(J478,数据!E:E,数据!C:C)</f>
        <v>46063</v>
      </c>
      <c r="G478" s="4">
        <v>126</v>
      </c>
      <c r="H478" s="4">
        <f t="shared" si="26"/>
        <v>3.024</v>
      </c>
      <c r="I478" s="4">
        <f>_xlfn.XLOOKUP(J478,数据!E:E,数据!S:S)*(H478/_xlfn.XLOOKUP(J478,数据!E:E,数据!X:X))</f>
        <v>180.164129510857</v>
      </c>
      <c r="J478" t="s">
        <v>1100</v>
      </c>
      <c r="K478" t="s">
        <v>37</v>
      </c>
      <c r="L478" t="s">
        <v>2374</v>
      </c>
      <c r="M478" t="s">
        <v>5381</v>
      </c>
      <c r="N478" t="s">
        <v>2376</v>
      </c>
      <c r="O478" t="s">
        <v>2400</v>
      </c>
      <c r="P478" t="s">
        <v>2378</v>
      </c>
      <c r="Q478" t="s">
        <v>2379</v>
      </c>
      <c r="S478" t="s">
        <v>2511</v>
      </c>
      <c r="T478" s="3" t="s">
        <v>5335</v>
      </c>
      <c r="U478" t="s">
        <v>5255</v>
      </c>
      <c r="V478" t="s">
        <v>5382</v>
      </c>
      <c r="W478" t="s">
        <v>5383</v>
      </c>
      <c r="X478" t="s">
        <v>2403</v>
      </c>
      <c r="Y478" t="s">
        <v>5384</v>
      </c>
      <c r="Z478" t="s">
        <v>2405</v>
      </c>
      <c r="AA478" t="s">
        <v>5335</v>
      </c>
      <c r="AB478" t="s">
        <v>5339</v>
      </c>
      <c r="AC478" t="s">
        <v>5385</v>
      </c>
      <c r="AD478" t="s">
        <v>5250</v>
      </c>
      <c r="AG478" t="s">
        <v>2432</v>
      </c>
      <c r="AH478" t="s">
        <v>5227</v>
      </c>
      <c r="AI478" t="s">
        <v>5228</v>
      </c>
      <c r="AJ478" t="s">
        <v>5350</v>
      </c>
      <c r="AK478" t="s">
        <v>5351</v>
      </c>
      <c r="AL478" t="s">
        <v>5352</v>
      </c>
      <c r="AM478" t="s">
        <v>3001</v>
      </c>
      <c r="AN478" t="s">
        <v>5353</v>
      </c>
      <c r="AO478" t="s">
        <v>5350</v>
      </c>
      <c r="AP478">
        <v>24</v>
      </c>
      <c r="AQ478">
        <v>24</v>
      </c>
      <c r="AR478">
        <v>24</v>
      </c>
      <c r="AS478" t="s">
        <v>5390</v>
      </c>
      <c r="AT478">
        <v>0</v>
      </c>
      <c r="AU478">
        <v>0</v>
      </c>
      <c r="AV478">
        <v>0</v>
      </c>
    </row>
    <row r="479" spans="1:48">
      <c r="A479" s="1">
        <f>_xlfn.XLOOKUP(J479,数据!E:E,数据!A:A)</f>
        <v>2</v>
      </c>
      <c r="B479" s="1">
        <f>_xlfn.XLOOKUP(J479,数据!E:E,数据!B:B)</f>
        <v>7</v>
      </c>
      <c r="C479" s="1" t="str">
        <f>_xlfn.XLOOKUP(J479,数据!E:E,数据!J:J)</f>
        <v>空派</v>
      </c>
      <c r="D479" s="1" t="str" cm="1">
        <f t="array" ref="D479">IF(OR(C479="红单",C479="空派"),_xlfn.IFS(E479="未开售","新品首批发货",F479&lt;E479,"新品首批发货",F479-E479&lt;=60,"新品期补货空运",F479-E479&gt;60,"老品应急空运"),"海运，不进行分析")</f>
        <v>新品首批发货</v>
      </c>
      <c r="E479" s="2">
        <v>46081</v>
      </c>
      <c r="F479" s="2">
        <f>_xlfn.XLOOKUP(J479,数据!E:E,数据!C:C)</f>
        <v>46063</v>
      </c>
      <c r="G479" s="4">
        <v>50</v>
      </c>
      <c r="H479" s="4">
        <f t="shared" si="26"/>
        <v>1.1</v>
      </c>
      <c r="I479" s="4">
        <f>_xlfn.XLOOKUP(J479,数据!E:E,数据!S:S)*(H479/_xlfn.XLOOKUP(J479,数据!E:E,数据!X:X))</f>
        <v>65.5358936712773</v>
      </c>
      <c r="J479" t="s">
        <v>1100</v>
      </c>
      <c r="K479" t="s">
        <v>37</v>
      </c>
      <c r="L479" t="s">
        <v>2374</v>
      </c>
      <c r="M479" t="s">
        <v>5381</v>
      </c>
      <c r="N479" t="s">
        <v>2376</v>
      </c>
      <c r="O479" t="s">
        <v>2400</v>
      </c>
      <c r="P479" t="s">
        <v>2378</v>
      </c>
      <c r="Q479" t="s">
        <v>2379</v>
      </c>
      <c r="S479" t="s">
        <v>2511</v>
      </c>
      <c r="T479" s="3" t="s">
        <v>5335</v>
      </c>
      <c r="U479" t="s">
        <v>5255</v>
      </c>
      <c r="V479" t="s">
        <v>5382</v>
      </c>
      <c r="W479" t="s">
        <v>5383</v>
      </c>
      <c r="X479" t="s">
        <v>2403</v>
      </c>
      <c r="Y479" t="s">
        <v>5384</v>
      </c>
      <c r="Z479" t="s">
        <v>2405</v>
      </c>
      <c r="AA479" t="s">
        <v>5335</v>
      </c>
      <c r="AB479" t="s">
        <v>5339</v>
      </c>
      <c r="AC479" t="s">
        <v>5385</v>
      </c>
      <c r="AD479" t="s">
        <v>5250</v>
      </c>
      <c r="AG479" t="s">
        <v>2432</v>
      </c>
      <c r="AH479" t="s">
        <v>5227</v>
      </c>
      <c r="AI479" t="s">
        <v>5228</v>
      </c>
      <c r="AJ479" t="s">
        <v>5355</v>
      </c>
      <c r="AK479" t="s">
        <v>5356</v>
      </c>
      <c r="AL479" t="s">
        <v>5357</v>
      </c>
      <c r="AM479" t="s">
        <v>5358</v>
      </c>
      <c r="AN479" t="s">
        <v>5359</v>
      </c>
      <c r="AO479" t="s">
        <v>5355</v>
      </c>
      <c r="AP479">
        <v>22</v>
      </c>
      <c r="AQ479">
        <v>22</v>
      </c>
      <c r="AR479">
        <v>22</v>
      </c>
      <c r="AS479" t="s">
        <v>5391</v>
      </c>
      <c r="AT479">
        <v>0</v>
      </c>
      <c r="AU479">
        <v>0</v>
      </c>
      <c r="AV479">
        <v>0</v>
      </c>
    </row>
    <row r="480" spans="1:48">
      <c r="A480" s="1">
        <f>_xlfn.XLOOKUP(J480,数据!E:E,数据!A:A)</f>
        <v>2</v>
      </c>
      <c r="B480" s="1">
        <f>_xlfn.XLOOKUP(J480,数据!E:E,数据!B:B)</f>
        <v>7</v>
      </c>
      <c r="C480" s="1" t="str">
        <f>_xlfn.XLOOKUP(J480,数据!E:E,数据!J:J)</f>
        <v>空派</v>
      </c>
      <c r="D480" s="1" t="str" cm="1">
        <f t="array" ref="D480">IF(OR(C480="红单",C480="空派"),_xlfn.IFS(E480="未开售","新品首批发货",F480&lt;E480,"新品首批发货",F480-E480&lt;=60,"新品期补货空运",F480-E480&gt;60,"老品应急空运"),"海运，不进行分析")</f>
        <v>新品首批发货</v>
      </c>
      <c r="E480" s="2">
        <v>46080</v>
      </c>
      <c r="F480" s="2">
        <f>_xlfn.XLOOKUP(J480,数据!E:E,数据!C:C)</f>
        <v>46063</v>
      </c>
      <c r="G480" s="4">
        <v>50</v>
      </c>
      <c r="H480" s="4">
        <f t="shared" si="26"/>
        <v>1.1</v>
      </c>
      <c r="I480" s="4">
        <f>_xlfn.XLOOKUP(J480,数据!E:E,数据!S:S)*(H480/_xlfn.XLOOKUP(J480,数据!E:E,数据!X:X))</f>
        <v>65.5358936712773</v>
      </c>
      <c r="J480" t="s">
        <v>1100</v>
      </c>
      <c r="K480" t="s">
        <v>37</v>
      </c>
      <c r="L480" t="s">
        <v>2374</v>
      </c>
      <c r="M480" t="s">
        <v>5381</v>
      </c>
      <c r="N480" t="s">
        <v>2376</v>
      </c>
      <c r="O480" t="s">
        <v>2400</v>
      </c>
      <c r="P480" t="s">
        <v>2378</v>
      </c>
      <c r="Q480" t="s">
        <v>2379</v>
      </c>
      <c r="S480" t="s">
        <v>2511</v>
      </c>
      <c r="T480" s="3" t="s">
        <v>5335</v>
      </c>
      <c r="U480" t="s">
        <v>5255</v>
      </c>
      <c r="V480" t="s">
        <v>5382</v>
      </c>
      <c r="W480" t="s">
        <v>5383</v>
      </c>
      <c r="X480" t="s">
        <v>2403</v>
      </c>
      <c r="Y480" t="s">
        <v>5384</v>
      </c>
      <c r="Z480" t="s">
        <v>2405</v>
      </c>
      <c r="AA480" t="s">
        <v>5335</v>
      </c>
      <c r="AB480" t="s">
        <v>5339</v>
      </c>
      <c r="AC480" t="s">
        <v>5385</v>
      </c>
      <c r="AD480" t="s">
        <v>5250</v>
      </c>
      <c r="AG480" t="s">
        <v>2432</v>
      </c>
      <c r="AH480" t="s">
        <v>5227</v>
      </c>
      <c r="AI480" t="s">
        <v>5228</v>
      </c>
      <c r="AJ480" t="s">
        <v>5361</v>
      </c>
      <c r="AK480" t="s">
        <v>5362</v>
      </c>
      <c r="AL480" t="s">
        <v>5363</v>
      </c>
      <c r="AM480" t="s">
        <v>5358</v>
      </c>
      <c r="AN480" t="s">
        <v>5364</v>
      </c>
      <c r="AO480" t="s">
        <v>5361</v>
      </c>
      <c r="AP480">
        <v>22</v>
      </c>
      <c r="AQ480">
        <v>22</v>
      </c>
      <c r="AR480">
        <v>22</v>
      </c>
      <c r="AS480" t="s">
        <v>5392</v>
      </c>
      <c r="AT480">
        <v>0</v>
      </c>
      <c r="AU480">
        <v>0</v>
      </c>
      <c r="AV480">
        <v>0</v>
      </c>
    </row>
    <row r="481" spans="1:48">
      <c r="A481" s="1">
        <f>_xlfn.XLOOKUP(J481,数据!E:E,数据!A:A)</f>
        <v>2</v>
      </c>
      <c r="B481" s="1">
        <f>_xlfn.XLOOKUP(J481,数据!E:E,数据!B:B)</f>
        <v>7</v>
      </c>
      <c r="C481" s="1" t="str">
        <f>_xlfn.XLOOKUP(J481,数据!E:E,数据!J:J)</f>
        <v>空派</v>
      </c>
      <c r="D481" s="1" t="str" cm="1">
        <f t="array" ref="D481">IF(OR(C481="红单",C481="空派"),_xlfn.IFS(E481="未开售","新品首批发货",F481&lt;E481,"新品首批发货",F481-E481&lt;=60,"新品期补货空运",F481-E481&gt;60,"老品应急空运"),"海运，不进行分析")</f>
        <v>新品首批发货</v>
      </c>
      <c r="E481" s="2">
        <v>46081</v>
      </c>
      <c r="F481" s="2">
        <f>_xlfn.XLOOKUP(J481,数据!E:E,数据!C:C)</f>
        <v>46063</v>
      </c>
      <c r="G481" s="4">
        <v>50</v>
      </c>
      <c r="H481" s="4">
        <f t="shared" si="26"/>
        <v>1.1</v>
      </c>
      <c r="I481" s="4">
        <f>_xlfn.XLOOKUP(J481,数据!E:E,数据!S:S)*(H481/_xlfn.XLOOKUP(J481,数据!E:E,数据!X:X))</f>
        <v>65.5358936712773</v>
      </c>
      <c r="J481" t="s">
        <v>1100</v>
      </c>
      <c r="K481" t="s">
        <v>37</v>
      </c>
      <c r="L481" t="s">
        <v>2374</v>
      </c>
      <c r="M481" t="s">
        <v>5381</v>
      </c>
      <c r="N481" t="s">
        <v>2376</v>
      </c>
      <c r="O481" t="s">
        <v>2400</v>
      </c>
      <c r="P481" t="s">
        <v>2378</v>
      </c>
      <c r="Q481" t="s">
        <v>2379</v>
      </c>
      <c r="S481" t="s">
        <v>2511</v>
      </c>
      <c r="T481" s="3" t="s">
        <v>5335</v>
      </c>
      <c r="U481" t="s">
        <v>5255</v>
      </c>
      <c r="V481" t="s">
        <v>5382</v>
      </c>
      <c r="W481" t="s">
        <v>5383</v>
      </c>
      <c r="X481" t="s">
        <v>2403</v>
      </c>
      <c r="Y481" t="s">
        <v>5384</v>
      </c>
      <c r="Z481" t="s">
        <v>2405</v>
      </c>
      <c r="AA481" t="s">
        <v>5335</v>
      </c>
      <c r="AB481" t="s">
        <v>5339</v>
      </c>
      <c r="AC481" t="s">
        <v>5385</v>
      </c>
      <c r="AD481" t="s">
        <v>5250</v>
      </c>
      <c r="AG481" t="s">
        <v>2432</v>
      </c>
      <c r="AH481" t="s">
        <v>5227</v>
      </c>
      <c r="AI481" t="s">
        <v>5228</v>
      </c>
      <c r="AJ481" t="s">
        <v>5366</v>
      </c>
      <c r="AK481" t="s">
        <v>5367</v>
      </c>
      <c r="AL481" t="s">
        <v>5368</v>
      </c>
      <c r="AM481" t="s">
        <v>5358</v>
      </c>
      <c r="AN481" t="s">
        <v>5369</v>
      </c>
      <c r="AO481" t="s">
        <v>5366</v>
      </c>
      <c r="AP481">
        <v>22</v>
      </c>
      <c r="AQ481">
        <v>22</v>
      </c>
      <c r="AR481">
        <v>22</v>
      </c>
      <c r="AS481" t="s">
        <v>5392</v>
      </c>
      <c r="AT481">
        <v>0</v>
      </c>
      <c r="AU481">
        <v>0</v>
      </c>
      <c r="AV481">
        <v>0</v>
      </c>
    </row>
    <row r="482" spans="1:48">
      <c r="A482" s="1">
        <f>_xlfn.XLOOKUP(J482,数据!E:E,数据!A:A)</f>
        <v>2</v>
      </c>
      <c r="B482" s="1">
        <f>_xlfn.XLOOKUP(J482,数据!E:E,数据!B:B)</f>
        <v>7</v>
      </c>
      <c r="C482" s="1" t="str">
        <f>_xlfn.XLOOKUP(J482,数据!E:E,数据!J:J)</f>
        <v>空派</v>
      </c>
      <c r="D482" s="1" t="str" cm="1">
        <f t="array" ref="D482">IF(OR(C482="红单",C482="空派"),_xlfn.IFS(E482="未开售","新品首批发货",F482&lt;E482,"新品首批发货",F482-E482&lt;=60,"新品期补货空运",F482-E482&gt;60,"老品应急空运"),"海运，不进行分析")</f>
        <v>新品首批发货</v>
      </c>
      <c r="E482" s="2">
        <v>46081</v>
      </c>
      <c r="F482" s="2">
        <f>_xlfn.XLOOKUP(J482,数据!E:E,数据!C:C)</f>
        <v>46063</v>
      </c>
      <c r="G482" s="4">
        <v>50</v>
      </c>
      <c r="H482" s="4">
        <f t="shared" si="26"/>
        <v>1.1</v>
      </c>
      <c r="I482" s="4">
        <f>_xlfn.XLOOKUP(J482,数据!E:E,数据!S:S)*(H482/_xlfn.XLOOKUP(J482,数据!E:E,数据!X:X))</f>
        <v>65.5358936712773</v>
      </c>
      <c r="J482" t="s">
        <v>1100</v>
      </c>
      <c r="K482" t="s">
        <v>37</v>
      </c>
      <c r="L482" t="s">
        <v>2374</v>
      </c>
      <c r="M482" t="s">
        <v>5381</v>
      </c>
      <c r="N482" t="s">
        <v>2376</v>
      </c>
      <c r="O482" t="s">
        <v>2400</v>
      </c>
      <c r="P482" t="s">
        <v>2378</v>
      </c>
      <c r="Q482" t="s">
        <v>2379</v>
      </c>
      <c r="S482" t="s">
        <v>2511</v>
      </c>
      <c r="T482" s="3" t="s">
        <v>5335</v>
      </c>
      <c r="U482" t="s">
        <v>5255</v>
      </c>
      <c r="V482" t="s">
        <v>5382</v>
      </c>
      <c r="W482" t="s">
        <v>5383</v>
      </c>
      <c r="X482" t="s">
        <v>2403</v>
      </c>
      <c r="Y482" t="s">
        <v>5384</v>
      </c>
      <c r="Z482" t="s">
        <v>2405</v>
      </c>
      <c r="AA482" t="s">
        <v>5335</v>
      </c>
      <c r="AB482" t="s">
        <v>5339</v>
      </c>
      <c r="AC482" t="s">
        <v>5385</v>
      </c>
      <c r="AD482" t="s">
        <v>5250</v>
      </c>
      <c r="AG482" t="s">
        <v>2432</v>
      </c>
      <c r="AH482" t="s">
        <v>5227</v>
      </c>
      <c r="AI482" t="s">
        <v>5228</v>
      </c>
      <c r="AJ482" t="s">
        <v>5371</v>
      </c>
      <c r="AK482" t="s">
        <v>5372</v>
      </c>
      <c r="AL482" t="s">
        <v>5373</v>
      </c>
      <c r="AM482" t="s">
        <v>5358</v>
      </c>
      <c r="AN482" t="s">
        <v>5374</v>
      </c>
      <c r="AO482" t="s">
        <v>5371</v>
      </c>
      <c r="AP482">
        <v>22</v>
      </c>
      <c r="AQ482">
        <v>22</v>
      </c>
      <c r="AR482">
        <v>22</v>
      </c>
      <c r="AS482" t="s">
        <v>5392</v>
      </c>
      <c r="AT482">
        <v>0</v>
      </c>
      <c r="AU482">
        <v>0</v>
      </c>
      <c r="AV482">
        <v>0</v>
      </c>
    </row>
    <row r="483" spans="1:48">
      <c r="A483" s="1">
        <f>_xlfn.XLOOKUP(J483,数据!E:E,数据!A:A)</f>
        <v>2</v>
      </c>
      <c r="B483" s="1">
        <f>_xlfn.XLOOKUP(J483,数据!E:E,数据!B:B)</f>
        <v>7</v>
      </c>
      <c r="C483" s="1" t="str">
        <f>_xlfn.XLOOKUP(J483,数据!E:E,数据!J:J)</f>
        <v>空派</v>
      </c>
      <c r="D483" s="1" t="str" cm="1">
        <f t="array" ref="D483">IF(OR(C483="红单",C483="空派"),_xlfn.IFS(E483="未开售","新品首批发货",F483&lt;E483,"新品首批发货",F483-E483&lt;=60,"新品期补货空运",F483-E483&gt;60,"老品应急空运"),"海运，不进行分析")</f>
        <v>新品首批发货</v>
      </c>
      <c r="E483" s="2">
        <v>46082</v>
      </c>
      <c r="F483" s="2">
        <f>_xlfn.XLOOKUP(J483,数据!E:E,数据!C:C)</f>
        <v>46063</v>
      </c>
      <c r="G483" s="4">
        <v>457</v>
      </c>
      <c r="H483" s="4">
        <f t="shared" si="26"/>
        <v>10.968</v>
      </c>
      <c r="I483" s="4">
        <f>_xlfn.XLOOKUP(J483,数据!E:E,数据!S:S)*(H483/_xlfn.XLOOKUP(J483,数据!E:E,数据!X:X))</f>
        <v>653.452437987791</v>
      </c>
      <c r="J483" t="s">
        <v>1100</v>
      </c>
      <c r="K483" t="s">
        <v>37</v>
      </c>
      <c r="L483" t="s">
        <v>2374</v>
      </c>
      <c r="M483" t="s">
        <v>5381</v>
      </c>
      <c r="N483" t="s">
        <v>2376</v>
      </c>
      <c r="O483" t="s">
        <v>2400</v>
      </c>
      <c r="P483" t="s">
        <v>2378</v>
      </c>
      <c r="Q483" t="s">
        <v>2379</v>
      </c>
      <c r="S483" t="s">
        <v>2511</v>
      </c>
      <c r="T483" s="3" t="s">
        <v>5335</v>
      </c>
      <c r="U483" t="s">
        <v>5255</v>
      </c>
      <c r="V483" t="s">
        <v>5382</v>
      </c>
      <c r="W483" t="s">
        <v>5383</v>
      </c>
      <c r="X483" t="s">
        <v>2403</v>
      </c>
      <c r="Y483" t="s">
        <v>5384</v>
      </c>
      <c r="Z483" t="s">
        <v>2405</v>
      </c>
      <c r="AA483" t="s">
        <v>5335</v>
      </c>
      <c r="AB483" t="s">
        <v>5339</v>
      </c>
      <c r="AC483" t="s">
        <v>5385</v>
      </c>
      <c r="AD483" t="s">
        <v>5250</v>
      </c>
      <c r="AG483" t="s">
        <v>2432</v>
      </c>
      <c r="AH483" t="s">
        <v>5227</v>
      </c>
      <c r="AI483" t="s">
        <v>5228</v>
      </c>
      <c r="AJ483" t="s">
        <v>5376</v>
      </c>
      <c r="AK483" t="s">
        <v>5377</v>
      </c>
      <c r="AL483" t="s">
        <v>5378</v>
      </c>
      <c r="AM483" t="s">
        <v>5378</v>
      </c>
      <c r="AN483" t="s">
        <v>5379</v>
      </c>
      <c r="AO483" t="s">
        <v>5376</v>
      </c>
      <c r="AP483">
        <v>24</v>
      </c>
      <c r="AQ483">
        <v>24</v>
      </c>
      <c r="AR483">
        <v>24</v>
      </c>
      <c r="AS483" t="s">
        <v>5393</v>
      </c>
      <c r="AT483">
        <v>0</v>
      </c>
      <c r="AU483">
        <v>0</v>
      </c>
      <c r="AV483">
        <v>0</v>
      </c>
    </row>
    <row r="484" spans="1:48">
      <c r="A484" s="1">
        <f>_xlfn.XLOOKUP(J484,数据!E:E,数据!A:A)</f>
        <v>2</v>
      </c>
      <c r="B484" s="1">
        <f>_xlfn.XLOOKUP(J484,数据!E:E,数据!B:B)</f>
        <v>7</v>
      </c>
      <c r="C484" s="1" t="str">
        <f>_xlfn.XLOOKUP(J484,数据!E:E,数据!J:J)</f>
        <v>空派</v>
      </c>
      <c r="D484" s="1" t="str" cm="1">
        <f t="array" ref="D484">IF(OR(C484="红单",C484="空派"),_xlfn.IFS(E484="未开售","新品首批发货",F484&lt;E484,"新品首批发货",F484-E484&lt;=60,"新品期补货空运",F484-E484&gt;60,"老品应急空运"),"海运，不进行分析")</f>
        <v>老品应急空运</v>
      </c>
      <c r="E484" s="2">
        <v>45797</v>
      </c>
      <c r="F484" s="2">
        <f>_xlfn.XLOOKUP(J484,数据!E:E,数据!C:C)</f>
        <v>46063</v>
      </c>
      <c r="G484" s="4">
        <v>122</v>
      </c>
      <c r="H484" s="4">
        <f t="shared" si="26"/>
        <v>2.44</v>
      </c>
      <c r="I484" s="4">
        <f>_xlfn.XLOOKUP(J484,数据!E:E,数据!S:S)*(H484/_xlfn.XLOOKUP(J484,数据!E:E,数据!X:X))</f>
        <v>140.130310951582</v>
      </c>
      <c r="J484" t="s">
        <v>1097</v>
      </c>
      <c r="K484" t="s">
        <v>37</v>
      </c>
      <c r="L484" t="s">
        <v>2374</v>
      </c>
      <c r="M484" t="s">
        <v>5394</v>
      </c>
      <c r="N484" t="s">
        <v>2376</v>
      </c>
      <c r="O484" t="s">
        <v>2400</v>
      </c>
      <c r="P484" t="s">
        <v>2378</v>
      </c>
      <c r="Q484" t="s">
        <v>2379</v>
      </c>
      <c r="S484" t="s">
        <v>2511</v>
      </c>
      <c r="T484" s="3" t="s">
        <v>5335</v>
      </c>
      <c r="U484" t="s">
        <v>5244</v>
      </c>
      <c r="V484" t="s">
        <v>5395</v>
      </c>
      <c r="W484" t="s">
        <v>5396</v>
      </c>
      <c r="X484" t="s">
        <v>2385</v>
      </c>
      <c r="Y484" t="s">
        <v>5397</v>
      </c>
      <c r="Z484" t="s">
        <v>2405</v>
      </c>
      <c r="AA484" t="s">
        <v>5335</v>
      </c>
      <c r="AB484" t="s">
        <v>5339</v>
      </c>
      <c r="AC484" t="s">
        <v>5398</v>
      </c>
      <c r="AD484" t="s">
        <v>5399</v>
      </c>
      <c r="AG484" t="s">
        <v>2432</v>
      </c>
      <c r="AH484" t="s">
        <v>5227</v>
      </c>
      <c r="AI484" t="s">
        <v>5228</v>
      </c>
      <c r="AJ484" t="s">
        <v>5342</v>
      </c>
      <c r="AK484" t="s">
        <v>5343</v>
      </c>
      <c r="AL484" t="s">
        <v>5344</v>
      </c>
      <c r="AM484" t="s">
        <v>2893</v>
      </c>
      <c r="AN484" t="s">
        <v>5345</v>
      </c>
      <c r="AO484" t="s">
        <v>5342</v>
      </c>
      <c r="AP484">
        <v>20</v>
      </c>
      <c r="AQ484">
        <v>20</v>
      </c>
      <c r="AR484">
        <v>20</v>
      </c>
      <c r="AS484" t="s">
        <v>5400</v>
      </c>
      <c r="AT484">
        <v>0</v>
      </c>
      <c r="AU484">
        <v>0</v>
      </c>
      <c r="AV484">
        <v>0</v>
      </c>
    </row>
    <row r="485" spans="1:48">
      <c r="A485" s="1">
        <f>_xlfn.XLOOKUP(J485,数据!E:E,数据!A:A)</f>
        <v>2</v>
      </c>
      <c r="B485" s="1">
        <f>_xlfn.XLOOKUP(J485,数据!E:E,数据!B:B)</f>
        <v>7</v>
      </c>
      <c r="C485" s="1" t="str">
        <f>_xlfn.XLOOKUP(J485,数据!E:E,数据!J:J)</f>
        <v>空派</v>
      </c>
      <c r="D485" s="1" t="str" cm="1">
        <f t="array" ref="D485">IF(OR(C485="红单",C485="空派"),_xlfn.IFS(E485="未开售","新品首批发货",F485&lt;E485,"新品首批发货",F485-E485&lt;=60,"新品期补货空运",F485-E485&gt;60,"老品应急空运"),"海运，不进行分析")</f>
        <v>老品应急空运</v>
      </c>
      <c r="E485" s="2">
        <v>45847</v>
      </c>
      <c r="F485" s="2">
        <f>_xlfn.XLOOKUP(J485,数据!E:E,数据!C:C)</f>
        <v>46063</v>
      </c>
      <c r="G485" s="4">
        <v>200</v>
      </c>
      <c r="H485" s="4">
        <f t="shared" si="26"/>
        <v>0.8</v>
      </c>
      <c r="I485" s="4">
        <f>_xlfn.XLOOKUP(J485,数据!E:E,数据!S:S)*(H485/_xlfn.XLOOKUP(J485,数据!E:E,数据!X:X))</f>
        <v>45.9443642464203</v>
      </c>
      <c r="J485" t="s">
        <v>1097</v>
      </c>
      <c r="K485" t="s">
        <v>37</v>
      </c>
      <c r="L485" t="s">
        <v>2374</v>
      </c>
      <c r="M485" t="s">
        <v>5394</v>
      </c>
      <c r="N485" t="s">
        <v>2376</v>
      </c>
      <c r="O485" t="s">
        <v>2400</v>
      </c>
      <c r="P485" t="s">
        <v>2378</v>
      </c>
      <c r="Q485" t="s">
        <v>2379</v>
      </c>
      <c r="S485" t="s">
        <v>2511</v>
      </c>
      <c r="T485" s="3" t="s">
        <v>5335</v>
      </c>
      <c r="U485" t="s">
        <v>5244</v>
      </c>
      <c r="V485" t="s">
        <v>5395</v>
      </c>
      <c r="W485" t="s">
        <v>5396</v>
      </c>
      <c r="X485" t="s">
        <v>2385</v>
      </c>
      <c r="Y485" t="s">
        <v>5397</v>
      </c>
      <c r="Z485" t="s">
        <v>2405</v>
      </c>
      <c r="AA485" t="s">
        <v>5335</v>
      </c>
      <c r="AB485" t="s">
        <v>5339</v>
      </c>
      <c r="AC485" t="s">
        <v>5398</v>
      </c>
      <c r="AD485" t="s">
        <v>5399</v>
      </c>
      <c r="AG485" t="s">
        <v>2432</v>
      </c>
      <c r="AH485" t="s">
        <v>5227</v>
      </c>
      <c r="AI485" t="s">
        <v>5228</v>
      </c>
      <c r="AJ485" t="s">
        <v>4883</v>
      </c>
      <c r="AK485" t="s">
        <v>4884</v>
      </c>
      <c r="AL485" t="s">
        <v>4885</v>
      </c>
      <c r="AM485" t="s">
        <v>4885</v>
      </c>
      <c r="AN485" t="s">
        <v>4886</v>
      </c>
      <c r="AO485" t="s">
        <v>4883</v>
      </c>
      <c r="AP485">
        <v>4</v>
      </c>
      <c r="AQ485">
        <v>4</v>
      </c>
      <c r="AR485">
        <v>4</v>
      </c>
      <c r="AS485" t="s">
        <v>5401</v>
      </c>
      <c r="AT485">
        <v>0</v>
      </c>
      <c r="AU485">
        <v>0</v>
      </c>
      <c r="AV485">
        <v>0</v>
      </c>
    </row>
    <row r="486" spans="1:48">
      <c r="A486" s="1">
        <f>_xlfn.XLOOKUP(J486,数据!E:E,数据!A:A)</f>
        <v>2</v>
      </c>
      <c r="B486" s="1">
        <f>_xlfn.XLOOKUP(J486,数据!E:E,数据!B:B)</f>
        <v>7</v>
      </c>
      <c r="C486" s="1" t="str">
        <f>_xlfn.XLOOKUP(J486,数据!E:E,数据!J:J)</f>
        <v>空派</v>
      </c>
      <c r="D486" s="1" t="str" cm="1">
        <f t="array" ref="D486">IF(OR(C486="红单",C486="空派"),_xlfn.IFS(E486="未开售","新品首批发货",F486&lt;E486,"新品首批发货",F486-E486&lt;=60,"新品期补货空运",F486-E486&gt;60,"老品应急空运"),"海运，不进行分析")</f>
        <v>新品期补货空运</v>
      </c>
      <c r="E486" s="2">
        <v>46035</v>
      </c>
      <c r="F486" s="2">
        <f>_xlfn.XLOOKUP(J486,数据!E:E,数据!C:C)</f>
        <v>46063</v>
      </c>
      <c r="G486" s="4">
        <v>125</v>
      </c>
      <c r="H486" s="4">
        <f t="shared" si="26"/>
        <v>2</v>
      </c>
      <c r="I486" s="4">
        <f>_xlfn.XLOOKUP(J486,数据!E:E,数据!S:S)*(H486/_xlfn.XLOOKUP(J486,数据!E:E,数据!X:X))</f>
        <v>114.860910616051</v>
      </c>
      <c r="J486" t="s">
        <v>1097</v>
      </c>
      <c r="K486" t="s">
        <v>37</v>
      </c>
      <c r="L486" t="s">
        <v>2374</v>
      </c>
      <c r="M486" t="s">
        <v>5394</v>
      </c>
      <c r="N486" t="s">
        <v>2376</v>
      </c>
      <c r="O486" t="s">
        <v>2400</v>
      </c>
      <c r="P486" t="s">
        <v>2378</v>
      </c>
      <c r="Q486" t="s">
        <v>2379</v>
      </c>
      <c r="S486" t="s">
        <v>2511</v>
      </c>
      <c r="T486" s="3" t="s">
        <v>5335</v>
      </c>
      <c r="U486" t="s">
        <v>5244</v>
      </c>
      <c r="V486" t="s">
        <v>5395</v>
      </c>
      <c r="W486" t="s">
        <v>5396</v>
      </c>
      <c r="X486" t="s">
        <v>2385</v>
      </c>
      <c r="Y486" t="s">
        <v>5397</v>
      </c>
      <c r="Z486" t="s">
        <v>2405</v>
      </c>
      <c r="AA486" t="s">
        <v>5335</v>
      </c>
      <c r="AB486" t="s">
        <v>5339</v>
      </c>
      <c r="AC486" t="s">
        <v>5398</v>
      </c>
      <c r="AD486" t="s">
        <v>5399</v>
      </c>
      <c r="AG486" t="s">
        <v>2432</v>
      </c>
      <c r="AH486" t="s">
        <v>5227</v>
      </c>
      <c r="AI486" t="s">
        <v>5228</v>
      </c>
      <c r="AJ486" t="s">
        <v>4900</v>
      </c>
      <c r="AK486" t="s">
        <v>4901</v>
      </c>
      <c r="AL486" t="s">
        <v>4902</v>
      </c>
      <c r="AM486" t="s">
        <v>2893</v>
      </c>
      <c r="AN486" t="s">
        <v>4903</v>
      </c>
      <c r="AO486" t="s">
        <v>4900</v>
      </c>
      <c r="AP486">
        <v>16</v>
      </c>
      <c r="AQ486">
        <v>16</v>
      </c>
      <c r="AR486">
        <v>16</v>
      </c>
      <c r="AS486" t="s">
        <v>5402</v>
      </c>
      <c r="AT486">
        <v>0</v>
      </c>
      <c r="AU486">
        <v>0</v>
      </c>
      <c r="AV486">
        <v>0</v>
      </c>
    </row>
    <row r="487" spans="1:48">
      <c r="A487" s="1">
        <f>_xlfn.XLOOKUP(J487,数据!E:E,数据!A:A)</f>
        <v>2</v>
      </c>
      <c r="B487" s="1">
        <f>_xlfn.XLOOKUP(J487,数据!E:E,数据!B:B)</f>
        <v>7</v>
      </c>
      <c r="C487" s="1" t="str">
        <f>_xlfn.XLOOKUP(J487,数据!E:E,数据!J:J)</f>
        <v>空派</v>
      </c>
      <c r="D487" s="1" t="str" cm="1">
        <f t="array" ref="D487">IF(OR(C487="红单",C487="空派"),_xlfn.IFS(E487="未开售","新品首批发货",F487&lt;E487,"新品首批发货",F487-E487&lt;=60,"新品期补货空运",F487-E487&gt;60,"老品应急空运"),"海运，不进行分析")</f>
        <v>新品首批发货</v>
      </c>
      <c r="E487" s="2">
        <v>46080</v>
      </c>
      <c r="F487" s="2">
        <f>_xlfn.XLOOKUP(J487,数据!E:E,数据!C:C)</f>
        <v>46063</v>
      </c>
      <c r="G487" s="4">
        <v>125</v>
      </c>
      <c r="H487" s="4">
        <f t="shared" si="26"/>
        <v>2.125</v>
      </c>
      <c r="I487" s="4">
        <f>_xlfn.XLOOKUP(J487,数据!E:E,数据!S:S)*(H487/_xlfn.XLOOKUP(J487,数据!E:E,数据!X:X))</f>
        <v>122.039717529554</v>
      </c>
      <c r="J487" t="s">
        <v>1097</v>
      </c>
      <c r="K487" t="s">
        <v>37</v>
      </c>
      <c r="L487" t="s">
        <v>2374</v>
      </c>
      <c r="M487" t="s">
        <v>5394</v>
      </c>
      <c r="N487" t="s">
        <v>2376</v>
      </c>
      <c r="O487" t="s">
        <v>2400</v>
      </c>
      <c r="P487" t="s">
        <v>2378</v>
      </c>
      <c r="Q487" t="s">
        <v>2379</v>
      </c>
      <c r="S487" t="s">
        <v>2511</v>
      </c>
      <c r="T487" s="3" t="s">
        <v>5335</v>
      </c>
      <c r="U487" t="s">
        <v>5244</v>
      </c>
      <c r="V487" t="s">
        <v>5395</v>
      </c>
      <c r="W487" t="s">
        <v>5396</v>
      </c>
      <c r="X487" t="s">
        <v>2385</v>
      </c>
      <c r="Y487" t="s">
        <v>5397</v>
      </c>
      <c r="Z487" t="s">
        <v>2405</v>
      </c>
      <c r="AA487" t="s">
        <v>5335</v>
      </c>
      <c r="AB487" t="s">
        <v>5339</v>
      </c>
      <c r="AC487" t="s">
        <v>5398</v>
      </c>
      <c r="AD487" t="s">
        <v>5399</v>
      </c>
      <c r="AG487" t="s">
        <v>2432</v>
      </c>
      <c r="AH487" t="s">
        <v>5227</v>
      </c>
      <c r="AI487" t="s">
        <v>5228</v>
      </c>
      <c r="AJ487" t="s">
        <v>3320</v>
      </c>
      <c r="AK487" t="s">
        <v>3321</v>
      </c>
      <c r="AL487" t="s">
        <v>3322</v>
      </c>
      <c r="AM487" t="s">
        <v>3001</v>
      </c>
      <c r="AN487" t="s">
        <v>3323</v>
      </c>
      <c r="AO487" t="s">
        <v>3320</v>
      </c>
      <c r="AP487">
        <v>17</v>
      </c>
      <c r="AQ487">
        <v>17</v>
      </c>
      <c r="AR487">
        <v>16</v>
      </c>
      <c r="AS487" t="s">
        <v>5403</v>
      </c>
      <c r="AT487">
        <v>0</v>
      </c>
      <c r="AU487">
        <v>-1</v>
      </c>
      <c r="AV487">
        <v>1</v>
      </c>
    </row>
    <row r="488" spans="1:48">
      <c r="A488" s="1">
        <f>_xlfn.XLOOKUP(J488,数据!E:E,数据!A:A)</f>
        <v>2</v>
      </c>
      <c r="B488" s="1">
        <f>_xlfn.XLOOKUP(J488,数据!E:E,数据!B:B)</f>
        <v>7</v>
      </c>
      <c r="C488" s="1" t="str">
        <f>_xlfn.XLOOKUP(J488,数据!E:E,数据!J:J)</f>
        <v>空派</v>
      </c>
      <c r="D488" s="1" t="str" cm="1">
        <f t="array" ref="D488">IF(OR(C488="红单",C488="空派"),_xlfn.IFS(E488="未开售","新品首批发货",F488&lt;E488,"新品首批发货",F488-E488&lt;=60,"新品期补货空运",F488-E488&gt;60,"老品应急空运"),"海运，不进行分析")</f>
        <v>新品首批发货</v>
      </c>
      <c r="E488" s="2">
        <v>46079</v>
      </c>
      <c r="F488" s="2">
        <f>_xlfn.XLOOKUP(J488,数据!E:E,数据!C:C)</f>
        <v>46063</v>
      </c>
      <c r="G488" s="4">
        <v>126</v>
      </c>
      <c r="H488" s="4">
        <f t="shared" si="26"/>
        <v>2.898</v>
      </c>
      <c r="I488" s="4">
        <f>_xlfn.XLOOKUP(J488,数据!E:E,数据!S:S)*(H488/_xlfn.XLOOKUP(J488,数据!E:E,数据!X:X))</f>
        <v>166.433459482658</v>
      </c>
      <c r="J488" t="s">
        <v>1097</v>
      </c>
      <c r="K488" t="s">
        <v>37</v>
      </c>
      <c r="L488" t="s">
        <v>2374</v>
      </c>
      <c r="M488" t="s">
        <v>5394</v>
      </c>
      <c r="N488" t="s">
        <v>2376</v>
      </c>
      <c r="O488" t="s">
        <v>2400</v>
      </c>
      <c r="P488" t="s">
        <v>2378</v>
      </c>
      <c r="Q488" t="s">
        <v>2379</v>
      </c>
      <c r="S488" t="s">
        <v>2511</v>
      </c>
      <c r="T488" s="3" t="s">
        <v>5335</v>
      </c>
      <c r="U488" t="s">
        <v>5244</v>
      </c>
      <c r="V488" t="s">
        <v>5395</v>
      </c>
      <c r="W488" t="s">
        <v>5396</v>
      </c>
      <c r="X488" t="s">
        <v>2385</v>
      </c>
      <c r="Y488" t="s">
        <v>5397</v>
      </c>
      <c r="Z488" t="s">
        <v>2405</v>
      </c>
      <c r="AA488" t="s">
        <v>5335</v>
      </c>
      <c r="AB488" t="s">
        <v>5339</v>
      </c>
      <c r="AC488" t="s">
        <v>5398</v>
      </c>
      <c r="AD488" t="s">
        <v>5399</v>
      </c>
      <c r="AG488" t="s">
        <v>2432</v>
      </c>
      <c r="AH488" t="s">
        <v>5227</v>
      </c>
      <c r="AI488" t="s">
        <v>5228</v>
      </c>
      <c r="AJ488" t="s">
        <v>5350</v>
      </c>
      <c r="AK488" t="s">
        <v>5351</v>
      </c>
      <c r="AL488" t="s">
        <v>5352</v>
      </c>
      <c r="AM488" t="s">
        <v>3001</v>
      </c>
      <c r="AN488" t="s">
        <v>5353</v>
      </c>
      <c r="AO488" t="s">
        <v>5350</v>
      </c>
      <c r="AP488">
        <v>23</v>
      </c>
      <c r="AQ488">
        <v>23</v>
      </c>
      <c r="AR488">
        <v>24</v>
      </c>
      <c r="AS488" t="s">
        <v>5404</v>
      </c>
      <c r="AT488">
        <v>0</v>
      </c>
      <c r="AU488">
        <v>1</v>
      </c>
      <c r="AV488">
        <v>-1</v>
      </c>
    </row>
    <row r="489" spans="1:48">
      <c r="A489" s="1">
        <f>_xlfn.XLOOKUP(J489,数据!E:E,数据!A:A)</f>
        <v>2</v>
      </c>
      <c r="B489" s="1">
        <f>_xlfn.XLOOKUP(J489,数据!E:E,数据!B:B)</f>
        <v>7</v>
      </c>
      <c r="C489" s="1" t="str">
        <f>_xlfn.XLOOKUP(J489,数据!E:E,数据!J:J)</f>
        <v>空派</v>
      </c>
      <c r="D489" s="1" t="str" cm="1">
        <f t="array" ref="D489">IF(OR(C489="红单",C489="空派"),_xlfn.IFS(E489="未开售","新品首批发货",F489&lt;E489,"新品首批发货",F489-E489&lt;=60,"新品期补货空运",F489-E489&gt;60,"老品应急空运"),"海运，不进行分析")</f>
        <v>新品首批发货</v>
      </c>
      <c r="E489" s="2">
        <v>46081</v>
      </c>
      <c r="F489" s="2">
        <f>_xlfn.XLOOKUP(J489,数据!E:E,数据!C:C)</f>
        <v>46063</v>
      </c>
      <c r="G489" s="4">
        <v>50</v>
      </c>
      <c r="H489" s="4">
        <f t="shared" si="26"/>
        <v>1.1</v>
      </c>
      <c r="I489" s="4">
        <f>_xlfn.XLOOKUP(J489,数据!E:E,数据!S:S)*(H489/_xlfn.XLOOKUP(J489,数据!E:E,数据!X:X))</f>
        <v>63.173500838828</v>
      </c>
      <c r="J489" t="s">
        <v>1097</v>
      </c>
      <c r="K489" t="s">
        <v>37</v>
      </c>
      <c r="L489" t="s">
        <v>2374</v>
      </c>
      <c r="M489" t="s">
        <v>5394</v>
      </c>
      <c r="N489" t="s">
        <v>2376</v>
      </c>
      <c r="O489" t="s">
        <v>2400</v>
      </c>
      <c r="P489" t="s">
        <v>2378</v>
      </c>
      <c r="Q489" t="s">
        <v>2379</v>
      </c>
      <c r="S489" t="s">
        <v>2511</v>
      </c>
      <c r="T489" s="3" t="s">
        <v>5335</v>
      </c>
      <c r="U489" t="s">
        <v>5244</v>
      </c>
      <c r="V489" t="s">
        <v>5395</v>
      </c>
      <c r="W489" t="s">
        <v>5396</v>
      </c>
      <c r="X489" t="s">
        <v>2385</v>
      </c>
      <c r="Y489" t="s">
        <v>5397</v>
      </c>
      <c r="Z489" t="s">
        <v>2405</v>
      </c>
      <c r="AA489" t="s">
        <v>5335</v>
      </c>
      <c r="AB489" t="s">
        <v>5339</v>
      </c>
      <c r="AC489" t="s">
        <v>5398</v>
      </c>
      <c r="AD489" t="s">
        <v>5399</v>
      </c>
      <c r="AG489" t="s">
        <v>2432</v>
      </c>
      <c r="AH489" t="s">
        <v>5227</v>
      </c>
      <c r="AI489" t="s">
        <v>5228</v>
      </c>
      <c r="AJ489" t="s">
        <v>5355</v>
      </c>
      <c r="AK489" t="s">
        <v>5356</v>
      </c>
      <c r="AL489" t="s">
        <v>5357</v>
      </c>
      <c r="AM489" t="s">
        <v>5358</v>
      </c>
      <c r="AN489" t="s">
        <v>5359</v>
      </c>
      <c r="AO489" t="s">
        <v>5355</v>
      </c>
      <c r="AP489">
        <v>22</v>
      </c>
      <c r="AQ489">
        <v>22</v>
      </c>
      <c r="AR489">
        <v>22</v>
      </c>
      <c r="AS489" t="s">
        <v>5405</v>
      </c>
      <c r="AT489">
        <v>0</v>
      </c>
      <c r="AU489">
        <v>0</v>
      </c>
      <c r="AV489">
        <v>0</v>
      </c>
    </row>
    <row r="490" spans="1:48">
      <c r="A490" s="1">
        <f>_xlfn.XLOOKUP(J490,数据!E:E,数据!A:A)</f>
        <v>2</v>
      </c>
      <c r="B490" s="1">
        <f>_xlfn.XLOOKUP(J490,数据!E:E,数据!B:B)</f>
        <v>7</v>
      </c>
      <c r="C490" s="1" t="str">
        <f>_xlfn.XLOOKUP(J490,数据!E:E,数据!J:J)</f>
        <v>空派</v>
      </c>
      <c r="D490" s="1" t="str" cm="1">
        <f t="array" ref="D490">IF(OR(C490="红单",C490="空派"),_xlfn.IFS(E490="未开售","新品首批发货",F490&lt;E490,"新品首批发货",F490-E490&lt;=60,"新品期补货空运",F490-E490&gt;60,"老品应急空运"),"海运，不进行分析")</f>
        <v>新品首批发货</v>
      </c>
      <c r="E490" s="2">
        <v>46080</v>
      </c>
      <c r="F490" s="2">
        <f>_xlfn.XLOOKUP(J490,数据!E:E,数据!C:C)</f>
        <v>46063</v>
      </c>
      <c r="G490" s="4">
        <v>50</v>
      </c>
      <c r="H490" s="4">
        <f t="shared" si="26"/>
        <v>1.1</v>
      </c>
      <c r="I490" s="4">
        <f>_xlfn.XLOOKUP(J490,数据!E:E,数据!S:S)*(H490/_xlfn.XLOOKUP(J490,数据!E:E,数据!X:X))</f>
        <v>63.173500838828</v>
      </c>
      <c r="J490" t="s">
        <v>1097</v>
      </c>
      <c r="K490" t="s">
        <v>37</v>
      </c>
      <c r="L490" t="s">
        <v>2374</v>
      </c>
      <c r="M490" t="s">
        <v>5394</v>
      </c>
      <c r="N490" t="s">
        <v>2376</v>
      </c>
      <c r="O490" t="s">
        <v>2400</v>
      </c>
      <c r="P490" t="s">
        <v>2378</v>
      </c>
      <c r="Q490" t="s">
        <v>2379</v>
      </c>
      <c r="S490" t="s">
        <v>2511</v>
      </c>
      <c r="T490" s="3" t="s">
        <v>5335</v>
      </c>
      <c r="U490" t="s">
        <v>5244</v>
      </c>
      <c r="V490" t="s">
        <v>5395</v>
      </c>
      <c r="W490" t="s">
        <v>5396</v>
      </c>
      <c r="X490" t="s">
        <v>2385</v>
      </c>
      <c r="Y490" t="s">
        <v>5397</v>
      </c>
      <c r="Z490" t="s">
        <v>2405</v>
      </c>
      <c r="AA490" t="s">
        <v>5335</v>
      </c>
      <c r="AB490" t="s">
        <v>5339</v>
      </c>
      <c r="AC490" t="s">
        <v>5398</v>
      </c>
      <c r="AD490" t="s">
        <v>5399</v>
      </c>
      <c r="AG490" t="s">
        <v>2432</v>
      </c>
      <c r="AH490" t="s">
        <v>5227</v>
      </c>
      <c r="AI490" t="s">
        <v>5228</v>
      </c>
      <c r="AJ490" t="s">
        <v>5361</v>
      </c>
      <c r="AK490" t="s">
        <v>5362</v>
      </c>
      <c r="AL490" t="s">
        <v>5363</v>
      </c>
      <c r="AM490" t="s">
        <v>5358</v>
      </c>
      <c r="AN490" t="s">
        <v>5364</v>
      </c>
      <c r="AO490" t="s">
        <v>5361</v>
      </c>
      <c r="AP490">
        <v>22</v>
      </c>
      <c r="AQ490">
        <v>22</v>
      </c>
      <c r="AR490">
        <v>22</v>
      </c>
      <c r="AS490" t="s">
        <v>5406</v>
      </c>
      <c r="AT490">
        <v>0</v>
      </c>
      <c r="AU490">
        <v>0</v>
      </c>
      <c r="AV490">
        <v>0</v>
      </c>
    </row>
    <row r="491" spans="1:48">
      <c r="A491" s="1">
        <f>_xlfn.XLOOKUP(J491,数据!E:E,数据!A:A)</f>
        <v>2</v>
      </c>
      <c r="B491" s="1">
        <f>_xlfn.XLOOKUP(J491,数据!E:E,数据!B:B)</f>
        <v>7</v>
      </c>
      <c r="C491" s="1" t="str">
        <f>_xlfn.XLOOKUP(J491,数据!E:E,数据!J:J)</f>
        <v>空派</v>
      </c>
      <c r="D491" s="1" t="str" cm="1">
        <f t="array" ref="D491">IF(OR(C491="红单",C491="空派"),_xlfn.IFS(E491="未开售","新品首批发货",F491&lt;E491,"新品首批发货",F491-E491&lt;=60,"新品期补货空运",F491-E491&gt;60,"老品应急空运"),"海运，不进行分析")</f>
        <v>新品首批发货</v>
      </c>
      <c r="E491" s="2">
        <v>46081</v>
      </c>
      <c r="F491" s="2">
        <f>_xlfn.XLOOKUP(J491,数据!E:E,数据!C:C)</f>
        <v>46063</v>
      </c>
      <c r="G491" s="4">
        <v>50</v>
      </c>
      <c r="H491" s="4">
        <f t="shared" si="26"/>
        <v>1.1</v>
      </c>
      <c r="I491" s="4">
        <f>_xlfn.XLOOKUP(J491,数据!E:E,数据!S:S)*(H491/_xlfn.XLOOKUP(J491,数据!E:E,数据!X:X))</f>
        <v>63.173500838828</v>
      </c>
      <c r="J491" t="s">
        <v>1097</v>
      </c>
      <c r="K491" t="s">
        <v>37</v>
      </c>
      <c r="L491" t="s">
        <v>2374</v>
      </c>
      <c r="M491" t="s">
        <v>5394</v>
      </c>
      <c r="N491" t="s">
        <v>2376</v>
      </c>
      <c r="O491" t="s">
        <v>2400</v>
      </c>
      <c r="P491" t="s">
        <v>2378</v>
      </c>
      <c r="Q491" t="s">
        <v>2379</v>
      </c>
      <c r="S491" t="s">
        <v>2511</v>
      </c>
      <c r="T491" s="3" t="s">
        <v>5335</v>
      </c>
      <c r="U491" t="s">
        <v>5244</v>
      </c>
      <c r="V491" t="s">
        <v>5395</v>
      </c>
      <c r="W491" t="s">
        <v>5396</v>
      </c>
      <c r="X491" t="s">
        <v>2385</v>
      </c>
      <c r="Y491" t="s">
        <v>5397</v>
      </c>
      <c r="Z491" t="s">
        <v>2405</v>
      </c>
      <c r="AA491" t="s">
        <v>5335</v>
      </c>
      <c r="AB491" t="s">
        <v>5339</v>
      </c>
      <c r="AC491" t="s">
        <v>5398</v>
      </c>
      <c r="AD491" t="s">
        <v>5399</v>
      </c>
      <c r="AG491" t="s">
        <v>2432</v>
      </c>
      <c r="AH491" t="s">
        <v>5227</v>
      </c>
      <c r="AI491" t="s">
        <v>5228</v>
      </c>
      <c r="AJ491" t="s">
        <v>5366</v>
      </c>
      <c r="AK491" t="s">
        <v>5367</v>
      </c>
      <c r="AL491" t="s">
        <v>5368</v>
      </c>
      <c r="AM491" t="s">
        <v>5358</v>
      </c>
      <c r="AN491" t="s">
        <v>5369</v>
      </c>
      <c r="AO491" t="s">
        <v>5366</v>
      </c>
      <c r="AP491">
        <v>22</v>
      </c>
      <c r="AQ491">
        <v>22</v>
      </c>
      <c r="AR491">
        <v>22</v>
      </c>
      <c r="AS491" t="s">
        <v>5405</v>
      </c>
      <c r="AT491">
        <v>0</v>
      </c>
      <c r="AU491">
        <v>0</v>
      </c>
      <c r="AV491">
        <v>0</v>
      </c>
    </row>
    <row r="492" spans="1:48">
      <c r="A492" s="1">
        <f>_xlfn.XLOOKUP(J492,数据!E:E,数据!A:A)</f>
        <v>2</v>
      </c>
      <c r="B492" s="1">
        <f>_xlfn.XLOOKUP(J492,数据!E:E,数据!B:B)</f>
        <v>7</v>
      </c>
      <c r="C492" s="1" t="str">
        <f>_xlfn.XLOOKUP(J492,数据!E:E,数据!J:J)</f>
        <v>空派</v>
      </c>
      <c r="D492" s="1" t="str" cm="1">
        <f t="array" ref="D492">IF(OR(C492="红单",C492="空派"),_xlfn.IFS(E492="未开售","新品首批发货",F492&lt;E492,"新品首批发货",F492-E492&lt;=60,"新品期补货空运",F492-E492&gt;60,"老品应急空运"),"海运，不进行分析")</f>
        <v>新品首批发货</v>
      </c>
      <c r="E492" s="2">
        <v>46081</v>
      </c>
      <c r="F492" s="2">
        <f>_xlfn.XLOOKUP(J492,数据!E:E,数据!C:C)</f>
        <v>46063</v>
      </c>
      <c r="G492" s="4">
        <v>50</v>
      </c>
      <c r="H492" s="4">
        <f t="shared" si="26"/>
        <v>1.1</v>
      </c>
      <c r="I492" s="4">
        <f>_xlfn.XLOOKUP(J492,数据!E:E,数据!S:S)*(H492/_xlfn.XLOOKUP(J492,数据!E:E,数据!X:X))</f>
        <v>63.173500838828</v>
      </c>
      <c r="J492" t="s">
        <v>1097</v>
      </c>
      <c r="K492" t="s">
        <v>37</v>
      </c>
      <c r="L492" t="s">
        <v>2374</v>
      </c>
      <c r="M492" t="s">
        <v>5394</v>
      </c>
      <c r="N492" t="s">
        <v>2376</v>
      </c>
      <c r="O492" t="s">
        <v>2400</v>
      </c>
      <c r="P492" t="s">
        <v>2378</v>
      </c>
      <c r="Q492" t="s">
        <v>2379</v>
      </c>
      <c r="S492" t="s">
        <v>2511</v>
      </c>
      <c r="T492" s="3" t="s">
        <v>5335</v>
      </c>
      <c r="U492" t="s">
        <v>5244</v>
      </c>
      <c r="V492" t="s">
        <v>5395</v>
      </c>
      <c r="W492" t="s">
        <v>5396</v>
      </c>
      <c r="X492" t="s">
        <v>2385</v>
      </c>
      <c r="Y492" t="s">
        <v>5397</v>
      </c>
      <c r="Z492" t="s">
        <v>2405</v>
      </c>
      <c r="AA492" t="s">
        <v>5335</v>
      </c>
      <c r="AB492" t="s">
        <v>5339</v>
      </c>
      <c r="AC492" t="s">
        <v>5398</v>
      </c>
      <c r="AD492" t="s">
        <v>5399</v>
      </c>
      <c r="AG492" t="s">
        <v>2432</v>
      </c>
      <c r="AH492" t="s">
        <v>5227</v>
      </c>
      <c r="AI492" t="s">
        <v>5228</v>
      </c>
      <c r="AJ492" t="s">
        <v>5371</v>
      </c>
      <c r="AK492" t="s">
        <v>5372</v>
      </c>
      <c r="AL492" t="s">
        <v>5373</v>
      </c>
      <c r="AM492" t="s">
        <v>5358</v>
      </c>
      <c r="AN492" t="s">
        <v>5374</v>
      </c>
      <c r="AO492" t="s">
        <v>5371</v>
      </c>
      <c r="AP492">
        <v>22</v>
      </c>
      <c r="AQ492">
        <v>22</v>
      </c>
      <c r="AR492">
        <v>22</v>
      </c>
      <c r="AS492" t="s">
        <v>5405</v>
      </c>
      <c r="AT492">
        <v>0</v>
      </c>
      <c r="AU492">
        <v>0</v>
      </c>
      <c r="AV492">
        <v>0</v>
      </c>
    </row>
    <row r="493" spans="1:48">
      <c r="A493" s="1">
        <f>_xlfn.XLOOKUP(J493,数据!E:E,数据!A:A)</f>
        <v>2</v>
      </c>
      <c r="B493" s="1">
        <f>_xlfn.XLOOKUP(J493,数据!E:E,数据!B:B)</f>
        <v>7</v>
      </c>
      <c r="C493" s="1" t="str">
        <f>_xlfn.XLOOKUP(J493,数据!E:E,数据!J:J)</f>
        <v>空派</v>
      </c>
      <c r="D493" s="1" t="str" cm="1">
        <f t="array" ref="D493">IF(OR(C493="红单",C493="空派"),_xlfn.IFS(E493="未开售","新品首批发货",F493&lt;E493,"新品首批发货",F493-E493&lt;=60,"新品期补货空运",F493-E493&gt;60,"老品应急空运"),"海运，不进行分析")</f>
        <v>新品首批发货</v>
      </c>
      <c r="E493" s="2">
        <v>46082</v>
      </c>
      <c r="F493" s="2">
        <f>_xlfn.XLOOKUP(J493,数据!E:E,数据!C:C)</f>
        <v>46063</v>
      </c>
      <c r="G493" s="4">
        <v>457</v>
      </c>
      <c r="H493" s="4">
        <f t="shared" si="26"/>
        <v>10.968</v>
      </c>
      <c r="I493" s="4">
        <f>_xlfn.XLOOKUP(J493,数据!E:E,数据!S:S)*(H493/_xlfn.XLOOKUP(J493,数据!E:E,数据!X:X))</f>
        <v>629.897233818423</v>
      </c>
      <c r="J493" t="s">
        <v>1097</v>
      </c>
      <c r="K493" t="s">
        <v>37</v>
      </c>
      <c r="L493" t="s">
        <v>2374</v>
      </c>
      <c r="M493" t="s">
        <v>5394</v>
      </c>
      <c r="N493" t="s">
        <v>2376</v>
      </c>
      <c r="O493" t="s">
        <v>2400</v>
      </c>
      <c r="P493" t="s">
        <v>2378</v>
      </c>
      <c r="Q493" t="s">
        <v>2379</v>
      </c>
      <c r="S493" t="s">
        <v>2511</v>
      </c>
      <c r="T493" s="3" t="s">
        <v>5335</v>
      </c>
      <c r="U493" t="s">
        <v>5244</v>
      </c>
      <c r="V493" t="s">
        <v>5395</v>
      </c>
      <c r="W493" t="s">
        <v>5396</v>
      </c>
      <c r="X493" t="s">
        <v>2385</v>
      </c>
      <c r="Y493" t="s">
        <v>5397</v>
      </c>
      <c r="Z493" t="s">
        <v>2405</v>
      </c>
      <c r="AA493" t="s">
        <v>5335</v>
      </c>
      <c r="AB493" t="s">
        <v>5339</v>
      </c>
      <c r="AC493" t="s">
        <v>5398</v>
      </c>
      <c r="AD493" t="s">
        <v>5399</v>
      </c>
      <c r="AG493" t="s">
        <v>2432</v>
      </c>
      <c r="AH493" t="s">
        <v>5227</v>
      </c>
      <c r="AI493" t="s">
        <v>5228</v>
      </c>
      <c r="AJ493" t="s">
        <v>5376</v>
      </c>
      <c r="AK493" t="s">
        <v>5377</v>
      </c>
      <c r="AL493" t="s">
        <v>5378</v>
      </c>
      <c r="AM493" t="s">
        <v>5378</v>
      </c>
      <c r="AN493" t="s">
        <v>5379</v>
      </c>
      <c r="AO493" t="s">
        <v>5376</v>
      </c>
      <c r="AP493">
        <v>24</v>
      </c>
      <c r="AQ493">
        <v>24</v>
      </c>
      <c r="AR493">
        <v>24</v>
      </c>
      <c r="AS493" t="s">
        <v>5407</v>
      </c>
      <c r="AT493">
        <v>0</v>
      </c>
      <c r="AU493">
        <v>0</v>
      </c>
      <c r="AV493">
        <v>0</v>
      </c>
    </row>
    <row r="494" spans="1:48">
      <c r="A494" s="1">
        <f>_xlfn.XLOOKUP(J494,数据!E:E,数据!A:A)</f>
        <v>2</v>
      </c>
      <c r="B494" s="1">
        <f>_xlfn.XLOOKUP(J494,数据!E:E,数据!B:B)</f>
        <v>7</v>
      </c>
      <c r="C494" s="1" t="str">
        <f>_xlfn.XLOOKUP(J494,数据!E:E,数据!J:J)</f>
        <v>空派</v>
      </c>
      <c r="D494" s="1" t="str" cm="1">
        <f t="array" ref="D494">IF(OR(C494="红单",C494="空派"),_xlfn.IFS(E494="未开售","新品首批发货",F494&lt;E494,"新品首批发货",F494-E494&lt;=60,"新品期补货空运",F494-E494&gt;60,"老品应急空运"),"海运，不进行分析")</f>
        <v>老品应急空运</v>
      </c>
      <c r="E494" s="2">
        <v>45797</v>
      </c>
      <c r="F494" s="2">
        <f>_xlfn.XLOOKUP(J494,数据!E:E,数据!C:C)</f>
        <v>46063</v>
      </c>
      <c r="G494" s="4">
        <v>122</v>
      </c>
      <c r="H494" s="4">
        <f t="shared" si="26"/>
        <v>2.44</v>
      </c>
      <c r="I494" s="4">
        <f>_xlfn.XLOOKUP(J494,数据!E:E,数据!S:S)*(H494/_xlfn.XLOOKUP(J494,数据!E:E,数据!X:X))</f>
        <v>145.370527779924</v>
      </c>
      <c r="J494" t="s">
        <v>1099</v>
      </c>
      <c r="K494" t="s">
        <v>37</v>
      </c>
      <c r="L494" t="s">
        <v>2374</v>
      </c>
      <c r="M494" t="s">
        <v>5408</v>
      </c>
      <c r="N494" t="s">
        <v>2376</v>
      </c>
      <c r="O494" t="s">
        <v>2400</v>
      </c>
      <c r="P494" t="s">
        <v>2378</v>
      </c>
      <c r="Q494" t="s">
        <v>2379</v>
      </c>
      <c r="S494" t="s">
        <v>2511</v>
      </c>
      <c r="T494" s="3" t="s">
        <v>5335</v>
      </c>
      <c r="U494" t="s">
        <v>5255</v>
      </c>
      <c r="V494" t="s">
        <v>5409</v>
      </c>
      <c r="W494" t="s">
        <v>5410</v>
      </c>
      <c r="X494" t="s">
        <v>2385</v>
      </c>
      <c r="Y494" t="s">
        <v>5411</v>
      </c>
      <c r="Z494" t="s">
        <v>2405</v>
      </c>
      <c r="AA494" t="s">
        <v>5335</v>
      </c>
      <c r="AB494" t="s">
        <v>5259</v>
      </c>
      <c r="AC494" t="s">
        <v>5412</v>
      </c>
      <c r="AD494" t="s">
        <v>5250</v>
      </c>
      <c r="AG494" t="s">
        <v>2432</v>
      </c>
      <c r="AH494" t="s">
        <v>5227</v>
      </c>
      <c r="AI494" t="s">
        <v>5228</v>
      </c>
      <c r="AJ494" t="s">
        <v>5342</v>
      </c>
      <c r="AK494" t="s">
        <v>5343</v>
      </c>
      <c r="AL494" t="s">
        <v>5344</v>
      </c>
      <c r="AM494" t="s">
        <v>2893</v>
      </c>
      <c r="AN494" t="s">
        <v>5345</v>
      </c>
      <c r="AO494" t="s">
        <v>5342</v>
      </c>
      <c r="AP494">
        <v>20</v>
      </c>
      <c r="AQ494">
        <v>20</v>
      </c>
      <c r="AR494">
        <v>20</v>
      </c>
      <c r="AS494" t="s">
        <v>5413</v>
      </c>
      <c r="AT494">
        <v>0</v>
      </c>
      <c r="AU494">
        <v>0</v>
      </c>
      <c r="AV494">
        <v>0</v>
      </c>
    </row>
    <row r="495" spans="1:48">
      <c r="A495" s="1">
        <f>_xlfn.XLOOKUP(J495,数据!E:E,数据!A:A)</f>
        <v>2</v>
      </c>
      <c r="B495" s="1">
        <f>_xlfn.XLOOKUP(J495,数据!E:E,数据!B:B)</f>
        <v>7</v>
      </c>
      <c r="C495" s="1" t="str">
        <f>_xlfn.XLOOKUP(J495,数据!E:E,数据!J:J)</f>
        <v>空派</v>
      </c>
      <c r="D495" s="1" t="str" cm="1">
        <f t="array" ref="D495">IF(OR(C495="红单",C495="空派"),_xlfn.IFS(E495="未开售","新品首批发货",F495&lt;E495,"新品首批发货",F495-E495&lt;=60,"新品期补货空运",F495-E495&gt;60,"老品应急空运"),"海运，不进行分析")</f>
        <v>老品应急空运</v>
      </c>
      <c r="E495" s="2">
        <v>45847</v>
      </c>
      <c r="F495" s="2">
        <f>_xlfn.XLOOKUP(J495,数据!E:E,数据!C:C)</f>
        <v>46063</v>
      </c>
      <c r="G495" s="4">
        <v>200</v>
      </c>
      <c r="H495" s="4">
        <f t="shared" si="26"/>
        <v>0.8</v>
      </c>
      <c r="I495" s="4">
        <f>_xlfn.XLOOKUP(J495,数据!E:E,数据!S:S)*(H495/_xlfn.XLOOKUP(J495,数据!E:E,数据!X:X))</f>
        <v>47.6624681245653</v>
      </c>
      <c r="J495" t="s">
        <v>1099</v>
      </c>
      <c r="K495" t="s">
        <v>37</v>
      </c>
      <c r="L495" t="s">
        <v>2374</v>
      </c>
      <c r="M495" t="s">
        <v>5408</v>
      </c>
      <c r="N495" t="s">
        <v>2376</v>
      </c>
      <c r="O495" t="s">
        <v>2400</v>
      </c>
      <c r="P495" t="s">
        <v>2378</v>
      </c>
      <c r="Q495" t="s">
        <v>2379</v>
      </c>
      <c r="S495" t="s">
        <v>2511</v>
      </c>
      <c r="T495" s="3" t="s">
        <v>5335</v>
      </c>
      <c r="U495" t="s">
        <v>5255</v>
      </c>
      <c r="V495" t="s">
        <v>5409</v>
      </c>
      <c r="W495" t="s">
        <v>5410</v>
      </c>
      <c r="X495" t="s">
        <v>2385</v>
      </c>
      <c r="Y495" t="s">
        <v>5411</v>
      </c>
      <c r="Z495" t="s">
        <v>2405</v>
      </c>
      <c r="AA495" t="s">
        <v>5335</v>
      </c>
      <c r="AB495" t="s">
        <v>5259</v>
      </c>
      <c r="AC495" t="s">
        <v>5412</v>
      </c>
      <c r="AD495" t="s">
        <v>5250</v>
      </c>
      <c r="AG495" t="s">
        <v>2432</v>
      </c>
      <c r="AH495" t="s">
        <v>5227</v>
      </c>
      <c r="AI495" t="s">
        <v>5228</v>
      </c>
      <c r="AJ495" t="s">
        <v>4883</v>
      </c>
      <c r="AK495" t="s">
        <v>4884</v>
      </c>
      <c r="AL495" t="s">
        <v>4885</v>
      </c>
      <c r="AM495" t="s">
        <v>4885</v>
      </c>
      <c r="AN495" t="s">
        <v>4886</v>
      </c>
      <c r="AO495" t="s">
        <v>4883</v>
      </c>
      <c r="AP495">
        <v>4</v>
      </c>
      <c r="AQ495">
        <v>4</v>
      </c>
      <c r="AR495">
        <v>4</v>
      </c>
      <c r="AS495" t="s">
        <v>5414</v>
      </c>
      <c r="AT495">
        <v>0</v>
      </c>
      <c r="AU495">
        <v>0</v>
      </c>
      <c r="AV495">
        <v>0</v>
      </c>
    </row>
    <row r="496" spans="1:48">
      <c r="A496" s="1">
        <f>_xlfn.XLOOKUP(J496,数据!E:E,数据!A:A)</f>
        <v>2</v>
      </c>
      <c r="B496" s="1">
        <f>_xlfn.XLOOKUP(J496,数据!E:E,数据!B:B)</f>
        <v>7</v>
      </c>
      <c r="C496" s="1" t="str">
        <f>_xlfn.XLOOKUP(J496,数据!E:E,数据!J:J)</f>
        <v>空派</v>
      </c>
      <c r="D496" s="1" t="str" cm="1">
        <f t="array" ref="D496">IF(OR(C496="红单",C496="空派"),_xlfn.IFS(E496="未开售","新品首批发货",F496&lt;E496,"新品首批发货",F496-E496&lt;=60,"新品期补货空运",F496-E496&gt;60,"老品应急空运"),"海运，不进行分析")</f>
        <v>新品期补货空运</v>
      </c>
      <c r="E496" s="2">
        <v>46035</v>
      </c>
      <c r="F496" s="2">
        <f>_xlfn.XLOOKUP(J496,数据!E:E,数据!C:C)</f>
        <v>46063</v>
      </c>
      <c r="G496" s="4">
        <v>125</v>
      </c>
      <c r="H496" s="4">
        <f t="shared" si="26"/>
        <v>2</v>
      </c>
      <c r="I496" s="4">
        <f>_xlfn.XLOOKUP(J496,数据!E:E,数据!S:S)*(H496/_xlfn.XLOOKUP(J496,数据!E:E,数据!X:X))</f>
        <v>119.156170311413</v>
      </c>
      <c r="J496" t="s">
        <v>1099</v>
      </c>
      <c r="K496" t="s">
        <v>37</v>
      </c>
      <c r="L496" t="s">
        <v>2374</v>
      </c>
      <c r="M496" t="s">
        <v>5408</v>
      </c>
      <c r="N496" t="s">
        <v>2376</v>
      </c>
      <c r="O496" t="s">
        <v>2400</v>
      </c>
      <c r="P496" t="s">
        <v>2378</v>
      </c>
      <c r="Q496" t="s">
        <v>2379</v>
      </c>
      <c r="S496" t="s">
        <v>2511</v>
      </c>
      <c r="T496" s="3" t="s">
        <v>5335</v>
      </c>
      <c r="U496" t="s">
        <v>5255</v>
      </c>
      <c r="V496" t="s">
        <v>5409</v>
      </c>
      <c r="W496" t="s">
        <v>5410</v>
      </c>
      <c r="X496" t="s">
        <v>2385</v>
      </c>
      <c r="Y496" t="s">
        <v>5411</v>
      </c>
      <c r="Z496" t="s">
        <v>2405</v>
      </c>
      <c r="AA496" t="s">
        <v>5335</v>
      </c>
      <c r="AB496" t="s">
        <v>5259</v>
      </c>
      <c r="AC496" t="s">
        <v>5412</v>
      </c>
      <c r="AD496" t="s">
        <v>5250</v>
      </c>
      <c r="AG496" t="s">
        <v>2432</v>
      </c>
      <c r="AH496" t="s">
        <v>5227</v>
      </c>
      <c r="AI496" t="s">
        <v>5228</v>
      </c>
      <c r="AJ496" t="s">
        <v>4900</v>
      </c>
      <c r="AK496" t="s">
        <v>4901</v>
      </c>
      <c r="AL496" t="s">
        <v>4902</v>
      </c>
      <c r="AM496" t="s">
        <v>2893</v>
      </c>
      <c r="AN496" t="s">
        <v>4903</v>
      </c>
      <c r="AO496" t="s">
        <v>4900</v>
      </c>
      <c r="AP496">
        <v>16</v>
      </c>
      <c r="AQ496">
        <v>16</v>
      </c>
      <c r="AR496">
        <v>16</v>
      </c>
      <c r="AS496" t="s">
        <v>5415</v>
      </c>
      <c r="AT496">
        <v>0</v>
      </c>
      <c r="AU496">
        <v>0</v>
      </c>
      <c r="AV496">
        <v>0</v>
      </c>
    </row>
    <row r="497" spans="1:48">
      <c r="A497" s="1">
        <f>_xlfn.XLOOKUP(J497,数据!E:E,数据!A:A)</f>
        <v>2</v>
      </c>
      <c r="B497" s="1">
        <f>_xlfn.XLOOKUP(J497,数据!E:E,数据!B:B)</f>
        <v>7</v>
      </c>
      <c r="C497" s="1" t="str">
        <f>_xlfn.XLOOKUP(J497,数据!E:E,数据!J:J)</f>
        <v>空派</v>
      </c>
      <c r="D497" s="1" t="str" cm="1">
        <f t="array" ref="D497">IF(OR(C497="红单",C497="空派"),_xlfn.IFS(E497="未开售","新品首批发货",F497&lt;E497,"新品首批发货",F497-E497&lt;=60,"新品期补货空运",F497-E497&gt;60,"老品应急空运"),"海运，不进行分析")</f>
        <v>新品首批发货</v>
      </c>
      <c r="E497" s="2">
        <v>46080</v>
      </c>
      <c r="F497" s="2">
        <f>_xlfn.XLOOKUP(J497,数据!E:E,数据!C:C)</f>
        <v>46063</v>
      </c>
      <c r="G497" s="4">
        <v>125</v>
      </c>
      <c r="H497" s="4">
        <f t="shared" si="26"/>
        <v>2.25</v>
      </c>
      <c r="I497" s="4">
        <f>_xlfn.XLOOKUP(J497,数据!E:E,数据!S:S)*(H497/_xlfn.XLOOKUP(J497,数据!E:E,数据!X:X))</f>
        <v>134.05069160034</v>
      </c>
      <c r="J497" t="s">
        <v>1099</v>
      </c>
      <c r="K497" t="s">
        <v>37</v>
      </c>
      <c r="L497" t="s">
        <v>2374</v>
      </c>
      <c r="M497" t="s">
        <v>5408</v>
      </c>
      <c r="N497" t="s">
        <v>2376</v>
      </c>
      <c r="O497" t="s">
        <v>2400</v>
      </c>
      <c r="P497" t="s">
        <v>2378</v>
      </c>
      <c r="Q497" t="s">
        <v>2379</v>
      </c>
      <c r="S497" t="s">
        <v>2511</v>
      </c>
      <c r="T497" s="3" t="s">
        <v>5335</v>
      </c>
      <c r="U497" t="s">
        <v>5255</v>
      </c>
      <c r="V497" t="s">
        <v>5409</v>
      </c>
      <c r="W497" t="s">
        <v>5410</v>
      </c>
      <c r="X497" t="s">
        <v>2385</v>
      </c>
      <c r="Y497" t="s">
        <v>5411</v>
      </c>
      <c r="Z497" t="s">
        <v>2405</v>
      </c>
      <c r="AA497" t="s">
        <v>5335</v>
      </c>
      <c r="AB497" t="s">
        <v>5259</v>
      </c>
      <c r="AC497" t="s">
        <v>5412</v>
      </c>
      <c r="AD497" t="s">
        <v>5250</v>
      </c>
      <c r="AG497" t="s">
        <v>2432</v>
      </c>
      <c r="AH497" t="s">
        <v>5227</v>
      </c>
      <c r="AI497" t="s">
        <v>5228</v>
      </c>
      <c r="AJ497" t="s">
        <v>3320</v>
      </c>
      <c r="AK497" t="s">
        <v>3321</v>
      </c>
      <c r="AL497" t="s">
        <v>3322</v>
      </c>
      <c r="AM497" t="s">
        <v>3001</v>
      </c>
      <c r="AN497" t="s">
        <v>3323</v>
      </c>
      <c r="AO497" t="s">
        <v>3320</v>
      </c>
      <c r="AP497">
        <v>18</v>
      </c>
      <c r="AQ497">
        <v>18</v>
      </c>
      <c r="AR497">
        <v>18</v>
      </c>
      <c r="AS497" t="s">
        <v>5416</v>
      </c>
      <c r="AT497">
        <v>0</v>
      </c>
      <c r="AU497">
        <v>0</v>
      </c>
      <c r="AV497">
        <v>0</v>
      </c>
    </row>
    <row r="498" spans="1:48">
      <c r="A498" s="1">
        <f>_xlfn.XLOOKUP(J498,数据!E:E,数据!A:A)</f>
        <v>2</v>
      </c>
      <c r="B498" s="1">
        <f>_xlfn.XLOOKUP(J498,数据!E:E,数据!B:B)</f>
        <v>7</v>
      </c>
      <c r="C498" s="1" t="str">
        <f>_xlfn.XLOOKUP(J498,数据!E:E,数据!J:J)</f>
        <v>空派</v>
      </c>
      <c r="D498" s="1" t="str" cm="1">
        <f t="array" ref="D498">IF(OR(C498="红单",C498="空派"),_xlfn.IFS(E498="未开售","新品首批发货",F498&lt;E498,"新品首批发货",F498-E498&lt;=60,"新品期补货空运",F498-E498&gt;60,"老品应急空运"),"海运，不进行分析")</f>
        <v>新品首批发货</v>
      </c>
      <c r="E498" s="2">
        <v>46079</v>
      </c>
      <c r="F498" s="2">
        <f>_xlfn.XLOOKUP(J498,数据!E:E,数据!C:C)</f>
        <v>46063</v>
      </c>
      <c r="G498" s="4">
        <v>126</v>
      </c>
      <c r="H498" s="4">
        <f t="shared" si="26"/>
        <v>3.024</v>
      </c>
      <c r="I498" s="4">
        <f>_xlfn.XLOOKUP(J498,数据!E:E,数据!S:S)*(H498/_xlfn.XLOOKUP(J498,数据!E:E,数据!X:X))</f>
        <v>180.164129510857</v>
      </c>
      <c r="J498" t="s">
        <v>1099</v>
      </c>
      <c r="K498" t="s">
        <v>37</v>
      </c>
      <c r="L498" t="s">
        <v>2374</v>
      </c>
      <c r="M498" t="s">
        <v>5408</v>
      </c>
      <c r="N498" t="s">
        <v>2376</v>
      </c>
      <c r="O498" t="s">
        <v>2400</v>
      </c>
      <c r="P498" t="s">
        <v>2378</v>
      </c>
      <c r="Q498" t="s">
        <v>2379</v>
      </c>
      <c r="S498" t="s">
        <v>2511</v>
      </c>
      <c r="T498" s="3" t="s">
        <v>5335</v>
      </c>
      <c r="U498" t="s">
        <v>5255</v>
      </c>
      <c r="V498" t="s">
        <v>5409</v>
      </c>
      <c r="W498" t="s">
        <v>5410</v>
      </c>
      <c r="X498" t="s">
        <v>2385</v>
      </c>
      <c r="Y498" t="s">
        <v>5411</v>
      </c>
      <c r="Z498" t="s">
        <v>2405</v>
      </c>
      <c r="AA498" t="s">
        <v>5335</v>
      </c>
      <c r="AB498" t="s">
        <v>5259</v>
      </c>
      <c r="AC498" t="s">
        <v>5412</v>
      </c>
      <c r="AD498" t="s">
        <v>5250</v>
      </c>
      <c r="AG498" t="s">
        <v>2432</v>
      </c>
      <c r="AH498" t="s">
        <v>5227</v>
      </c>
      <c r="AI498" t="s">
        <v>5228</v>
      </c>
      <c r="AJ498" t="s">
        <v>5350</v>
      </c>
      <c r="AK498" t="s">
        <v>5351</v>
      </c>
      <c r="AL498" t="s">
        <v>5352</v>
      </c>
      <c r="AM498" t="s">
        <v>3001</v>
      </c>
      <c r="AN498" t="s">
        <v>5353</v>
      </c>
      <c r="AO498" t="s">
        <v>5350</v>
      </c>
      <c r="AP498">
        <v>24</v>
      </c>
      <c r="AQ498">
        <v>24</v>
      </c>
      <c r="AR498">
        <v>24</v>
      </c>
      <c r="AS498" t="s">
        <v>5417</v>
      </c>
      <c r="AT498">
        <v>0</v>
      </c>
      <c r="AU498">
        <v>0</v>
      </c>
      <c r="AV498">
        <v>0</v>
      </c>
    </row>
    <row r="499" spans="1:48">
      <c r="A499" s="1">
        <f>_xlfn.XLOOKUP(J499,数据!E:E,数据!A:A)</f>
        <v>2</v>
      </c>
      <c r="B499" s="1">
        <f>_xlfn.XLOOKUP(J499,数据!E:E,数据!B:B)</f>
        <v>7</v>
      </c>
      <c r="C499" s="1" t="str">
        <f>_xlfn.XLOOKUP(J499,数据!E:E,数据!J:J)</f>
        <v>空派</v>
      </c>
      <c r="D499" s="1" t="str" cm="1">
        <f t="array" ref="D499">IF(OR(C499="红单",C499="空派"),_xlfn.IFS(E499="未开售","新品首批发货",F499&lt;E499,"新品首批发货",F499-E499&lt;=60,"新品期补货空运",F499-E499&gt;60,"老品应急空运"),"海运，不进行分析")</f>
        <v>新品首批发货</v>
      </c>
      <c r="E499" s="2">
        <v>46081</v>
      </c>
      <c r="F499" s="2">
        <f>_xlfn.XLOOKUP(J499,数据!E:E,数据!C:C)</f>
        <v>46063</v>
      </c>
      <c r="G499" s="4">
        <v>50</v>
      </c>
      <c r="H499" s="4">
        <f t="shared" si="26"/>
        <v>1.1</v>
      </c>
      <c r="I499" s="4">
        <f>_xlfn.XLOOKUP(J499,数据!E:E,数据!S:S)*(H499/_xlfn.XLOOKUP(J499,数据!E:E,数据!X:X))</f>
        <v>65.5358936712773</v>
      </c>
      <c r="J499" t="s">
        <v>1099</v>
      </c>
      <c r="K499" t="s">
        <v>37</v>
      </c>
      <c r="L499" t="s">
        <v>2374</v>
      </c>
      <c r="M499" t="s">
        <v>5408</v>
      </c>
      <c r="N499" t="s">
        <v>2376</v>
      </c>
      <c r="O499" t="s">
        <v>2400</v>
      </c>
      <c r="P499" t="s">
        <v>2378</v>
      </c>
      <c r="Q499" t="s">
        <v>2379</v>
      </c>
      <c r="S499" t="s">
        <v>2511</v>
      </c>
      <c r="T499" s="3" t="s">
        <v>5335</v>
      </c>
      <c r="U499" t="s">
        <v>5255</v>
      </c>
      <c r="V499" t="s">
        <v>5409</v>
      </c>
      <c r="W499" t="s">
        <v>5410</v>
      </c>
      <c r="X499" t="s">
        <v>2385</v>
      </c>
      <c r="Y499" t="s">
        <v>5411</v>
      </c>
      <c r="Z499" t="s">
        <v>2405</v>
      </c>
      <c r="AA499" t="s">
        <v>5335</v>
      </c>
      <c r="AB499" t="s">
        <v>5259</v>
      </c>
      <c r="AC499" t="s">
        <v>5412</v>
      </c>
      <c r="AD499" t="s">
        <v>5250</v>
      </c>
      <c r="AG499" t="s">
        <v>2432</v>
      </c>
      <c r="AH499" t="s">
        <v>5227</v>
      </c>
      <c r="AI499" t="s">
        <v>5228</v>
      </c>
      <c r="AJ499" t="s">
        <v>5355</v>
      </c>
      <c r="AK499" t="s">
        <v>5356</v>
      </c>
      <c r="AL499" t="s">
        <v>5357</v>
      </c>
      <c r="AM499" t="s">
        <v>5358</v>
      </c>
      <c r="AN499" t="s">
        <v>5359</v>
      </c>
      <c r="AO499" t="s">
        <v>5355</v>
      </c>
      <c r="AP499">
        <v>22</v>
      </c>
      <c r="AQ499">
        <v>22</v>
      </c>
      <c r="AR499">
        <v>22</v>
      </c>
      <c r="AS499" t="s">
        <v>5418</v>
      </c>
      <c r="AT499">
        <v>0</v>
      </c>
      <c r="AU499">
        <v>0</v>
      </c>
      <c r="AV499">
        <v>0</v>
      </c>
    </row>
    <row r="500" spans="1:48">
      <c r="A500" s="1">
        <f>_xlfn.XLOOKUP(J500,数据!E:E,数据!A:A)</f>
        <v>2</v>
      </c>
      <c r="B500" s="1">
        <f>_xlfn.XLOOKUP(J500,数据!E:E,数据!B:B)</f>
        <v>7</v>
      </c>
      <c r="C500" s="1" t="str">
        <f>_xlfn.XLOOKUP(J500,数据!E:E,数据!J:J)</f>
        <v>空派</v>
      </c>
      <c r="D500" s="1" t="str" cm="1">
        <f t="array" ref="D500">IF(OR(C500="红单",C500="空派"),_xlfn.IFS(E500="未开售","新品首批发货",F500&lt;E500,"新品首批发货",F500-E500&lt;=60,"新品期补货空运",F500-E500&gt;60,"老品应急空运"),"海运，不进行分析")</f>
        <v>新品首批发货</v>
      </c>
      <c r="E500" s="2">
        <v>46080</v>
      </c>
      <c r="F500" s="2">
        <f>_xlfn.XLOOKUP(J500,数据!E:E,数据!C:C)</f>
        <v>46063</v>
      </c>
      <c r="G500" s="4">
        <v>50</v>
      </c>
      <c r="H500" s="4">
        <f t="shared" si="26"/>
        <v>1.1</v>
      </c>
      <c r="I500" s="4">
        <f>_xlfn.XLOOKUP(J500,数据!E:E,数据!S:S)*(H500/_xlfn.XLOOKUP(J500,数据!E:E,数据!X:X))</f>
        <v>65.5358936712773</v>
      </c>
      <c r="J500" t="s">
        <v>1099</v>
      </c>
      <c r="K500" t="s">
        <v>37</v>
      </c>
      <c r="L500" t="s">
        <v>2374</v>
      </c>
      <c r="M500" t="s">
        <v>5408</v>
      </c>
      <c r="N500" t="s">
        <v>2376</v>
      </c>
      <c r="O500" t="s">
        <v>2400</v>
      </c>
      <c r="P500" t="s">
        <v>2378</v>
      </c>
      <c r="Q500" t="s">
        <v>2379</v>
      </c>
      <c r="S500" t="s">
        <v>2511</v>
      </c>
      <c r="T500" s="3" t="s">
        <v>5335</v>
      </c>
      <c r="U500" t="s">
        <v>5255</v>
      </c>
      <c r="V500" t="s">
        <v>5409</v>
      </c>
      <c r="W500" t="s">
        <v>5410</v>
      </c>
      <c r="X500" t="s">
        <v>2385</v>
      </c>
      <c r="Y500" t="s">
        <v>5411</v>
      </c>
      <c r="Z500" t="s">
        <v>2405</v>
      </c>
      <c r="AA500" t="s">
        <v>5335</v>
      </c>
      <c r="AB500" t="s">
        <v>5259</v>
      </c>
      <c r="AC500" t="s">
        <v>5412</v>
      </c>
      <c r="AD500" t="s">
        <v>5250</v>
      </c>
      <c r="AG500" t="s">
        <v>2432</v>
      </c>
      <c r="AH500" t="s">
        <v>5227</v>
      </c>
      <c r="AI500" t="s">
        <v>5228</v>
      </c>
      <c r="AJ500" t="s">
        <v>5361</v>
      </c>
      <c r="AK500" t="s">
        <v>5362</v>
      </c>
      <c r="AL500" t="s">
        <v>5363</v>
      </c>
      <c r="AM500" t="s">
        <v>5358</v>
      </c>
      <c r="AN500" t="s">
        <v>5364</v>
      </c>
      <c r="AO500" t="s">
        <v>5361</v>
      </c>
      <c r="AP500">
        <v>22</v>
      </c>
      <c r="AQ500">
        <v>22</v>
      </c>
      <c r="AR500">
        <v>21</v>
      </c>
      <c r="AS500" t="s">
        <v>5419</v>
      </c>
      <c r="AT500">
        <v>0</v>
      </c>
      <c r="AU500">
        <v>-1</v>
      </c>
      <c r="AV500">
        <v>1</v>
      </c>
    </row>
    <row r="501" spans="1:48">
      <c r="A501" s="1">
        <f>_xlfn.XLOOKUP(J501,数据!E:E,数据!A:A)</f>
        <v>2</v>
      </c>
      <c r="B501" s="1">
        <f>_xlfn.XLOOKUP(J501,数据!E:E,数据!B:B)</f>
        <v>7</v>
      </c>
      <c r="C501" s="1" t="str">
        <f>_xlfn.XLOOKUP(J501,数据!E:E,数据!J:J)</f>
        <v>空派</v>
      </c>
      <c r="D501" s="1" t="str" cm="1">
        <f t="array" ref="D501">IF(OR(C501="红单",C501="空派"),_xlfn.IFS(E501="未开售","新品首批发货",F501&lt;E501,"新品首批发货",F501-E501&lt;=60,"新品期补货空运",F501-E501&gt;60,"老品应急空运"),"海运，不进行分析")</f>
        <v>新品首批发货</v>
      </c>
      <c r="E501" s="2">
        <v>46081</v>
      </c>
      <c r="F501" s="2">
        <f>_xlfn.XLOOKUP(J501,数据!E:E,数据!C:C)</f>
        <v>46063</v>
      </c>
      <c r="G501" s="4">
        <v>50</v>
      </c>
      <c r="H501" s="4">
        <f t="shared" si="26"/>
        <v>1.1</v>
      </c>
      <c r="I501" s="4">
        <f>_xlfn.XLOOKUP(J501,数据!E:E,数据!S:S)*(H501/_xlfn.XLOOKUP(J501,数据!E:E,数据!X:X))</f>
        <v>65.5358936712773</v>
      </c>
      <c r="J501" t="s">
        <v>1099</v>
      </c>
      <c r="K501" t="s">
        <v>37</v>
      </c>
      <c r="L501" t="s">
        <v>2374</v>
      </c>
      <c r="M501" t="s">
        <v>5408</v>
      </c>
      <c r="N501" t="s">
        <v>2376</v>
      </c>
      <c r="O501" t="s">
        <v>2400</v>
      </c>
      <c r="P501" t="s">
        <v>2378</v>
      </c>
      <c r="Q501" t="s">
        <v>2379</v>
      </c>
      <c r="S501" t="s">
        <v>2511</v>
      </c>
      <c r="T501" s="3" t="s">
        <v>5335</v>
      </c>
      <c r="U501" t="s">
        <v>5255</v>
      </c>
      <c r="V501" t="s">
        <v>5409</v>
      </c>
      <c r="W501" t="s">
        <v>5410</v>
      </c>
      <c r="X501" t="s">
        <v>2385</v>
      </c>
      <c r="Y501" t="s">
        <v>5411</v>
      </c>
      <c r="Z501" t="s">
        <v>2405</v>
      </c>
      <c r="AA501" t="s">
        <v>5335</v>
      </c>
      <c r="AB501" t="s">
        <v>5259</v>
      </c>
      <c r="AC501" t="s">
        <v>5412</v>
      </c>
      <c r="AD501" t="s">
        <v>5250</v>
      </c>
      <c r="AG501" t="s">
        <v>2432</v>
      </c>
      <c r="AH501" t="s">
        <v>5227</v>
      </c>
      <c r="AI501" t="s">
        <v>5228</v>
      </c>
      <c r="AJ501" t="s">
        <v>5366</v>
      </c>
      <c r="AK501" t="s">
        <v>5367</v>
      </c>
      <c r="AL501" t="s">
        <v>5368</v>
      </c>
      <c r="AM501" t="s">
        <v>5358</v>
      </c>
      <c r="AN501" t="s">
        <v>5369</v>
      </c>
      <c r="AO501" t="s">
        <v>5366</v>
      </c>
      <c r="AP501">
        <v>22</v>
      </c>
      <c r="AQ501">
        <v>22</v>
      </c>
      <c r="AR501">
        <v>23</v>
      </c>
      <c r="AS501" t="s">
        <v>5420</v>
      </c>
      <c r="AT501">
        <v>0</v>
      </c>
      <c r="AU501">
        <v>1</v>
      </c>
      <c r="AV501">
        <v>-1</v>
      </c>
    </row>
    <row r="502" spans="1:48">
      <c r="A502" s="1">
        <f>_xlfn.XLOOKUP(J502,数据!E:E,数据!A:A)</f>
        <v>2</v>
      </c>
      <c r="B502" s="1">
        <f>_xlfn.XLOOKUP(J502,数据!E:E,数据!B:B)</f>
        <v>7</v>
      </c>
      <c r="C502" s="1" t="str">
        <f>_xlfn.XLOOKUP(J502,数据!E:E,数据!J:J)</f>
        <v>空派</v>
      </c>
      <c r="D502" s="1" t="str" cm="1">
        <f t="array" ref="D502">IF(OR(C502="红单",C502="空派"),_xlfn.IFS(E502="未开售","新品首批发货",F502&lt;E502,"新品首批发货",F502-E502&lt;=60,"新品期补货空运",F502-E502&gt;60,"老品应急空运"),"海运，不进行分析")</f>
        <v>新品首批发货</v>
      </c>
      <c r="E502" s="2">
        <v>46081</v>
      </c>
      <c r="F502" s="2">
        <f>_xlfn.XLOOKUP(J502,数据!E:E,数据!C:C)</f>
        <v>46063</v>
      </c>
      <c r="G502" s="4">
        <v>50</v>
      </c>
      <c r="H502" s="4">
        <f t="shared" si="26"/>
        <v>1.1</v>
      </c>
      <c r="I502" s="4">
        <f>_xlfn.XLOOKUP(J502,数据!E:E,数据!S:S)*(H502/_xlfn.XLOOKUP(J502,数据!E:E,数据!X:X))</f>
        <v>65.5358936712773</v>
      </c>
      <c r="J502" t="s">
        <v>1099</v>
      </c>
      <c r="K502" t="s">
        <v>37</v>
      </c>
      <c r="L502" t="s">
        <v>2374</v>
      </c>
      <c r="M502" t="s">
        <v>5408</v>
      </c>
      <c r="N502" t="s">
        <v>2376</v>
      </c>
      <c r="O502" t="s">
        <v>2400</v>
      </c>
      <c r="P502" t="s">
        <v>2378</v>
      </c>
      <c r="Q502" t="s">
        <v>2379</v>
      </c>
      <c r="S502" t="s">
        <v>2511</v>
      </c>
      <c r="T502" s="3" t="s">
        <v>5335</v>
      </c>
      <c r="U502" t="s">
        <v>5255</v>
      </c>
      <c r="V502" t="s">
        <v>5409</v>
      </c>
      <c r="W502" t="s">
        <v>5410</v>
      </c>
      <c r="X502" t="s">
        <v>2385</v>
      </c>
      <c r="Y502" t="s">
        <v>5411</v>
      </c>
      <c r="Z502" t="s">
        <v>2405</v>
      </c>
      <c r="AA502" t="s">
        <v>5335</v>
      </c>
      <c r="AB502" t="s">
        <v>5259</v>
      </c>
      <c r="AC502" t="s">
        <v>5412</v>
      </c>
      <c r="AD502" t="s">
        <v>5250</v>
      </c>
      <c r="AG502" t="s">
        <v>2432</v>
      </c>
      <c r="AH502" t="s">
        <v>5227</v>
      </c>
      <c r="AI502" t="s">
        <v>5228</v>
      </c>
      <c r="AJ502" t="s">
        <v>5371</v>
      </c>
      <c r="AK502" t="s">
        <v>5372</v>
      </c>
      <c r="AL502" t="s">
        <v>5373</v>
      </c>
      <c r="AM502" t="s">
        <v>5358</v>
      </c>
      <c r="AN502" t="s">
        <v>5374</v>
      </c>
      <c r="AO502" t="s">
        <v>5371</v>
      </c>
      <c r="AP502">
        <v>22</v>
      </c>
      <c r="AQ502">
        <v>22</v>
      </c>
      <c r="AR502">
        <v>22</v>
      </c>
      <c r="AS502" t="s">
        <v>5418</v>
      </c>
      <c r="AT502">
        <v>0</v>
      </c>
      <c r="AU502">
        <v>0</v>
      </c>
      <c r="AV502">
        <v>0</v>
      </c>
    </row>
    <row r="503" spans="1:48">
      <c r="A503" s="1">
        <f>_xlfn.XLOOKUP(J503,数据!E:E,数据!A:A)</f>
        <v>2</v>
      </c>
      <c r="B503" s="1">
        <f>_xlfn.XLOOKUP(J503,数据!E:E,数据!B:B)</f>
        <v>7</v>
      </c>
      <c r="C503" s="1" t="str">
        <f>_xlfn.XLOOKUP(J503,数据!E:E,数据!J:J)</f>
        <v>空派</v>
      </c>
      <c r="D503" s="1" t="str" cm="1">
        <f t="array" ref="D503">IF(OR(C503="红单",C503="空派"),_xlfn.IFS(E503="未开售","新品首批发货",F503&lt;E503,"新品首批发货",F503-E503&lt;=60,"新品期补货空运",F503-E503&gt;60,"老品应急空运"),"海运，不进行分析")</f>
        <v>新品首批发货</v>
      </c>
      <c r="E503" s="2">
        <v>46082</v>
      </c>
      <c r="F503" s="2">
        <f>_xlfn.XLOOKUP(J503,数据!E:E,数据!C:C)</f>
        <v>46063</v>
      </c>
      <c r="G503" s="4">
        <v>457</v>
      </c>
      <c r="H503" s="4">
        <f t="shared" si="26"/>
        <v>10.968</v>
      </c>
      <c r="I503" s="4">
        <f>_xlfn.XLOOKUP(J503,数据!E:E,数据!S:S)*(H503/_xlfn.XLOOKUP(J503,数据!E:E,数据!X:X))</f>
        <v>653.452437987791</v>
      </c>
      <c r="J503" t="s">
        <v>1099</v>
      </c>
      <c r="K503" t="s">
        <v>37</v>
      </c>
      <c r="L503" t="s">
        <v>2374</v>
      </c>
      <c r="M503" t="s">
        <v>5408</v>
      </c>
      <c r="N503" t="s">
        <v>2376</v>
      </c>
      <c r="O503" t="s">
        <v>2400</v>
      </c>
      <c r="P503" t="s">
        <v>2378</v>
      </c>
      <c r="Q503" t="s">
        <v>2379</v>
      </c>
      <c r="S503" t="s">
        <v>2511</v>
      </c>
      <c r="T503" s="3" t="s">
        <v>5335</v>
      </c>
      <c r="U503" t="s">
        <v>5255</v>
      </c>
      <c r="V503" t="s">
        <v>5409</v>
      </c>
      <c r="W503" t="s">
        <v>5410</v>
      </c>
      <c r="X503" t="s">
        <v>2385</v>
      </c>
      <c r="Y503" t="s">
        <v>5411</v>
      </c>
      <c r="Z503" t="s">
        <v>2405</v>
      </c>
      <c r="AA503" t="s">
        <v>5335</v>
      </c>
      <c r="AB503" t="s">
        <v>5259</v>
      </c>
      <c r="AC503" t="s">
        <v>5412</v>
      </c>
      <c r="AD503" t="s">
        <v>5250</v>
      </c>
      <c r="AG503" t="s">
        <v>2432</v>
      </c>
      <c r="AH503" t="s">
        <v>5227</v>
      </c>
      <c r="AI503" t="s">
        <v>5228</v>
      </c>
      <c r="AJ503" t="s">
        <v>5376</v>
      </c>
      <c r="AK503" t="s">
        <v>5377</v>
      </c>
      <c r="AL503" t="s">
        <v>5378</v>
      </c>
      <c r="AM503" t="s">
        <v>5378</v>
      </c>
      <c r="AN503" t="s">
        <v>5379</v>
      </c>
      <c r="AO503" t="s">
        <v>5376</v>
      </c>
      <c r="AP503">
        <v>24</v>
      </c>
      <c r="AQ503">
        <v>24</v>
      </c>
      <c r="AR503">
        <v>24</v>
      </c>
      <c r="AS503" t="s">
        <v>5421</v>
      </c>
      <c r="AT503">
        <v>0</v>
      </c>
      <c r="AU503">
        <v>0</v>
      </c>
      <c r="AV503">
        <v>0</v>
      </c>
    </row>
    <row r="504" spans="1:48">
      <c r="A504" s="1">
        <f>_xlfn.XLOOKUP(J504,数据!E:E,数据!A:A)</f>
        <v>2</v>
      </c>
      <c r="B504" s="1">
        <f>_xlfn.XLOOKUP(J504,数据!E:E,数据!B:B)</f>
        <v>7</v>
      </c>
      <c r="C504" s="1" t="str">
        <f>_xlfn.XLOOKUP(J504,数据!E:E,数据!J:J)</f>
        <v>空派</v>
      </c>
      <c r="D504" s="1" t="str" cm="1">
        <f t="array" ref="D504">IF(OR(C504="红单",C504="空派"),_xlfn.IFS(E504="未开售","新品首批发货",F504&lt;E504,"新品首批发货",F504-E504&lt;=60,"新品期补货空运",F504-E504&gt;60,"老品应急空运"),"海运，不进行分析")</f>
        <v>老品应急空运</v>
      </c>
      <c r="E504" s="2">
        <v>45797</v>
      </c>
      <c r="F504" s="2">
        <f>_xlfn.XLOOKUP(J504,数据!E:E,数据!C:C)</f>
        <v>46063</v>
      </c>
      <c r="G504" s="4">
        <v>122</v>
      </c>
      <c r="H504" s="4">
        <f t="shared" si="26"/>
        <v>2.44</v>
      </c>
      <c r="I504" s="4">
        <f>_xlfn.XLOOKUP(J504,数据!E:E,数据!S:S)*(H504/_xlfn.XLOOKUP(J504,数据!E:E,数据!X:X))</f>
        <v>143.390773510548</v>
      </c>
      <c r="J504" t="s">
        <v>1098</v>
      </c>
      <c r="K504" t="s">
        <v>37</v>
      </c>
      <c r="L504" t="s">
        <v>2374</v>
      </c>
      <c r="M504" t="s">
        <v>5422</v>
      </c>
      <c r="N504" t="s">
        <v>2376</v>
      </c>
      <c r="O504" t="s">
        <v>2400</v>
      </c>
      <c r="P504" t="s">
        <v>2378</v>
      </c>
      <c r="Q504" t="s">
        <v>2379</v>
      </c>
      <c r="S504" t="s">
        <v>2511</v>
      </c>
      <c r="T504" s="3" t="s">
        <v>5335</v>
      </c>
      <c r="U504" t="s">
        <v>5255</v>
      </c>
      <c r="V504" t="s">
        <v>5423</v>
      </c>
      <c r="W504" t="s">
        <v>5424</v>
      </c>
      <c r="X504" t="s">
        <v>2403</v>
      </c>
      <c r="Y504" t="s">
        <v>5425</v>
      </c>
      <c r="Z504" t="s">
        <v>2405</v>
      </c>
      <c r="AA504" t="s">
        <v>5335</v>
      </c>
      <c r="AB504" t="s">
        <v>5259</v>
      </c>
      <c r="AC504" t="s">
        <v>5426</v>
      </c>
      <c r="AD504" t="s">
        <v>5250</v>
      </c>
      <c r="AG504" t="s">
        <v>2432</v>
      </c>
      <c r="AH504" t="s">
        <v>5227</v>
      </c>
      <c r="AI504" t="s">
        <v>5228</v>
      </c>
      <c r="AJ504" t="s">
        <v>5342</v>
      </c>
      <c r="AK504" t="s">
        <v>5343</v>
      </c>
      <c r="AL504" t="s">
        <v>5344</v>
      </c>
      <c r="AM504" t="s">
        <v>2893</v>
      </c>
      <c r="AN504" t="s">
        <v>5345</v>
      </c>
      <c r="AO504" t="s">
        <v>5342</v>
      </c>
      <c r="AP504">
        <v>20</v>
      </c>
      <c r="AQ504">
        <v>20</v>
      </c>
      <c r="AR504">
        <v>20</v>
      </c>
      <c r="AS504" t="s">
        <v>5266</v>
      </c>
      <c r="AT504">
        <v>0</v>
      </c>
      <c r="AU504">
        <v>0</v>
      </c>
      <c r="AV504">
        <v>0</v>
      </c>
    </row>
    <row r="505" spans="1:48">
      <c r="A505" s="1">
        <f>_xlfn.XLOOKUP(J505,数据!E:E,数据!A:A)</f>
        <v>2</v>
      </c>
      <c r="B505" s="1">
        <f>_xlfn.XLOOKUP(J505,数据!E:E,数据!B:B)</f>
        <v>7</v>
      </c>
      <c r="C505" s="1" t="str">
        <f>_xlfn.XLOOKUP(J505,数据!E:E,数据!J:J)</f>
        <v>空派</v>
      </c>
      <c r="D505" s="1" t="str" cm="1">
        <f t="array" ref="D505">IF(OR(C505="红单",C505="空派"),_xlfn.IFS(E505="未开售","新品首批发货",F505&lt;E505,"新品首批发货",F505-E505&lt;=60,"新品期补货空运",F505-E505&gt;60,"老品应急空运"),"海运，不进行分析")</f>
        <v>老品应急空运</v>
      </c>
      <c r="E505" s="2">
        <v>45847</v>
      </c>
      <c r="F505" s="2">
        <f>_xlfn.XLOOKUP(J505,数据!E:E,数据!C:C)</f>
        <v>46063</v>
      </c>
      <c r="G505" s="4">
        <v>200</v>
      </c>
      <c r="H505" s="4">
        <f t="shared" si="26"/>
        <v>0.8</v>
      </c>
      <c r="I505" s="4">
        <f>_xlfn.XLOOKUP(J505,数据!E:E,数据!S:S)*(H505/_xlfn.XLOOKUP(J505,数据!E:E,数据!X:X))</f>
        <v>47.0133683641141</v>
      </c>
      <c r="J505" t="s">
        <v>1098</v>
      </c>
      <c r="K505" t="s">
        <v>37</v>
      </c>
      <c r="L505" t="s">
        <v>2374</v>
      </c>
      <c r="M505" t="s">
        <v>5422</v>
      </c>
      <c r="N505" t="s">
        <v>2376</v>
      </c>
      <c r="O505" t="s">
        <v>2400</v>
      </c>
      <c r="P505" t="s">
        <v>2378</v>
      </c>
      <c r="Q505" t="s">
        <v>2379</v>
      </c>
      <c r="S505" t="s">
        <v>2511</v>
      </c>
      <c r="T505" s="3" t="s">
        <v>5335</v>
      </c>
      <c r="U505" t="s">
        <v>5255</v>
      </c>
      <c r="V505" t="s">
        <v>5423</v>
      </c>
      <c r="W505" t="s">
        <v>5424</v>
      </c>
      <c r="X505" t="s">
        <v>2403</v>
      </c>
      <c r="Y505" t="s">
        <v>5425</v>
      </c>
      <c r="Z505" t="s">
        <v>2405</v>
      </c>
      <c r="AA505" t="s">
        <v>5335</v>
      </c>
      <c r="AB505" t="s">
        <v>5259</v>
      </c>
      <c r="AC505" t="s">
        <v>5426</v>
      </c>
      <c r="AD505" t="s">
        <v>5250</v>
      </c>
      <c r="AG505" t="s">
        <v>2432</v>
      </c>
      <c r="AH505" t="s">
        <v>5227</v>
      </c>
      <c r="AI505" t="s">
        <v>5228</v>
      </c>
      <c r="AJ505" t="s">
        <v>4883</v>
      </c>
      <c r="AK505" t="s">
        <v>4884</v>
      </c>
      <c r="AL505" t="s">
        <v>4885</v>
      </c>
      <c r="AM505" t="s">
        <v>4885</v>
      </c>
      <c r="AN505" t="s">
        <v>4886</v>
      </c>
      <c r="AO505" t="s">
        <v>4883</v>
      </c>
      <c r="AP505">
        <v>4</v>
      </c>
      <c r="AQ505">
        <v>4</v>
      </c>
      <c r="AR505">
        <v>4</v>
      </c>
      <c r="AS505" t="s">
        <v>5427</v>
      </c>
      <c r="AT505">
        <v>0</v>
      </c>
      <c r="AU505">
        <v>0</v>
      </c>
      <c r="AV505">
        <v>0</v>
      </c>
    </row>
    <row r="506" spans="1:48">
      <c r="A506" s="1">
        <f>_xlfn.XLOOKUP(J506,数据!E:E,数据!A:A)</f>
        <v>2</v>
      </c>
      <c r="B506" s="1">
        <f>_xlfn.XLOOKUP(J506,数据!E:E,数据!B:B)</f>
        <v>7</v>
      </c>
      <c r="C506" s="1" t="str">
        <f>_xlfn.XLOOKUP(J506,数据!E:E,数据!J:J)</f>
        <v>空派</v>
      </c>
      <c r="D506" s="1" t="str" cm="1">
        <f t="array" ref="D506">IF(OR(C506="红单",C506="空派"),_xlfn.IFS(E506="未开售","新品首批发货",F506&lt;E506,"新品首批发货",F506-E506&lt;=60,"新品期补货空运",F506-E506&gt;60,"老品应急空运"),"海运，不进行分析")</f>
        <v>新品期补货空运</v>
      </c>
      <c r="E506" s="2">
        <v>46035</v>
      </c>
      <c r="F506" s="2">
        <f>_xlfn.XLOOKUP(J506,数据!E:E,数据!C:C)</f>
        <v>46063</v>
      </c>
      <c r="G506" s="4">
        <v>125</v>
      </c>
      <c r="H506" s="4">
        <f t="shared" si="26"/>
        <v>2</v>
      </c>
      <c r="I506" s="4">
        <f>_xlfn.XLOOKUP(J506,数据!E:E,数据!S:S)*(H506/_xlfn.XLOOKUP(J506,数据!E:E,数据!X:X))</f>
        <v>117.533420910285</v>
      </c>
      <c r="J506" t="s">
        <v>1098</v>
      </c>
      <c r="K506" t="s">
        <v>37</v>
      </c>
      <c r="L506" t="s">
        <v>2374</v>
      </c>
      <c r="M506" t="s">
        <v>5422</v>
      </c>
      <c r="N506" t="s">
        <v>2376</v>
      </c>
      <c r="O506" t="s">
        <v>2400</v>
      </c>
      <c r="P506" t="s">
        <v>2378</v>
      </c>
      <c r="Q506" t="s">
        <v>2379</v>
      </c>
      <c r="S506" t="s">
        <v>2511</v>
      </c>
      <c r="T506" s="3" t="s">
        <v>5335</v>
      </c>
      <c r="U506" t="s">
        <v>5255</v>
      </c>
      <c r="V506" t="s">
        <v>5423</v>
      </c>
      <c r="W506" t="s">
        <v>5424</v>
      </c>
      <c r="X506" t="s">
        <v>2403</v>
      </c>
      <c r="Y506" t="s">
        <v>5425</v>
      </c>
      <c r="Z506" t="s">
        <v>2405</v>
      </c>
      <c r="AA506" t="s">
        <v>5335</v>
      </c>
      <c r="AB506" t="s">
        <v>5259</v>
      </c>
      <c r="AC506" t="s">
        <v>5426</v>
      </c>
      <c r="AD506" t="s">
        <v>5250</v>
      </c>
      <c r="AG506" t="s">
        <v>2432</v>
      </c>
      <c r="AH506" t="s">
        <v>5227</v>
      </c>
      <c r="AI506" t="s">
        <v>5228</v>
      </c>
      <c r="AJ506" t="s">
        <v>4900</v>
      </c>
      <c r="AK506" t="s">
        <v>4901</v>
      </c>
      <c r="AL506" t="s">
        <v>4902</v>
      </c>
      <c r="AM506" t="s">
        <v>2893</v>
      </c>
      <c r="AN506" t="s">
        <v>4903</v>
      </c>
      <c r="AO506" t="s">
        <v>4900</v>
      </c>
      <c r="AP506">
        <v>16</v>
      </c>
      <c r="AQ506">
        <v>16</v>
      </c>
      <c r="AR506">
        <v>16</v>
      </c>
      <c r="AS506" t="s">
        <v>5428</v>
      </c>
      <c r="AT506">
        <v>0</v>
      </c>
      <c r="AU506">
        <v>0</v>
      </c>
      <c r="AV506">
        <v>0</v>
      </c>
    </row>
    <row r="507" spans="1:48">
      <c r="A507" s="1">
        <f>_xlfn.XLOOKUP(J507,数据!E:E,数据!A:A)</f>
        <v>2</v>
      </c>
      <c r="B507" s="1">
        <f>_xlfn.XLOOKUP(J507,数据!E:E,数据!B:B)</f>
        <v>7</v>
      </c>
      <c r="C507" s="1" t="str">
        <f>_xlfn.XLOOKUP(J507,数据!E:E,数据!J:J)</f>
        <v>空派</v>
      </c>
      <c r="D507" s="1" t="str" cm="1">
        <f t="array" ref="D507">IF(OR(C507="红单",C507="空派"),_xlfn.IFS(E507="未开售","新品首批发货",F507&lt;E507,"新品首批发货",F507-E507&lt;=60,"新品期补货空运",F507-E507&gt;60,"老品应急空运"),"海运，不进行分析")</f>
        <v>新品首批发货</v>
      </c>
      <c r="E507" s="2">
        <v>46080</v>
      </c>
      <c r="F507" s="2">
        <f>_xlfn.XLOOKUP(J507,数据!E:E,数据!C:C)</f>
        <v>46063</v>
      </c>
      <c r="G507" s="4">
        <v>125</v>
      </c>
      <c r="H507" s="4">
        <f t="shared" si="26"/>
        <v>2.25</v>
      </c>
      <c r="I507" s="4">
        <f>_xlfn.XLOOKUP(J507,数据!E:E,数据!S:S)*(H507/_xlfn.XLOOKUP(J507,数据!E:E,数据!X:X))</f>
        <v>132.225098524071</v>
      </c>
      <c r="J507" t="s">
        <v>1098</v>
      </c>
      <c r="K507" t="s">
        <v>37</v>
      </c>
      <c r="L507" t="s">
        <v>2374</v>
      </c>
      <c r="M507" t="s">
        <v>5422</v>
      </c>
      <c r="N507" t="s">
        <v>2376</v>
      </c>
      <c r="O507" t="s">
        <v>2400</v>
      </c>
      <c r="P507" t="s">
        <v>2378</v>
      </c>
      <c r="Q507" t="s">
        <v>2379</v>
      </c>
      <c r="S507" t="s">
        <v>2511</v>
      </c>
      <c r="T507" s="3" t="s">
        <v>5335</v>
      </c>
      <c r="U507" t="s">
        <v>5255</v>
      </c>
      <c r="V507" t="s">
        <v>5423</v>
      </c>
      <c r="W507" t="s">
        <v>5424</v>
      </c>
      <c r="X507" t="s">
        <v>2403</v>
      </c>
      <c r="Y507" t="s">
        <v>5425</v>
      </c>
      <c r="Z507" t="s">
        <v>2405</v>
      </c>
      <c r="AA507" t="s">
        <v>5335</v>
      </c>
      <c r="AB507" t="s">
        <v>5259</v>
      </c>
      <c r="AC507" t="s">
        <v>5426</v>
      </c>
      <c r="AD507" t="s">
        <v>5250</v>
      </c>
      <c r="AG507" t="s">
        <v>2432</v>
      </c>
      <c r="AH507" t="s">
        <v>5227</v>
      </c>
      <c r="AI507" t="s">
        <v>5228</v>
      </c>
      <c r="AJ507" t="s">
        <v>3320</v>
      </c>
      <c r="AK507" t="s">
        <v>3321</v>
      </c>
      <c r="AL507" t="s">
        <v>3322</v>
      </c>
      <c r="AM507" t="s">
        <v>3001</v>
      </c>
      <c r="AN507" t="s">
        <v>3323</v>
      </c>
      <c r="AO507" t="s">
        <v>3320</v>
      </c>
      <c r="AP507">
        <v>18</v>
      </c>
      <c r="AQ507">
        <v>18</v>
      </c>
      <c r="AR507">
        <v>18</v>
      </c>
      <c r="AS507" t="s">
        <v>5429</v>
      </c>
      <c r="AT507">
        <v>0</v>
      </c>
      <c r="AU507">
        <v>0</v>
      </c>
      <c r="AV507">
        <v>0</v>
      </c>
    </row>
    <row r="508" spans="1:48">
      <c r="A508" s="1">
        <f>_xlfn.XLOOKUP(J508,数据!E:E,数据!A:A)</f>
        <v>2</v>
      </c>
      <c r="B508" s="1">
        <f>_xlfn.XLOOKUP(J508,数据!E:E,数据!B:B)</f>
        <v>7</v>
      </c>
      <c r="C508" s="1" t="str">
        <f>_xlfn.XLOOKUP(J508,数据!E:E,数据!J:J)</f>
        <v>空派</v>
      </c>
      <c r="D508" s="1" t="str" cm="1">
        <f t="array" ref="D508">IF(OR(C508="红单",C508="空派"),_xlfn.IFS(E508="未开售","新品首批发货",F508&lt;E508,"新品首批发货",F508-E508&lt;=60,"新品期补货空运",F508-E508&gt;60,"老品应急空运"),"海运，不进行分析")</f>
        <v>新品首批发货</v>
      </c>
      <c r="E508" s="2">
        <v>46079</v>
      </c>
      <c r="F508" s="2">
        <f>_xlfn.XLOOKUP(J508,数据!E:E,数据!C:C)</f>
        <v>46063</v>
      </c>
      <c r="G508" s="4">
        <v>126</v>
      </c>
      <c r="H508" s="4">
        <f t="shared" si="26"/>
        <v>3.024</v>
      </c>
      <c r="I508" s="4">
        <f>_xlfn.XLOOKUP(J508,数据!E:E,数据!S:S)*(H508/_xlfn.XLOOKUP(J508,数据!E:E,数据!X:X))</f>
        <v>177.710532416351</v>
      </c>
      <c r="J508" t="s">
        <v>1098</v>
      </c>
      <c r="K508" t="s">
        <v>37</v>
      </c>
      <c r="L508" t="s">
        <v>2374</v>
      </c>
      <c r="M508" t="s">
        <v>5422</v>
      </c>
      <c r="N508" t="s">
        <v>2376</v>
      </c>
      <c r="O508" t="s">
        <v>2400</v>
      </c>
      <c r="P508" t="s">
        <v>2378</v>
      </c>
      <c r="Q508" t="s">
        <v>2379</v>
      </c>
      <c r="S508" t="s">
        <v>2511</v>
      </c>
      <c r="T508" s="3" t="s">
        <v>5335</v>
      </c>
      <c r="U508" t="s">
        <v>5255</v>
      </c>
      <c r="V508" t="s">
        <v>5423</v>
      </c>
      <c r="W508" t="s">
        <v>5424</v>
      </c>
      <c r="X508" t="s">
        <v>2403</v>
      </c>
      <c r="Y508" t="s">
        <v>5425</v>
      </c>
      <c r="Z508" t="s">
        <v>2405</v>
      </c>
      <c r="AA508" t="s">
        <v>5335</v>
      </c>
      <c r="AB508" t="s">
        <v>5259</v>
      </c>
      <c r="AC508" t="s">
        <v>5426</v>
      </c>
      <c r="AD508" t="s">
        <v>5250</v>
      </c>
      <c r="AG508" t="s">
        <v>2432</v>
      </c>
      <c r="AH508" t="s">
        <v>5227</v>
      </c>
      <c r="AI508" t="s">
        <v>5228</v>
      </c>
      <c r="AJ508" t="s">
        <v>5350</v>
      </c>
      <c r="AK508" t="s">
        <v>5351</v>
      </c>
      <c r="AL508" t="s">
        <v>5352</v>
      </c>
      <c r="AM508" t="s">
        <v>3001</v>
      </c>
      <c r="AN508" t="s">
        <v>5353</v>
      </c>
      <c r="AO508" t="s">
        <v>5350</v>
      </c>
      <c r="AP508">
        <v>24</v>
      </c>
      <c r="AQ508">
        <v>24</v>
      </c>
      <c r="AR508">
        <v>24</v>
      </c>
      <c r="AS508" t="s">
        <v>5430</v>
      </c>
      <c r="AT508">
        <v>0</v>
      </c>
      <c r="AU508">
        <v>0</v>
      </c>
      <c r="AV508">
        <v>0</v>
      </c>
    </row>
    <row r="509" spans="1:48">
      <c r="A509" s="1">
        <f>_xlfn.XLOOKUP(J509,数据!E:E,数据!A:A)</f>
        <v>2</v>
      </c>
      <c r="B509" s="1">
        <f>_xlfn.XLOOKUP(J509,数据!E:E,数据!B:B)</f>
        <v>7</v>
      </c>
      <c r="C509" s="1" t="str">
        <f>_xlfn.XLOOKUP(J509,数据!E:E,数据!J:J)</f>
        <v>空派</v>
      </c>
      <c r="D509" s="1" t="str" cm="1">
        <f t="array" ref="D509">IF(OR(C509="红单",C509="空派"),_xlfn.IFS(E509="未开售","新品首批发货",F509&lt;E509,"新品首批发货",F509-E509&lt;=60,"新品期补货空运",F509-E509&gt;60,"老品应急空运"),"海运，不进行分析")</f>
        <v>新品首批发货</v>
      </c>
      <c r="E509" s="2">
        <v>46081</v>
      </c>
      <c r="F509" s="2">
        <f>_xlfn.XLOOKUP(J509,数据!E:E,数据!C:C)</f>
        <v>46063</v>
      </c>
      <c r="G509" s="4">
        <v>50</v>
      </c>
      <c r="H509" s="4">
        <f t="shared" si="26"/>
        <v>1.1</v>
      </c>
      <c r="I509" s="4">
        <f>_xlfn.XLOOKUP(J509,数据!E:E,数据!S:S)*(H509/_xlfn.XLOOKUP(J509,数据!E:E,数据!X:X))</f>
        <v>64.6433815006568</v>
      </c>
      <c r="J509" t="s">
        <v>1098</v>
      </c>
      <c r="K509" t="s">
        <v>37</v>
      </c>
      <c r="L509" t="s">
        <v>2374</v>
      </c>
      <c r="M509" t="s">
        <v>5422</v>
      </c>
      <c r="N509" t="s">
        <v>2376</v>
      </c>
      <c r="O509" t="s">
        <v>2400</v>
      </c>
      <c r="P509" t="s">
        <v>2378</v>
      </c>
      <c r="Q509" t="s">
        <v>2379</v>
      </c>
      <c r="S509" t="s">
        <v>2511</v>
      </c>
      <c r="T509" s="3" t="s">
        <v>5335</v>
      </c>
      <c r="U509" t="s">
        <v>5255</v>
      </c>
      <c r="V509" t="s">
        <v>5423</v>
      </c>
      <c r="W509" t="s">
        <v>5424</v>
      </c>
      <c r="X509" t="s">
        <v>2403</v>
      </c>
      <c r="Y509" t="s">
        <v>5425</v>
      </c>
      <c r="Z509" t="s">
        <v>2405</v>
      </c>
      <c r="AA509" t="s">
        <v>5335</v>
      </c>
      <c r="AB509" t="s">
        <v>5259</v>
      </c>
      <c r="AC509" t="s">
        <v>5426</v>
      </c>
      <c r="AD509" t="s">
        <v>5250</v>
      </c>
      <c r="AG509" t="s">
        <v>2432</v>
      </c>
      <c r="AH509" t="s">
        <v>5227</v>
      </c>
      <c r="AI509" t="s">
        <v>5228</v>
      </c>
      <c r="AJ509" t="s">
        <v>5355</v>
      </c>
      <c r="AK509" t="s">
        <v>5356</v>
      </c>
      <c r="AL509" t="s">
        <v>5357</v>
      </c>
      <c r="AM509" t="s">
        <v>5358</v>
      </c>
      <c r="AN509" t="s">
        <v>5359</v>
      </c>
      <c r="AO509" t="s">
        <v>5355</v>
      </c>
      <c r="AP509">
        <v>22</v>
      </c>
      <c r="AQ509">
        <v>22</v>
      </c>
      <c r="AR509">
        <v>22</v>
      </c>
      <c r="AS509" t="s">
        <v>5431</v>
      </c>
      <c r="AT509">
        <v>0</v>
      </c>
      <c r="AU509">
        <v>0</v>
      </c>
      <c r="AV509">
        <v>0</v>
      </c>
    </row>
    <row r="510" spans="1:48">
      <c r="A510" s="1">
        <f>_xlfn.XLOOKUP(J510,数据!E:E,数据!A:A)</f>
        <v>2</v>
      </c>
      <c r="B510" s="1">
        <f>_xlfn.XLOOKUP(J510,数据!E:E,数据!B:B)</f>
        <v>7</v>
      </c>
      <c r="C510" s="1" t="str">
        <f>_xlfn.XLOOKUP(J510,数据!E:E,数据!J:J)</f>
        <v>空派</v>
      </c>
      <c r="D510" s="1" t="str" cm="1">
        <f t="array" ref="D510">IF(OR(C510="红单",C510="空派"),_xlfn.IFS(E510="未开售","新品首批发货",F510&lt;E510,"新品首批发货",F510-E510&lt;=60,"新品期补货空运",F510-E510&gt;60,"老品应急空运"),"海运，不进行分析")</f>
        <v>新品首批发货</v>
      </c>
      <c r="E510" s="2">
        <v>46080</v>
      </c>
      <c r="F510" s="2">
        <f>_xlfn.XLOOKUP(J510,数据!E:E,数据!C:C)</f>
        <v>46063</v>
      </c>
      <c r="G510" s="4">
        <v>50</v>
      </c>
      <c r="H510" s="4">
        <f t="shared" si="26"/>
        <v>1.1</v>
      </c>
      <c r="I510" s="4">
        <f>_xlfn.XLOOKUP(J510,数据!E:E,数据!S:S)*(H510/_xlfn.XLOOKUP(J510,数据!E:E,数据!X:X))</f>
        <v>64.6433815006568</v>
      </c>
      <c r="J510" t="s">
        <v>1098</v>
      </c>
      <c r="K510" t="s">
        <v>37</v>
      </c>
      <c r="L510" t="s">
        <v>2374</v>
      </c>
      <c r="M510" t="s">
        <v>5422</v>
      </c>
      <c r="N510" t="s">
        <v>2376</v>
      </c>
      <c r="O510" t="s">
        <v>2400</v>
      </c>
      <c r="P510" t="s">
        <v>2378</v>
      </c>
      <c r="Q510" t="s">
        <v>2379</v>
      </c>
      <c r="S510" t="s">
        <v>2511</v>
      </c>
      <c r="T510" s="3" t="s">
        <v>5335</v>
      </c>
      <c r="U510" t="s">
        <v>5255</v>
      </c>
      <c r="V510" t="s">
        <v>5423</v>
      </c>
      <c r="W510" t="s">
        <v>5424</v>
      </c>
      <c r="X510" t="s">
        <v>2403</v>
      </c>
      <c r="Y510" t="s">
        <v>5425</v>
      </c>
      <c r="Z510" t="s">
        <v>2405</v>
      </c>
      <c r="AA510" t="s">
        <v>5335</v>
      </c>
      <c r="AB510" t="s">
        <v>5259</v>
      </c>
      <c r="AC510" t="s">
        <v>5426</v>
      </c>
      <c r="AD510" t="s">
        <v>5250</v>
      </c>
      <c r="AG510" t="s">
        <v>2432</v>
      </c>
      <c r="AH510" t="s">
        <v>5227</v>
      </c>
      <c r="AI510" t="s">
        <v>5228</v>
      </c>
      <c r="AJ510" t="s">
        <v>5361</v>
      </c>
      <c r="AK510" t="s">
        <v>5362</v>
      </c>
      <c r="AL510" t="s">
        <v>5363</v>
      </c>
      <c r="AM510" t="s">
        <v>5358</v>
      </c>
      <c r="AN510" t="s">
        <v>5364</v>
      </c>
      <c r="AO510" t="s">
        <v>5361</v>
      </c>
      <c r="AP510">
        <v>22</v>
      </c>
      <c r="AQ510">
        <v>22</v>
      </c>
      <c r="AR510">
        <v>22</v>
      </c>
      <c r="AS510" t="s">
        <v>5432</v>
      </c>
      <c r="AT510">
        <v>0</v>
      </c>
      <c r="AU510">
        <v>0</v>
      </c>
      <c r="AV510">
        <v>0</v>
      </c>
    </row>
    <row r="511" spans="1:48">
      <c r="A511" s="1">
        <f>_xlfn.XLOOKUP(J511,数据!E:E,数据!A:A)</f>
        <v>2</v>
      </c>
      <c r="B511" s="1">
        <f>_xlfn.XLOOKUP(J511,数据!E:E,数据!B:B)</f>
        <v>7</v>
      </c>
      <c r="C511" s="1" t="str">
        <f>_xlfn.XLOOKUP(J511,数据!E:E,数据!J:J)</f>
        <v>空派</v>
      </c>
      <c r="D511" s="1" t="str" cm="1">
        <f t="array" ref="D511">IF(OR(C511="红单",C511="空派"),_xlfn.IFS(E511="未开售","新品首批发货",F511&lt;E511,"新品首批发货",F511-E511&lt;=60,"新品期补货空运",F511-E511&gt;60,"老品应急空运"),"海运，不进行分析")</f>
        <v>新品首批发货</v>
      </c>
      <c r="E511" s="2">
        <v>46081</v>
      </c>
      <c r="F511" s="2">
        <f>_xlfn.XLOOKUP(J511,数据!E:E,数据!C:C)</f>
        <v>46063</v>
      </c>
      <c r="G511" s="4">
        <v>50</v>
      </c>
      <c r="H511" s="4">
        <f t="shared" si="26"/>
        <v>1.1</v>
      </c>
      <c r="I511" s="4">
        <f>_xlfn.XLOOKUP(J511,数据!E:E,数据!S:S)*(H511/_xlfn.XLOOKUP(J511,数据!E:E,数据!X:X))</f>
        <v>64.6433815006568</v>
      </c>
      <c r="J511" t="s">
        <v>1098</v>
      </c>
      <c r="K511" t="s">
        <v>37</v>
      </c>
      <c r="L511" t="s">
        <v>2374</v>
      </c>
      <c r="M511" t="s">
        <v>5422</v>
      </c>
      <c r="N511" t="s">
        <v>2376</v>
      </c>
      <c r="O511" t="s">
        <v>2400</v>
      </c>
      <c r="P511" t="s">
        <v>2378</v>
      </c>
      <c r="Q511" t="s">
        <v>2379</v>
      </c>
      <c r="S511" t="s">
        <v>2511</v>
      </c>
      <c r="T511" s="3" t="s">
        <v>5335</v>
      </c>
      <c r="U511" t="s">
        <v>5255</v>
      </c>
      <c r="V511" t="s">
        <v>5423</v>
      </c>
      <c r="W511" t="s">
        <v>5424</v>
      </c>
      <c r="X511" t="s">
        <v>2403</v>
      </c>
      <c r="Y511" t="s">
        <v>5425</v>
      </c>
      <c r="Z511" t="s">
        <v>2405</v>
      </c>
      <c r="AA511" t="s">
        <v>5335</v>
      </c>
      <c r="AB511" t="s">
        <v>5259</v>
      </c>
      <c r="AC511" t="s">
        <v>5426</v>
      </c>
      <c r="AD511" t="s">
        <v>5250</v>
      </c>
      <c r="AG511" t="s">
        <v>2432</v>
      </c>
      <c r="AH511" t="s">
        <v>5227</v>
      </c>
      <c r="AI511" t="s">
        <v>5228</v>
      </c>
      <c r="AJ511" t="s">
        <v>5366</v>
      </c>
      <c r="AK511" t="s">
        <v>5367</v>
      </c>
      <c r="AL511" t="s">
        <v>5368</v>
      </c>
      <c r="AM511" t="s">
        <v>5358</v>
      </c>
      <c r="AN511" t="s">
        <v>5369</v>
      </c>
      <c r="AO511" t="s">
        <v>5366</v>
      </c>
      <c r="AP511">
        <v>22</v>
      </c>
      <c r="AQ511">
        <v>22</v>
      </c>
      <c r="AR511">
        <v>22</v>
      </c>
      <c r="AS511" t="s">
        <v>5431</v>
      </c>
      <c r="AT511">
        <v>0</v>
      </c>
      <c r="AU511">
        <v>0</v>
      </c>
      <c r="AV511">
        <v>0</v>
      </c>
    </row>
    <row r="512" spans="1:48">
      <c r="A512" s="1">
        <f>_xlfn.XLOOKUP(J512,数据!E:E,数据!A:A)</f>
        <v>2</v>
      </c>
      <c r="B512" s="1">
        <f>_xlfn.XLOOKUP(J512,数据!E:E,数据!B:B)</f>
        <v>7</v>
      </c>
      <c r="C512" s="1" t="str">
        <f>_xlfn.XLOOKUP(J512,数据!E:E,数据!J:J)</f>
        <v>空派</v>
      </c>
      <c r="D512" s="1" t="str" cm="1">
        <f t="array" ref="D512">IF(OR(C512="红单",C512="空派"),_xlfn.IFS(E512="未开售","新品首批发货",F512&lt;E512,"新品首批发货",F512-E512&lt;=60,"新品期补货空运",F512-E512&gt;60,"老品应急空运"),"海运，不进行分析")</f>
        <v>新品首批发货</v>
      </c>
      <c r="E512" s="2">
        <v>46081</v>
      </c>
      <c r="F512" s="2">
        <f>_xlfn.XLOOKUP(J512,数据!E:E,数据!C:C)</f>
        <v>46063</v>
      </c>
      <c r="G512" s="4">
        <v>50</v>
      </c>
      <c r="H512" s="4">
        <f t="shared" si="26"/>
        <v>1.1</v>
      </c>
      <c r="I512" s="4">
        <f>_xlfn.XLOOKUP(J512,数据!E:E,数据!S:S)*(H512/_xlfn.XLOOKUP(J512,数据!E:E,数据!X:X))</f>
        <v>64.6433815006568</v>
      </c>
      <c r="J512" t="s">
        <v>1098</v>
      </c>
      <c r="K512" t="s">
        <v>37</v>
      </c>
      <c r="L512" t="s">
        <v>2374</v>
      </c>
      <c r="M512" t="s">
        <v>5422</v>
      </c>
      <c r="N512" t="s">
        <v>2376</v>
      </c>
      <c r="O512" t="s">
        <v>2400</v>
      </c>
      <c r="P512" t="s">
        <v>2378</v>
      </c>
      <c r="Q512" t="s">
        <v>2379</v>
      </c>
      <c r="S512" t="s">
        <v>2511</v>
      </c>
      <c r="T512" s="3" t="s">
        <v>5335</v>
      </c>
      <c r="U512" t="s">
        <v>5255</v>
      </c>
      <c r="V512" t="s">
        <v>5423</v>
      </c>
      <c r="W512" t="s">
        <v>5424</v>
      </c>
      <c r="X512" t="s">
        <v>2403</v>
      </c>
      <c r="Y512" t="s">
        <v>5425</v>
      </c>
      <c r="Z512" t="s">
        <v>2405</v>
      </c>
      <c r="AA512" t="s">
        <v>5335</v>
      </c>
      <c r="AB512" t="s">
        <v>5259</v>
      </c>
      <c r="AC512" t="s">
        <v>5426</v>
      </c>
      <c r="AD512" t="s">
        <v>5250</v>
      </c>
      <c r="AG512" t="s">
        <v>2432</v>
      </c>
      <c r="AH512" t="s">
        <v>5227</v>
      </c>
      <c r="AI512" t="s">
        <v>5228</v>
      </c>
      <c r="AJ512" t="s">
        <v>5371</v>
      </c>
      <c r="AK512" t="s">
        <v>5372</v>
      </c>
      <c r="AL512" t="s">
        <v>5373</v>
      </c>
      <c r="AM512" t="s">
        <v>5358</v>
      </c>
      <c r="AN512" t="s">
        <v>5374</v>
      </c>
      <c r="AO512" t="s">
        <v>5371</v>
      </c>
      <c r="AP512">
        <v>22</v>
      </c>
      <c r="AQ512">
        <v>22</v>
      </c>
      <c r="AR512">
        <v>22</v>
      </c>
      <c r="AS512" t="s">
        <v>5432</v>
      </c>
      <c r="AT512">
        <v>0</v>
      </c>
      <c r="AU512">
        <v>0</v>
      </c>
      <c r="AV512">
        <v>0</v>
      </c>
    </row>
    <row r="513" spans="1:48">
      <c r="A513" s="1">
        <f>_xlfn.XLOOKUP(J513,数据!E:E,数据!A:A)</f>
        <v>2</v>
      </c>
      <c r="B513" s="1">
        <f>_xlfn.XLOOKUP(J513,数据!E:E,数据!B:B)</f>
        <v>7</v>
      </c>
      <c r="C513" s="1" t="str">
        <f>_xlfn.XLOOKUP(J513,数据!E:E,数据!J:J)</f>
        <v>空派</v>
      </c>
      <c r="D513" s="1" t="str" cm="1">
        <f t="array" ref="D513">IF(OR(C513="红单",C513="空派"),_xlfn.IFS(E513="未开售","新品首批发货",F513&lt;E513,"新品首批发货",F513-E513&lt;=60,"新品期补货空运",F513-E513&gt;60,"老品应急空运"),"海运，不进行分析")</f>
        <v>新品首批发货</v>
      </c>
      <c r="E513" s="2">
        <v>46082</v>
      </c>
      <c r="F513" s="2">
        <f>_xlfn.XLOOKUP(J513,数据!E:E,数据!C:C)</f>
        <v>46063</v>
      </c>
      <c r="G513" s="4">
        <v>457</v>
      </c>
      <c r="H513" s="4">
        <f t="shared" si="26"/>
        <v>10.968</v>
      </c>
      <c r="I513" s="4">
        <f>_xlfn.XLOOKUP(J513,数据!E:E,数据!S:S)*(H513/_xlfn.XLOOKUP(J513,数据!E:E,数据!X:X))</f>
        <v>644.553280272004</v>
      </c>
      <c r="J513" t="s">
        <v>1098</v>
      </c>
      <c r="K513" t="s">
        <v>37</v>
      </c>
      <c r="L513" t="s">
        <v>2374</v>
      </c>
      <c r="M513" t="s">
        <v>5422</v>
      </c>
      <c r="N513" t="s">
        <v>2376</v>
      </c>
      <c r="O513" t="s">
        <v>2400</v>
      </c>
      <c r="P513" t="s">
        <v>2378</v>
      </c>
      <c r="Q513" t="s">
        <v>2379</v>
      </c>
      <c r="S513" t="s">
        <v>2511</v>
      </c>
      <c r="T513" s="3" t="s">
        <v>5335</v>
      </c>
      <c r="U513" t="s">
        <v>5255</v>
      </c>
      <c r="V513" t="s">
        <v>5423</v>
      </c>
      <c r="W513" t="s">
        <v>5424</v>
      </c>
      <c r="X513" t="s">
        <v>2403</v>
      </c>
      <c r="Y513" t="s">
        <v>5425</v>
      </c>
      <c r="Z513" t="s">
        <v>2405</v>
      </c>
      <c r="AA513" t="s">
        <v>5335</v>
      </c>
      <c r="AB513" t="s">
        <v>5259</v>
      </c>
      <c r="AC513" t="s">
        <v>5426</v>
      </c>
      <c r="AD513" t="s">
        <v>5250</v>
      </c>
      <c r="AG513" t="s">
        <v>2432</v>
      </c>
      <c r="AH513" t="s">
        <v>5227</v>
      </c>
      <c r="AI513" t="s">
        <v>5228</v>
      </c>
      <c r="AJ513" t="s">
        <v>5376</v>
      </c>
      <c r="AK513" t="s">
        <v>5377</v>
      </c>
      <c r="AL513" t="s">
        <v>5378</v>
      </c>
      <c r="AM513" t="s">
        <v>5378</v>
      </c>
      <c r="AN513" t="s">
        <v>5379</v>
      </c>
      <c r="AO513" t="s">
        <v>5376</v>
      </c>
      <c r="AP513">
        <v>24</v>
      </c>
      <c r="AQ513">
        <v>24</v>
      </c>
      <c r="AR513">
        <v>24</v>
      </c>
      <c r="AS513" t="s">
        <v>5430</v>
      </c>
      <c r="AT513">
        <v>0</v>
      </c>
      <c r="AU513">
        <v>0</v>
      </c>
      <c r="AV513">
        <v>0</v>
      </c>
    </row>
    <row r="514" spans="1:48">
      <c r="A514" s="1">
        <f>_xlfn.XLOOKUP(J514,数据!E:E,数据!A:A)</f>
        <v>2</v>
      </c>
      <c r="B514" s="1">
        <f>_xlfn.XLOOKUP(J514,数据!E:E,数据!B:B)</f>
        <v>7</v>
      </c>
      <c r="C514" s="1" t="str">
        <f>_xlfn.XLOOKUP(J514,数据!E:E,数据!J:J)</f>
        <v>空派</v>
      </c>
      <c r="D514" s="1" t="str" cm="1">
        <f t="array" ref="D514">IF(OR(C514="红单",C514="空派"),_xlfn.IFS(E514="未开售","新品首批发货",F514&lt;E514,"新品首批发货",F514-E514&lt;=60,"新品期补货空运",F514-E514&gt;60,"老品应急空运"),"海运，不进行分析")</f>
        <v>老品应急空运</v>
      </c>
      <c r="E514" s="2">
        <v>44427</v>
      </c>
      <c r="F514" s="2">
        <f>_xlfn.XLOOKUP(J514,数据!E:E,数据!C:C)</f>
        <v>46063</v>
      </c>
      <c r="G514" s="4">
        <v>112</v>
      </c>
      <c r="H514" s="4">
        <f t="shared" si="26"/>
        <v>5.6</v>
      </c>
      <c r="I514" s="4">
        <f>_xlfn.XLOOKUP(J514,数据!E:E,数据!S:S)*(H514/_xlfn.XLOOKUP(J514,数据!E:E,数据!X:X))</f>
        <v>330.847634584013</v>
      </c>
      <c r="J514" t="s">
        <v>1090</v>
      </c>
      <c r="K514" t="s">
        <v>224</v>
      </c>
      <c r="L514" t="s">
        <v>2374</v>
      </c>
      <c r="M514" t="s">
        <v>5433</v>
      </c>
      <c r="N514" t="s">
        <v>2376</v>
      </c>
      <c r="O514" t="s">
        <v>2400</v>
      </c>
      <c r="P514" t="s">
        <v>2378</v>
      </c>
      <c r="Q514" t="s">
        <v>2379</v>
      </c>
      <c r="S514" t="s">
        <v>2511</v>
      </c>
      <c r="T514" s="3" t="s">
        <v>5434</v>
      </c>
      <c r="U514" t="s">
        <v>5255</v>
      </c>
      <c r="V514" t="s">
        <v>5245</v>
      </c>
      <c r="W514" t="s">
        <v>5435</v>
      </c>
      <c r="X514" t="s">
        <v>2403</v>
      </c>
      <c r="Y514" t="s">
        <v>5436</v>
      </c>
      <c r="Z514" t="s">
        <v>2405</v>
      </c>
      <c r="AA514" t="s">
        <v>5434</v>
      </c>
      <c r="AB514" t="s">
        <v>4868</v>
      </c>
      <c r="AC514" t="s">
        <v>5437</v>
      </c>
      <c r="AD514" t="s">
        <v>5250</v>
      </c>
      <c r="AG514" t="s">
        <v>2432</v>
      </c>
      <c r="AH514" t="s">
        <v>5227</v>
      </c>
      <c r="AI514" t="s">
        <v>5228</v>
      </c>
      <c r="AJ514" t="s">
        <v>5438</v>
      </c>
      <c r="AK514" t="s">
        <v>5439</v>
      </c>
      <c r="AL514" t="s">
        <v>5440</v>
      </c>
      <c r="AM514" t="s">
        <v>5440</v>
      </c>
      <c r="AN514" t="s">
        <v>5441</v>
      </c>
      <c r="AO514" t="s">
        <v>5438</v>
      </c>
      <c r="AP514">
        <v>50</v>
      </c>
      <c r="AQ514">
        <v>50</v>
      </c>
      <c r="AR514">
        <v>50</v>
      </c>
      <c r="AS514" t="s">
        <v>5442</v>
      </c>
      <c r="AT514">
        <v>0</v>
      </c>
      <c r="AU514">
        <v>0</v>
      </c>
      <c r="AV514">
        <v>0</v>
      </c>
    </row>
    <row r="515" spans="1:48">
      <c r="A515" s="1">
        <f>_xlfn.XLOOKUP(J515,数据!E:E,数据!A:A)</f>
        <v>2</v>
      </c>
      <c r="B515" s="1">
        <f>_xlfn.XLOOKUP(J515,数据!E:E,数据!B:B)</f>
        <v>7</v>
      </c>
      <c r="C515" s="1" t="str">
        <f>_xlfn.XLOOKUP(J515,数据!E:E,数据!J:J)</f>
        <v>空派</v>
      </c>
      <c r="D515" s="1" t="str" cm="1">
        <f t="array" ref="D515">IF(OR(C515="红单",C515="空派"),_xlfn.IFS(E515="未开售","新品首批发货",F515&lt;E515,"新品首批发货",F515-E515&lt;=60,"新品期补货空运",F515-E515&gt;60,"老品应急空运"),"海运，不进行分析")</f>
        <v>新品期补货空运</v>
      </c>
      <c r="E515" s="2">
        <v>46017</v>
      </c>
      <c r="F515" s="2">
        <f>_xlfn.XLOOKUP(J515,数据!E:E,数据!C:C)</f>
        <v>46063</v>
      </c>
      <c r="G515" s="4">
        <v>111</v>
      </c>
      <c r="H515" s="4">
        <f t="shared" si="26"/>
        <v>6.66</v>
      </c>
      <c r="I515" s="4">
        <f>_xlfn.XLOOKUP(J515,数据!E:E,数据!S:S)*(H515/_xlfn.XLOOKUP(J515,数据!E:E,数据!X:X))</f>
        <v>393.472365415987</v>
      </c>
      <c r="J515" t="s">
        <v>1090</v>
      </c>
      <c r="K515" t="s">
        <v>224</v>
      </c>
      <c r="L515" t="s">
        <v>2374</v>
      </c>
      <c r="M515" t="s">
        <v>5433</v>
      </c>
      <c r="N515" t="s">
        <v>2376</v>
      </c>
      <c r="O515" t="s">
        <v>2400</v>
      </c>
      <c r="P515" t="s">
        <v>2378</v>
      </c>
      <c r="Q515" t="s">
        <v>2379</v>
      </c>
      <c r="S515" t="s">
        <v>2511</v>
      </c>
      <c r="T515" s="3" t="s">
        <v>5434</v>
      </c>
      <c r="U515" t="s">
        <v>5255</v>
      </c>
      <c r="V515" t="s">
        <v>5245</v>
      </c>
      <c r="W515" t="s">
        <v>5435</v>
      </c>
      <c r="X515" t="s">
        <v>2403</v>
      </c>
      <c r="Y515" t="s">
        <v>5436</v>
      </c>
      <c r="Z515" t="s">
        <v>2405</v>
      </c>
      <c r="AA515" t="s">
        <v>5434</v>
      </c>
      <c r="AB515" t="s">
        <v>4868</v>
      </c>
      <c r="AC515" t="s">
        <v>5437</v>
      </c>
      <c r="AD515" t="s">
        <v>5250</v>
      </c>
      <c r="AG515" t="s">
        <v>2432</v>
      </c>
      <c r="AH515" t="s">
        <v>5227</v>
      </c>
      <c r="AI515" t="s">
        <v>5228</v>
      </c>
      <c r="AJ515" t="s">
        <v>5443</v>
      </c>
      <c r="AK515" t="s">
        <v>5444</v>
      </c>
      <c r="AL515" t="s">
        <v>5445</v>
      </c>
      <c r="AM515" t="s">
        <v>5446</v>
      </c>
      <c r="AN515" t="s">
        <v>5447</v>
      </c>
      <c r="AO515" t="s">
        <v>5443</v>
      </c>
      <c r="AP515">
        <v>60</v>
      </c>
      <c r="AQ515">
        <v>60</v>
      </c>
      <c r="AR515">
        <v>60</v>
      </c>
      <c r="AS515" t="s">
        <v>5327</v>
      </c>
      <c r="AT515">
        <v>0</v>
      </c>
      <c r="AU515">
        <v>0</v>
      </c>
      <c r="AV515">
        <v>0</v>
      </c>
    </row>
    <row r="516" spans="1:48">
      <c r="A516" s="1">
        <f>_xlfn.XLOOKUP(J516,数据!E:E,数据!A:A)</f>
        <v>2</v>
      </c>
      <c r="B516" s="1">
        <f>_xlfn.XLOOKUP(J516,数据!E:E,数据!B:B)</f>
        <v>7</v>
      </c>
      <c r="C516" s="1" t="str">
        <f>_xlfn.XLOOKUP(J516,数据!E:E,数据!J:J)</f>
        <v>空派</v>
      </c>
      <c r="D516" s="1" t="str" cm="1">
        <f t="array" ref="D516">IF(OR(C516="红单",C516="空派"),_xlfn.IFS(E516="未开售","新品首批发货",F516&lt;E516,"新品首批发货",F516-E516&lt;=60,"新品期补货空运",F516-E516&gt;60,"老品应急空运"),"海运，不进行分析")</f>
        <v>新品期补货空运</v>
      </c>
      <c r="E516" s="2">
        <v>46028</v>
      </c>
      <c r="F516" s="2">
        <f>_xlfn.XLOOKUP(J516,数据!E:E,数据!C:C)</f>
        <v>46063</v>
      </c>
      <c r="G516" s="4">
        <v>143</v>
      </c>
      <c r="H516" s="4">
        <f t="shared" si="26"/>
        <v>8.58</v>
      </c>
      <c r="I516" s="4">
        <f>_xlfn.XLOOKUP(J516,数据!E:E,数据!S:S)*(H516/_xlfn.XLOOKUP(J516,数据!E:E,数据!X:X))</f>
        <v>453.962087654734</v>
      </c>
      <c r="J516" t="s">
        <v>1089</v>
      </c>
      <c r="K516" t="s">
        <v>31</v>
      </c>
      <c r="L516" t="s">
        <v>2374</v>
      </c>
      <c r="M516" t="s">
        <v>5448</v>
      </c>
      <c r="N516" t="s">
        <v>2376</v>
      </c>
      <c r="O516" t="s">
        <v>2400</v>
      </c>
      <c r="P516" t="s">
        <v>2378</v>
      </c>
      <c r="Q516" t="s">
        <v>2379</v>
      </c>
      <c r="S516" t="s">
        <v>2511</v>
      </c>
      <c r="T516" s="3" t="s">
        <v>5449</v>
      </c>
      <c r="U516" t="s">
        <v>5255</v>
      </c>
      <c r="V516" t="s">
        <v>5245</v>
      </c>
      <c r="W516" t="s">
        <v>5450</v>
      </c>
      <c r="X516" t="s">
        <v>2403</v>
      </c>
      <c r="Y516" t="s">
        <v>5451</v>
      </c>
      <c r="Z516" t="s">
        <v>2405</v>
      </c>
      <c r="AA516" t="s">
        <v>5449</v>
      </c>
      <c r="AB516" t="s">
        <v>5452</v>
      </c>
      <c r="AC516" t="s">
        <v>5453</v>
      </c>
      <c r="AD516" t="s">
        <v>5250</v>
      </c>
      <c r="AG516" t="s">
        <v>2432</v>
      </c>
      <c r="AH516" t="s">
        <v>5227</v>
      </c>
      <c r="AI516" t="s">
        <v>5228</v>
      </c>
      <c r="AJ516" t="s">
        <v>3920</v>
      </c>
      <c r="AK516" t="s">
        <v>3921</v>
      </c>
      <c r="AL516" t="s">
        <v>3922</v>
      </c>
      <c r="AM516" t="s">
        <v>2787</v>
      </c>
      <c r="AN516" t="s">
        <v>3923</v>
      </c>
      <c r="AO516" t="s">
        <v>3920</v>
      </c>
      <c r="AP516">
        <v>60</v>
      </c>
      <c r="AQ516">
        <v>60</v>
      </c>
      <c r="AR516">
        <v>60</v>
      </c>
      <c r="AS516" t="s">
        <v>5327</v>
      </c>
      <c r="AT516">
        <v>0</v>
      </c>
      <c r="AU516">
        <v>0</v>
      </c>
      <c r="AV516">
        <v>0</v>
      </c>
    </row>
    <row r="517" spans="1:48">
      <c r="A517" s="1">
        <f>_xlfn.XLOOKUP(J517,数据!E:E,数据!A:A)</f>
        <v>2</v>
      </c>
      <c r="B517" s="1">
        <f>_xlfn.XLOOKUP(J517,数据!E:E,数据!B:B)</f>
        <v>7</v>
      </c>
      <c r="C517" s="1" t="str">
        <f>_xlfn.XLOOKUP(J517,数据!E:E,数据!J:J)</f>
        <v>空派</v>
      </c>
      <c r="D517" s="1" t="str" cm="1">
        <f t="array" ref="D517">IF(OR(C517="红单",C517="空派"),_xlfn.IFS(E517="未开售","新品首批发货",F517&lt;E517,"新品首批发货",F517-E517&lt;=60,"新品期补货空运",F517-E517&gt;60,"老品应急空运"),"海运，不进行分析")</f>
        <v>新品期补货空运</v>
      </c>
      <c r="E517" s="2">
        <v>46030</v>
      </c>
      <c r="F517" s="2">
        <f>_xlfn.XLOOKUP(J517,数据!E:E,数据!C:C)</f>
        <v>46063</v>
      </c>
      <c r="G517" s="4">
        <v>146</v>
      </c>
      <c r="H517" s="4">
        <f t="shared" si="26"/>
        <v>2.92</v>
      </c>
      <c r="I517" s="4">
        <f>_xlfn.XLOOKUP(J517,数据!E:E,数据!S:S)*(H517/_xlfn.XLOOKUP(J517,数据!E:E,数据!X:X))</f>
        <v>154.495255938441</v>
      </c>
      <c r="J517" t="s">
        <v>1089</v>
      </c>
      <c r="K517" t="s">
        <v>31</v>
      </c>
      <c r="L517" t="s">
        <v>2374</v>
      </c>
      <c r="M517" t="s">
        <v>5448</v>
      </c>
      <c r="N517" t="s">
        <v>2376</v>
      </c>
      <c r="O517" t="s">
        <v>2400</v>
      </c>
      <c r="P517" t="s">
        <v>2378</v>
      </c>
      <c r="Q517" t="s">
        <v>2379</v>
      </c>
      <c r="S517" t="s">
        <v>2511</v>
      </c>
      <c r="T517" s="3" t="s">
        <v>5449</v>
      </c>
      <c r="U517" t="s">
        <v>5255</v>
      </c>
      <c r="V517" t="s">
        <v>5245</v>
      </c>
      <c r="W517" t="s">
        <v>5450</v>
      </c>
      <c r="X517" t="s">
        <v>2403</v>
      </c>
      <c r="Y517" t="s">
        <v>5451</v>
      </c>
      <c r="Z517" t="s">
        <v>2405</v>
      </c>
      <c r="AA517" t="s">
        <v>5449</v>
      </c>
      <c r="AB517" t="s">
        <v>5452</v>
      </c>
      <c r="AC517" t="s">
        <v>5453</v>
      </c>
      <c r="AD517" t="s">
        <v>5250</v>
      </c>
      <c r="AG517" t="s">
        <v>2432</v>
      </c>
      <c r="AH517" t="s">
        <v>5227</v>
      </c>
      <c r="AI517" t="s">
        <v>5228</v>
      </c>
      <c r="AJ517" t="s">
        <v>3683</v>
      </c>
      <c r="AK517" t="s">
        <v>3684</v>
      </c>
      <c r="AL517" t="s">
        <v>3685</v>
      </c>
      <c r="AM517" t="s">
        <v>2787</v>
      </c>
      <c r="AN517" t="s">
        <v>3686</v>
      </c>
      <c r="AO517" t="s">
        <v>3683</v>
      </c>
      <c r="AP517">
        <v>20</v>
      </c>
      <c r="AQ517">
        <v>20</v>
      </c>
      <c r="AR517">
        <v>20</v>
      </c>
      <c r="AS517" t="s">
        <v>5454</v>
      </c>
      <c r="AT517">
        <v>0</v>
      </c>
      <c r="AU517">
        <v>0</v>
      </c>
      <c r="AV517">
        <v>0</v>
      </c>
    </row>
    <row r="518" spans="1:48">
      <c r="A518" s="1">
        <f>_xlfn.XLOOKUP(J518,数据!E:E,数据!A:A)</f>
        <v>2</v>
      </c>
      <c r="B518" s="1">
        <f>_xlfn.XLOOKUP(J518,数据!E:E,数据!B:B)</f>
        <v>7</v>
      </c>
      <c r="C518" s="1" t="str">
        <f>_xlfn.XLOOKUP(J518,数据!E:E,数据!J:J)</f>
        <v>空派</v>
      </c>
      <c r="D518" s="1" t="str" cm="1">
        <f t="array" ref="D518">IF(OR(C518="红单",C518="空派"),_xlfn.IFS(E518="未开售","新品首批发货",F518&lt;E518,"新品首批发货",F518-E518&lt;=60,"新品期补货空运",F518-E518&gt;60,"老品应急空运"),"海运，不进行分析")</f>
        <v>新品期补货空运</v>
      </c>
      <c r="E518" s="2">
        <v>46017</v>
      </c>
      <c r="F518" s="2">
        <f>_xlfn.XLOOKUP(J518,数据!E:E,数据!C:C)</f>
        <v>46063</v>
      </c>
      <c r="G518" s="4">
        <v>144</v>
      </c>
      <c r="H518" s="4">
        <f t="shared" si="26"/>
        <v>2.88</v>
      </c>
      <c r="I518" s="4">
        <f>_xlfn.XLOOKUP(J518,数据!E:E,数据!S:S)*(H518/_xlfn.XLOOKUP(J518,数据!E:E,数据!X:X))</f>
        <v>152.378882569421</v>
      </c>
      <c r="J518" t="s">
        <v>1089</v>
      </c>
      <c r="K518" t="s">
        <v>31</v>
      </c>
      <c r="L518" t="s">
        <v>2374</v>
      </c>
      <c r="M518" t="s">
        <v>5448</v>
      </c>
      <c r="N518" t="s">
        <v>2376</v>
      </c>
      <c r="O518" t="s">
        <v>2400</v>
      </c>
      <c r="P518" t="s">
        <v>2378</v>
      </c>
      <c r="Q518" t="s">
        <v>2379</v>
      </c>
      <c r="S518" t="s">
        <v>2511</v>
      </c>
      <c r="T518" s="3" t="s">
        <v>5449</v>
      </c>
      <c r="U518" t="s">
        <v>5255</v>
      </c>
      <c r="V518" t="s">
        <v>5245</v>
      </c>
      <c r="W518" t="s">
        <v>5450</v>
      </c>
      <c r="X518" t="s">
        <v>2403</v>
      </c>
      <c r="Y518" t="s">
        <v>5451</v>
      </c>
      <c r="Z518" t="s">
        <v>2405</v>
      </c>
      <c r="AA518" t="s">
        <v>5449</v>
      </c>
      <c r="AB518" t="s">
        <v>5452</v>
      </c>
      <c r="AC518" t="s">
        <v>5453</v>
      </c>
      <c r="AD518" t="s">
        <v>5250</v>
      </c>
      <c r="AG518" t="s">
        <v>2432</v>
      </c>
      <c r="AH518" t="s">
        <v>5227</v>
      </c>
      <c r="AI518" t="s">
        <v>5228</v>
      </c>
      <c r="AJ518" t="s">
        <v>5007</v>
      </c>
      <c r="AK518" t="s">
        <v>5008</v>
      </c>
      <c r="AL518" t="s">
        <v>5009</v>
      </c>
      <c r="AM518" t="s">
        <v>2989</v>
      </c>
      <c r="AN518" t="s">
        <v>5010</v>
      </c>
      <c r="AO518" t="s">
        <v>5007</v>
      </c>
      <c r="AP518">
        <v>20</v>
      </c>
      <c r="AQ518">
        <v>20</v>
      </c>
      <c r="AR518">
        <v>20</v>
      </c>
      <c r="AS518" t="s">
        <v>5454</v>
      </c>
      <c r="AT518">
        <v>0</v>
      </c>
      <c r="AU518">
        <v>0</v>
      </c>
      <c r="AV518">
        <v>0</v>
      </c>
    </row>
    <row r="519" spans="1:48">
      <c r="A519" s="1">
        <f>_xlfn.XLOOKUP(J519,数据!E:E,数据!A:A)</f>
        <v>2</v>
      </c>
      <c r="B519" s="1">
        <f>_xlfn.XLOOKUP(J519,数据!E:E,数据!B:B)</f>
        <v>7</v>
      </c>
      <c r="C519" s="1" t="str">
        <f>_xlfn.XLOOKUP(J519,数据!E:E,数据!J:J)</f>
        <v>空派</v>
      </c>
      <c r="D519" s="1" t="str" cm="1">
        <f t="array" ref="D519">IF(OR(C519="红单",C519="空派"),_xlfn.IFS(E519="未开售","新品首批发货",F519&lt;E519,"新品首批发货",F519-E519&lt;=60,"新品期补货空运",F519-E519&gt;60,"老品应急空运"),"海运，不进行分析")</f>
        <v>新品期补货空运</v>
      </c>
      <c r="E519" s="2">
        <v>46029</v>
      </c>
      <c r="F519" s="2">
        <f>_xlfn.XLOOKUP(J519,数据!E:E,数据!C:C)</f>
        <v>46063</v>
      </c>
      <c r="G519" s="4">
        <v>502</v>
      </c>
      <c r="H519" s="4">
        <f t="shared" si="26"/>
        <v>20.08</v>
      </c>
      <c r="I519" s="4">
        <f>_xlfn.XLOOKUP(J519,数据!E:E,数据!S:S)*(H519/_xlfn.XLOOKUP(J519,数据!E:E,数据!X:X))</f>
        <v>1062.41943124791</v>
      </c>
      <c r="J519" t="s">
        <v>1089</v>
      </c>
      <c r="K519" t="s">
        <v>31</v>
      </c>
      <c r="L519" t="s">
        <v>2374</v>
      </c>
      <c r="M519" t="s">
        <v>5448</v>
      </c>
      <c r="N519" t="s">
        <v>2376</v>
      </c>
      <c r="O519" t="s">
        <v>2400</v>
      </c>
      <c r="P519" t="s">
        <v>2378</v>
      </c>
      <c r="Q519" t="s">
        <v>2379</v>
      </c>
      <c r="S519" t="s">
        <v>2511</v>
      </c>
      <c r="T519" s="3" t="s">
        <v>5449</v>
      </c>
      <c r="U519" t="s">
        <v>5255</v>
      </c>
      <c r="V519" t="s">
        <v>5245</v>
      </c>
      <c r="W519" t="s">
        <v>5450</v>
      </c>
      <c r="X519" t="s">
        <v>2403</v>
      </c>
      <c r="Y519" t="s">
        <v>5451</v>
      </c>
      <c r="Z519" t="s">
        <v>2405</v>
      </c>
      <c r="AA519" t="s">
        <v>5449</v>
      </c>
      <c r="AB519" t="s">
        <v>5452</v>
      </c>
      <c r="AC519" t="s">
        <v>5453</v>
      </c>
      <c r="AD519" t="s">
        <v>5250</v>
      </c>
      <c r="AG519" t="s">
        <v>2432</v>
      </c>
      <c r="AH519" t="s">
        <v>5227</v>
      </c>
      <c r="AI519" t="s">
        <v>5228</v>
      </c>
      <c r="AJ519" t="s">
        <v>3352</v>
      </c>
      <c r="AK519" t="s">
        <v>3353</v>
      </c>
      <c r="AL519" t="s">
        <v>3354</v>
      </c>
      <c r="AM519" t="s">
        <v>3107</v>
      </c>
      <c r="AN519" t="s">
        <v>3355</v>
      </c>
      <c r="AO519" t="s">
        <v>3352</v>
      </c>
      <c r="AP519">
        <v>40</v>
      </c>
      <c r="AQ519">
        <v>40</v>
      </c>
      <c r="AR519">
        <v>40</v>
      </c>
      <c r="AS519" t="s">
        <v>5455</v>
      </c>
      <c r="AT519">
        <v>0</v>
      </c>
      <c r="AU519">
        <v>0</v>
      </c>
      <c r="AV519">
        <v>0</v>
      </c>
    </row>
    <row r="520" spans="1:48">
      <c r="A520" s="1">
        <f>_xlfn.XLOOKUP(J520,数据!E:E,数据!A:A)</f>
        <v>2</v>
      </c>
      <c r="B520" s="1">
        <f>_xlfn.XLOOKUP(J520,数据!E:E,数据!B:B)</f>
        <v>7</v>
      </c>
      <c r="C520" s="1" t="str">
        <f>_xlfn.XLOOKUP(J520,数据!E:E,数据!J:J)</f>
        <v>空派</v>
      </c>
      <c r="D520" s="1" t="str" cm="1">
        <f t="array" ref="D520">IF(OR(C520="红单",C520="空派"),_xlfn.IFS(E520="未开售","新品首批发货",F520&lt;E520,"新品首批发货",F520-E520&lt;=60,"新品期补货空运",F520-E520&gt;60,"老品应急空运"),"海运，不进行分析")</f>
        <v>新品首批发货</v>
      </c>
      <c r="E520" s="2">
        <v>46081</v>
      </c>
      <c r="F520" s="2">
        <f>_xlfn.XLOOKUP(J520,数据!E:E,数据!C:C)</f>
        <v>46063</v>
      </c>
      <c r="G520" s="4">
        <v>211</v>
      </c>
      <c r="H520" s="4">
        <f t="shared" si="26"/>
        <v>25.32</v>
      </c>
      <c r="I520" s="4">
        <f>_xlfn.XLOOKUP(J520,数据!E:E,数据!S:S)*(H520/_xlfn.XLOOKUP(J520,数据!E:E,数据!X:X))</f>
        <v>1339.66434258949</v>
      </c>
      <c r="J520" t="s">
        <v>1089</v>
      </c>
      <c r="K520" t="s">
        <v>31</v>
      </c>
      <c r="L520" t="s">
        <v>2374</v>
      </c>
      <c r="M520" t="s">
        <v>5448</v>
      </c>
      <c r="N520" t="s">
        <v>2376</v>
      </c>
      <c r="O520" t="s">
        <v>2400</v>
      </c>
      <c r="P520" t="s">
        <v>2378</v>
      </c>
      <c r="Q520" t="s">
        <v>2379</v>
      </c>
      <c r="S520" t="s">
        <v>2511</v>
      </c>
      <c r="T520" s="3" t="s">
        <v>5449</v>
      </c>
      <c r="U520" t="s">
        <v>5255</v>
      </c>
      <c r="V520" t="s">
        <v>5245</v>
      </c>
      <c r="W520" t="s">
        <v>5450</v>
      </c>
      <c r="X520" t="s">
        <v>2403</v>
      </c>
      <c r="Y520" t="s">
        <v>5451</v>
      </c>
      <c r="Z520" t="s">
        <v>2405</v>
      </c>
      <c r="AA520" t="s">
        <v>5449</v>
      </c>
      <c r="AB520" t="s">
        <v>5452</v>
      </c>
      <c r="AC520" t="s">
        <v>5453</v>
      </c>
      <c r="AD520" t="s">
        <v>5250</v>
      </c>
      <c r="AG520" t="s">
        <v>2432</v>
      </c>
      <c r="AH520" t="s">
        <v>5227</v>
      </c>
      <c r="AI520" t="s">
        <v>5228</v>
      </c>
      <c r="AJ520" t="s">
        <v>5456</v>
      </c>
      <c r="AK520" t="s">
        <v>5457</v>
      </c>
      <c r="AL520" t="s">
        <v>5458</v>
      </c>
      <c r="AM520" t="s">
        <v>5458</v>
      </c>
      <c r="AN520" t="s">
        <v>5459</v>
      </c>
      <c r="AO520" t="s">
        <v>5456</v>
      </c>
      <c r="AP520">
        <v>120</v>
      </c>
      <c r="AQ520">
        <v>120</v>
      </c>
      <c r="AR520">
        <v>120</v>
      </c>
      <c r="AS520" t="s">
        <v>5460</v>
      </c>
      <c r="AT520">
        <v>0</v>
      </c>
      <c r="AU520">
        <v>0</v>
      </c>
      <c r="AV520">
        <v>0</v>
      </c>
    </row>
    <row r="521" spans="1:48">
      <c r="A521" s="1">
        <f>_xlfn.XLOOKUP(J521,数据!E:E,数据!A:A)</f>
        <v>2</v>
      </c>
      <c r="B521" s="1">
        <f>_xlfn.XLOOKUP(J521,数据!E:E,数据!B:B)</f>
        <v>7</v>
      </c>
      <c r="C521" s="1" t="str">
        <f>_xlfn.XLOOKUP(J521,数据!E:E,数据!J:J)</f>
        <v>空派</v>
      </c>
      <c r="D521" s="1" t="str" cm="1">
        <f t="array" ref="D521">IF(OR(C521="红单",C521="空派"),_xlfn.IFS(E521="未开售","新品首批发货",F521&lt;E521,"新品首批发货",F521-E521&lt;=60,"新品期补货空运",F521-E521&gt;60,"老品应急空运"),"海运，不进行分析")</f>
        <v>老品应急空运</v>
      </c>
      <c r="E521" s="2">
        <v>45020</v>
      </c>
      <c r="F521" s="2">
        <f>_xlfn.XLOOKUP(J521,数据!E:E,数据!C:C)</f>
        <v>46063</v>
      </c>
      <c r="G521" s="4">
        <v>270</v>
      </c>
      <c r="H521" s="4">
        <f>G521*AP521/1000</f>
        <v>11.07</v>
      </c>
      <c r="I521" s="4">
        <f>_xlfn.XLOOKUP(J521,数据!E:E,数据!S:S)*(H521/_xlfn.XLOOKUP(J521,数据!E:E,数据!X:X))</f>
        <v>626.388</v>
      </c>
      <c r="J521" t="s">
        <v>1088</v>
      </c>
      <c r="K521" t="s">
        <v>224</v>
      </c>
      <c r="L521" t="s">
        <v>2374</v>
      </c>
      <c r="M521" t="s">
        <v>5461</v>
      </c>
      <c r="N521" t="s">
        <v>2376</v>
      </c>
      <c r="O521" t="s">
        <v>2377</v>
      </c>
      <c r="P521" t="s">
        <v>2378</v>
      </c>
      <c r="Q521" t="s">
        <v>2379</v>
      </c>
      <c r="S521" t="s">
        <v>2511</v>
      </c>
      <c r="T521" s="3" t="s">
        <v>5462</v>
      </c>
      <c r="U521" t="s">
        <v>5255</v>
      </c>
      <c r="V521" t="s">
        <v>5463</v>
      </c>
      <c r="W521" t="s">
        <v>5464</v>
      </c>
      <c r="X521" t="s">
        <v>2403</v>
      </c>
      <c r="Y521" t="s">
        <v>5465</v>
      </c>
      <c r="Z521" t="s">
        <v>2405</v>
      </c>
      <c r="AA521" t="s">
        <v>5462</v>
      </c>
      <c r="AB521" t="s">
        <v>5259</v>
      </c>
      <c r="AC521" t="s">
        <v>5466</v>
      </c>
      <c r="AD521" t="s">
        <v>5250</v>
      </c>
      <c r="AG521" t="s">
        <v>2432</v>
      </c>
      <c r="AH521" t="s">
        <v>5227</v>
      </c>
      <c r="AI521" t="s">
        <v>5228</v>
      </c>
      <c r="AJ521" t="s">
        <v>5467</v>
      </c>
      <c r="AK521" t="s">
        <v>5468</v>
      </c>
      <c r="AL521" t="s">
        <v>5469</v>
      </c>
      <c r="AM521" t="s">
        <v>5469</v>
      </c>
      <c r="AN521" t="s">
        <v>5470</v>
      </c>
      <c r="AO521" t="s">
        <v>5467</v>
      </c>
      <c r="AP521">
        <v>41</v>
      </c>
      <c r="AQ521">
        <v>41</v>
      </c>
      <c r="AR521">
        <v>41</v>
      </c>
      <c r="AS521" t="s">
        <v>5471</v>
      </c>
      <c r="AT521">
        <v>0</v>
      </c>
      <c r="AU521">
        <v>0</v>
      </c>
      <c r="AV521">
        <v>0</v>
      </c>
    </row>
    <row r="522" spans="1:48">
      <c r="A522" s="1">
        <f>_xlfn.XLOOKUP(J522,数据!E:E,数据!A:A)</f>
        <v>2</v>
      </c>
      <c r="B522" s="1">
        <f>_xlfn.XLOOKUP(J522,数据!E:E,数据!B:B)</f>
        <v>7</v>
      </c>
      <c r="C522" s="1" t="str">
        <f>_xlfn.XLOOKUP(J522,数据!E:E,数据!J:J)</f>
        <v>空派</v>
      </c>
      <c r="D522" s="1" t="str" cm="1">
        <f t="array" ref="D522">IF(OR(C522="红单",C522="空派"),_xlfn.IFS(E522="未开售","新品首批发货",F522&lt;E522,"新品首批发货",F522-E522&lt;=60,"新品期补货空运",F522-E522&gt;60,"老品应急空运"),"海运，不进行分析")</f>
        <v>新品期补货空运</v>
      </c>
      <c r="E522" s="2">
        <v>46058</v>
      </c>
      <c r="F522" s="2">
        <f>_xlfn.XLOOKUP(J522,数据!E:E,数据!C:C)</f>
        <v>46063</v>
      </c>
      <c r="G522" s="4">
        <v>71</v>
      </c>
      <c r="H522" s="4">
        <f>G522*AP522/1000</f>
        <v>2.84</v>
      </c>
      <c r="I522" s="4">
        <f>_xlfn.XLOOKUP(J522,数据!E:E,数据!S:S)*(H522/_xlfn.XLOOKUP(J522,数据!E:E,数据!X:X))</f>
        <v>148.601935556053</v>
      </c>
      <c r="J522" t="s">
        <v>1087</v>
      </c>
      <c r="K522" t="s">
        <v>46</v>
      </c>
      <c r="L522" t="s">
        <v>2374</v>
      </c>
      <c r="M522" t="s">
        <v>5472</v>
      </c>
      <c r="N522" t="s">
        <v>2376</v>
      </c>
      <c r="O522" t="s">
        <v>2400</v>
      </c>
      <c r="P522" t="s">
        <v>2378</v>
      </c>
      <c r="Q522" t="s">
        <v>2379</v>
      </c>
      <c r="S522" t="s">
        <v>2511</v>
      </c>
      <c r="T522" s="3" t="s">
        <v>5473</v>
      </c>
      <c r="U522" t="s">
        <v>5474</v>
      </c>
      <c r="V522" t="s">
        <v>5475</v>
      </c>
      <c r="W522" t="s">
        <v>5476</v>
      </c>
      <c r="X522" t="s">
        <v>2403</v>
      </c>
      <c r="Y522" t="s">
        <v>5477</v>
      </c>
      <c r="Z522" t="s">
        <v>2405</v>
      </c>
      <c r="AA522" t="s">
        <v>5473</v>
      </c>
      <c r="AB522" t="s">
        <v>5339</v>
      </c>
      <c r="AC522" t="s">
        <v>5478</v>
      </c>
      <c r="AD522" t="s">
        <v>5250</v>
      </c>
      <c r="AG522" t="s">
        <v>2432</v>
      </c>
      <c r="AH522" t="s">
        <v>5227</v>
      </c>
      <c r="AI522" t="s">
        <v>5228</v>
      </c>
      <c r="AJ522" t="s">
        <v>3442</v>
      </c>
      <c r="AK522" t="s">
        <v>3443</v>
      </c>
      <c r="AL522" t="s">
        <v>3444</v>
      </c>
      <c r="AM522" t="s">
        <v>3445</v>
      </c>
      <c r="AN522" t="s">
        <v>3446</v>
      </c>
      <c r="AO522" t="s">
        <v>3442</v>
      </c>
      <c r="AP522">
        <v>40</v>
      </c>
      <c r="AQ522">
        <v>40</v>
      </c>
      <c r="AR522">
        <v>40</v>
      </c>
      <c r="AS522" t="s">
        <v>5479</v>
      </c>
      <c r="AT522">
        <v>0</v>
      </c>
      <c r="AU522">
        <v>0</v>
      </c>
      <c r="AV522">
        <v>0</v>
      </c>
    </row>
    <row r="523" spans="1:48">
      <c r="A523" s="1">
        <f>_xlfn.XLOOKUP(J523,数据!E:E,数据!A:A)</f>
        <v>2</v>
      </c>
      <c r="B523" s="1">
        <f>_xlfn.XLOOKUP(J523,数据!E:E,数据!B:B)</f>
        <v>7</v>
      </c>
      <c r="C523" s="1" t="str">
        <f>_xlfn.XLOOKUP(J523,数据!E:E,数据!J:J)</f>
        <v>空派</v>
      </c>
      <c r="D523" s="1" t="str" cm="1">
        <f t="array" ref="D523">IF(OR(C523="红单",C523="空派"),_xlfn.IFS(E523="未开售","新品首批发货",F523&lt;E523,"新品首批发货",F523-E523&lt;=60,"新品期补货空运",F523-E523&gt;60,"老品应急空运"),"海运，不进行分析")</f>
        <v>老品应急空运</v>
      </c>
      <c r="E523" s="2">
        <v>45968</v>
      </c>
      <c r="F523" s="2">
        <f>_xlfn.XLOOKUP(J523,数据!E:E,数据!C:C)</f>
        <v>46063</v>
      </c>
      <c r="G523" s="4">
        <v>353</v>
      </c>
      <c r="H523" s="4">
        <f>G523*AP523/1000</f>
        <v>10.59</v>
      </c>
      <c r="I523" s="4">
        <f>_xlfn.XLOOKUP(J523,数据!E:E,数据!S:S)*(H523/_xlfn.XLOOKUP(J523,数据!E:E,数据!X:X))</f>
        <v>554.11778082345</v>
      </c>
      <c r="J523" t="s">
        <v>1087</v>
      </c>
      <c r="K523" t="s">
        <v>46</v>
      </c>
      <c r="L523" t="s">
        <v>2374</v>
      </c>
      <c r="M523" t="s">
        <v>5472</v>
      </c>
      <c r="N523" t="s">
        <v>2376</v>
      </c>
      <c r="O523" t="s">
        <v>2400</v>
      </c>
      <c r="P523" t="s">
        <v>2378</v>
      </c>
      <c r="Q523" t="s">
        <v>2379</v>
      </c>
      <c r="S523" t="s">
        <v>2511</v>
      </c>
      <c r="T523" s="3" t="s">
        <v>5473</v>
      </c>
      <c r="U523" t="s">
        <v>5474</v>
      </c>
      <c r="V523" t="s">
        <v>5475</v>
      </c>
      <c r="W523" t="s">
        <v>5476</v>
      </c>
      <c r="X523" t="s">
        <v>2403</v>
      </c>
      <c r="Y523" t="s">
        <v>5477</v>
      </c>
      <c r="Z523" t="s">
        <v>2405</v>
      </c>
      <c r="AA523" t="s">
        <v>5473</v>
      </c>
      <c r="AB523" t="s">
        <v>5339</v>
      </c>
      <c r="AC523" t="s">
        <v>5478</v>
      </c>
      <c r="AD523" t="s">
        <v>5250</v>
      </c>
      <c r="AG523" t="s">
        <v>2432</v>
      </c>
      <c r="AH523" t="s">
        <v>5227</v>
      </c>
      <c r="AI523" t="s">
        <v>5228</v>
      </c>
      <c r="AJ523" t="s">
        <v>5480</v>
      </c>
      <c r="AK523" t="s">
        <v>5481</v>
      </c>
      <c r="AL523" t="s">
        <v>5482</v>
      </c>
      <c r="AM523" t="s">
        <v>5482</v>
      </c>
      <c r="AN523" t="s">
        <v>5483</v>
      </c>
      <c r="AO523" t="s">
        <v>5480</v>
      </c>
      <c r="AP523">
        <v>30</v>
      </c>
      <c r="AQ523">
        <v>30</v>
      </c>
      <c r="AR523">
        <v>30</v>
      </c>
      <c r="AS523" t="s">
        <v>5484</v>
      </c>
      <c r="AT523">
        <v>0</v>
      </c>
      <c r="AU523">
        <v>0</v>
      </c>
      <c r="AV523">
        <v>0</v>
      </c>
    </row>
    <row r="524" spans="1:48">
      <c r="A524" s="1">
        <f>_xlfn.XLOOKUP(J524,数据!E:E,数据!A:A)</f>
        <v>2</v>
      </c>
      <c r="B524" s="1">
        <f>_xlfn.XLOOKUP(J524,数据!E:E,数据!B:B)</f>
        <v>7</v>
      </c>
      <c r="C524" s="1" t="str">
        <f>_xlfn.XLOOKUP(J524,数据!E:E,数据!J:J)</f>
        <v>空派</v>
      </c>
      <c r="D524" s="1" t="str" cm="1">
        <f t="array" ref="D524">IF(OR(C524="红单",C524="空派"),_xlfn.IFS(E524="未开售","新品首批发货",F524&lt;E524,"新品首批发货",F524-E524&lt;=60,"新品期补货空运",F524-E524&gt;60,"老品应急空运"),"海运，不进行分析")</f>
        <v>新品期补货空运</v>
      </c>
      <c r="E524" s="2">
        <v>46017</v>
      </c>
      <c r="F524" s="2">
        <f>_xlfn.XLOOKUP(J524,数据!E:E,数据!C:C)</f>
        <v>46063</v>
      </c>
      <c r="G524" s="4">
        <v>490</v>
      </c>
      <c r="H524" s="4">
        <f>G524*AP524/1000</f>
        <v>75.95</v>
      </c>
      <c r="I524" s="4">
        <f>_xlfn.XLOOKUP(J524,数据!E:E,数据!S:S)*(H524/_xlfn.XLOOKUP(J524,数据!E:E,数据!X:X))</f>
        <v>3974.0552836205</v>
      </c>
      <c r="J524" t="s">
        <v>1087</v>
      </c>
      <c r="K524" t="s">
        <v>46</v>
      </c>
      <c r="L524" t="s">
        <v>2374</v>
      </c>
      <c r="M524" t="s">
        <v>5472</v>
      </c>
      <c r="N524" t="s">
        <v>2376</v>
      </c>
      <c r="O524" t="s">
        <v>2400</v>
      </c>
      <c r="P524" t="s">
        <v>2378</v>
      </c>
      <c r="Q524" t="s">
        <v>2379</v>
      </c>
      <c r="S524" t="s">
        <v>2511</v>
      </c>
      <c r="T524" s="3" t="s">
        <v>5473</v>
      </c>
      <c r="U524" t="s">
        <v>5474</v>
      </c>
      <c r="V524" t="s">
        <v>5475</v>
      </c>
      <c r="W524" t="s">
        <v>5476</v>
      </c>
      <c r="X524" t="s">
        <v>2403</v>
      </c>
      <c r="Y524" t="s">
        <v>5477</v>
      </c>
      <c r="Z524" t="s">
        <v>2405</v>
      </c>
      <c r="AA524" t="s">
        <v>5473</v>
      </c>
      <c r="AB524" t="s">
        <v>5339</v>
      </c>
      <c r="AC524" t="s">
        <v>5478</v>
      </c>
      <c r="AD524" t="s">
        <v>5250</v>
      </c>
      <c r="AG524" t="s">
        <v>2432</v>
      </c>
      <c r="AH524" t="s">
        <v>5227</v>
      </c>
      <c r="AI524" t="s">
        <v>5228</v>
      </c>
      <c r="AJ524" t="s">
        <v>5485</v>
      </c>
      <c r="AK524" t="s">
        <v>5486</v>
      </c>
      <c r="AL524" t="s">
        <v>5487</v>
      </c>
      <c r="AM524" t="s">
        <v>5487</v>
      </c>
      <c r="AN524" t="s">
        <v>5488</v>
      </c>
      <c r="AO524" t="s">
        <v>5485</v>
      </c>
      <c r="AP524">
        <v>155</v>
      </c>
      <c r="AQ524">
        <v>155</v>
      </c>
      <c r="AR524">
        <v>155</v>
      </c>
      <c r="AS524" t="s">
        <v>5489</v>
      </c>
      <c r="AT524">
        <v>0</v>
      </c>
      <c r="AU524">
        <v>0</v>
      </c>
      <c r="AV524">
        <v>0</v>
      </c>
    </row>
    <row r="525" spans="1:48">
      <c r="A525" s="1">
        <f>_xlfn.XLOOKUP(J525,数据!E:E,数据!A:A)</f>
        <v>2</v>
      </c>
      <c r="B525" s="1">
        <f>_xlfn.XLOOKUP(J525,数据!E:E,数据!B:B)</f>
        <v>7</v>
      </c>
      <c r="C525" s="1" t="str">
        <f>_xlfn.XLOOKUP(J525,数据!E:E,数据!J:J)</f>
        <v>空派</v>
      </c>
      <c r="D525" s="1" t="str" cm="1">
        <f t="array" ref="D525">IF(OR(C525="红单",C525="空派"),_xlfn.IFS(E525="未开售","新品首批发货",F525&lt;E525,"新品首批发货",F525-E525&lt;=60,"新品期补货空运",F525-E525&gt;60,"老品应急空运"),"海运，不进行分析")</f>
        <v>新品首批发货</v>
      </c>
      <c r="E525" s="2">
        <v>46072</v>
      </c>
      <c r="F525" s="2">
        <f>_xlfn.XLOOKUP(J525,数据!E:E,数据!C:C)</f>
        <v>46063</v>
      </c>
      <c r="G525" s="4">
        <v>115</v>
      </c>
      <c r="H525" s="4">
        <f>G525*AP525/1000</f>
        <v>2.3</v>
      </c>
      <c r="I525" s="4">
        <f>_xlfn.XLOOKUP(J525,数据!E:E,数据!S:S)*(H525/_xlfn.XLOOKUP(J525,数据!E:E,数据!X:X))</f>
        <v>134.242378703306</v>
      </c>
      <c r="J525" t="s">
        <v>1086</v>
      </c>
      <c r="K525" t="s">
        <v>51</v>
      </c>
      <c r="L525" t="s">
        <v>2374</v>
      </c>
      <c r="M525" t="s">
        <v>5490</v>
      </c>
      <c r="N525" t="s">
        <v>2376</v>
      </c>
      <c r="O525" t="s">
        <v>2400</v>
      </c>
      <c r="P525" t="s">
        <v>2378</v>
      </c>
      <c r="Q525" t="s">
        <v>2379</v>
      </c>
      <c r="S525" t="s">
        <v>2511</v>
      </c>
      <c r="T525" s="3" t="s">
        <v>5491</v>
      </c>
      <c r="U525" t="s">
        <v>5255</v>
      </c>
      <c r="V525" t="s">
        <v>5492</v>
      </c>
      <c r="W525" t="s">
        <v>5493</v>
      </c>
      <c r="X525" t="s">
        <v>2403</v>
      </c>
      <c r="Y525" t="s">
        <v>5494</v>
      </c>
      <c r="Z525" t="s">
        <v>2405</v>
      </c>
      <c r="AA525" t="s">
        <v>5491</v>
      </c>
      <c r="AB525" t="s">
        <v>5495</v>
      </c>
      <c r="AC525" t="s">
        <v>5496</v>
      </c>
      <c r="AD525" t="s">
        <v>5250</v>
      </c>
      <c r="AG525" t="s">
        <v>2432</v>
      </c>
      <c r="AH525" t="s">
        <v>5227</v>
      </c>
      <c r="AI525" t="s">
        <v>5228</v>
      </c>
      <c r="AJ525" t="s">
        <v>5497</v>
      </c>
      <c r="AK525" t="s">
        <v>5498</v>
      </c>
      <c r="AL525" t="s">
        <v>5499</v>
      </c>
      <c r="AM525" t="s">
        <v>3781</v>
      </c>
      <c r="AN525" t="s">
        <v>5500</v>
      </c>
      <c r="AO525" t="s">
        <v>5497</v>
      </c>
      <c r="AP525">
        <v>20</v>
      </c>
      <c r="AQ525">
        <v>20</v>
      </c>
      <c r="AR525">
        <v>20</v>
      </c>
      <c r="AS525" t="s">
        <v>5266</v>
      </c>
      <c r="AT525">
        <v>0</v>
      </c>
      <c r="AU525">
        <v>0</v>
      </c>
      <c r="AV525">
        <v>0</v>
      </c>
    </row>
    <row r="526" spans="1:48">
      <c r="A526" s="1">
        <f>_xlfn.XLOOKUP(J526,数据!E:E,数据!A:A)</f>
        <v>2</v>
      </c>
      <c r="B526" s="1">
        <f>_xlfn.XLOOKUP(J526,数据!E:E,数据!B:B)</f>
        <v>7</v>
      </c>
      <c r="C526" s="1" t="str">
        <f>_xlfn.XLOOKUP(J526,数据!E:E,数据!J:J)</f>
        <v>空派</v>
      </c>
      <c r="D526" s="1" t="str" cm="1">
        <f t="array" ref="D526">IF(OR(C526="红单",C526="空派"),_xlfn.IFS(E526="未开售","新品首批发货",F526&lt;E526,"新品首批发货",F526-E526&lt;=60,"新品期补货空运",F526-E526&gt;60,"老品应急空运"),"海运，不进行分析")</f>
        <v>新品首批发货</v>
      </c>
      <c r="E526" s="2">
        <v>46072</v>
      </c>
      <c r="F526" s="2">
        <f>_xlfn.XLOOKUP(J526,数据!E:E,数据!C:C)</f>
        <v>46063</v>
      </c>
      <c r="G526" s="4">
        <v>115</v>
      </c>
      <c r="H526" s="4">
        <f>G526*AP526/1000</f>
        <v>3.45</v>
      </c>
      <c r="I526" s="4">
        <f>_xlfn.XLOOKUP(J526,数据!E:E,数据!S:S)*(H526/_xlfn.XLOOKUP(J526,数据!E:E,数据!X:X))</f>
        <v>201.363568054959</v>
      </c>
      <c r="J526" t="s">
        <v>1086</v>
      </c>
      <c r="K526" t="s">
        <v>51</v>
      </c>
      <c r="L526" t="s">
        <v>2374</v>
      </c>
      <c r="M526" t="s">
        <v>5490</v>
      </c>
      <c r="N526" t="s">
        <v>2376</v>
      </c>
      <c r="O526" t="s">
        <v>2400</v>
      </c>
      <c r="P526" t="s">
        <v>2378</v>
      </c>
      <c r="Q526" t="s">
        <v>2379</v>
      </c>
      <c r="S526" t="s">
        <v>2511</v>
      </c>
      <c r="T526" s="3" t="s">
        <v>5491</v>
      </c>
      <c r="U526" t="s">
        <v>5255</v>
      </c>
      <c r="V526" t="s">
        <v>5492</v>
      </c>
      <c r="W526" t="s">
        <v>5493</v>
      </c>
      <c r="X526" t="s">
        <v>2403</v>
      </c>
      <c r="Y526" t="s">
        <v>5494</v>
      </c>
      <c r="Z526" t="s">
        <v>2405</v>
      </c>
      <c r="AA526" t="s">
        <v>5491</v>
      </c>
      <c r="AB526" t="s">
        <v>5495</v>
      </c>
      <c r="AC526" t="s">
        <v>5496</v>
      </c>
      <c r="AD526" t="s">
        <v>5250</v>
      </c>
      <c r="AG526" t="s">
        <v>2432</v>
      </c>
      <c r="AH526" t="s">
        <v>5227</v>
      </c>
      <c r="AI526" t="s">
        <v>5228</v>
      </c>
      <c r="AJ526" t="s">
        <v>5501</v>
      </c>
      <c r="AK526" t="s">
        <v>5502</v>
      </c>
      <c r="AL526" t="s">
        <v>5503</v>
      </c>
      <c r="AM526" t="s">
        <v>3781</v>
      </c>
      <c r="AN526" t="s">
        <v>5504</v>
      </c>
      <c r="AO526" t="s">
        <v>5501</v>
      </c>
      <c r="AP526">
        <v>30</v>
      </c>
      <c r="AQ526">
        <v>30</v>
      </c>
      <c r="AR526">
        <v>30</v>
      </c>
      <c r="AS526" t="s">
        <v>5261</v>
      </c>
      <c r="AT526">
        <v>0</v>
      </c>
      <c r="AU526">
        <v>0</v>
      </c>
      <c r="AV526">
        <v>0</v>
      </c>
    </row>
    <row r="527" spans="1:48">
      <c r="A527" s="1">
        <f>_xlfn.XLOOKUP(J527,数据!E:E,数据!A:A)</f>
        <v>2</v>
      </c>
      <c r="B527" s="1">
        <f>_xlfn.XLOOKUP(J527,数据!E:E,数据!B:B)</f>
        <v>7</v>
      </c>
      <c r="C527" s="1" t="str">
        <f>_xlfn.XLOOKUP(J527,数据!E:E,数据!J:J)</f>
        <v>空派</v>
      </c>
      <c r="D527" s="1" t="str" cm="1">
        <f t="array" ref="D527">IF(OR(C527="红单",C527="空派"),_xlfn.IFS(E527="未开售","新品首批发货",F527&lt;E527,"新品首批发货",F527-E527&lt;=60,"新品期补货空运",F527-E527&gt;60,"老品应急空运"),"海运，不进行分析")</f>
        <v>新品首批发货</v>
      </c>
      <c r="E527" s="2">
        <v>46072</v>
      </c>
      <c r="F527" s="2">
        <f>_xlfn.XLOOKUP(J527,数据!E:E,数据!C:C)</f>
        <v>46063</v>
      </c>
      <c r="G527" s="4">
        <v>115</v>
      </c>
      <c r="H527" s="4">
        <f>G527*AP527/1000</f>
        <v>2.3</v>
      </c>
      <c r="I527" s="4">
        <f>_xlfn.XLOOKUP(J527,数据!E:E,数据!S:S)*(H527/_xlfn.XLOOKUP(J527,数据!E:E,数据!X:X))</f>
        <v>134.242378703306</v>
      </c>
      <c r="J527" t="s">
        <v>1086</v>
      </c>
      <c r="K527" t="s">
        <v>51</v>
      </c>
      <c r="L527" t="s">
        <v>2374</v>
      </c>
      <c r="M527" t="s">
        <v>5490</v>
      </c>
      <c r="N527" t="s">
        <v>2376</v>
      </c>
      <c r="O527" t="s">
        <v>2400</v>
      </c>
      <c r="P527" t="s">
        <v>2378</v>
      </c>
      <c r="Q527" t="s">
        <v>2379</v>
      </c>
      <c r="S527" t="s">
        <v>2511</v>
      </c>
      <c r="T527" s="3" t="s">
        <v>5491</v>
      </c>
      <c r="U527" t="s">
        <v>5255</v>
      </c>
      <c r="V527" t="s">
        <v>5492</v>
      </c>
      <c r="W527" t="s">
        <v>5493</v>
      </c>
      <c r="X527" t="s">
        <v>2403</v>
      </c>
      <c r="Y527" t="s">
        <v>5494</v>
      </c>
      <c r="Z527" t="s">
        <v>2405</v>
      </c>
      <c r="AA527" t="s">
        <v>5491</v>
      </c>
      <c r="AB527" t="s">
        <v>5495</v>
      </c>
      <c r="AC527" t="s">
        <v>5496</v>
      </c>
      <c r="AD527" t="s">
        <v>5250</v>
      </c>
      <c r="AG527" t="s">
        <v>2432</v>
      </c>
      <c r="AH527" t="s">
        <v>5227</v>
      </c>
      <c r="AI527" t="s">
        <v>5228</v>
      </c>
      <c r="AJ527" t="s">
        <v>4651</v>
      </c>
      <c r="AK527" t="s">
        <v>4652</v>
      </c>
      <c r="AL527" t="s">
        <v>4653</v>
      </c>
      <c r="AM527" t="s">
        <v>3781</v>
      </c>
      <c r="AN527" t="s">
        <v>4654</v>
      </c>
      <c r="AO527" t="s">
        <v>4651</v>
      </c>
      <c r="AP527">
        <v>20</v>
      </c>
      <c r="AQ527">
        <v>20</v>
      </c>
      <c r="AR527">
        <v>20</v>
      </c>
      <c r="AS527" t="s">
        <v>5266</v>
      </c>
      <c r="AT527">
        <v>0</v>
      </c>
      <c r="AU527">
        <v>0</v>
      </c>
      <c r="AV527">
        <v>0</v>
      </c>
    </row>
    <row r="528" spans="1:48">
      <c r="A528" s="1">
        <f>_xlfn.XLOOKUP(J528,数据!E:E,数据!A:A)</f>
        <v>2</v>
      </c>
      <c r="B528" s="1">
        <f>_xlfn.XLOOKUP(J528,数据!E:E,数据!B:B)</f>
        <v>7</v>
      </c>
      <c r="C528" s="1" t="str">
        <f>_xlfn.XLOOKUP(J528,数据!E:E,数据!J:J)</f>
        <v>空派</v>
      </c>
      <c r="D528" s="1" t="str" cm="1">
        <f t="array" ref="D528">IF(OR(C528="红单",C528="空派"),_xlfn.IFS(E528="未开售","新品首批发货",F528&lt;E528,"新品首批发货",F528-E528&lt;=60,"新品期补货空运",F528-E528&gt;60,"老品应急空运"),"海运，不进行分析")</f>
        <v>新品首批发货</v>
      </c>
      <c r="E528" s="2">
        <v>46072</v>
      </c>
      <c r="F528" s="2">
        <f>_xlfn.XLOOKUP(J528,数据!E:E,数据!C:C)</f>
        <v>46063</v>
      </c>
      <c r="G528" s="4">
        <v>115</v>
      </c>
      <c r="H528" s="4">
        <f>G528*AP528/1000</f>
        <v>3.45</v>
      </c>
      <c r="I528" s="4">
        <f>_xlfn.XLOOKUP(J528,数据!E:E,数据!S:S)*(H528/_xlfn.XLOOKUP(J528,数据!E:E,数据!X:X))</f>
        <v>201.363568054959</v>
      </c>
      <c r="J528" t="s">
        <v>1086</v>
      </c>
      <c r="K528" t="s">
        <v>51</v>
      </c>
      <c r="L528" t="s">
        <v>2374</v>
      </c>
      <c r="M528" t="s">
        <v>5490</v>
      </c>
      <c r="N528" t="s">
        <v>2376</v>
      </c>
      <c r="O528" t="s">
        <v>2400</v>
      </c>
      <c r="P528" t="s">
        <v>2378</v>
      </c>
      <c r="Q528" t="s">
        <v>2379</v>
      </c>
      <c r="S528" t="s">
        <v>2511</v>
      </c>
      <c r="T528" s="3" t="s">
        <v>5491</v>
      </c>
      <c r="U528" t="s">
        <v>5255</v>
      </c>
      <c r="V528" t="s">
        <v>5492</v>
      </c>
      <c r="W528" t="s">
        <v>5493</v>
      </c>
      <c r="X528" t="s">
        <v>2403</v>
      </c>
      <c r="Y528" t="s">
        <v>5494</v>
      </c>
      <c r="Z528" t="s">
        <v>2405</v>
      </c>
      <c r="AA528" t="s">
        <v>5491</v>
      </c>
      <c r="AB528" t="s">
        <v>5495</v>
      </c>
      <c r="AC528" t="s">
        <v>5496</v>
      </c>
      <c r="AD528" t="s">
        <v>5250</v>
      </c>
      <c r="AG528" t="s">
        <v>2432</v>
      </c>
      <c r="AH528" t="s">
        <v>5227</v>
      </c>
      <c r="AI528" t="s">
        <v>5228</v>
      </c>
      <c r="AJ528" t="s">
        <v>4646</v>
      </c>
      <c r="AK528" t="s">
        <v>4647</v>
      </c>
      <c r="AL528" t="s">
        <v>4648</v>
      </c>
      <c r="AM528" t="s">
        <v>3781</v>
      </c>
      <c r="AN528" t="s">
        <v>4649</v>
      </c>
      <c r="AO528" t="s">
        <v>4646</v>
      </c>
      <c r="AP528">
        <v>30</v>
      </c>
      <c r="AQ528">
        <v>30</v>
      </c>
      <c r="AR528">
        <v>30</v>
      </c>
      <c r="AS528" t="s">
        <v>5261</v>
      </c>
      <c r="AT528">
        <v>0</v>
      </c>
      <c r="AU528">
        <v>0</v>
      </c>
      <c r="AV528">
        <v>0</v>
      </c>
    </row>
    <row r="529" spans="1:48">
      <c r="A529" s="1">
        <f>_xlfn.XLOOKUP(J529,数据!E:E,数据!A:A)</f>
        <v>2</v>
      </c>
      <c r="B529" s="1">
        <f>_xlfn.XLOOKUP(J529,数据!E:E,数据!B:B)</f>
        <v>7</v>
      </c>
      <c r="C529" s="1" t="str">
        <f>_xlfn.XLOOKUP(J529,数据!E:E,数据!J:J)</f>
        <v>空派</v>
      </c>
      <c r="D529" s="1" t="str" cm="1">
        <f t="array" ref="D529">IF(OR(C529="红单",C529="空派"),_xlfn.IFS(E529="未开售","新品首批发货",F529&lt;E529,"新品首批发货",F529-E529&lt;=60,"新品期补货空运",F529-E529&gt;60,"老品应急空运"),"海运，不进行分析")</f>
        <v>新品首批发货</v>
      </c>
      <c r="E529" s="2">
        <v>46082</v>
      </c>
      <c r="F529" s="2">
        <f>_xlfn.XLOOKUP(J529,数据!E:E,数据!C:C)</f>
        <v>46063</v>
      </c>
      <c r="G529" s="4">
        <v>115</v>
      </c>
      <c r="H529" s="4">
        <f>G529*AP529/1000</f>
        <v>3.45</v>
      </c>
      <c r="I529" s="4">
        <f>_xlfn.XLOOKUP(J529,数据!E:E,数据!S:S)*(H529/_xlfn.XLOOKUP(J529,数据!E:E,数据!X:X))</f>
        <v>201.363568054959</v>
      </c>
      <c r="J529" t="s">
        <v>1086</v>
      </c>
      <c r="K529" t="s">
        <v>51</v>
      </c>
      <c r="L529" t="s">
        <v>2374</v>
      </c>
      <c r="M529" t="s">
        <v>5490</v>
      </c>
      <c r="N529" t="s">
        <v>2376</v>
      </c>
      <c r="O529" t="s">
        <v>2400</v>
      </c>
      <c r="P529" t="s">
        <v>2378</v>
      </c>
      <c r="Q529" t="s">
        <v>2379</v>
      </c>
      <c r="S529" t="s">
        <v>2511</v>
      </c>
      <c r="T529" s="3" t="s">
        <v>5491</v>
      </c>
      <c r="U529" t="s">
        <v>5255</v>
      </c>
      <c r="V529" t="s">
        <v>5492</v>
      </c>
      <c r="W529" t="s">
        <v>5493</v>
      </c>
      <c r="X529" t="s">
        <v>2403</v>
      </c>
      <c r="Y529" t="s">
        <v>5494</v>
      </c>
      <c r="Z529" t="s">
        <v>2405</v>
      </c>
      <c r="AA529" t="s">
        <v>5491</v>
      </c>
      <c r="AB529" t="s">
        <v>5495</v>
      </c>
      <c r="AC529" t="s">
        <v>5496</v>
      </c>
      <c r="AD529" t="s">
        <v>5250</v>
      </c>
      <c r="AG529" t="s">
        <v>2432</v>
      </c>
      <c r="AH529" t="s">
        <v>5227</v>
      </c>
      <c r="AI529" t="s">
        <v>5228</v>
      </c>
      <c r="AJ529" t="s">
        <v>5505</v>
      </c>
      <c r="AK529" t="s">
        <v>5506</v>
      </c>
      <c r="AL529" t="s">
        <v>5507</v>
      </c>
      <c r="AM529" t="s">
        <v>3781</v>
      </c>
      <c r="AN529" t="s">
        <v>5508</v>
      </c>
      <c r="AO529" t="s">
        <v>5505</v>
      </c>
      <c r="AP529">
        <v>30</v>
      </c>
      <c r="AQ529">
        <v>30</v>
      </c>
      <c r="AR529">
        <v>30</v>
      </c>
      <c r="AS529" t="s">
        <v>5261</v>
      </c>
      <c r="AT529">
        <v>0</v>
      </c>
      <c r="AU529">
        <v>0</v>
      </c>
      <c r="AV529">
        <v>0</v>
      </c>
    </row>
    <row r="530" spans="1:48">
      <c r="A530" s="1">
        <f>_xlfn.XLOOKUP(J530,数据!E:E,数据!A:A)</f>
        <v>2</v>
      </c>
      <c r="B530" s="1">
        <f>_xlfn.XLOOKUP(J530,数据!E:E,数据!B:B)</f>
        <v>7</v>
      </c>
      <c r="C530" s="1" t="str">
        <f>_xlfn.XLOOKUP(J530,数据!E:E,数据!J:J)</f>
        <v>空派</v>
      </c>
      <c r="D530" s="1" t="str" cm="1">
        <f t="array" ref="D530">IF(OR(C530="红单",C530="空派"),_xlfn.IFS(E530="未开售","新品首批发货",F530&lt;E530,"新品首批发货",F530-E530&lt;=60,"新品期补货空运",F530-E530&gt;60,"老品应急空运"),"海运，不进行分析")</f>
        <v>新品首批发货</v>
      </c>
      <c r="E530" s="2">
        <v>46083</v>
      </c>
      <c r="F530" s="2">
        <f>_xlfn.XLOOKUP(J530,数据!E:E,数据!C:C)</f>
        <v>46063</v>
      </c>
      <c r="G530" s="4">
        <v>115</v>
      </c>
      <c r="H530" s="4">
        <f>G530*AP530/1000</f>
        <v>2.3</v>
      </c>
      <c r="I530" s="4">
        <f>_xlfn.XLOOKUP(J530,数据!E:E,数据!S:S)*(H530/_xlfn.XLOOKUP(J530,数据!E:E,数据!X:X))</f>
        <v>134.242378703306</v>
      </c>
      <c r="J530" t="s">
        <v>1086</v>
      </c>
      <c r="K530" t="s">
        <v>51</v>
      </c>
      <c r="L530" t="s">
        <v>2374</v>
      </c>
      <c r="M530" t="s">
        <v>5490</v>
      </c>
      <c r="N530" t="s">
        <v>2376</v>
      </c>
      <c r="O530" t="s">
        <v>2400</v>
      </c>
      <c r="P530" t="s">
        <v>2378</v>
      </c>
      <c r="Q530" t="s">
        <v>2379</v>
      </c>
      <c r="S530" t="s">
        <v>2511</v>
      </c>
      <c r="T530" s="3" t="s">
        <v>5491</v>
      </c>
      <c r="U530" t="s">
        <v>5255</v>
      </c>
      <c r="V530" t="s">
        <v>5492</v>
      </c>
      <c r="W530" t="s">
        <v>5493</v>
      </c>
      <c r="X530" t="s">
        <v>2403</v>
      </c>
      <c r="Y530" t="s">
        <v>5494</v>
      </c>
      <c r="Z530" t="s">
        <v>2405</v>
      </c>
      <c r="AA530" t="s">
        <v>5491</v>
      </c>
      <c r="AB530" t="s">
        <v>5495</v>
      </c>
      <c r="AC530" t="s">
        <v>5496</v>
      </c>
      <c r="AD530" t="s">
        <v>5250</v>
      </c>
      <c r="AG530" t="s">
        <v>2432</v>
      </c>
      <c r="AH530" t="s">
        <v>5227</v>
      </c>
      <c r="AI530" t="s">
        <v>5228</v>
      </c>
      <c r="AJ530" t="s">
        <v>4123</v>
      </c>
      <c r="AK530" t="s">
        <v>4124</v>
      </c>
      <c r="AL530" t="s">
        <v>4125</v>
      </c>
      <c r="AM530" t="s">
        <v>3781</v>
      </c>
      <c r="AN530" t="s">
        <v>4126</v>
      </c>
      <c r="AO530" t="s">
        <v>4123</v>
      </c>
      <c r="AP530">
        <v>20</v>
      </c>
      <c r="AQ530">
        <v>20</v>
      </c>
      <c r="AR530">
        <v>20</v>
      </c>
      <c r="AS530" t="s">
        <v>5266</v>
      </c>
      <c r="AT530">
        <v>0</v>
      </c>
      <c r="AU530">
        <v>0</v>
      </c>
      <c r="AV530">
        <v>0</v>
      </c>
    </row>
    <row r="531" spans="1:48">
      <c r="A531" s="1">
        <f>_xlfn.XLOOKUP(J531,数据!E:E,数据!A:A)</f>
        <v>2</v>
      </c>
      <c r="B531" s="1">
        <f>_xlfn.XLOOKUP(J531,数据!E:E,数据!B:B)</f>
        <v>7</v>
      </c>
      <c r="C531" s="1" t="str">
        <f>_xlfn.XLOOKUP(J531,数据!E:E,数据!J:J)</f>
        <v>空派</v>
      </c>
      <c r="D531" s="1" t="str" cm="1">
        <f t="array" ref="D531">IF(OR(C531="红单",C531="空派"),_xlfn.IFS(E531="未开售","新品首批发货",F531&lt;E531,"新品首批发货",F531-E531&lt;=60,"新品期补货空运",F531-E531&gt;60,"老品应急空运"),"海运，不进行分析")</f>
        <v>新品期补货空运</v>
      </c>
      <c r="E531" s="2">
        <v>46035</v>
      </c>
      <c r="F531" s="2">
        <f>_xlfn.XLOOKUP(J531,数据!E:E,数据!C:C)</f>
        <v>46063</v>
      </c>
      <c r="G531" s="4">
        <v>101</v>
      </c>
      <c r="H531" s="4">
        <f>G531*AP531/1000</f>
        <v>4.04</v>
      </c>
      <c r="I531" s="4">
        <f>_xlfn.XLOOKUP(J531,数据!E:E,数据!S:S)*(H531/_xlfn.XLOOKUP(J531,数据!E:E,数据!X:X))</f>
        <v>235.799656504938</v>
      </c>
      <c r="J531" t="s">
        <v>1086</v>
      </c>
      <c r="K531" t="s">
        <v>51</v>
      </c>
      <c r="L531" t="s">
        <v>2374</v>
      </c>
      <c r="M531" t="s">
        <v>5490</v>
      </c>
      <c r="N531" t="s">
        <v>2376</v>
      </c>
      <c r="O531" t="s">
        <v>2400</v>
      </c>
      <c r="P531" t="s">
        <v>2378</v>
      </c>
      <c r="Q531" t="s">
        <v>2379</v>
      </c>
      <c r="S531" t="s">
        <v>2511</v>
      </c>
      <c r="T531" s="3" t="s">
        <v>5491</v>
      </c>
      <c r="U531" t="s">
        <v>5255</v>
      </c>
      <c r="V531" t="s">
        <v>5492</v>
      </c>
      <c r="W531" t="s">
        <v>5493</v>
      </c>
      <c r="X531" t="s">
        <v>2403</v>
      </c>
      <c r="Y531" t="s">
        <v>5494</v>
      </c>
      <c r="Z531" t="s">
        <v>2405</v>
      </c>
      <c r="AA531" t="s">
        <v>5491</v>
      </c>
      <c r="AB531" t="s">
        <v>5495</v>
      </c>
      <c r="AC531" t="s">
        <v>5496</v>
      </c>
      <c r="AD531" t="s">
        <v>5250</v>
      </c>
      <c r="AG531" t="s">
        <v>2432</v>
      </c>
      <c r="AH531" t="s">
        <v>5227</v>
      </c>
      <c r="AI531" t="s">
        <v>5228</v>
      </c>
      <c r="AJ531" t="s">
        <v>5509</v>
      </c>
      <c r="AK531" t="s">
        <v>5510</v>
      </c>
      <c r="AL531" t="s">
        <v>5511</v>
      </c>
      <c r="AM531" t="s">
        <v>5511</v>
      </c>
      <c r="AN531" t="s">
        <v>5512</v>
      </c>
      <c r="AO531" t="s">
        <v>5509</v>
      </c>
      <c r="AP531">
        <v>40</v>
      </c>
      <c r="AQ531">
        <v>40</v>
      </c>
      <c r="AR531">
        <v>40</v>
      </c>
      <c r="AS531" t="s">
        <v>5513</v>
      </c>
      <c r="AT531">
        <v>0</v>
      </c>
      <c r="AU531">
        <v>0</v>
      </c>
      <c r="AV531">
        <v>0</v>
      </c>
    </row>
    <row r="532" spans="1:48">
      <c r="A532" s="1">
        <f>_xlfn.XLOOKUP(J532,数据!E:E,数据!A:A)</f>
        <v>2</v>
      </c>
      <c r="B532" s="1">
        <f>_xlfn.XLOOKUP(J532,数据!E:E,数据!B:B)</f>
        <v>7</v>
      </c>
      <c r="C532" s="1" t="str">
        <f>_xlfn.XLOOKUP(J532,数据!E:E,数据!J:J)</f>
        <v>空派</v>
      </c>
      <c r="D532" s="1" t="str" cm="1">
        <f t="array" ref="D532">IF(OR(C532="红单",C532="空派"),_xlfn.IFS(E532="未开售","新品首批发货",F532&lt;E532,"新品首批发货",F532-E532&lt;=60,"新品期补货空运",F532-E532&gt;60,"老品应急空运"),"海运，不进行分析")</f>
        <v>老品应急空运</v>
      </c>
      <c r="E532" s="2">
        <v>45832</v>
      </c>
      <c r="F532" s="2">
        <f>_xlfn.XLOOKUP(J532,数据!E:E,数据!C:C)</f>
        <v>46063</v>
      </c>
      <c r="G532" s="4">
        <v>200</v>
      </c>
      <c r="H532" s="4">
        <f>G532*AP532/1000</f>
        <v>2</v>
      </c>
      <c r="I532" s="4">
        <f>_xlfn.XLOOKUP(J532,数据!E:E,数据!S:S)*(H532/_xlfn.XLOOKUP(J532,数据!E:E,数据!X:X))</f>
        <v>116.732503220266</v>
      </c>
      <c r="J532" t="s">
        <v>1086</v>
      </c>
      <c r="K532" t="s">
        <v>51</v>
      </c>
      <c r="L532" t="s">
        <v>2374</v>
      </c>
      <c r="M532" t="s">
        <v>5490</v>
      </c>
      <c r="N532" t="s">
        <v>2376</v>
      </c>
      <c r="O532" t="s">
        <v>2400</v>
      </c>
      <c r="P532" t="s">
        <v>2378</v>
      </c>
      <c r="Q532" t="s">
        <v>2379</v>
      </c>
      <c r="S532" t="s">
        <v>2511</v>
      </c>
      <c r="T532" s="3" t="s">
        <v>5491</v>
      </c>
      <c r="U532" t="s">
        <v>5255</v>
      </c>
      <c r="V532" t="s">
        <v>5492</v>
      </c>
      <c r="W532" t="s">
        <v>5493</v>
      </c>
      <c r="X532" t="s">
        <v>2403</v>
      </c>
      <c r="Y532" t="s">
        <v>5494</v>
      </c>
      <c r="Z532" t="s">
        <v>2405</v>
      </c>
      <c r="AA532" t="s">
        <v>5491</v>
      </c>
      <c r="AB532" t="s">
        <v>5495</v>
      </c>
      <c r="AC532" t="s">
        <v>5496</v>
      </c>
      <c r="AD532" t="s">
        <v>5250</v>
      </c>
      <c r="AG532" t="s">
        <v>2432</v>
      </c>
      <c r="AH532" t="s">
        <v>5227</v>
      </c>
      <c r="AI532" t="s">
        <v>5228</v>
      </c>
      <c r="AJ532" t="s">
        <v>5514</v>
      </c>
      <c r="AK532" t="s">
        <v>5515</v>
      </c>
      <c r="AL532" t="s">
        <v>5516</v>
      </c>
      <c r="AM532" t="s">
        <v>5516</v>
      </c>
      <c r="AN532" t="s">
        <v>5517</v>
      </c>
      <c r="AO532" t="s">
        <v>5514</v>
      </c>
      <c r="AP532">
        <v>10</v>
      </c>
      <c r="AQ532">
        <v>10</v>
      </c>
      <c r="AR532">
        <v>10</v>
      </c>
      <c r="AS532" t="s">
        <v>5518</v>
      </c>
      <c r="AT532">
        <v>0</v>
      </c>
      <c r="AU532">
        <v>0</v>
      </c>
      <c r="AV532">
        <v>0</v>
      </c>
    </row>
    <row r="533" spans="1:48">
      <c r="A533" s="1">
        <f>_xlfn.XLOOKUP(J533,数据!E:E,数据!A:A)</f>
        <v>2</v>
      </c>
      <c r="B533" s="1">
        <f>_xlfn.XLOOKUP(J533,数据!E:E,数据!B:B)</f>
        <v>6</v>
      </c>
      <c r="C533" s="1" t="str">
        <f>_xlfn.XLOOKUP(J533,数据!E:E,数据!J:J)</f>
        <v>空派</v>
      </c>
      <c r="D533" s="1" t="str" cm="1">
        <f t="array" ref="D533">IF(OR(C533="红单",C533="空派"),_xlfn.IFS(E533="未开售","新品首批发货",F533&lt;E533,"新品首批发货",F533-E533&lt;=60,"新品期补货空运",F533-E533&gt;60,"老品应急空运"),"海运，不进行分析")</f>
        <v>新品期补货空运</v>
      </c>
      <c r="E533" s="2">
        <v>46048</v>
      </c>
      <c r="F533" s="2">
        <f>_xlfn.XLOOKUP(J533,数据!E:E,数据!C:C)</f>
        <v>46060</v>
      </c>
      <c r="G533" s="4">
        <v>360</v>
      </c>
      <c r="H533" s="4">
        <f t="shared" ref="H533:H572" si="27">G533*AP533/1000</f>
        <v>3.6</v>
      </c>
      <c r="I533" s="4">
        <f>_xlfn.XLOOKUP(J533,数据!E:E,数据!S:S)*(H533/_xlfn.XLOOKUP(J533,数据!E:E,数据!X:X))</f>
        <v>193.493129770992</v>
      </c>
      <c r="J533" t="s">
        <v>1072</v>
      </c>
      <c r="K533" t="s">
        <v>39</v>
      </c>
      <c r="L533" t="s">
        <v>2374</v>
      </c>
      <c r="M533" t="s">
        <v>5519</v>
      </c>
      <c r="N533" t="s">
        <v>2376</v>
      </c>
      <c r="O533" t="s">
        <v>2400</v>
      </c>
      <c r="P533" t="s">
        <v>2378</v>
      </c>
      <c r="Q533" t="s">
        <v>2379</v>
      </c>
      <c r="R533" t="s">
        <v>5520</v>
      </c>
      <c r="S533" t="s">
        <v>2511</v>
      </c>
      <c r="T533" s="3" t="s">
        <v>5521</v>
      </c>
      <c r="U533" t="s">
        <v>5522</v>
      </c>
      <c r="V533" t="s">
        <v>5523</v>
      </c>
      <c r="W533" t="s">
        <v>5524</v>
      </c>
      <c r="X533" t="s">
        <v>2403</v>
      </c>
      <c r="Y533" t="s">
        <v>5525</v>
      </c>
      <c r="Z533" t="s">
        <v>2387</v>
      </c>
      <c r="AA533" t="s">
        <v>5521</v>
      </c>
      <c r="AB533" t="s">
        <v>3657</v>
      </c>
      <c r="AC533" t="s">
        <v>5526</v>
      </c>
      <c r="AD533" t="s">
        <v>5527</v>
      </c>
      <c r="AH533" t="s">
        <v>5227</v>
      </c>
      <c r="AI533" t="s">
        <v>5228</v>
      </c>
      <c r="AJ533" t="s">
        <v>4057</v>
      </c>
      <c r="AK533" t="s">
        <v>4058</v>
      </c>
      <c r="AL533" t="s">
        <v>4059</v>
      </c>
      <c r="AM533" t="s">
        <v>4060</v>
      </c>
      <c r="AN533" t="s">
        <v>4061</v>
      </c>
      <c r="AO533" t="s">
        <v>4057</v>
      </c>
      <c r="AP533">
        <v>10</v>
      </c>
      <c r="AQ533">
        <v>10</v>
      </c>
      <c r="AR533">
        <v>10</v>
      </c>
      <c r="AS533" t="s">
        <v>5528</v>
      </c>
      <c r="AT533">
        <v>0</v>
      </c>
      <c r="AU533">
        <v>0</v>
      </c>
      <c r="AV533">
        <v>0</v>
      </c>
    </row>
    <row r="534" spans="1:48">
      <c r="A534" s="1">
        <f>_xlfn.XLOOKUP(J534,数据!E:E,数据!A:A)</f>
        <v>2</v>
      </c>
      <c r="B534" s="1">
        <f>_xlfn.XLOOKUP(J534,数据!E:E,数据!B:B)</f>
        <v>6</v>
      </c>
      <c r="C534" s="1" t="str">
        <f>_xlfn.XLOOKUP(J534,数据!E:E,数据!J:J)</f>
        <v>空派</v>
      </c>
      <c r="D534" s="1" t="str" cm="1">
        <f t="array" ref="D534">IF(OR(C534="红单",C534="空派"),_xlfn.IFS(E534="未开售","新品首批发货",F534&lt;E534,"新品首批发货",F534-E534&lt;=60,"新品期补货空运",F534-E534&gt;60,"老品应急空运"),"海运，不进行分析")</f>
        <v>新品首批发货</v>
      </c>
      <c r="E534" s="2">
        <v>46079</v>
      </c>
      <c r="F534" s="2">
        <f>_xlfn.XLOOKUP(J534,数据!E:E,数据!C:C)</f>
        <v>46060</v>
      </c>
      <c r="G534" s="4">
        <v>134</v>
      </c>
      <c r="H534" s="4">
        <f t="shared" si="27"/>
        <v>14.74</v>
      </c>
      <c r="I534" s="4">
        <f>_xlfn.XLOOKUP(J534,数据!E:E,数据!S:S)*(H534/_xlfn.XLOOKUP(J534,数据!E:E,数据!X:X))</f>
        <v>792.246870229008</v>
      </c>
      <c r="J534" t="s">
        <v>1072</v>
      </c>
      <c r="K534" t="s">
        <v>39</v>
      </c>
      <c r="L534" t="s">
        <v>2374</v>
      </c>
      <c r="M534" t="s">
        <v>5519</v>
      </c>
      <c r="N534" t="s">
        <v>2376</v>
      </c>
      <c r="O534" t="s">
        <v>2400</v>
      </c>
      <c r="P534" t="s">
        <v>2378</v>
      </c>
      <c r="Q534" t="s">
        <v>2379</v>
      </c>
      <c r="R534" t="s">
        <v>5520</v>
      </c>
      <c r="S534" t="s">
        <v>2511</v>
      </c>
      <c r="T534" s="3" t="s">
        <v>5521</v>
      </c>
      <c r="U534" t="s">
        <v>5522</v>
      </c>
      <c r="V534" t="s">
        <v>5523</v>
      </c>
      <c r="W534" t="s">
        <v>5524</v>
      </c>
      <c r="X534" t="s">
        <v>2403</v>
      </c>
      <c r="Y534" t="s">
        <v>5525</v>
      </c>
      <c r="Z534" t="s">
        <v>2387</v>
      </c>
      <c r="AA534" t="s">
        <v>5521</v>
      </c>
      <c r="AB534" t="s">
        <v>3657</v>
      </c>
      <c r="AC534" t="s">
        <v>5526</v>
      </c>
      <c r="AD534" t="s">
        <v>5527</v>
      </c>
      <c r="AH534" t="s">
        <v>5227</v>
      </c>
      <c r="AI534" t="s">
        <v>5228</v>
      </c>
      <c r="AJ534" t="s">
        <v>3665</v>
      </c>
      <c r="AK534" t="s">
        <v>3666</v>
      </c>
      <c r="AL534" t="s">
        <v>3667</v>
      </c>
      <c r="AM534" t="s">
        <v>3667</v>
      </c>
      <c r="AN534" t="s">
        <v>3668</v>
      </c>
      <c r="AO534" t="s">
        <v>3665</v>
      </c>
      <c r="AP534">
        <v>110</v>
      </c>
      <c r="AQ534">
        <v>110</v>
      </c>
      <c r="AR534">
        <v>110</v>
      </c>
      <c r="AS534" t="s">
        <v>5529</v>
      </c>
      <c r="AT534">
        <v>0</v>
      </c>
      <c r="AU534">
        <v>0</v>
      </c>
      <c r="AV534">
        <v>0</v>
      </c>
    </row>
    <row r="535" spans="1:48">
      <c r="A535" s="1">
        <f>_xlfn.XLOOKUP(J535,数据!E:E,数据!A:A)</f>
        <v>2</v>
      </c>
      <c r="B535" s="1">
        <f>_xlfn.XLOOKUP(J535,数据!E:E,数据!B:B)</f>
        <v>6</v>
      </c>
      <c r="C535" s="1" t="str">
        <f>_xlfn.XLOOKUP(J535,数据!E:E,数据!J:J)</f>
        <v>空派</v>
      </c>
      <c r="D535" s="1" t="str" cm="1">
        <f t="array" ref="D535">IF(OR(C535="红单",C535="空派"),_xlfn.IFS(E535="未开售","新品首批发货",F535&lt;E535,"新品首批发货",F535-E535&lt;=60,"新品期补货空运",F535-E535&gt;60,"老品应急空运"),"海运，不进行分析")</f>
        <v>新品期补货空运</v>
      </c>
      <c r="E535" s="2">
        <v>46036</v>
      </c>
      <c r="F535" s="2">
        <f>_xlfn.XLOOKUP(J535,数据!E:E,数据!C:C)</f>
        <v>46060</v>
      </c>
      <c r="G535" s="4">
        <v>120</v>
      </c>
      <c r="H535" s="4">
        <f t="shared" si="27"/>
        <v>24</v>
      </c>
      <c r="I535" s="4">
        <f>_xlfn.XLOOKUP(J535,数据!E:E,数据!S:S)*(H535/_xlfn.XLOOKUP(J535,数据!E:E,数据!X:X))</f>
        <v>1427.75</v>
      </c>
      <c r="J535" t="s">
        <v>1074</v>
      </c>
      <c r="K535" t="s">
        <v>78</v>
      </c>
      <c r="L535" t="s">
        <v>2374</v>
      </c>
      <c r="M535" t="s">
        <v>5530</v>
      </c>
      <c r="N535" t="s">
        <v>2376</v>
      </c>
      <c r="O535" t="s">
        <v>2377</v>
      </c>
      <c r="P535" t="s">
        <v>2378</v>
      </c>
      <c r="Q535" t="s">
        <v>2379</v>
      </c>
      <c r="R535" t="s">
        <v>5531</v>
      </c>
      <c r="S535" t="s">
        <v>2511</v>
      </c>
      <c r="T535" s="3" t="s">
        <v>5521</v>
      </c>
      <c r="U535" t="s">
        <v>5532</v>
      </c>
      <c r="V535" t="s">
        <v>5533</v>
      </c>
      <c r="W535" t="s">
        <v>5534</v>
      </c>
      <c r="X535" t="s">
        <v>2403</v>
      </c>
      <c r="Y535" t="s">
        <v>5535</v>
      </c>
      <c r="Z535" t="s">
        <v>2387</v>
      </c>
      <c r="AA535" t="s">
        <v>5521</v>
      </c>
      <c r="AB535" t="s">
        <v>4261</v>
      </c>
      <c r="AC535" t="s">
        <v>5536</v>
      </c>
      <c r="AD535" t="s">
        <v>5527</v>
      </c>
      <c r="AH535" t="s">
        <v>5227</v>
      </c>
      <c r="AI535" t="s">
        <v>5228</v>
      </c>
      <c r="AJ535" t="s">
        <v>2853</v>
      </c>
      <c r="AK535" t="s">
        <v>2854</v>
      </c>
      <c r="AL535" t="s">
        <v>2855</v>
      </c>
      <c r="AM535" t="s">
        <v>2856</v>
      </c>
      <c r="AN535" t="s">
        <v>2857</v>
      </c>
      <c r="AO535" t="s">
        <v>2853</v>
      </c>
      <c r="AP535">
        <v>200</v>
      </c>
      <c r="AQ535">
        <v>200</v>
      </c>
      <c r="AR535">
        <v>200</v>
      </c>
      <c r="AS535" t="s">
        <v>5537</v>
      </c>
      <c r="AT535">
        <v>0</v>
      </c>
      <c r="AU535">
        <v>0</v>
      </c>
      <c r="AV535">
        <v>0</v>
      </c>
    </row>
    <row r="536" spans="1:48">
      <c r="A536" s="1">
        <f>_xlfn.XLOOKUP(J536,数据!E:E,数据!A:A)</f>
        <v>2</v>
      </c>
      <c r="B536" s="1">
        <f>_xlfn.XLOOKUP(J536,数据!E:E,数据!B:B)</f>
        <v>6</v>
      </c>
      <c r="C536" s="1" t="str">
        <f>_xlfn.XLOOKUP(J536,数据!E:E,数据!J:J)</f>
        <v>空派</v>
      </c>
      <c r="D536" s="1" t="str" cm="1">
        <f t="array" ref="D536">IF(OR(C536="红单",C536="空派"),_xlfn.IFS(E536="未开售","新品首批发货",F536&lt;E536,"新品首批发货",F536-E536&lt;=60,"新品期补货空运",F536-E536&gt;60,"老品应急空运"),"海运，不进行分析")</f>
        <v>新品期补货空运</v>
      </c>
      <c r="E536" s="2">
        <v>46028</v>
      </c>
      <c r="F536" s="2">
        <f>_xlfn.XLOOKUP(J536,数据!E:E,数据!C:C)</f>
        <v>46060</v>
      </c>
      <c r="G536" s="4">
        <v>143</v>
      </c>
      <c r="H536" s="4">
        <f t="shared" si="27"/>
        <v>22.88</v>
      </c>
      <c r="I536" s="4">
        <f>_xlfn.XLOOKUP(J536,数据!E:E,数据!S:S)*(H536/_xlfn.XLOOKUP(J536,数据!E:E,数据!X:X))</f>
        <v>1268.70219814241</v>
      </c>
      <c r="J536" t="s">
        <v>1080</v>
      </c>
      <c r="K536" t="s">
        <v>31</v>
      </c>
      <c r="L536" t="s">
        <v>2374</v>
      </c>
      <c r="M536" t="s">
        <v>5538</v>
      </c>
      <c r="N536" t="s">
        <v>2376</v>
      </c>
      <c r="O536" t="s">
        <v>2400</v>
      </c>
      <c r="P536" t="s">
        <v>2378</v>
      </c>
      <c r="Q536" t="s">
        <v>2379</v>
      </c>
      <c r="R536" t="s">
        <v>5539</v>
      </c>
      <c r="S536" t="s">
        <v>2511</v>
      </c>
      <c r="T536" s="3" t="s">
        <v>5540</v>
      </c>
      <c r="U536" t="s">
        <v>5541</v>
      </c>
      <c r="V536" t="s">
        <v>5542</v>
      </c>
      <c r="W536" t="s">
        <v>5543</v>
      </c>
      <c r="X536" t="s">
        <v>2403</v>
      </c>
      <c r="Y536" t="s">
        <v>5544</v>
      </c>
      <c r="Z536" t="s">
        <v>2405</v>
      </c>
      <c r="AA536" t="s">
        <v>5540</v>
      </c>
      <c r="AB536" t="s">
        <v>5248</v>
      </c>
      <c r="AC536" t="s">
        <v>5545</v>
      </c>
      <c r="AD536" t="s">
        <v>5527</v>
      </c>
      <c r="AH536" t="s">
        <v>5227</v>
      </c>
      <c r="AI536" t="s">
        <v>5228</v>
      </c>
      <c r="AJ536" t="s">
        <v>3920</v>
      </c>
      <c r="AK536" t="s">
        <v>3921</v>
      </c>
      <c r="AL536" t="s">
        <v>3922</v>
      </c>
      <c r="AM536" t="s">
        <v>2787</v>
      </c>
      <c r="AN536" t="s">
        <v>3923</v>
      </c>
      <c r="AO536" t="s">
        <v>3920</v>
      </c>
      <c r="AP536">
        <v>160</v>
      </c>
      <c r="AQ536">
        <v>160</v>
      </c>
      <c r="AR536">
        <v>160</v>
      </c>
      <c r="AS536" t="s">
        <v>5546</v>
      </c>
      <c r="AT536">
        <v>0</v>
      </c>
      <c r="AU536">
        <v>0</v>
      </c>
      <c r="AV536">
        <v>0</v>
      </c>
    </row>
    <row r="537" spans="1:48">
      <c r="A537" s="1">
        <f>_xlfn.XLOOKUP(J537,数据!E:E,数据!A:A)</f>
        <v>2</v>
      </c>
      <c r="B537" s="1">
        <f>_xlfn.XLOOKUP(J537,数据!E:E,数据!B:B)</f>
        <v>6</v>
      </c>
      <c r="C537" s="1" t="str">
        <f>_xlfn.XLOOKUP(J537,数据!E:E,数据!J:J)</f>
        <v>空派</v>
      </c>
      <c r="D537" s="1" t="str" cm="1">
        <f t="array" ref="D537">IF(OR(C537="红单",C537="空派"),_xlfn.IFS(E537="未开售","新品首批发货",F537&lt;E537,"新品首批发货",F537-E537&lt;=60,"新品期补货空运",F537-E537&gt;60,"老品应急空运"),"海运，不进行分析")</f>
        <v>新品期补货空运</v>
      </c>
      <c r="E537" s="2">
        <v>46023</v>
      </c>
      <c r="F537" s="2">
        <f>_xlfn.XLOOKUP(J537,数据!E:E,数据!C:C)</f>
        <v>46060</v>
      </c>
      <c r="G537" s="4">
        <v>144</v>
      </c>
      <c r="H537" s="4">
        <f t="shared" si="27"/>
        <v>28.8</v>
      </c>
      <c r="I537" s="4">
        <f>_xlfn.XLOOKUP(J537,数据!E:E,数据!S:S)*(H537/_xlfn.XLOOKUP(J537,数据!E:E,数据!X:X))</f>
        <v>1596.96780185759</v>
      </c>
      <c r="J537" t="s">
        <v>1080</v>
      </c>
      <c r="K537" t="s">
        <v>31</v>
      </c>
      <c r="L537" t="s">
        <v>2374</v>
      </c>
      <c r="M537" t="s">
        <v>5538</v>
      </c>
      <c r="N537" t="s">
        <v>2376</v>
      </c>
      <c r="O537" t="s">
        <v>2400</v>
      </c>
      <c r="P537" t="s">
        <v>2378</v>
      </c>
      <c r="Q537" t="s">
        <v>2379</v>
      </c>
      <c r="R537" t="s">
        <v>5539</v>
      </c>
      <c r="S537" t="s">
        <v>2511</v>
      </c>
      <c r="T537" s="3" t="s">
        <v>5540</v>
      </c>
      <c r="U537" t="s">
        <v>5541</v>
      </c>
      <c r="V537" t="s">
        <v>5542</v>
      </c>
      <c r="W537" t="s">
        <v>5543</v>
      </c>
      <c r="X537" t="s">
        <v>2403</v>
      </c>
      <c r="Y537" t="s">
        <v>5544</v>
      </c>
      <c r="Z537" t="s">
        <v>2405</v>
      </c>
      <c r="AA537" t="s">
        <v>5540</v>
      </c>
      <c r="AB537" t="s">
        <v>5248</v>
      </c>
      <c r="AC537" t="s">
        <v>5545</v>
      </c>
      <c r="AD537" t="s">
        <v>5527</v>
      </c>
      <c r="AH537" t="s">
        <v>5227</v>
      </c>
      <c r="AI537" t="s">
        <v>5228</v>
      </c>
      <c r="AJ537" t="s">
        <v>2604</v>
      </c>
      <c r="AK537" t="s">
        <v>2605</v>
      </c>
      <c r="AL537" t="s">
        <v>2606</v>
      </c>
      <c r="AM537" t="s">
        <v>2607</v>
      </c>
      <c r="AN537" t="s">
        <v>2608</v>
      </c>
      <c r="AO537" t="s">
        <v>2604</v>
      </c>
      <c r="AP537">
        <v>200</v>
      </c>
      <c r="AQ537">
        <v>200</v>
      </c>
      <c r="AR537">
        <v>200</v>
      </c>
      <c r="AS537" t="s">
        <v>5547</v>
      </c>
      <c r="AT537">
        <v>0</v>
      </c>
      <c r="AU537">
        <v>0</v>
      </c>
      <c r="AV537">
        <v>0</v>
      </c>
    </row>
    <row r="538" spans="1:48">
      <c r="A538" s="1">
        <f>_xlfn.XLOOKUP(J538,数据!E:E,数据!A:A)</f>
        <v>2</v>
      </c>
      <c r="B538" s="1">
        <f>_xlfn.XLOOKUP(J538,数据!E:E,数据!B:B)</f>
        <v>6</v>
      </c>
      <c r="C538" s="1" t="str">
        <f>_xlfn.XLOOKUP(J538,数据!E:E,数据!J:J)</f>
        <v>空派</v>
      </c>
      <c r="D538" s="1" t="str" cm="1">
        <f t="array" ref="D538">IF(OR(C538="红单",C538="空派"),_xlfn.IFS(E538="未开售","新品首批发货",F538&lt;E538,"新品首批发货",F538-E538&lt;=60,"新品期补货空运",F538-E538&gt;60,"老品应急空运"),"海运，不进行分析")</f>
        <v>新品首批发货</v>
      </c>
      <c r="E538" s="2">
        <v>46083</v>
      </c>
      <c r="F538" s="2">
        <f>_xlfn.XLOOKUP(J538,数据!E:E,数据!C:C)</f>
        <v>46060</v>
      </c>
      <c r="G538" s="4">
        <v>115</v>
      </c>
      <c r="H538" s="4">
        <f t="shared" si="27"/>
        <v>6.9</v>
      </c>
      <c r="I538" s="4">
        <f>_xlfn.XLOOKUP(J538,数据!E:E,数据!S:S)*(H538/_xlfn.XLOOKUP(J538,数据!E:E,数据!X:X))</f>
        <v>393.802123176661</v>
      </c>
      <c r="J538" t="s">
        <v>1077</v>
      </c>
      <c r="K538" t="s">
        <v>51</v>
      </c>
      <c r="L538" t="s">
        <v>2374</v>
      </c>
      <c r="M538" t="s">
        <v>5548</v>
      </c>
      <c r="N538" t="s">
        <v>2376</v>
      </c>
      <c r="O538" t="s">
        <v>2400</v>
      </c>
      <c r="P538" t="s">
        <v>2378</v>
      </c>
      <c r="Q538" t="s">
        <v>2379</v>
      </c>
      <c r="R538" t="s">
        <v>5549</v>
      </c>
      <c r="S538" t="s">
        <v>2511</v>
      </c>
      <c r="T538" s="3" t="s">
        <v>5550</v>
      </c>
      <c r="U538" t="s">
        <v>5551</v>
      </c>
      <c r="V538" t="s">
        <v>5552</v>
      </c>
      <c r="W538" t="s">
        <v>5553</v>
      </c>
      <c r="X538" t="s">
        <v>2403</v>
      </c>
      <c r="Y538" t="s">
        <v>5554</v>
      </c>
      <c r="Z538" t="s">
        <v>2405</v>
      </c>
      <c r="AA538" t="s">
        <v>5550</v>
      </c>
      <c r="AB538" t="s">
        <v>5555</v>
      </c>
      <c r="AC538" t="s">
        <v>5556</v>
      </c>
      <c r="AD538" t="s">
        <v>5527</v>
      </c>
      <c r="AH538" t="s">
        <v>5227</v>
      </c>
      <c r="AI538" t="s">
        <v>5228</v>
      </c>
      <c r="AJ538" t="s">
        <v>4123</v>
      </c>
      <c r="AK538" t="s">
        <v>4124</v>
      </c>
      <c r="AL538" t="s">
        <v>4125</v>
      </c>
      <c r="AM538" t="s">
        <v>3781</v>
      </c>
      <c r="AN538" t="s">
        <v>4126</v>
      </c>
      <c r="AO538" t="s">
        <v>4123</v>
      </c>
      <c r="AP538">
        <v>60</v>
      </c>
      <c r="AQ538">
        <v>60</v>
      </c>
      <c r="AR538">
        <v>60</v>
      </c>
      <c r="AS538" t="s">
        <v>5557</v>
      </c>
      <c r="AT538">
        <v>0</v>
      </c>
      <c r="AU538">
        <v>0</v>
      </c>
      <c r="AV538">
        <v>0</v>
      </c>
    </row>
    <row r="539" spans="1:48">
      <c r="A539" s="1">
        <f>_xlfn.XLOOKUP(J539,数据!E:E,数据!A:A)</f>
        <v>2</v>
      </c>
      <c r="B539" s="1">
        <f>_xlfn.XLOOKUP(J539,数据!E:E,数据!B:B)</f>
        <v>6</v>
      </c>
      <c r="C539" s="1" t="str">
        <f>_xlfn.XLOOKUP(J539,数据!E:E,数据!J:J)</f>
        <v>空派</v>
      </c>
      <c r="D539" s="1" t="str" cm="1">
        <f t="array" ref="D539">IF(OR(C539="红单",C539="空派"),_xlfn.IFS(E539="未开售","新品首批发货",F539&lt;E539,"新品首批发货",F539-E539&lt;=60,"新品期补货空运",F539-E539&gt;60,"老品应急空运"),"海运，不进行分析")</f>
        <v>新品首批发货</v>
      </c>
      <c r="E539" s="2">
        <v>46082</v>
      </c>
      <c r="F539" s="2">
        <f>_xlfn.XLOOKUP(J539,数据!E:E,数据!C:C)</f>
        <v>46060</v>
      </c>
      <c r="G539" s="4">
        <v>115</v>
      </c>
      <c r="H539" s="4">
        <f t="shared" si="27"/>
        <v>11.5</v>
      </c>
      <c r="I539" s="4">
        <f>_xlfn.XLOOKUP(J539,数据!E:E,数据!S:S)*(H539/_xlfn.XLOOKUP(J539,数据!E:E,数据!X:X))</f>
        <v>656.336871961102</v>
      </c>
      <c r="J539" t="s">
        <v>1077</v>
      </c>
      <c r="K539" t="s">
        <v>51</v>
      </c>
      <c r="L539" t="s">
        <v>2374</v>
      </c>
      <c r="M539" t="s">
        <v>5548</v>
      </c>
      <c r="N539" t="s">
        <v>2376</v>
      </c>
      <c r="O539" t="s">
        <v>2400</v>
      </c>
      <c r="P539" t="s">
        <v>2378</v>
      </c>
      <c r="Q539" t="s">
        <v>2379</v>
      </c>
      <c r="R539" t="s">
        <v>5549</v>
      </c>
      <c r="S539" t="s">
        <v>2511</v>
      </c>
      <c r="T539" s="3" t="s">
        <v>5550</v>
      </c>
      <c r="U539" t="s">
        <v>5551</v>
      </c>
      <c r="V539" t="s">
        <v>5552</v>
      </c>
      <c r="W539" t="s">
        <v>5553</v>
      </c>
      <c r="X539" t="s">
        <v>2403</v>
      </c>
      <c r="Y539" t="s">
        <v>5554</v>
      </c>
      <c r="Z539" t="s">
        <v>2405</v>
      </c>
      <c r="AA539" t="s">
        <v>5550</v>
      </c>
      <c r="AB539" t="s">
        <v>5555</v>
      </c>
      <c r="AC539" t="s">
        <v>5556</v>
      </c>
      <c r="AD539" t="s">
        <v>5527</v>
      </c>
      <c r="AH539" t="s">
        <v>5227</v>
      </c>
      <c r="AI539" t="s">
        <v>5228</v>
      </c>
      <c r="AJ539" t="s">
        <v>5505</v>
      </c>
      <c r="AK539" t="s">
        <v>5506</v>
      </c>
      <c r="AL539" t="s">
        <v>5507</v>
      </c>
      <c r="AM539" t="s">
        <v>3781</v>
      </c>
      <c r="AN539" t="s">
        <v>5508</v>
      </c>
      <c r="AO539" t="s">
        <v>5505</v>
      </c>
      <c r="AP539">
        <v>100</v>
      </c>
      <c r="AQ539">
        <v>100</v>
      </c>
      <c r="AR539">
        <v>100</v>
      </c>
      <c r="AS539" t="s">
        <v>5558</v>
      </c>
      <c r="AT539">
        <v>0</v>
      </c>
      <c r="AU539">
        <v>0</v>
      </c>
      <c r="AV539">
        <v>0</v>
      </c>
    </row>
    <row r="540" spans="1:48">
      <c r="A540" s="1">
        <f>_xlfn.XLOOKUP(J540,数据!E:E,数据!A:A)</f>
        <v>2</v>
      </c>
      <c r="B540" s="1">
        <f>_xlfn.XLOOKUP(J540,数据!E:E,数据!B:B)</f>
        <v>6</v>
      </c>
      <c r="C540" s="1" t="str">
        <f>_xlfn.XLOOKUP(J540,数据!E:E,数据!J:J)</f>
        <v>空派</v>
      </c>
      <c r="D540" s="1" t="str" cm="1">
        <f t="array" ref="D540">IF(OR(C540="红单",C540="空派"),_xlfn.IFS(E540="未开售","新品首批发货",F540&lt;E540,"新品首批发货",F540-E540&lt;=60,"新品期补货空运",F540-E540&gt;60,"老品应急空运"),"海运，不进行分析")</f>
        <v>新品首批发货</v>
      </c>
      <c r="E540" s="2">
        <v>46072</v>
      </c>
      <c r="F540" s="2">
        <f>_xlfn.XLOOKUP(J540,数据!E:E,数据!C:C)</f>
        <v>46060</v>
      </c>
      <c r="G540" s="4">
        <v>115</v>
      </c>
      <c r="H540" s="4">
        <f t="shared" si="27"/>
        <v>11.5</v>
      </c>
      <c r="I540" s="4">
        <f>_xlfn.XLOOKUP(J540,数据!E:E,数据!S:S)*(H540/_xlfn.XLOOKUP(J540,数据!E:E,数据!X:X))</f>
        <v>656.336871961102</v>
      </c>
      <c r="J540" t="s">
        <v>1077</v>
      </c>
      <c r="K540" t="s">
        <v>51</v>
      </c>
      <c r="L540" t="s">
        <v>2374</v>
      </c>
      <c r="M540" t="s">
        <v>5548</v>
      </c>
      <c r="N540" t="s">
        <v>2376</v>
      </c>
      <c r="O540" t="s">
        <v>2400</v>
      </c>
      <c r="P540" t="s">
        <v>2378</v>
      </c>
      <c r="Q540" t="s">
        <v>2379</v>
      </c>
      <c r="R540" t="s">
        <v>5549</v>
      </c>
      <c r="S540" t="s">
        <v>2511</v>
      </c>
      <c r="T540" s="3" t="s">
        <v>5550</v>
      </c>
      <c r="U540" t="s">
        <v>5551</v>
      </c>
      <c r="V540" t="s">
        <v>5552</v>
      </c>
      <c r="W540" t="s">
        <v>5553</v>
      </c>
      <c r="X540" t="s">
        <v>2403</v>
      </c>
      <c r="Y540" t="s">
        <v>5554</v>
      </c>
      <c r="Z540" t="s">
        <v>2405</v>
      </c>
      <c r="AA540" t="s">
        <v>5550</v>
      </c>
      <c r="AB540" t="s">
        <v>5555</v>
      </c>
      <c r="AC540" t="s">
        <v>5556</v>
      </c>
      <c r="AD540" t="s">
        <v>5527</v>
      </c>
      <c r="AH540" t="s">
        <v>5227</v>
      </c>
      <c r="AI540" t="s">
        <v>5228</v>
      </c>
      <c r="AJ540" t="s">
        <v>4646</v>
      </c>
      <c r="AK540" t="s">
        <v>4647</v>
      </c>
      <c r="AL540" t="s">
        <v>4648</v>
      </c>
      <c r="AM540" t="s">
        <v>3781</v>
      </c>
      <c r="AN540" t="s">
        <v>4649</v>
      </c>
      <c r="AO540" t="s">
        <v>4646</v>
      </c>
      <c r="AP540">
        <v>100</v>
      </c>
      <c r="AQ540">
        <v>100</v>
      </c>
      <c r="AR540">
        <v>100</v>
      </c>
      <c r="AS540" t="s">
        <v>5559</v>
      </c>
      <c r="AT540">
        <v>0</v>
      </c>
      <c r="AU540">
        <v>0</v>
      </c>
      <c r="AV540">
        <v>0</v>
      </c>
    </row>
    <row r="541" spans="1:48">
      <c r="A541" s="1">
        <f>_xlfn.XLOOKUP(J541,数据!E:E,数据!A:A)</f>
        <v>2</v>
      </c>
      <c r="B541" s="1">
        <f>_xlfn.XLOOKUP(J541,数据!E:E,数据!B:B)</f>
        <v>6</v>
      </c>
      <c r="C541" s="1" t="str">
        <f>_xlfn.XLOOKUP(J541,数据!E:E,数据!J:J)</f>
        <v>空派</v>
      </c>
      <c r="D541" s="1" t="str" cm="1">
        <f t="array" ref="D541">IF(OR(C541="红单",C541="空派"),_xlfn.IFS(E541="未开售","新品首批发货",F541&lt;E541,"新品首批发货",F541-E541&lt;=60,"新品期补货空运",F541-E541&gt;60,"老品应急空运"),"海运，不进行分析")</f>
        <v>新品首批发货</v>
      </c>
      <c r="E541" s="2">
        <v>46072</v>
      </c>
      <c r="F541" s="2">
        <f>_xlfn.XLOOKUP(J541,数据!E:E,数据!C:C)</f>
        <v>46060</v>
      </c>
      <c r="G541" s="4">
        <v>115</v>
      </c>
      <c r="H541" s="4">
        <f t="shared" si="27"/>
        <v>9.2</v>
      </c>
      <c r="I541" s="4">
        <f>_xlfn.XLOOKUP(J541,数据!E:E,数据!S:S)*(H541/_xlfn.XLOOKUP(J541,数据!E:E,数据!X:X))</f>
        <v>525.069497568882</v>
      </c>
      <c r="J541" t="s">
        <v>1077</v>
      </c>
      <c r="K541" t="s">
        <v>51</v>
      </c>
      <c r="L541" t="s">
        <v>2374</v>
      </c>
      <c r="M541" t="s">
        <v>5548</v>
      </c>
      <c r="N541" t="s">
        <v>2376</v>
      </c>
      <c r="O541" t="s">
        <v>2400</v>
      </c>
      <c r="P541" t="s">
        <v>2378</v>
      </c>
      <c r="Q541" t="s">
        <v>2379</v>
      </c>
      <c r="R541" t="s">
        <v>5549</v>
      </c>
      <c r="S541" t="s">
        <v>2511</v>
      </c>
      <c r="T541" s="3" t="s">
        <v>5550</v>
      </c>
      <c r="U541" t="s">
        <v>5551</v>
      </c>
      <c r="V541" t="s">
        <v>5552</v>
      </c>
      <c r="W541" t="s">
        <v>5553</v>
      </c>
      <c r="X541" t="s">
        <v>2403</v>
      </c>
      <c r="Y541" t="s">
        <v>5554</v>
      </c>
      <c r="Z541" t="s">
        <v>2405</v>
      </c>
      <c r="AA541" t="s">
        <v>5550</v>
      </c>
      <c r="AB541" t="s">
        <v>5555</v>
      </c>
      <c r="AC541" t="s">
        <v>5556</v>
      </c>
      <c r="AD541" t="s">
        <v>5527</v>
      </c>
      <c r="AH541" t="s">
        <v>5227</v>
      </c>
      <c r="AI541" t="s">
        <v>5228</v>
      </c>
      <c r="AJ541" t="s">
        <v>4651</v>
      </c>
      <c r="AK541" t="s">
        <v>4652</v>
      </c>
      <c r="AL541" t="s">
        <v>4653</v>
      </c>
      <c r="AM541" t="s">
        <v>3781</v>
      </c>
      <c r="AN541" t="s">
        <v>4654</v>
      </c>
      <c r="AO541" t="s">
        <v>4651</v>
      </c>
      <c r="AP541">
        <v>80</v>
      </c>
      <c r="AQ541">
        <v>80</v>
      </c>
      <c r="AR541">
        <v>80</v>
      </c>
      <c r="AS541" t="s">
        <v>5560</v>
      </c>
      <c r="AT541">
        <v>0</v>
      </c>
      <c r="AU541">
        <v>0</v>
      </c>
      <c r="AV541">
        <v>0</v>
      </c>
    </row>
    <row r="542" spans="1:48">
      <c r="A542" s="1">
        <f>_xlfn.XLOOKUP(J542,数据!E:E,数据!A:A)</f>
        <v>2</v>
      </c>
      <c r="B542" s="1">
        <f>_xlfn.XLOOKUP(J542,数据!E:E,数据!B:B)</f>
        <v>6</v>
      </c>
      <c r="C542" s="1" t="str">
        <f>_xlfn.XLOOKUP(J542,数据!E:E,数据!J:J)</f>
        <v>空派</v>
      </c>
      <c r="D542" s="1" t="str" cm="1">
        <f t="array" ref="D542">IF(OR(C542="红单",C542="空派"),_xlfn.IFS(E542="未开售","新品首批发货",F542&lt;E542,"新品首批发货",F542-E542&lt;=60,"新品期补货空运",F542-E542&gt;60,"老品应急空运"),"海运，不进行分析")</f>
        <v>新品首批发货</v>
      </c>
      <c r="E542" s="2">
        <v>46072</v>
      </c>
      <c r="F542" s="2">
        <f>_xlfn.XLOOKUP(J542,数据!E:E,数据!C:C)</f>
        <v>46060</v>
      </c>
      <c r="G542" s="4">
        <v>115</v>
      </c>
      <c r="H542" s="4">
        <f t="shared" si="27"/>
        <v>11.5</v>
      </c>
      <c r="I542" s="4">
        <f>_xlfn.XLOOKUP(J542,数据!E:E,数据!S:S)*(H542/_xlfn.XLOOKUP(J542,数据!E:E,数据!X:X))</f>
        <v>656.336871961102</v>
      </c>
      <c r="J542" t="s">
        <v>1077</v>
      </c>
      <c r="K542" t="s">
        <v>51</v>
      </c>
      <c r="L542" t="s">
        <v>2374</v>
      </c>
      <c r="M542" t="s">
        <v>5548</v>
      </c>
      <c r="N542" t="s">
        <v>2376</v>
      </c>
      <c r="O542" t="s">
        <v>2400</v>
      </c>
      <c r="P542" t="s">
        <v>2378</v>
      </c>
      <c r="Q542" t="s">
        <v>2379</v>
      </c>
      <c r="R542" t="s">
        <v>5549</v>
      </c>
      <c r="S542" t="s">
        <v>2511</v>
      </c>
      <c r="T542" s="3" t="s">
        <v>5550</v>
      </c>
      <c r="U542" t="s">
        <v>5551</v>
      </c>
      <c r="V542" t="s">
        <v>5552</v>
      </c>
      <c r="W542" t="s">
        <v>5553</v>
      </c>
      <c r="X542" t="s">
        <v>2403</v>
      </c>
      <c r="Y542" t="s">
        <v>5554</v>
      </c>
      <c r="Z542" t="s">
        <v>2405</v>
      </c>
      <c r="AA542" t="s">
        <v>5550</v>
      </c>
      <c r="AB542" t="s">
        <v>5555</v>
      </c>
      <c r="AC542" t="s">
        <v>5556</v>
      </c>
      <c r="AD542" t="s">
        <v>5527</v>
      </c>
      <c r="AH542" t="s">
        <v>5227</v>
      </c>
      <c r="AI542" t="s">
        <v>5228</v>
      </c>
      <c r="AJ542" t="s">
        <v>5501</v>
      </c>
      <c r="AK542" t="s">
        <v>5502</v>
      </c>
      <c r="AL542" t="s">
        <v>5503</v>
      </c>
      <c r="AM542" t="s">
        <v>3781</v>
      </c>
      <c r="AN542" t="s">
        <v>5504</v>
      </c>
      <c r="AO542" t="s">
        <v>5501</v>
      </c>
      <c r="AP542">
        <v>100</v>
      </c>
      <c r="AQ542">
        <v>100</v>
      </c>
      <c r="AR542">
        <v>100</v>
      </c>
      <c r="AS542" t="s">
        <v>5561</v>
      </c>
      <c r="AT542">
        <v>0</v>
      </c>
      <c r="AU542">
        <v>0</v>
      </c>
      <c r="AV542">
        <v>0</v>
      </c>
    </row>
    <row r="543" spans="1:48">
      <c r="A543" s="1">
        <f>_xlfn.XLOOKUP(J543,数据!E:E,数据!A:A)</f>
        <v>2</v>
      </c>
      <c r="B543" s="1">
        <f>_xlfn.XLOOKUP(J543,数据!E:E,数据!B:B)</f>
        <v>6</v>
      </c>
      <c r="C543" s="1" t="str">
        <f>_xlfn.XLOOKUP(J543,数据!E:E,数据!J:J)</f>
        <v>空派</v>
      </c>
      <c r="D543" s="1" t="str" cm="1">
        <f t="array" ref="D543">IF(OR(C543="红单",C543="空派"),_xlfn.IFS(E543="未开售","新品首批发货",F543&lt;E543,"新品首批发货",F543-E543&lt;=60,"新品期补货空运",F543-E543&gt;60,"老品应急空运"),"海运，不进行分析")</f>
        <v>新品首批发货</v>
      </c>
      <c r="E543" s="2">
        <v>46072</v>
      </c>
      <c r="F543" s="2">
        <f>_xlfn.XLOOKUP(J543,数据!E:E,数据!C:C)</f>
        <v>46060</v>
      </c>
      <c r="G543" s="4">
        <v>115</v>
      </c>
      <c r="H543" s="4">
        <f t="shared" si="27"/>
        <v>6.9</v>
      </c>
      <c r="I543" s="4">
        <f>_xlfn.XLOOKUP(J543,数据!E:E,数据!S:S)*(H543/_xlfn.XLOOKUP(J543,数据!E:E,数据!X:X))</f>
        <v>393.802123176661</v>
      </c>
      <c r="J543" t="s">
        <v>1077</v>
      </c>
      <c r="K543" t="s">
        <v>51</v>
      </c>
      <c r="L543" t="s">
        <v>2374</v>
      </c>
      <c r="M543" t="s">
        <v>5548</v>
      </c>
      <c r="N543" t="s">
        <v>2376</v>
      </c>
      <c r="O543" t="s">
        <v>2400</v>
      </c>
      <c r="P543" t="s">
        <v>2378</v>
      </c>
      <c r="Q543" t="s">
        <v>2379</v>
      </c>
      <c r="R543" t="s">
        <v>5549</v>
      </c>
      <c r="S543" t="s">
        <v>2511</v>
      </c>
      <c r="T543" s="3" t="s">
        <v>5550</v>
      </c>
      <c r="U543" t="s">
        <v>5551</v>
      </c>
      <c r="V543" t="s">
        <v>5552</v>
      </c>
      <c r="W543" t="s">
        <v>5553</v>
      </c>
      <c r="X543" t="s">
        <v>2403</v>
      </c>
      <c r="Y543" t="s">
        <v>5554</v>
      </c>
      <c r="Z543" t="s">
        <v>2405</v>
      </c>
      <c r="AA543" t="s">
        <v>5550</v>
      </c>
      <c r="AB543" t="s">
        <v>5555</v>
      </c>
      <c r="AC543" t="s">
        <v>5556</v>
      </c>
      <c r="AD543" t="s">
        <v>5527</v>
      </c>
      <c r="AH543" t="s">
        <v>5227</v>
      </c>
      <c r="AI543" t="s">
        <v>5228</v>
      </c>
      <c r="AJ543" t="s">
        <v>5497</v>
      </c>
      <c r="AK543" t="s">
        <v>5498</v>
      </c>
      <c r="AL543" t="s">
        <v>5499</v>
      </c>
      <c r="AM543" t="s">
        <v>3781</v>
      </c>
      <c r="AN543" t="s">
        <v>5500</v>
      </c>
      <c r="AO543" t="s">
        <v>5497</v>
      </c>
      <c r="AP543">
        <v>60</v>
      </c>
      <c r="AQ543">
        <v>60</v>
      </c>
      <c r="AR543">
        <v>60</v>
      </c>
      <c r="AS543" t="s">
        <v>5562</v>
      </c>
      <c r="AT543">
        <v>0</v>
      </c>
      <c r="AU543">
        <v>0</v>
      </c>
      <c r="AV543">
        <v>0</v>
      </c>
    </row>
    <row r="544" spans="1:48">
      <c r="A544" s="1">
        <f>_xlfn.XLOOKUP(J544,数据!E:E,数据!A:A)</f>
        <v>2</v>
      </c>
      <c r="B544" s="1">
        <f>_xlfn.XLOOKUP(J544,数据!E:E,数据!B:B)</f>
        <v>6</v>
      </c>
      <c r="C544" s="1" t="str">
        <f>_xlfn.XLOOKUP(J544,数据!E:E,数据!J:J)</f>
        <v>空派</v>
      </c>
      <c r="D544" s="1" t="str" cm="1">
        <f t="array" ref="D544">IF(OR(C544="红单",C544="空派"),_xlfn.IFS(E544="未开售","新品首批发货",F544&lt;E544,"新品首批发货",F544-E544&lt;=60,"新品期补货空运",F544-E544&gt;60,"老品应急空运"),"海运，不进行分析")</f>
        <v>老品应急空运</v>
      </c>
      <c r="E544" s="2">
        <v>45989</v>
      </c>
      <c r="F544" s="2">
        <f>_xlfn.XLOOKUP(J544,数据!E:E,数据!C:C)</f>
        <v>46060</v>
      </c>
      <c r="G544" s="4">
        <v>140</v>
      </c>
      <c r="H544" s="4">
        <f t="shared" si="27"/>
        <v>4.2</v>
      </c>
      <c r="I544" s="4">
        <f>_xlfn.XLOOKUP(J544,数据!E:E,数据!S:S)*(H544/_xlfn.XLOOKUP(J544,数据!E:E,数据!X:X))</f>
        <v>239.705640194489</v>
      </c>
      <c r="J544" t="s">
        <v>1077</v>
      </c>
      <c r="K544" t="s">
        <v>51</v>
      </c>
      <c r="L544" t="s">
        <v>2374</v>
      </c>
      <c r="M544" t="s">
        <v>5548</v>
      </c>
      <c r="N544" t="s">
        <v>2376</v>
      </c>
      <c r="O544" t="s">
        <v>2400</v>
      </c>
      <c r="P544" t="s">
        <v>2378</v>
      </c>
      <c r="Q544" t="s">
        <v>2379</v>
      </c>
      <c r="R544" t="s">
        <v>5549</v>
      </c>
      <c r="S544" t="s">
        <v>2511</v>
      </c>
      <c r="T544" s="3" t="s">
        <v>5550</v>
      </c>
      <c r="U544" t="s">
        <v>5551</v>
      </c>
      <c r="V544" t="s">
        <v>5552</v>
      </c>
      <c r="W544" t="s">
        <v>5553</v>
      </c>
      <c r="X544" t="s">
        <v>2403</v>
      </c>
      <c r="Y544" t="s">
        <v>5554</v>
      </c>
      <c r="Z544" t="s">
        <v>2405</v>
      </c>
      <c r="AA544" t="s">
        <v>5550</v>
      </c>
      <c r="AB544" t="s">
        <v>5555</v>
      </c>
      <c r="AC544" t="s">
        <v>5556</v>
      </c>
      <c r="AD544" t="s">
        <v>5527</v>
      </c>
      <c r="AH544" t="s">
        <v>5227</v>
      </c>
      <c r="AI544" t="s">
        <v>5228</v>
      </c>
      <c r="AJ544" t="s">
        <v>5563</v>
      </c>
      <c r="AK544" t="s">
        <v>5564</v>
      </c>
      <c r="AL544" t="s">
        <v>5565</v>
      </c>
      <c r="AM544" t="s">
        <v>5566</v>
      </c>
      <c r="AN544" t="s">
        <v>5567</v>
      </c>
      <c r="AO544" t="s">
        <v>5563</v>
      </c>
      <c r="AP544">
        <v>30</v>
      </c>
      <c r="AQ544">
        <v>30</v>
      </c>
      <c r="AR544">
        <v>30</v>
      </c>
      <c r="AS544" t="s">
        <v>5568</v>
      </c>
      <c r="AT544">
        <v>0</v>
      </c>
      <c r="AU544">
        <v>0</v>
      </c>
      <c r="AV544">
        <v>0</v>
      </c>
    </row>
    <row r="545" spans="1:48">
      <c r="A545" s="1">
        <f>_xlfn.XLOOKUP(J545,数据!E:E,数据!A:A)</f>
        <v>2</v>
      </c>
      <c r="B545" s="1">
        <f>_xlfn.XLOOKUP(J545,数据!E:E,数据!B:B)</f>
        <v>6</v>
      </c>
      <c r="C545" s="1" t="str">
        <f>_xlfn.XLOOKUP(J545,数据!E:E,数据!J:J)</f>
        <v>空派</v>
      </c>
      <c r="D545" s="1" t="str" cm="1">
        <f t="array" ref="D545">IF(OR(C545="红单",C545="空派"),_xlfn.IFS(E545="未开售","新品首批发货",F545&lt;E545,"新品首批发货",F545-E545&lt;=60,"新品期补货空运",F545-E545&gt;60,"老品应急空运"),"海运，不进行分析")</f>
        <v>新品首批发货</v>
      </c>
      <c r="E545" s="2">
        <v>46072</v>
      </c>
      <c r="F545" s="2">
        <f>_xlfn.XLOOKUP(J545,数据!E:E,数据!C:C)</f>
        <v>46060</v>
      </c>
      <c r="G545" s="4">
        <v>108</v>
      </c>
      <c r="H545" s="4">
        <f t="shared" si="27"/>
        <v>9.18</v>
      </c>
      <c r="I545" s="4">
        <f>_xlfn.XLOOKUP(J545,数据!E:E,数据!S:S)*(H545/_xlfn.XLOOKUP(J545,数据!E:E,数据!X:X))</f>
        <v>519.004444689777</v>
      </c>
      <c r="J545" t="s">
        <v>1079</v>
      </c>
      <c r="K545" t="s">
        <v>37</v>
      </c>
      <c r="L545" t="s">
        <v>2374</v>
      </c>
      <c r="M545" t="s">
        <v>5569</v>
      </c>
      <c r="N545" t="s">
        <v>2376</v>
      </c>
      <c r="O545" t="s">
        <v>2400</v>
      </c>
      <c r="P545" t="s">
        <v>2378</v>
      </c>
      <c r="Q545" t="s">
        <v>2379</v>
      </c>
      <c r="R545" t="s">
        <v>5570</v>
      </c>
      <c r="S545" t="s">
        <v>2511</v>
      </c>
      <c r="T545" s="3" t="s">
        <v>5571</v>
      </c>
      <c r="U545" t="s">
        <v>5572</v>
      </c>
      <c r="V545" t="s">
        <v>5573</v>
      </c>
      <c r="W545" t="s">
        <v>5574</v>
      </c>
      <c r="X545" t="s">
        <v>2385</v>
      </c>
      <c r="Y545" t="s">
        <v>5575</v>
      </c>
      <c r="Z545" t="s">
        <v>2405</v>
      </c>
      <c r="AA545" t="s">
        <v>5571</v>
      </c>
      <c r="AB545" t="s">
        <v>5576</v>
      </c>
      <c r="AC545" t="s">
        <v>5577</v>
      </c>
      <c r="AD545" t="s">
        <v>5527</v>
      </c>
      <c r="AH545" t="s">
        <v>5227</v>
      </c>
      <c r="AI545" t="s">
        <v>5228</v>
      </c>
      <c r="AJ545" t="s">
        <v>4076</v>
      </c>
      <c r="AK545" t="s">
        <v>4077</v>
      </c>
      <c r="AL545" t="s">
        <v>4078</v>
      </c>
      <c r="AM545" t="s">
        <v>4079</v>
      </c>
      <c r="AN545" t="s">
        <v>4080</v>
      </c>
      <c r="AO545" t="s">
        <v>4076</v>
      </c>
      <c r="AP545">
        <v>85</v>
      </c>
      <c r="AQ545">
        <v>85</v>
      </c>
      <c r="AR545">
        <v>87</v>
      </c>
      <c r="AS545" t="s">
        <v>5578</v>
      </c>
      <c r="AT545">
        <v>0</v>
      </c>
      <c r="AU545">
        <v>2</v>
      </c>
      <c r="AV545">
        <v>-2</v>
      </c>
    </row>
    <row r="546" spans="1:48">
      <c r="A546" s="1">
        <f>_xlfn.XLOOKUP(J546,数据!E:E,数据!A:A)</f>
        <v>2</v>
      </c>
      <c r="B546" s="1">
        <f>_xlfn.XLOOKUP(J546,数据!E:E,数据!B:B)</f>
        <v>6</v>
      </c>
      <c r="C546" s="1" t="str">
        <f>_xlfn.XLOOKUP(J546,数据!E:E,数据!J:J)</f>
        <v>空派</v>
      </c>
      <c r="D546" s="1" t="str" cm="1">
        <f t="array" ref="D546">IF(OR(C546="红单",C546="空派"),_xlfn.IFS(E546="未开售","新品首批发货",F546&lt;E546,"新品首批发货",F546-E546&lt;=60,"新品期补货空运",F546-E546&gt;60,"老品应急空运"),"海运，不进行分析")</f>
        <v>新品首批发货</v>
      </c>
      <c r="E546" s="2">
        <v>46074</v>
      </c>
      <c r="F546" s="2">
        <f>_xlfn.XLOOKUP(J546,数据!E:E,数据!C:C)</f>
        <v>46060</v>
      </c>
      <c r="G546" s="4">
        <v>108</v>
      </c>
      <c r="H546" s="4">
        <f t="shared" si="27"/>
        <v>8.1</v>
      </c>
      <c r="I546" s="4">
        <f>_xlfn.XLOOKUP(J546,数据!E:E,数据!S:S)*(H546/_xlfn.XLOOKUP(J546,数据!E:E,数据!X:X))</f>
        <v>457.945098255686</v>
      </c>
      <c r="J546" t="s">
        <v>1079</v>
      </c>
      <c r="K546" t="s">
        <v>37</v>
      </c>
      <c r="L546" t="s">
        <v>2374</v>
      </c>
      <c r="M546" t="s">
        <v>5569</v>
      </c>
      <c r="N546" t="s">
        <v>2376</v>
      </c>
      <c r="O546" t="s">
        <v>2400</v>
      </c>
      <c r="P546" t="s">
        <v>2378</v>
      </c>
      <c r="Q546" t="s">
        <v>2379</v>
      </c>
      <c r="R546" t="s">
        <v>5570</v>
      </c>
      <c r="S546" t="s">
        <v>2511</v>
      </c>
      <c r="T546" s="3" t="s">
        <v>5571</v>
      </c>
      <c r="U546" t="s">
        <v>5572</v>
      </c>
      <c r="V546" t="s">
        <v>5573</v>
      </c>
      <c r="W546" t="s">
        <v>5574</v>
      </c>
      <c r="X546" t="s">
        <v>2385</v>
      </c>
      <c r="Y546" t="s">
        <v>5575</v>
      </c>
      <c r="Z546" t="s">
        <v>2405</v>
      </c>
      <c r="AA546" t="s">
        <v>5571</v>
      </c>
      <c r="AB546" t="s">
        <v>5576</v>
      </c>
      <c r="AC546" t="s">
        <v>5577</v>
      </c>
      <c r="AD546" t="s">
        <v>5527</v>
      </c>
      <c r="AH546" t="s">
        <v>5227</v>
      </c>
      <c r="AI546" t="s">
        <v>5228</v>
      </c>
      <c r="AJ546" t="s">
        <v>5579</v>
      </c>
      <c r="AK546" t="s">
        <v>5580</v>
      </c>
      <c r="AL546" t="s">
        <v>5581</v>
      </c>
      <c r="AM546" t="s">
        <v>4079</v>
      </c>
      <c r="AN546" t="s">
        <v>5582</v>
      </c>
      <c r="AO546" t="s">
        <v>5579</v>
      </c>
      <c r="AP546">
        <v>75</v>
      </c>
      <c r="AQ546">
        <v>75</v>
      </c>
      <c r="AR546">
        <v>75</v>
      </c>
      <c r="AS546" t="s">
        <v>5583</v>
      </c>
      <c r="AT546">
        <v>0</v>
      </c>
      <c r="AU546">
        <v>0</v>
      </c>
      <c r="AV546">
        <v>0</v>
      </c>
    </row>
    <row r="547" spans="1:48">
      <c r="A547" s="1">
        <f>_xlfn.XLOOKUP(J547,数据!E:E,数据!A:A)</f>
        <v>2</v>
      </c>
      <c r="B547" s="1">
        <f>_xlfn.XLOOKUP(J547,数据!E:E,数据!B:B)</f>
        <v>6</v>
      </c>
      <c r="C547" s="1" t="str">
        <f>_xlfn.XLOOKUP(J547,数据!E:E,数据!J:J)</f>
        <v>空派</v>
      </c>
      <c r="D547" s="1" t="str" cm="1">
        <f t="array" ref="D547">IF(OR(C547="红单",C547="空派"),_xlfn.IFS(E547="未开售","新品首批发货",F547&lt;E547,"新品首批发货",F547-E547&lt;=60,"新品期补货空运",F547-E547&gt;60,"老品应急空运"),"海运，不进行分析")</f>
        <v>新品首批发货</v>
      </c>
      <c r="E547" s="2">
        <v>46072</v>
      </c>
      <c r="F547" s="2">
        <f>_xlfn.XLOOKUP(J547,数据!E:E,数据!C:C)</f>
        <v>46060</v>
      </c>
      <c r="G547" s="4">
        <v>108</v>
      </c>
      <c r="H547" s="4">
        <f t="shared" si="27"/>
        <v>8.1</v>
      </c>
      <c r="I547" s="4">
        <f>_xlfn.XLOOKUP(J547,数据!E:E,数据!S:S)*(H547/_xlfn.XLOOKUP(J547,数据!E:E,数据!X:X))</f>
        <v>457.945098255686</v>
      </c>
      <c r="J547" t="s">
        <v>1079</v>
      </c>
      <c r="K547" t="s">
        <v>37</v>
      </c>
      <c r="L547" t="s">
        <v>2374</v>
      </c>
      <c r="M547" t="s">
        <v>5569</v>
      </c>
      <c r="N547" t="s">
        <v>2376</v>
      </c>
      <c r="O547" t="s">
        <v>2400</v>
      </c>
      <c r="P547" t="s">
        <v>2378</v>
      </c>
      <c r="Q547" t="s">
        <v>2379</v>
      </c>
      <c r="R547" t="s">
        <v>5570</v>
      </c>
      <c r="S547" t="s">
        <v>2511</v>
      </c>
      <c r="T547" s="3" t="s">
        <v>5571</v>
      </c>
      <c r="U547" t="s">
        <v>5572</v>
      </c>
      <c r="V547" t="s">
        <v>5573</v>
      </c>
      <c r="W547" t="s">
        <v>5574</v>
      </c>
      <c r="X547" t="s">
        <v>2385</v>
      </c>
      <c r="Y547" t="s">
        <v>5575</v>
      </c>
      <c r="Z547" t="s">
        <v>2405</v>
      </c>
      <c r="AA547" t="s">
        <v>5571</v>
      </c>
      <c r="AB547" t="s">
        <v>5576</v>
      </c>
      <c r="AC547" t="s">
        <v>5577</v>
      </c>
      <c r="AD547" t="s">
        <v>5527</v>
      </c>
      <c r="AH547" t="s">
        <v>5227</v>
      </c>
      <c r="AI547" t="s">
        <v>5228</v>
      </c>
      <c r="AJ547" t="s">
        <v>5584</v>
      </c>
      <c r="AK547" t="s">
        <v>5585</v>
      </c>
      <c r="AL547" t="s">
        <v>5586</v>
      </c>
      <c r="AM547" t="s">
        <v>4079</v>
      </c>
      <c r="AN547" t="s">
        <v>5587</v>
      </c>
      <c r="AO547" t="s">
        <v>5584</v>
      </c>
      <c r="AP547">
        <v>75</v>
      </c>
      <c r="AQ547">
        <v>75</v>
      </c>
      <c r="AR547">
        <v>75</v>
      </c>
      <c r="AS547" t="s">
        <v>5588</v>
      </c>
      <c r="AT547">
        <v>0</v>
      </c>
      <c r="AU547">
        <v>0</v>
      </c>
      <c r="AV547">
        <v>0</v>
      </c>
    </row>
    <row r="548" spans="1:48">
      <c r="A548" s="1">
        <f>_xlfn.XLOOKUP(J548,数据!E:E,数据!A:A)</f>
        <v>2</v>
      </c>
      <c r="B548" s="1">
        <f>_xlfn.XLOOKUP(J548,数据!E:E,数据!B:B)</f>
        <v>6</v>
      </c>
      <c r="C548" s="1" t="str">
        <f>_xlfn.XLOOKUP(J548,数据!E:E,数据!J:J)</f>
        <v>空派</v>
      </c>
      <c r="D548" s="1" t="str" cm="1">
        <f t="array" ref="D548">IF(OR(C548="红单",C548="空派"),_xlfn.IFS(E548="未开售","新品首批发货",F548&lt;E548,"新品首批发货",F548-E548&lt;=60,"新品期补货空运",F548-E548&gt;60,"老品应急空运"),"海运，不进行分析")</f>
        <v>新品首批发货</v>
      </c>
      <c r="E548" s="2">
        <v>46074</v>
      </c>
      <c r="F548" s="2">
        <f>_xlfn.XLOOKUP(J548,数据!E:E,数据!C:C)</f>
        <v>46060</v>
      </c>
      <c r="G548" s="4">
        <v>108</v>
      </c>
      <c r="H548" s="4">
        <f t="shared" si="27"/>
        <v>10.8</v>
      </c>
      <c r="I548" s="4">
        <f>_xlfn.XLOOKUP(J548,数据!E:E,数据!S:S)*(H548/_xlfn.XLOOKUP(J548,数据!E:E,数据!X:X))</f>
        <v>610.593464340914</v>
      </c>
      <c r="J548" t="s">
        <v>1079</v>
      </c>
      <c r="K548" t="s">
        <v>37</v>
      </c>
      <c r="L548" t="s">
        <v>2374</v>
      </c>
      <c r="M548" t="s">
        <v>5569</v>
      </c>
      <c r="N548" t="s">
        <v>2376</v>
      </c>
      <c r="O548" t="s">
        <v>2400</v>
      </c>
      <c r="P548" t="s">
        <v>2378</v>
      </c>
      <c r="Q548" t="s">
        <v>2379</v>
      </c>
      <c r="R548" t="s">
        <v>5570</v>
      </c>
      <c r="S548" t="s">
        <v>2511</v>
      </c>
      <c r="T548" s="3" t="s">
        <v>5571</v>
      </c>
      <c r="U548" t="s">
        <v>5572</v>
      </c>
      <c r="V548" t="s">
        <v>5573</v>
      </c>
      <c r="W548" t="s">
        <v>5574</v>
      </c>
      <c r="X548" t="s">
        <v>2385</v>
      </c>
      <c r="Y548" t="s">
        <v>5575</v>
      </c>
      <c r="Z548" t="s">
        <v>2405</v>
      </c>
      <c r="AA548" t="s">
        <v>5571</v>
      </c>
      <c r="AB548" t="s">
        <v>5576</v>
      </c>
      <c r="AC548" t="s">
        <v>5577</v>
      </c>
      <c r="AD548" t="s">
        <v>5527</v>
      </c>
      <c r="AH548" t="s">
        <v>5227</v>
      </c>
      <c r="AI548" t="s">
        <v>5228</v>
      </c>
      <c r="AJ548" t="s">
        <v>5589</v>
      </c>
      <c r="AK548" t="s">
        <v>5590</v>
      </c>
      <c r="AL548" t="s">
        <v>5591</v>
      </c>
      <c r="AM548" t="s">
        <v>4079</v>
      </c>
      <c r="AN548" t="s">
        <v>5592</v>
      </c>
      <c r="AO548" t="s">
        <v>5589</v>
      </c>
      <c r="AP548">
        <v>100</v>
      </c>
      <c r="AQ548">
        <v>100</v>
      </c>
      <c r="AR548">
        <v>100</v>
      </c>
      <c r="AS548" t="s">
        <v>5593</v>
      </c>
      <c r="AT548">
        <v>0</v>
      </c>
      <c r="AU548">
        <v>0</v>
      </c>
      <c r="AV548">
        <v>0</v>
      </c>
    </row>
    <row r="549" spans="1:48">
      <c r="A549" s="1">
        <f>_xlfn.XLOOKUP(J549,数据!E:E,数据!A:A)</f>
        <v>2</v>
      </c>
      <c r="B549" s="1">
        <f>_xlfn.XLOOKUP(J549,数据!E:E,数据!B:B)</f>
        <v>6</v>
      </c>
      <c r="C549" s="1" t="str">
        <f>_xlfn.XLOOKUP(J549,数据!E:E,数据!J:J)</f>
        <v>空派</v>
      </c>
      <c r="D549" s="1" t="str" cm="1">
        <f t="array" ref="D549">IF(OR(C549="红单",C549="空派"),_xlfn.IFS(E549="未开售","新品首批发货",F549&lt;E549,"新品首批发货",F549-E549&lt;=60,"新品期补货空运",F549-E549&gt;60,"老品应急空运"),"海运，不进行分析")</f>
        <v>新品首批发货</v>
      </c>
      <c r="E549" s="2">
        <v>46072</v>
      </c>
      <c r="F549" s="2">
        <f>_xlfn.XLOOKUP(J549,数据!E:E,数据!C:C)</f>
        <v>46060</v>
      </c>
      <c r="G549" s="4">
        <v>113</v>
      </c>
      <c r="H549" s="4">
        <f t="shared" si="27"/>
        <v>11.3</v>
      </c>
      <c r="I549" s="4">
        <f>_xlfn.XLOOKUP(J549,数据!E:E,数据!S:S)*(H549/_xlfn.XLOOKUP(J549,数据!E:E,数据!X:X))</f>
        <v>638.861680282623</v>
      </c>
      <c r="J549" t="s">
        <v>1079</v>
      </c>
      <c r="K549" t="s">
        <v>37</v>
      </c>
      <c r="L549" t="s">
        <v>2374</v>
      </c>
      <c r="M549" t="s">
        <v>5569</v>
      </c>
      <c r="N549" t="s">
        <v>2376</v>
      </c>
      <c r="O549" t="s">
        <v>2400</v>
      </c>
      <c r="P549" t="s">
        <v>2378</v>
      </c>
      <c r="Q549" t="s">
        <v>2379</v>
      </c>
      <c r="R549" t="s">
        <v>5570</v>
      </c>
      <c r="S549" t="s">
        <v>2511</v>
      </c>
      <c r="T549" s="3" t="s">
        <v>5571</v>
      </c>
      <c r="U549" t="s">
        <v>5572</v>
      </c>
      <c r="V549" t="s">
        <v>5573</v>
      </c>
      <c r="W549" t="s">
        <v>5574</v>
      </c>
      <c r="X549" t="s">
        <v>2385</v>
      </c>
      <c r="Y549" t="s">
        <v>5575</v>
      </c>
      <c r="Z549" t="s">
        <v>2405</v>
      </c>
      <c r="AA549" t="s">
        <v>5571</v>
      </c>
      <c r="AB549" t="s">
        <v>5576</v>
      </c>
      <c r="AC549" t="s">
        <v>5577</v>
      </c>
      <c r="AD549" t="s">
        <v>5527</v>
      </c>
      <c r="AH549" t="s">
        <v>5227</v>
      </c>
      <c r="AI549" t="s">
        <v>5228</v>
      </c>
      <c r="AJ549" t="s">
        <v>4081</v>
      </c>
      <c r="AK549" t="s">
        <v>4082</v>
      </c>
      <c r="AL549" t="s">
        <v>4083</v>
      </c>
      <c r="AM549" t="s">
        <v>4079</v>
      </c>
      <c r="AN549" t="s">
        <v>4084</v>
      </c>
      <c r="AO549" t="s">
        <v>4081</v>
      </c>
      <c r="AP549">
        <v>100</v>
      </c>
      <c r="AQ549">
        <v>100</v>
      </c>
      <c r="AR549">
        <v>100</v>
      </c>
      <c r="AS549" t="s">
        <v>5594</v>
      </c>
      <c r="AT549">
        <v>0</v>
      </c>
      <c r="AU549">
        <v>0</v>
      </c>
      <c r="AV549">
        <v>0</v>
      </c>
    </row>
    <row r="550" spans="1:48">
      <c r="A550" s="1">
        <f>_xlfn.XLOOKUP(J550,数据!E:E,数据!A:A)</f>
        <v>2</v>
      </c>
      <c r="B550" s="1">
        <f>_xlfn.XLOOKUP(J550,数据!E:E,数据!B:B)</f>
        <v>6</v>
      </c>
      <c r="C550" s="1" t="str">
        <f>_xlfn.XLOOKUP(J550,数据!E:E,数据!J:J)</f>
        <v>空派</v>
      </c>
      <c r="D550" s="1" t="str" cm="1">
        <f t="array" ref="D550">IF(OR(C550="红单",C550="空派"),_xlfn.IFS(E550="未开售","新品首批发货",F550&lt;E550,"新品首批发货",F550-E550&lt;=60,"新品期补货空运",F550-E550&gt;60,"老品应急空运"),"海运，不进行分析")</f>
        <v>新品首批发货</v>
      </c>
      <c r="E550" s="2">
        <v>46073</v>
      </c>
      <c r="F550" s="2">
        <f>_xlfn.XLOOKUP(J550,数据!E:E,数据!C:C)</f>
        <v>46060</v>
      </c>
      <c r="G550" s="4">
        <v>108</v>
      </c>
      <c r="H550" s="4">
        <f t="shared" si="27"/>
        <v>8.1</v>
      </c>
      <c r="I550" s="4">
        <f>_xlfn.XLOOKUP(J550,数据!E:E,数据!S:S)*(H550/_xlfn.XLOOKUP(J550,数据!E:E,数据!X:X))</f>
        <v>457.945098255686</v>
      </c>
      <c r="J550" t="s">
        <v>1079</v>
      </c>
      <c r="K550" t="s">
        <v>37</v>
      </c>
      <c r="L550" t="s">
        <v>2374</v>
      </c>
      <c r="M550" t="s">
        <v>5569</v>
      </c>
      <c r="N550" t="s">
        <v>2376</v>
      </c>
      <c r="O550" t="s">
        <v>2400</v>
      </c>
      <c r="P550" t="s">
        <v>2378</v>
      </c>
      <c r="Q550" t="s">
        <v>2379</v>
      </c>
      <c r="R550" t="s">
        <v>5570</v>
      </c>
      <c r="S550" t="s">
        <v>2511</v>
      </c>
      <c r="T550" s="3" t="s">
        <v>5571</v>
      </c>
      <c r="U550" t="s">
        <v>5572</v>
      </c>
      <c r="V550" t="s">
        <v>5573</v>
      </c>
      <c r="W550" t="s">
        <v>5574</v>
      </c>
      <c r="X550" t="s">
        <v>2385</v>
      </c>
      <c r="Y550" t="s">
        <v>5575</v>
      </c>
      <c r="Z550" t="s">
        <v>2405</v>
      </c>
      <c r="AA550" t="s">
        <v>5571</v>
      </c>
      <c r="AB550" t="s">
        <v>5576</v>
      </c>
      <c r="AC550" t="s">
        <v>5577</v>
      </c>
      <c r="AD550" t="s">
        <v>5527</v>
      </c>
      <c r="AH550" t="s">
        <v>5227</v>
      </c>
      <c r="AI550" t="s">
        <v>5228</v>
      </c>
      <c r="AJ550" t="s">
        <v>5595</v>
      </c>
      <c r="AK550" t="s">
        <v>5596</v>
      </c>
      <c r="AL550" t="s">
        <v>5597</v>
      </c>
      <c r="AM550" t="s">
        <v>4079</v>
      </c>
      <c r="AN550" t="s">
        <v>5598</v>
      </c>
      <c r="AO550" t="s">
        <v>5595</v>
      </c>
      <c r="AP550">
        <v>75</v>
      </c>
      <c r="AQ550">
        <v>75</v>
      </c>
      <c r="AR550">
        <v>75</v>
      </c>
      <c r="AS550" t="s">
        <v>5599</v>
      </c>
      <c r="AT550">
        <v>0</v>
      </c>
      <c r="AU550">
        <v>0</v>
      </c>
      <c r="AV550">
        <v>0</v>
      </c>
    </row>
    <row r="551" spans="1:48">
      <c r="A551" s="1">
        <f>_xlfn.XLOOKUP(J551,数据!E:E,数据!A:A)</f>
        <v>2</v>
      </c>
      <c r="B551" s="1">
        <f>_xlfn.XLOOKUP(J551,数据!E:E,数据!B:B)</f>
        <v>6</v>
      </c>
      <c r="C551" s="1" t="str">
        <f>_xlfn.XLOOKUP(J551,数据!E:E,数据!J:J)</f>
        <v>空派</v>
      </c>
      <c r="D551" s="1" t="str" cm="1">
        <f t="array" ref="D551">IF(OR(C551="红单",C551="空派"),_xlfn.IFS(E551="未开售","新品首批发货",F551&lt;E551,"新品首批发货",F551-E551&lt;=60,"新品期补货空运",F551-E551&gt;60,"老品应急空运"),"海运，不进行分析")</f>
        <v>新品首批发货</v>
      </c>
      <c r="E551" s="2">
        <v>46073</v>
      </c>
      <c r="F551" s="2">
        <f>_xlfn.XLOOKUP(J551,数据!E:E,数据!C:C)</f>
        <v>46060</v>
      </c>
      <c r="G551" s="4">
        <v>117</v>
      </c>
      <c r="H551" s="4">
        <f t="shared" si="27"/>
        <v>11.7</v>
      </c>
      <c r="I551" s="4">
        <f>_xlfn.XLOOKUP(J551,数据!E:E,数据!S:S)*(H551/_xlfn.XLOOKUP(J551,数据!E:E,数据!X:X))</f>
        <v>661.47625303599</v>
      </c>
      <c r="J551" t="s">
        <v>1079</v>
      </c>
      <c r="K551" t="s">
        <v>37</v>
      </c>
      <c r="L551" t="s">
        <v>2374</v>
      </c>
      <c r="M551" t="s">
        <v>5569</v>
      </c>
      <c r="N551" t="s">
        <v>2376</v>
      </c>
      <c r="O551" t="s">
        <v>2400</v>
      </c>
      <c r="P551" t="s">
        <v>2378</v>
      </c>
      <c r="Q551" t="s">
        <v>2379</v>
      </c>
      <c r="R551" t="s">
        <v>5570</v>
      </c>
      <c r="S551" t="s">
        <v>2511</v>
      </c>
      <c r="T551" s="3" t="s">
        <v>5571</v>
      </c>
      <c r="U551" t="s">
        <v>5572</v>
      </c>
      <c r="V551" t="s">
        <v>5573</v>
      </c>
      <c r="W551" t="s">
        <v>5574</v>
      </c>
      <c r="X551" t="s">
        <v>2385</v>
      </c>
      <c r="Y551" t="s">
        <v>5575</v>
      </c>
      <c r="Z551" t="s">
        <v>2405</v>
      </c>
      <c r="AA551" t="s">
        <v>5571</v>
      </c>
      <c r="AB551" t="s">
        <v>5576</v>
      </c>
      <c r="AC551" t="s">
        <v>5577</v>
      </c>
      <c r="AD551" t="s">
        <v>5527</v>
      </c>
      <c r="AH551" t="s">
        <v>5227</v>
      </c>
      <c r="AI551" t="s">
        <v>5228</v>
      </c>
      <c r="AJ551" t="s">
        <v>4440</v>
      </c>
      <c r="AK551" t="s">
        <v>4441</v>
      </c>
      <c r="AL551" t="s">
        <v>4442</v>
      </c>
      <c r="AM551" t="s">
        <v>4093</v>
      </c>
      <c r="AN551" t="s">
        <v>4443</v>
      </c>
      <c r="AO551" t="s">
        <v>4440</v>
      </c>
      <c r="AP551">
        <v>100</v>
      </c>
      <c r="AQ551">
        <v>100</v>
      </c>
      <c r="AR551">
        <v>100</v>
      </c>
      <c r="AS551" t="s">
        <v>5594</v>
      </c>
      <c r="AT551">
        <v>0</v>
      </c>
      <c r="AU551">
        <v>0</v>
      </c>
      <c r="AV551">
        <v>0</v>
      </c>
    </row>
    <row r="552" spans="1:48">
      <c r="A552" s="1">
        <f>_xlfn.XLOOKUP(J552,数据!E:E,数据!A:A)</f>
        <v>2</v>
      </c>
      <c r="B552" s="1">
        <f>_xlfn.XLOOKUP(J552,数据!E:E,数据!B:B)</f>
        <v>6</v>
      </c>
      <c r="C552" s="1" t="str">
        <f>_xlfn.XLOOKUP(J552,数据!E:E,数据!J:J)</f>
        <v>空派</v>
      </c>
      <c r="D552" s="1" t="str" cm="1">
        <f t="array" ref="D552">IF(OR(C552="红单",C552="空派"),_xlfn.IFS(E552="未开售","新品首批发货",F552&lt;E552,"新品首批发货",F552-E552&lt;=60,"新品期补货空运",F552-E552&gt;60,"老品应急空运"),"海运，不进行分析")</f>
        <v>新品首批发货</v>
      </c>
      <c r="E552" s="2">
        <v>46073</v>
      </c>
      <c r="F552" s="2">
        <f>_xlfn.XLOOKUP(J552,数据!E:E,数据!C:C)</f>
        <v>46060</v>
      </c>
      <c r="G552" s="4">
        <v>116</v>
      </c>
      <c r="H552" s="4">
        <f t="shared" si="27"/>
        <v>11.6</v>
      </c>
      <c r="I552" s="4">
        <f>_xlfn.XLOOKUP(J552,数据!E:E,数据!S:S)*(H552/_xlfn.XLOOKUP(J552,数据!E:E,数据!X:X))</f>
        <v>655.822609847648</v>
      </c>
      <c r="J552" t="s">
        <v>1079</v>
      </c>
      <c r="K552" t="s">
        <v>37</v>
      </c>
      <c r="L552" t="s">
        <v>2374</v>
      </c>
      <c r="M552" t="s">
        <v>5569</v>
      </c>
      <c r="N552" t="s">
        <v>2376</v>
      </c>
      <c r="O552" t="s">
        <v>2400</v>
      </c>
      <c r="P552" t="s">
        <v>2378</v>
      </c>
      <c r="Q552" t="s">
        <v>2379</v>
      </c>
      <c r="R552" t="s">
        <v>5570</v>
      </c>
      <c r="S552" t="s">
        <v>2511</v>
      </c>
      <c r="T552" s="3" t="s">
        <v>5571</v>
      </c>
      <c r="U552" t="s">
        <v>5572</v>
      </c>
      <c r="V552" t="s">
        <v>5573</v>
      </c>
      <c r="W552" t="s">
        <v>5574</v>
      </c>
      <c r="X552" t="s">
        <v>2385</v>
      </c>
      <c r="Y552" t="s">
        <v>5575</v>
      </c>
      <c r="Z552" t="s">
        <v>2405</v>
      </c>
      <c r="AA552" t="s">
        <v>5571</v>
      </c>
      <c r="AB552" t="s">
        <v>5576</v>
      </c>
      <c r="AC552" t="s">
        <v>5577</v>
      </c>
      <c r="AD552" t="s">
        <v>5527</v>
      </c>
      <c r="AH552" t="s">
        <v>5227</v>
      </c>
      <c r="AI552" t="s">
        <v>5228</v>
      </c>
      <c r="AJ552" t="s">
        <v>5262</v>
      </c>
      <c r="AK552" t="s">
        <v>5263</v>
      </c>
      <c r="AL552" t="s">
        <v>5264</v>
      </c>
      <c r="AM552" t="s">
        <v>4093</v>
      </c>
      <c r="AN552" t="s">
        <v>5265</v>
      </c>
      <c r="AO552" t="s">
        <v>5262</v>
      </c>
      <c r="AP552">
        <v>100</v>
      </c>
      <c r="AQ552">
        <v>100</v>
      </c>
      <c r="AR552">
        <v>99</v>
      </c>
      <c r="AS552" t="s">
        <v>5600</v>
      </c>
      <c r="AT552">
        <v>0</v>
      </c>
      <c r="AU552">
        <v>-1</v>
      </c>
      <c r="AV552">
        <v>1</v>
      </c>
    </row>
    <row r="553" spans="1:48">
      <c r="A553" s="1">
        <f>_xlfn.XLOOKUP(J553,数据!E:E,数据!A:A)</f>
        <v>2</v>
      </c>
      <c r="B553" s="1">
        <f>_xlfn.XLOOKUP(J553,数据!E:E,数据!B:B)</f>
        <v>6</v>
      </c>
      <c r="C553" s="1" t="str">
        <f>_xlfn.XLOOKUP(J553,数据!E:E,数据!J:J)</f>
        <v>空派</v>
      </c>
      <c r="D553" s="1" t="str" cm="1">
        <f t="array" ref="D553">IF(OR(C553="红单",C553="空派"),_xlfn.IFS(E553="未开售","新品首批发货",F553&lt;E553,"新品首批发货",F553-E553&lt;=60,"新品期补货空运",F553-E553&gt;60,"老品应急空运"),"海运，不进行分析")</f>
        <v>新品首批发货</v>
      </c>
      <c r="E553" s="2">
        <v>46074</v>
      </c>
      <c r="F553" s="2">
        <f>_xlfn.XLOOKUP(J553,数据!E:E,数据!C:C)</f>
        <v>46060</v>
      </c>
      <c r="G553" s="4">
        <v>117</v>
      </c>
      <c r="H553" s="4">
        <f t="shared" si="27"/>
        <v>11.7</v>
      </c>
      <c r="I553" s="4">
        <f>_xlfn.XLOOKUP(J553,数据!E:E,数据!S:S)*(H553/_xlfn.XLOOKUP(J553,数据!E:E,数据!X:X))</f>
        <v>661.47625303599</v>
      </c>
      <c r="J553" t="s">
        <v>1079</v>
      </c>
      <c r="K553" t="s">
        <v>37</v>
      </c>
      <c r="L553" t="s">
        <v>2374</v>
      </c>
      <c r="M553" t="s">
        <v>5569</v>
      </c>
      <c r="N553" t="s">
        <v>2376</v>
      </c>
      <c r="O553" t="s">
        <v>2400</v>
      </c>
      <c r="P553" t="s">
        <v>2378</v>
      </c>
      <c r="Q553" t="s">
        <v>2379</v>
      </c>
      <c r="R553" t="s">
        <v>5570</v>
      </c>
      <c r="S553" t="s">
        <v>2511</v>
      </c>
      <c r="T553" s="3" t="s">
        <v>5571</v>
      </c>
      <c r="U553" t="s">
        <v>5572</v>
      </c>
      <c r="V553" t="s">
        <v>5573</v>
      </c>
      <c r="W553" t="s">
        <v>5574</v>
      </c>
      <c r="X553" t="s">
        <v>2385</v>
      </c>
      <c r="Y553" t="s">
        <v>5575</v>
      </c>
      <c r="Z553" t="s">
        <v>2405</v>
      </c>
      <c r="AA553" t="s">
        <v>5571</v>
      </c>
      <c r="AB553" t="s">
        <v>5576</v>
      </c>
      <c r="AC553" t="s">
        <v>5577</v>
      </c>
      <c r="AD553" t="s">
        <v>5527</v>
      </c>
      <c r="AH553" t="s">
        <v>5227</v>
      </c>
      <c r="AI553" t="s">
        <v>5228</v>
      </c>
      <c r="AJ553" t="s">
        <v>4755</v>
      </c>
      <c r="AK553" t="s">
        <v>4756</v>
      </c>
      <c r="AL553" t="s">
        <v>4757</v>
      </c>
      <c r="AM553" t="s">
        <v>4093</v>
      </c>
      <c r="AN553" t="s">
        <v>4758</v>
      </c>
      <c r="AO553" t="s">
        <v>4755</v>
      </c>
      <c r="AP553">
        <v>100</v>
      </c>
      <c r="AQ553">
        <v>100</v>
      </c>
      <c r="AR553">
        <v>101</v>
      </c>
      <c r="AS553" t="s">
        <v>5601</v>
      </c>
      <c r="AT553">
        <v>0</v>
      </c>
      <c r="AU553">
        <v>1</v>
      </c>
      <c r="AV553">
        <v>-1</v>
      </c>
    </row>
    <row r="554" spans="1:48">
      <c r="A554" s="1">
        <f>_xlfn.XLOOKUP(J554,数据!E:E,数据!A:A)</f>
        <v>2</v>
      </c>
      <c r="B554" s="1">
        <f>_xlfn.XLOOKUP(J554,数据!E:E,数据!B:B)</f>
        <v>6</v>
      </c>
      <c r="C554" s="1" t="str">
        <f>_xlfn.XLOOKUP(J554,数据!E:E,数据!J:J)</f>
        <v>空派</v>
      </c>
      <c r="D554" s="1" t="str" cm="1">
        <f t="array" ref="D554">IF(OR(C554="红单",C554="空派"),_xlfn.IFS(E554="未开售","新品首批发货",F554&lt;E554,"新品首批发货",F554-E554&lt;=60,"新品期补货空运",F554-E554&gt;60,"老品应急空运"),"海运，不进行分析")</f>
        <v>新品期补货空运</v>
      </c>
      <c r="E554" s="2">
        <v>46028</v>
      </c>
      <c r="F554" s="2">
        <f>_xlfn.XLOOKUP(J554,数据!E:E,数据!C:C)</f>
        <v>46060</v>
      </c>
      <c r="G554" s="4">
        <v>104</v>
      </c>
      <c r="H554" s="4">
        <f t="shared" si="27"/>
        <v>5.2</v>
      </c>
      <c r="I554" s="4">
        <f>_xlfn.XLOOKUP(J554,数据!E:E,数据!S:S)*(H554/_xlfn.XLOOKUP(J554,数据!E:E,数据!X:X))</f>
        <v>308.389535705869</v>
      </c>
      <c r="J554" t="s">
        <v>1078</v>
      </c>
      <c r="K554" t="s">
        <v>224</v>
      </c>
      <c r="L554" t="s">
        <v>2374</v>
      </c>
      <c r="M554" t="s">
        <v>5602</v>
      </c>
      <c r="N554" t="s">
        <v>2376</v>
      </c>
      <c r="O554" t="s">
        <v>2400</v>
      </c>
      <c r="P554" t="s">
        <v>2378</v>
      </c>
      <c r="Q554" t="s">
        <v>2379</v>
      </c>
      <c r="R554" t="s">
        <v>5603</v>
      </c>
      <c r="S554" t="s">
        <v>2511</v>
      </c>
      <c r="T554" s="3" t="s">
        <v>5604</v>
      </c>
      <c r="U554" t="s">
        <v>5605</v>
      </c>
      <c r="V554" t="s">
        <v>5606</v>
      </c>
      <c r="W554" t="s">
        <v>5607</v>
      </c>
      <c r="X554" t="s">
        <v>2403</v>
      </c>
      <c r="Y554" t="s">
        <v>5608</v>
      </c>
      <c r="Z554" t="s">
        <v>2405</v>
      </c>
      <c r="AA554" t="s">
        <v>5604</v>
      </c>
      <c r="AB554" t="s">
        <v>5259</v>
      </c>
      <c r="AC554" t="s">
        <v>5609</v>
      </c>
      <c r="AD554" t="s">
        <v>5527</v>
      </c>
      <c r="AH554" t="s">
        <v>5227</v>
      </c>
      <c r="AI554" t="s">
        <v>5228</v>
      </c>
      <c r="AJ554" t="s">
        <v>5610</v>
      </c>
      <c r="AK554" t="s">
        <v>5611</v>
      </c>
      <c r="AL554" t="s">
        <v>5612</v>
      </c>
      <c r="AM554" t="s">
        <v>5613</v>
      </c>
      <c r="AN554" t="s">
        <v>5614</v>
      </c>
      <c r="AO554" t="s">
        <v>5610</v>
      </c>
      <c r="AP554">
        <v>50</v>
      </c>
      <c r="AQ554">
        <v>50</v>
      </c>
      <c r="AR554">
        <v>50</v>
      </c>
      <c r="AS554" t="s">
        <v>5615</v>
      </c>
      <c r="AT554">
        <v>0</v>
      </c>
      <c r="AU554">
        <v>0</v>
      </c>
      <c r="AV554">
        <v>0</v>
      </c>
    </row>
    <row r="555" spans="1:48">
      <c r="A555" s="1">
        <f>_xlfn.XLOOKUP(J555,数据!E:E,数据!A:A)</f>
        <v>2</v>
      </c>
      <c r="B555" s="1">
        <f>_xlfn.XLOOKUP(J555,数据!E:E,数据!B:B)</f>
        <v>6</v>
      </c>
      <c r="C555" s="1" t="str">
        <f>_xlfn.XLOOKUP(J555,数据!E:E,数据!J:J)</f>
        <v>空派</v>
      </c>
      <c r="D555" s="1" t="str" cm="1">
        <f t="array" ref="D555">IF(OR(C555="红单",C555="空派"),_xlfn.IFS(E555="未开售","新品首批发货",F555&lt;E555,"新品首批发货",F555-E555&lt;=60,"新品期补货空运",F555-E555&gt;60,"老品应急空运"),"海运，不进行分析")</f>
        <v>老品应急空运</v>
      </c>
      <c r="E555" s="2">
        <v>45929</v>
      </c>
      <c r="F555" s="2">
        <f>_xlfn.XLOOKUP(J555,数据!E:E,数据!C:C)</f>
        <v>46060</v>
      </c>
      <c r="G555" s="4">
        <v>99</v>
      </c>
      <c r="H555" s="4">
        <f t="shared" si="27"/>
        <v>7.425</v>
      </c>
      <c r="I555" s="4">
        <f>_xlfn.XLOOKUP(J555,数据!E:E,数据!S:S)*(H555/_xlfn.XLOOKUP(J555,数据!E:E,数据!X:X))</f>
        <v>440.344673580014</v>
      </c>
      <c r="J555" t="s">
        <v>1078</v>
      </c>
      <c r="K555" t="s">
        <v>224</v>
      </c>
      <c r="L555" t="s">
        <v>2374</v>
      </c>
      <c r="M555" t="s">
        <v>5602</v>
      </c>
      <c r="N555" t="s">
        <v>2376</v>
      </c>
      <c r="O555" t="s">
        <v>2400</v>
      </c>
      <c r="P555" t="s">
        <v>2378</v>
      </c>
      <c r="Q555" t="s">
        <v>2379</v>
      </c>
      <c r="R555" t="s">
        <v>5603</v>
      </c>
      <c r="S555" t="s">
        <v>2511</v>
      </c>
      <c r="T555" s="3" t="s">
        <v>5604</v>
      </c>
      <c r="U555" t="s">
        <v>5605</v>
      </c>
      <c r="V555" t="s">
        <v>5606</v>
      </c>
      <c r="W555" t="s">
        <v>5607</v>
      </c>
      <c r="X555" t="s">
        <v>2403</v>
      </c>
      <c r="Y555" t="s">
        <v>5608</v>
      </c>
      <c r="Z555" t="s">
        <v>2405</v>
      </c>
      <c r="AA555" t="s">
        <v>5604</v>
      </c>
      <c r="AB555" t="s">
        <v>5259</v>
      </c>
      <c r="AC555" t="s">
        <v>5609</v>
      </c>
      <c r="AD555" t="s">
        <v>5527</v>
      </c>
      <c r="AH555" t="s">
        <v>5227</v>
      </c>
      <c r="AI555" t="s">
        <v>5228</v>
      </c>
      <c r="AJ555" t="s">
        <v>5616</v>
      </c>
      <c r="AK555" t="s">
        <v>5617</v>
      </c>
      <c r="AL555" t="s">
        <v>5618</v>
      </c>
      <c r="AM555" t="s">
        <v>5613</v>
      </c>
      <c r="AN555" t="s">
        <v>5619</v>
      </c>
      <c r="AO555" t="s">
        <v>5616</v>
      </c>
      <c r="AP555">
        <v>75</v>
      </c>
      <c r="AQ555">
        <v>75</v>
      </c>
      <c r="AR555">
        <v>75</v>
      </c>
      <c r="AS555" t="s">
        <v>5620</v>
      </c>
      <c r="AT555">
        <v>0</v>
      </c>
      <c r="AU555">
        <v>0</v>
      </c>
      <c r="AV555">
        <v>0</v>
      </c>
    </row>
    <row r="556" spans="1:48">
      <c r="A556" s="1">
        <f>_xlfn.XLOOKUP(J556,数据!E:E,数据!A:A)</f>
        <v>2</v>
      </c>
      <c r="B556" s="1">
        <f>_xlfn.XLOOKUP(J556,数据!E:E,数据!B:B)</f>
        <v>6</v>
      </c>
      <c r="C556" s="1" t="str">
        <f>_xlfn.XLOOKUP(J556,数据!E:E,数据!J:J)</f>
        <v>空派</v>
      </c>
      <c r="D556" s="1" t="str" cm="1">
        <f t="array" ref="D556">IF(OR(C556="红单",C556="空派"),_xlfn.IFS(E556="未开售","新品首批发货",F556&lt;E556,"新品首批发货",F556-E556&lt;=60,"新品期补货空运",F556-E556&gt;60,"老品应急空运"),"海运，不进行分析")</f>
        <v>新品期补货空运</v>
      </c>
      <c r="E556" s="2">
        <v>46028</v>
      </c>
      <c r="F556" s="2">
        <f>_xlfn.XLOOKUP(J556,数据!E:E,数据!C:C)</f>
        <v>46060</v>
      </c>
      <c r="G556" s="4">
        <v>104</v>
      </c>
      <c r="H556" s="4">
        <f t="shared" si="27"/>
        <v>0.104</v>
      </c>
      <c r="I556" s="4">
        <f>_xlfn.XLOOKUP(J556,数据!E:E,数据!S:S)*(H556/_xlfn.XLOOKUP(J556,数据!E:E,数据!X:X))</f>
        <v>6.16779071411737</v>
      </c>
      <c r="J556" t="s">
        <v>1078</v>
      </c>
      <c r="K556" t="s">
        <v>224</v>
      </c>
      <c r="L556" t="s">
        <v>2374</v>
      </c>
      <c r="M556" t="s">
        <v>5602</v>
      </c>
      <c r="N556" t="s">
        <v>2376</v>
      </c>
      <c r="O556" t="s">
        <v>2400</v>
      </c>
      <c r="P556" t="s">
        <v>2378</v>
      </c>
      <c r="Q556" t="s">
        <v>2379</v>
      </c>
      <c r="R556" t="s">
        <v>5603</v>
      </c>
      <c r="S556" t="s">
        <v>2511</v>
      </c>
      <c r="T556" s="3" t="s">
        <v>5604</v>
      </c>
      <c r="U556" t="s">
        <v>5605</v>
      </c>
      <c r="V556" t="s">
        <v>5606</v>
      </c>
      <c r="W556" t="s">
        <v>5607</v>
      </c>
      <c r="X556" t="s">
        <v>2403</v>
      </c>
      <c r="Y556" t="s">
        <v>5608</v>
      </c>
      <c r="Z556" t="s">
        <v>2405</v>
      </c>
      <c r="AA556" t="s">
        <v>5604</v>
      </c>
      <c r="AB556" t="s">
        <v>5259</v>
      </c>
      <c r="AC556" t="s">
        <v>5609</v>
      </c>
      <c r="AD556" t="s">
        <v>5527</v>
      </c>
      <c r="AH556" t="s">
        <v>5227</v>
      </c>
      <c r="AI556" t="s">
        <v>5228</v>
      </c>
      <c r="AJ556" t="s">
        <v>5621</v>
      </c>
      <c r="AK556" t="s">
        <v>5622</v>
      </c>
      <c r="AL556" t="s">
        <v>5623</v>
      </c>
      <c r="AM556" t="s">
        <v>5623</v>
      </c>
      <c r="AN556" t="s">
        <v>5624</v>
      </c>
      <c r="AO556" t="s">
        <v>5621</v>
      </c>
      <c r="AP556">
        <v>1</v>
      </c>
      <c r="AQ556">
        <v>1</v>
      </c>
      <c r="AR556">
        <v>1</v>
      </c>
      <c r="AS556" t="s">
        <v>5625</v>
      </c>
      <c r="AT556">
        <v>0</v>
      </c>
      <c r="AU556">
        <v>0</v>
      </c>
      <c r="AV556">
        <v>0</v>
      </c>
    </row>
    <row r="557" spans="1:48">
      <c r="A557" s="1">
        <f>_xlfn.XLOOKUP(J557,数据!E:E,数据!A:A)</f>
        <v>2</v>
      </c>
      <c r="B557" s="1">
        <f>_xlfn.XLOOKUP(J557,数据!E:E,数据!B:B)</f>
        <v>6</v>
      </c>
      <c r="C557" s="1" t="str">
        <f>_xlfn.XLOOKUP(J557,数据!E:E,数据!J:J)</f>
        <v>空派</v>
      </c>
      <c r="D557" s="1" t="str" cm="1">
        <f t="array" ref="D557">IF(OR(C557="红单",C557="空派"),_xlfn.IFS(E557="未开售","新品首批发货",F557&lt;E557,"新品首批发货",F557-E557&lt;=60,"新品期补货空运",F557-E557&gt;60,"老品应急空运"),"海运，不进行分析")</f>
        <v>新品期补货空运</v>
      </c>
      <c r="E557" s="2">
        <v>46021</v>
      </c>
      <c r="F557" s="2">
        <f>_xlfn.XLOOKUP(J557,数据!E:E,数据!C:C)</f>
        <v>46060</v>
      </c>
      <c r="G557" s="4">
        <v>230.8</v>
      </c>
      <c r="H557" s="4">
        <f t="shared" si="27"/>
        <v>7.3856</v>
      </c>
      <c r="I557" s="4">
        <f>_xlfn.XLOOKUP(J557,数据!E:E,数据!S:S)*(H557/_xlfn.XLOOKUP(J557,数据!E:E,数据!X:X))</f>
        <v>414.219793864467</v>
      </c>
      <c r="J557" t="s">
        <v>1076</v>
      </c>
      <c r="K557" t="s">
        <v>56</v>
      </c>
      <c r="L557" t="s">
        <v>2374</v>
      </c>
      <c r="M557" t="s">
        <v>5626</v>
      </c>
      <c r="N557" t="s">
        <v>2376</v>
      </c>
      <c r="O557" t="s">
        <v>2400</v>
      </c>
      <c r="P557" t="s">
        <v>2378</v>
      </c>
      <c r="Q557" t="s">
        <v>2379</v>
      </c>
      <c r="R557" t="s">
        <v>5627</v>
      </c>
      <c r="S557" t="s">
        <v>2511</v>
      </c>
      <c r="T557" s="3" t="s">
        <v>5628</v>
      </c>
      <c r="U557" t="s">
        <v>5629</v>
      </c>
      <c r="V557" t="s">
        <v>5630</v>
      </c>
      <c r="W557" t="s">
        <v>5631</v>
      </c>
      <c r="X557" t="s">
        <v>2403</v>
      </c>
      <c r="Y557" t="s">
        <v>5632</v>
      </c>
      <c r="Z557" t="s">
        <v>2387</v>
      </c>
      <c r="AA557" t="s">
        <v>5628</v>
      </c>
      <c r="AB557" t="s">
        <v>5633</v>
      </c>
      <c r="AC557" t="s">
        <v>5634</v>
      </c>
      <c r="AD557" t="s">
        <v>5527</v>
      </c>
      <c r="AH557" t="s">
        <v>5227</v>
      </c>
      <c r="AI557" t="s">
        <v>5228</v>
      </c>
      <c r="AJ557" t="s">
        <v>3083</v>
      </c>
      <c r="AK557" t="s">
        <v>3084</v>
      </c>
      <c r="AL557" t="s">
        <v>3085</v>
      </c>
      <c r="AM557" t="s">
        <v>2396</v>
      </c>
      <c r="AN557" t="s">
        <v>3086</v>
      </c>
      <c r="AO557" t="s">
        <v>3083</v>
      </c>
      <c r="AP557">
        <v>32</v>
      </c>
      <c r="AQ557">
        <v>32</v>
      </c>
      <c r="AR557">
        <v>32</v>
      </c>
      <c r="AS557" t="s">
        <v>5635</v>
      </c>
      <c r="AT557">
        <v>0</v>
      </c>
      <c r="AU557">
        <v>0</v>
      </c>
      <c r="AV557">
        <v>0</v>
      </c>
    </row>
    <row r="558" spans="1:48">
      <c r="A558" s="1">
        <f>_xlfn.XLOOKUP(J558,数据!E:E,数据!A:A)</f>
        <v>2</v>
      </c>
      <c r="B558" s="1">
        <f>_xlfn.XLOOKUP(J558,数据!E:E,数据!B:B)</f>
        <v>6</v>
      </c>
      <c r="C558" s="1" t="str">
        <f>_xlfn.XLOOKUP(J558,数据!E:E,数据!J:J)</f>
        <v>空派</v>
      </c>
      <c r="D558" s="1" t="str" cm="1">
        <f t="array" ref="D558">IF(OR(C558="红单",C558="空派"),_xlfn.IFS(E558="未开售","新品首批发货",F558&lt;E558,"新品首批发货",F558-E558&lt;=60,"新品期补货空运",F558-E558&gt;60,"老品应急空运"),"海运，不进行分析")</f>
        <v>新品期补货空运</v>
      </c>
      <c r="E558" s="2">
        <v>46019</v>
      </c>
      <c r="F558" s="2">
        <f>_xlfn.XLOOKUP(J558,数据!E:E,数据!C:C)</f>
        <v>46060</v>
      </c>
      <c r="G558" s="4">
        <v>243</v>
      </c>
      <c r="H558" s="4">
        <f t="shared" si="27"/>
        <v>17.01</v>
      </c>
      <c r="I558" s="4">
        <f>_xlfn.XLOOKUP(J558,数据!E:E,数据!S:S)*(H558/_xlfn.XLOOKUP(J558,数据!E:E,数据!X:X))</f>
        <v>954.002206135533</v>
      </c>
      <c r="J558" t="s">
        <v>1076</v>
      </c>
      <c r="K558" t="s">
        <v>56</v>
      </c>
      <c r="L558" t="s">
        <v>2374</v>
      </c>
      <c r="M558" t="s">
        <v>5626</v>
      </c>
      <c r="N558" t="s">
        <v>2376</v>
      </c>
      <c r="O558" t="s">
        <v>2400</v>
      </c>
      <c r="P558" t="s">
        <v>2378</v>
      </c>
      <c r="Q558" t="s">
        <v>2379</v>
      </c>
      <c r="R558" t="s">
        <v>5627</v>
      </c>
      <c r="S558" t="s">
        <v>2511</v>
      </c>
      <c r="T558" s="3" t="s">
        <v>5628</v>
      </c>
      <c r="U558" t="s">
        <v>5629</v>
      </c>
      <c r="V558" t="s">
        <v>5630</v>
      </c>
      <c r="W558" t="s">
        <v>5631</v>
      </c>
      <c r="X558" t="s">
        <v>2403</v>
      </c>
      <c r="Y558" t="s">
        <v>5632</v>
      </c>
      <c r="Z558" t="s">
        <v>2387</v>
      </c>
      <c r="AA558" t="s">
        <v>5628</v>
      </c>
      <c r="AB558" t="s">
        <v>5633</v>
      </c>
      <c r="AC558" t="s">
        <v>5634</v>
      </c>
      <c r="AD558" t="s">
        <v>5527</v>
      </c>
      <c r="AH558" t="s">
        <v>5227</v>
      </c>
      <c r="AI558" t="s">
        <v>5228</v>
      </c>
      <c r="AJ558" t="s">
        <v>5636</v>
      </c>
      <c r="AK558" t="s">
        <v>5637</v>
      </c>
      <c r="AL558" t="s">
        <v>5638</v>
      </c>
      <c r="AM558" t="s">
        <v>3978</v>
      </c>
      <c r="AN558" t="s">
        <v>5639</v>
      </c>
      <c r="AO558" t="s">
        <v>5636</v>
      </c>
      <c r="AP558">
        <v>70</v>
      </c>
      <c r="AQ558">
        <v>70</v>
      </c>
      <c r="AR558">
        <v>70</v>
      </c>
      <c r="AS558" t="s">
        <v>5640</v>
      </c>
      <c r="AT558">
        <v>0</v>
      </c>
      <c r="AU558">
        <v>0</v>
      </c>
      <c r="AV558">
        <v>0</v>
      </c>
    </row>
    <row r="559" spans="1:48">
      <c r="A559" s="1">
        <f>_xlfn.XLOOKUP(J559,数据!E:E,数据!A:A)</f>
        <v>2</v>
      </c>
      <c r="B559" s="1">
        <f>_xlfn.XLOOKUP(J559,数据!E:E,数据!B:B)</f>
        <v>6</v>
      </c>
      <c r="C559" s="1" t="str">
        <f>_xlfn.XLOOKUP(J559,数据!E:E,数据!J:J)</f>
        <v>空派</v>
      </c>
      <c r="D559" s="1" t="str" cm="1">
        <f t="array" ref="D559">IF(OR(C559="红单",C559="空派"),_xlfn.IFS(E559="未开售","新品首批发货",F559&lt;E559,"新品首批发货",F559-E559&lt;=60,"新品期补货空运",F559-E559&gt;60,"老品应急空运"),"海运，不进行分析")</f>
        <v>新品首批发货</v>
      </c>
      <c r="E559" s="2">
        <v>46082</v>
      </c>
      <c r="F559" s="2">
        <f>_xlfn.XLOOKUP(J559,数据!E:E,数据!C:C)</f>
        <v>46060</v>
      </c>
      <c r="G559" s="4">
        <v>114</v>
      </c>
      <c r="H559" s="4">
        <f t="shared" si="27"/>
        <v>6.726</v>
      </c>
      <c r="I559" s="4">
        <f>_xlfn.XLOOKUP(J559,数据!E:E,数据!S:S)*(H559/_xlfn.XLOOKUP(J559,数据!E:E,数据!X:X))</f>
        <v>384.965043847994</v>
      </c>
      <c r="J559" t="s">
        <v>1073</v>
      </c>
      <c r="K559" t="s">
        <v>54</v>
      </c>
      <c r="L559" t="s">
        <v>2374</v>
      </c>
      <c r="M559" t="s">
        <v>5641</v>
      </c>
      <c r="N559" t="s">
        <v>2376</v>
      </c>
      <c r="O559" t="s">
        <v>2400</v>
      </c>
      <c r="P559" t="s">
        <v>2378</v>
      </c>
      <c r="Q559" t="s">
        <v>2379</v>
      </c>
      <c r="R559" t="s">
        <v>5642</v>
      </c>
      <c r="S559" t="s">
        <v>2511</v>
      </c>
      <c r="T559" s="3" t="s">
        <v>5628</v>
      </c>
      <c r="U559" t="s">
        <v>5643</v>
      </c>
      <c r="V559" t="s">
        <v>5644</v>
      </c>
      <c r="W559" t="s">
        <v>5645</v>
      </c>
      <c r="X559" t="s">
        <v>2403</v>
      </c>
      <c r="Y559" t="s">
        <v>5646</v>
      </c>
      <c r="Z559" t="s">
        <v>2387</v>
      </c>
      <c r="AA559" t="s">
        <v>5628</v>
      </c>
      <c r="AB559" t="s">
        <v>3858</v>
      </c>
      <c r="AC559" t="s">
        <v>5647</v>
      </c>
      <c r="AD559" t="s">
        <v>5527</v>
      </c>
      <c r="AH559" t="s">
        <v>5227</v>
      </c>
      <c r="AI559" t="s">
        <v>5228</v>
      </c>
      <c r="AJ559" t="s">
        <v>4214</v>
      </c>
      <c r="AK559" t="s">
        <v>4215</v>
      </c>
      <c r="AL559" t="s">
        <v>4216</v>
      </c>
      <c r="AM559" t="s">
        <v>3219</v>
      </c>
      <c r="AN559" t="s">
        <v>4217</v>
      </c>
      <c r="AO559" t="s">
        <v>4214</v>
      </c>
      <c r="AP559">
        <v>59</v>
      </c>
      <c r="AQ559">
        <v>59</v>
      </c>
      <c r="AR559">
        <v>59</v>
      </c>
      <c r="AS559" t="s">
        <v>5648</v>
      </c>
      <c r="AT559">
        <v>0</v>
      </c>
      <c r="AU559">
        <v>0</v>
      </c>
      <c r="AV559">
        <v>0</v>
      </c>
    </row>
    <row r="560" spans="1:48">
      <c r="A560" s="1">
        <f>_xlfn.XLOOKUP(J560,数据!E:E,数据!A:A)</f>
        <v>2</v>
      </c>
      <c r="B560" s="1">
        <f>_xlfn.XLOOKUP(J560,数据!E:E,数据!B:B)</f>
        <v>6</v>
      </c>
      <c r="C560" s="1" t="str">
        <f>_xlfn.XLOOKUP(J560,数据!E:E,数据!J:J)</f>
        <v>空派</v>
      </c>
      <c r="D560" s="1" t="str" cm="1">
        <f t="array" ref="D560">IF(OR(C560="红单",C560="空派"),_xlfn.IFS(E560="未开售","新品首批发货",F560&lt;E560,"新品首批发货",F560-E560&lt;=60,"新品期补货空运",F560-E560&gt;60,"老品应急空运"),"海运，不进行分析")</f>
        <v>新品首批发货</v>
      </c>
      <c r="E560" s="2">
        <v>46082</v>
      </c>
      <c r="F560" s="2">
        <f>_xlfn.XLOOKUP(J560,数据!E:E,数据!C:C)</f>
        <v>46060</v>
      </c>
      <c r="G560" s="4">
        <v>114</v>
      </c>
      <c r="H560" s="4">
        <f t="shared" si="27"/>
        <v>6.726</v>
      </c>
      <c r="I560" s="4">
        <f>_xlfn.XLOOKUP(J560,数据!E:E,数据!S:S)*(H560/_xlfn.XLOOKUP(J560,数据!E:E,数据!X:X))</f>
        <v>384.965043847994</v>
      </c>
      <c r="J560" t="s">
        <v>1073</v>
      </c>
      <c r="K560" t="s">
        <v>54</v>
      </c>
      <c r="L560" t="s">
        <v>2374</v>
      </c>
      <c r="M560" t="s">
        <v>5641</v>
      </c>
      <c r="N560" t="s">
        <v>2376</v>
      </c>
      <c r="O560" t="s">
        <v>2400</v>
      </c>
      <c r="P560" t="s">
        <v>2378</v>
      </c>
      <c r="Q560" t="s">
        <v>2379</v>
      </c>
      <c r="R560" t="s">
        <v>5642</v>
      </c>
      <c r="S560" t="s">
        <v>2511</v>
      </c>
      <c r="T560" s="3" t="s">
        <v>5628</v>
      </c>
      <c r="U560" t="s">
        <v>5643</v>
      </c>
      <c r="V560" t="s">
        <v>5644</v>
      </c>
      <c r="W560" t="s">
        <v>5645</v>
      </c>
      <c r="X560" t="s">
        <v>2403</v>
      </c>
      <c r="Y560" t="s">
        <v>5646</v>
      </c>
      <c r="Z560" t="s">
        <v>2387</v>
      </c>
      <c r="AA560" t="s">
        <v>5628</v>
      </c>
      <c r="AB560" t="s">
        <v>3858</v>
      </c>
      <c r="AC560" t="s">
        <v>5647</v>
      </c>
      <c r="AD560" t="s">
        <v>5527</v>
      </c>
      <c r="AH560" t="s">
        <v>5227</v>
      </c>
      <c r="AI560" t="s">
        <v>5228</v>
      </c>
      <c r="AJ560" t="s">
        <v>3216</v>
      </c>
      <c r="AK560" t="s">
        <v>3217</v>
      </c>
      <c r="AL560" t="s">
        <v>3218</v>
      </c>
      <c r="AM560" t="s">
        <v>3219</v>
      </c>
      <c r="AN560" t="s">
        <v>3220</v>
      </c>
      <c r="AO560" t="s">
        <v>3216</v>
      </c>
      <c r="AP560">
        <v>59</v>
      </c>
      <c r="AQ560">
        <v>59</v>
      </c>
      <c r="AR560">
        <v>59</v>
      </c>
      <c r="AS560" t="s">
        <v>5648</v>
      </c>
      <c r="AT560">
        <v>0</v>
      </c>
      <c r="AU560">
        <v>0</v>
      </c>
      <c r="AV560">
        <v>0</v>
      </c>
    </row>
    <row r="561" spans="1:48">
      <c r="A561" s="1">
        <f>_xlfn.XLOOKUP(J561,数据!E:E,数据!A:A)</f>
        <v>2</v>
      </c>
      <c r="B561" s="1">
        <f>_xlfn.XLOOKUP(J561,数据!E:E,数据!B:B)</f>
        <v>6</v>
      </c>
      <c r="C561" s="1" t="str">
        <f>_xlfn.XLOOKUP(J561,数据!E:E,数据!J:J)</f>
        <v>空派</v>
      </c>
      <c r="D561" s="1" t="str" cm="1">
        <f t="array" ref="D561">IF(OR(C561="红单",C561="空派"),_xlfn.IFS(E561="未开售","新品首批发货",F561&lt;E561,"新品首批发货",F561-E561&lt;=60,"新品期补货空运",F561-E561&gt;60,"老品应急空运"),"海运，不进行分析")</f>
        <v>新品首批发货</v>
      </c>
      <c r="E561" s="2">
        <v>46084</v>
      </c>
      <c r="F561" s="2">
        <f>_xlfn.XLOOKUP(J561,数据!E:E,数据!C:C)</f>
        <v>46060</v>
      </c>
      <c r="G561" s="4">
        <v>114</v>
      </c>
      <c r="H561" s="4">
        <f t="shared" si="27"/>
        <v>5.586</v>
      </c>
      <c r="I561" s="4">
        <f>_xlfn.XLOOKUP(J561,数据!E:E,数据!S:S)*(H561/_xlfn.XLOOKUP(J561,数据!E:E,数据!X:X))</f>
        <v>319.716731331385</v>
      </c>
      <c r="J561" t="s">
        <v>1073</v>
      </c>
      <c r="K561" t="s">
        <v>54</v>
      </c>
      <c r="L561" t="s">
        <v>2374</v>
      </c>
      <c r="M561" t="s">
        <v>5641</v>
      </c>
      <c r="N561" t="s">
        <v>2376</v>
      </c>
      <c r="O561" t="s">
        <v>2400</v>
      </c>
      <c r="P561" t="s">
        <v>2378</v>
      </c>
      <c r="Q561" t="s">
        <v>2379</v>
      </c>
      <c r="R561" t="s">
        <v>5642</v>
      </c>
      <c r="S561" t="s">
        <v>2511</v>
      </c>
      <c r="T561" s="3" t="s">
        <v>5628</v>
      </c>
      <c r="U561" t="s">
        <v>5643</v>
      </c>
      <c r="V561" t="s">
        <v>5644</v>
      </c>
      <c r="W561" t="s">
        <v>5645</v>
      </c>
      <c r="X561" t="s">
        <v>2403</v>
      </c>
      <c r="Y561" t="s">
        <v>5646</v>
      </c>
      <c r="Z561" t="s">
        <v>2387</v>
      </c>
      <c r="AA561" t="s">
        <v>5628</v>
      </c>
      <c r="AB561" t="s">
        <v>3858</v>
      </c>
      <c r="AC561" t="s">
        <v>5647</v>
      </c>
      <c r="AD561" t="s">
        <v>5527</v>
      </c>
      <c r="AH561" t="s">
        <v>5227</v>
      </c>
      <c r="AI561" t="s">
        <v>5228</v>
      </c>
      <c r="AJ561" t="s">
        <v>5649</v>
      </c>
      <c r="AK561" t="s">
        <v>5650</v>
      </c>
      <c r="AL561" t="s">
        <v>5651</v>
      </c>
      <c r="AM561" t="s">
        <v>3219</v>
      </c>
      <c r="AN561" t="s">
        <v>5652</v>
      </c>
      <c r="AO561" t="s">
        <v>5649</v>
      </c>
      <c r="AP561">
        <v>49</v>
      </c>
      <c r="AQ561">
        <v>49</v>
      </c>
      <c r="AR561">
        <v>49</v>
      </c>
      <c r="AS561" t="s">
        <v>5653</v>
      </c>
      <c r="AT561">
        <v>0</v>
      </c>
      <c r="AU561">
        <v>0</v>
      </c>
      <c r="AV561">
        <v>0</v>
      </c>
    </row>
    <row r="562" spans="1:48">
      <c r="A562" s="1">
        <f>_xlfn.XLOOKUP(J562,数据!E:E,数据!A:A)</f>
        <v>2</v>
      </c>
      <c r="B562" s="1">
        <f>_xlfn.XLOOKUP(J562,数据!E:E,数据!B:B)</f>
        <v>6</v>
      </c>
      <c r="C562" s="1" t="str">
        <f>_xlfn.XLOOKUP(J562,数据!E:E,数据!J:J)</f>
        <v>空派</v>
      </c>
      <c r="D562" s="1" t="str" cm="1">
        <f t="array" ref="D562">IF(OR(C562="红单",C562="空派"),_xlfn.IFS(E562="未开售","新品首批发货",F562&lt;E562,"新品首批发货",F562-E562&lt;=60,"新品期补货空运",F562-E562&gt;60,"老品应急空运"),"海运，不进行分析")</f>
        <v>新品首批发货</v>
      </c>
      <c r="E562" s="2">
        <v>46072</v>
      </c>
      <c r="F562" s="2">
        <f>_xlfn.XLOOKUP(J562,数据!E:E,数据!C:C)</f>
        <v>46060</v>
      </c>
      <c r="G562" s="4">
        <v>114</v>
      </c>
      <c r="H562" s="4">
        <f t="shared" si="27"/>
        <v>5.586</v>
      </c>
      <c r="I562" s="4">
        <f>_xlfn.XLOOKUP(J562,数据!E:E,数据!S:S)*(H562/_xlfn.XLOOKUP(J562,数据!E:E,数据!X:X))</f>
        <v>319.716731331385</v>
      </c>
      <c r="J562" t="s">
        <v>1073</v>
      </c>
      <c r="K562" t="s">
        <v>54</v>
      </c>
      <c r="L562" t="s">
        <v>2374</v>
      </c>
      <c r="M562" t="s">
        <v>5641</v>
      </c>
      <c r="N562" t="s">
        <v>2376</v>
      </c>
      <c r="O562" t="s">
        <v>2400</v>
      </c>
      <c r="P562" t="s">
        <v>2378</v>
      </c>
      <c r="Q562" t="s">
        <v>2379</v>
      </c>
      <c r="R562" t="s">
        <v>5642</v>
      </c>
      <c r="S562" t="s">
        <v>2511</v>
      </c>
      <c r="T562" s="3" t="s">
        <v>5628</v>
      </c>
      <c r="U562" t="s">
        <v>5643</v>
      </c>
      <c r="V562" t="s">
        <v>5644</v>
      </c>
      <c r="W562" t="s">
        <v>5645</v>
      </c>
      <c r="X562" t="s">
        <v>2403</v>
      </c>
      <c r="Y562" t="s">
        <v>5646</v>
      </c>
      <c r="Z562" t="s">
        <v>2387</v>
      </c>
      <c r="AA562" t="s">
        <v>5628</v>
      </c>
      <c r="AB562" t="s">
        <v>3858</v>
      </c>
      <c r="AC562" t="s">
        <v>5647</v>
      </c>
      <c r="AD562" t="s">
        <v>5527</v>
      </c>
      <c r="AH562" t="s">
        <v>5227</v>
      </c>
      <c r="AI562" t="s">
        <v>5228</v>
      </c>
      <c r="AJ562" t="s">
        <v>3876</v>
      </c>
      <c r="AK562" t="s">
        <v>3877</v>
      </c>
      <c r="AL562" t="s">
        <v>3878</v>
      </c>
      <c r="AM562" t="s">
        <v>3219</v>
      </c>
      <c r="AN562" t="s">
        <v>3879</v>
      </c>
      <c r="AO562" t="s">
        <v>3876</v>
      </c>
      <c r="AP562">
        <v>49</v>
      </c>
      <c r="AQ562">
        <v>49</v>
      </c>
      <c r="AR562">
        <v>49</v>
      </c>
      <c r="AS562" t="s">
        <v>5654</v>
      </c>
      <c r="AT562">
        <v>0</v>
      </c>
      <c r="AU562">
        <v>0</v>
      </c>
      <c r="AV562">
        <v>0</v>
      </c>
    </row>
    <row r="563" spans="1:48">
      <c r="A563" s="1">
        <f>_xlfn.XLOOKUP(J563,数据!E:E,数据!A:A)</f>
        <v>2</v>
      </c>
      <c r="B563" s="1">
        <f>_xlfn.XLOOKUP(J563,数据!E:E,数据!B:B)</f>
        <v>6</v>
      </c>
      <c r="C563" s="1" t="str">
        <f>_xlfn.XLOOKUP(J563,数据!E:E,数据!J:J)</f>
        <v>空派</v>
      </c>
      <c r="D563" s="1" t="str" cm="1">
        <f t="array" ref="D563">IF(OR(C563="红单",C563="空派"),_xlfn.IFS(E563="未开售","新品首批发货",F563&lt;E563,"新品首批发货",F563-E563&lt;=60,"新品期补货空运",F563-E563&gt;60,"老品应急空运"),"海运，不进行分析")</f>
        <v>新品首批发货</v>
      </c>
      <c r="E563" s="2">
        <v>46082</v>
      </c>
      <c r="F563" s="2">
        <f>_xlfn.XLOOKUP(J563,数据!E:E,数据!C:C)</f>
        <v>46060</v>
      </c>
      <c r="G563" s="4">
        <v>117</v>
      </c>
      <c r="H563" s="4">
        <f t="shared" si="27"/>
        <v>9.243</v>
      </c>
      <c r="I563" s="4">
        <f>_xlfn.XLOOKUP(J563,数据!E:E,数据!S:S)*(H563/_xlfn.XLOOKUP(J563,数据!E:E,数据!X:X))</f>
        <v>529.026449641244</v>
      </c>
      <c r="J563" t="s">
        <v>1073</v>
      </c>
      <c r="K563" t="s">
        <v>54</v>
      </c>
      <c r="L563" t="s">
        <v>2374</v>
      </c>
      <c r="M563" t="s">
        <v>5641</v>
      </c>
      <c r="N563" t="s">
        <v>2376</v>
      </c>
      <c r="O563" t="s">
        <v>2400</v>
      </c>
      <c r="P563" t="s">
        <v>2378</v>
      </c>
      <c r="Q563" t="s">
        <v>2379</v>
      </c>
      <c r="R563" t="s">
        <v>5642</v>
      </c>
      <c r="S563" t="s">
        <v>2511</v>
      </c>
      <c r="T563" s="3" t="s">
        <v>5628</v>
      </c>
      <c r="U563" t="s">
        <v>5643</v>
      </c>
      <c r="V563" t="s">
        <v>5644</v>
      </c>
      <c r="W563" t="s">
        <v>5645</v>
      </c>
      <c r="X563" t="s">
        <v>2403</v>
      </c>
      <c r="Y563" t="s">
        <v>5646</v>
      </c>
      <c r="Z563" t="s">
        <v>2387</v>
      </c>
      <c r="AA563" t="s">
        <v>5628</v>
      </c>
      <c r="AB563" t="s">
        <v>3858</v>
      </c>
      <c r="AC563" t="s">
        <v>5647</v>
      </c>
      <c r="AD563" t="s">
        <v>5527</v>
      </c>
      <c r="AH563" t="s">
        <v>5227</v>
      </c>
      <c r="AI563" t="s">
        <v>5228</v>
      </c>
      <c r="AJ563" t="s">
        <v>4360</v>
      </c>
      <c r="AK563" t="s">
        <v>4361</v>
      </c>
      <c r="AL563" t="s">
        <v>4362</v>
      </c>
      <c r="AM563" t="s">
        <v>4362</v>
      </c>
      <c r="AN563" t="s">
        <v>4363</v>
      </c>
      <c r="AO563" t="s">
        <v>4360</v>
      </c>
      <c r="AP563">
        <v>79</v>
      </c>
      <c r="AQ563">
        <v>79</v>
      </c>
      <c r="AR563">
        <v>79</v>
      </c>
      <c r="AS563" t="s">
        <v>5655</v>
      </c>
      <c r="AT563">
        <v>0</v>
      </c>
      <c r="AU563">
        <v>0</v>
      </c>
      <c r="AV563">
        <v>0</v>
      </c>
    </row>
    <row r="564" spans="1:48">
      <c r="A564" s="1">
        <f>_xlfn.XLOOKUP(J564,数据!E:E,数据!A:A)</f>
        <v>2</v>
      </c>
      <c r="B564" s="1">
        <f>_xlfn.XLOOKUP(J564,数据!E:E,数据!B:B)</f>
        <v>6</v>
      </c>
      <c r="C564" s="1" t="str">
        <f>_xlfn.XLOOKUP(J564,数据!E:E,数据!J:J)</f>
        <v>空派</v>
      </c>
      <c r="D564" s="1" t="str" cm="1">
        <f t="array" ref="D564">IF(OR(C564="红单",C564="空派"),_xlfn.IFS(E564="未开售","新品首批发货",F564&lt;E564,"新品首批发货",F564-E564&lt;=60,"新品期补货空运",F564-E564&gt;60,"老品应急空运"),"海运，不进行分析")</f>
        <v>新品首批发货</v>
      </c>
      <c r="E564" s="2">
        <v>46075</v>
      </c>
      <c r="F564" s="2">
        <f>_xlfn.XLOOKUP(J564,数据!E:E,数据!C:C)</f>
        <v>46060</v>
      </c>
      <c r="G564" s="4">
        <v>199</v>
      </c>
      <c r="H564" s="4">
        <f t="shared" si="27"/>
        <v>19.701</v>
      </c>
      <c r="I564" s="4">
        <f>_xlfn.XLOOKUP(J564,数据!E:E,数据!S:S)*(H564/_xlfn.XLOOKUP(J564,数据!E:E,数据!X:X))</f>
        <v>1090.438</v>
      </c>
      <c r="J564" t="s">
        <v>1075</v>
      </c>
      <c r="K564" t="s">
        <v>78</v>
      </c>
      <c r="L564" t="s">
        <v>2374</v>
      </c>
      <c r="M564" t="s">
        <v>5656</v>
      </c>
      <c r="N564" t="s">
        <v>2376</v>
      </c>
      <c r="O564" t="s">
        <v>2377</v>
      </c>
      <c r="P564" t="s">
        <v>2378</v>
      </c>
      <c r="Q564" t="s">
        <v>2379</v>
      </c>
      <c r="R564" t="s">
        <v>5657</v>
      </c>
      <c r="S564" t="s">
        <v>2511</v>
      </c>
      <c r="T564" s="3" t="s">
        <v>5628</v>
      </c>
      <c r="U564" t="s">
        <v>5532</v>
      </c>
      <c r="V564" t="s">
        <v>5658</v>
      </c>
      <c r="W564" t="s">
        <v>5659</v>
      </c>
      <c r="X564" t="s">
        <v>2403</v>
      </c>
      <c r="Y564" t="s">
        <v>5660</v>
      </c>
      <c r="Z564" t="s">
        <v>2387</v>
      </c>
      <c r="AA564" t="s">
        <v>5628</v>
      </c>
      <c r="AB564" t="s">
        <v>4261</v>
      </c>
      <c r="AC564" t="s">
        <v>5661</v>
      </c>
      <c r="AD564" t="s">
        <v>5527</v>
      </c>
      <c r="AH564" t="s">
        <v>5227</v>
      </c>
      <c r="AI564" t="s">
        <v>5228</v>
      </c>
      <c r="AJ564" t="s">
        <v>5662</v>
      </c>
      <c r="AK564" t="s">
        <v>5663</v>
      </c>
      <c r="AL564" t="s">
        <v>5664</v>
      </c>
      <c r="AM564" t="s">
        <v>5665</v>
      </c>
      <c r="AN564" t="s">
        <v>5666</v>
      </c>
      <c r="AO564" t="s">
        <v>5662</v>
      </c>
      <c r="AP564">
        <v>99</v>
      </c>
      <c r="AQ564">
        <v>99</v>
      </c>
      <c r="AR564">
        <v>99</v>
      </c>
      <c r="AS564" t="s">
        <v>5667</v>
      </c>
      <c r="AT564">
        <v>0</v>
      </c>
      <c r="AU564">
        <v>0</v>
      </c>
      <c r="AV564">
        <v>0</v>
      </c>
    </row>
    <row r="565" spans="1:48">
      <c r="A565" s="1">
        <f>_xlfn.XLOOKUP(J565,数据!E:E,数据!A:A)</f>
        <v>2</v>
      </c>
      <c r="B565" s="1">
        <f>_xlfn.XLOOKUP(J565,数据!E:E,数据!B:B)</f>
        <v>6</v>
      </c>
      <c r="C565" s="1" t="str">
        <f>_xlfn.XLOOKUP(J565,数据!E:E,数据!J:J)</f>
        <v>空派</v>
      </c>
      <c r="D565" s="1" t="str" cm="1">
        <f t="array" ref="D565">IF(OR(C565="红单",C565="空派"),_xlfn.IFS(E565="未开售","新品首批发货",F565&lt;E565,"新品首批发货",F565-E565&lt;=60,"新品期补货空运",F565-E565&gt;60,"老品应急空运"),"海运，不进行分析")</f>
        <v>新品首批发货</v>
      </c>
      <c r="E565" s="2">
        <v>46082</v>
      </c>
      <c r="F565" s="2">
        <f>_xlfn.XLOOKUP(J565,数据!E:E,数据!C:C)</f>
        <v>46060</v>
      </c>
      <c r="G565" s="4">
        <v>188</v>
      </c>
      <c r="H565" s="4">
        <f t="shared" si="27"/>
        <v>18.8</v>
      </c>
      <c r="I565" s="4">
        <f>_xlfn.XLOOKUP(J565,数据!E:E,数据!S:S)*(H565/_xlfn.XLOOKUP(J565,数据!E:E,数据!X:X))</f>
        <v>1095.2058056872</v>
      </c>
      <c r="J565" t="s">
        <v>1071</v>
      </c>
      <c r="K565" t="s">
        <v>59</v>
      </c>
      <c r="L565" t="s">
        <v>2374</v>
      </c>
      <c r="M565" t="s">
        <v>5668</v>
      </c>
      <c r="N565" t="s">
        <v>2376</v>
      </c>
      <c r="O565" t="s">
        <v>2400</v>
      </c>
      <c r="P565" t="s">
        <v>2378</v>
      </c>
      <c r="Q565" t="s">
        <v>2379</v>
      </c>
      <c r="R565" t="s">
        <v>5669</v>
      </c>
      <c r="S565" t="s">
        <v>2511</v>
      </c>
      <c r="T565" s="3" t="s">
        <v>5628</v>
      </c>
      <c r="U565" t="s">
        <v>5629</v>
      </c>
      <c r="V565" t="s">
        <v>5670</v>
      </c>
      <c r="W565" t="s">
        <v>5671</v>
      </c>
      <c r="X565" t="s">
        <v>2403</v>
      </c>
      <c r="Y565" t="s">
        <v>5672</v>
      </c>
      <c r="Z565" t="s">
        <v>2387</v>
      </c>
      <c r="AA565" t="s">
        <v>5628</v>
      </c>
      <c r="AB565" t="s">
        <v>4491</v>
      </c>
      <c r="AC565" t="s">
        <v>5673</v>
      </c>
      <c r="AD565" t="s">
        <v>5527</v>
      </c>
      <c r="AH565" t="s">
        <v>5227</v>
      </c>
      <c r="AI565" t="s">
        <v>5228</v>
      </c>
      <c r="AJ565" t="s">
        <v>5674</v>
      </c>
      <c r="AK565" t="s">
        <v>5675</v>
      </c>
      <c r="AL565" t="s">
        <v>5676</v>
      </c>
      <c r="AM565" t="s">
        <v>5677</v>
      </c>
      <c r="AN565" t="s">
        <v>5678</v>
      </c>
      <c r="AO565" t="s">
        <v>5674</v>
      </c>
      <c r="AP565">
        <v>100</v>
      </c>
      <c r="AQ565">
        <v>100</v>
      </c>
      <c r="AR565">
        <v>100</v>
      </c>
      <c r="AS565" t="s">
        <v>5558</v>
      </c>
      <c r="AT565">
        <v>0</v>
      </c>
      <c r="AU565">
        <v>0</v>
      </c>
      <c r="AV565">
        <v>0</v>
      </c>
    </row>
    <row r="566" spans="1:48">
      <c r="A566" s="1">
        <f>_xlfn.XLOOKUP(J566,数据!E:E,数据!A:A)</f>
        <v>2</v>
      </c>
      <c r="B566" s="1">
        <f>_xlfn.XLOOKUP(J566,数据!E:E,数据!B:B)</f>
        <v>6</v>
      </c>
      <c r="C566" s="1" t="str">
        <f>_xlfn.XLOOKUP(J566,数据!E:E,数据!J:J)</f>
        <v>空派</v>
      </c>
      <c r="D566" s="1" t="str" cm="1">
        <f t="array" ref="D566">IF(OR(C566="红单",C566="空派"),_xlfn.IFS(E566="未开售","新品首批发货",F566&lt;E566,"新品首批发货",F566-E566&lt;=60,"新品期补货空运",F566-E566&gt;60,"老品应急空运"),"海运，不进行分析")</f>
        <v>新品首批发货</v>
      </c>
      <c r="E566" s="2">
        <v>46074</v>
      </c>
      <c r="F566" s="2">
        <f>_xlfn.XLOOKUP(J566,数据!E:E,数据!C:C)</f>
        <v>46060</v>
      </c>
      <c r="G566" s="4">
        <v>92</v>
      </c>
      <c r="H566" s="4">
        <f t="shared" si="27"/>
        <v>7.36</v>
      </c>
      <c r="I566" s="4">
        <f>_xlfn.XLOOKUP(J566,数据!E:E,数据!S:S)*(H566/_xlfn.XLOOKUP(J566,数据!E:E,数据!X:X))</f>
        <v>428.761421800948</v>
      </c>
      <c r="J566" t="s">
        <v>1071</v>
      </c>
      <c r="K566" t="s">
        <v>59</v>
      </c>
      <c r="L566" t="s">
        <v>2374</v>
      </c>
      <c r="M566" t="s">
        <v>5668</v>
      </c>
      <c r="N566" t="s">
        <v>2376</v>
      </c>
      <c r="O566" t="s">
        <v>2400</v>
      </c>
      <c r="P566" t="s">
        <v>2378</v>
      </c>
      <c r="Q566" t="s">
        <v>2379</v>
      </c>
      <c r="R566" t="s">
        <v>5669</v>
      </c>
      <c r="S566" t="s">
        <v>2511</v>
      </c>
      <c r="T566" s="3" t="s">
        <v>5628</v>
      </c>
      <c r="U566" t="s">
        <v>5629</v>
      </c>
      <c r="V566" t="s">
        <v>5670</v>
      </c>
      <c r="W566" t="s">
        <v>5671</v>
      </c>
      <c r="X566" t="s">
        <v>2403</v>
      </c>
      <c r="Y566" t="s">
        <v>5672</v>
      </c>
      <c r="Z566" t="s">
        <v>2387</v>
      </c>
      <c r="AA566" t="s">
        <v>5628</v>
      </c>
      <c r="AB566" t="s">
        <v>4491</v>
      </c>
      <c r="AC566" t="s">
        <v>5673</v>
      </c>
      <c r="AD566" t="s">
        <v>5527</v>
      </c>
      <c r="AH566" t="s">
        <v>5227</v>
      </c>
      <c r="AI566" t="s">
        <v>5228</v>
      </c>
      <c r="AJ566" t="s">
        <v>5679</v>
      </c>
      <c r="AK566" t="s">
        <v>5680</v>
      </c>
      <c r="AL566" t="s">
        <v>5681</v>
      </c>
      <c r="AM566" t="s">
        <v>5681</v>
      </c>
      <c r="AN566" t="s">
        <v>5682</v>
      </c>
      <c r="AO566" t="s">
        <v>5679</v>
      </c>
      <c r="AP566">
        <v>80</v>
      </c>
      <c r="AQ566">
        <v>80</v>
      </c>
      <c r="AR566">
        <v>80</v>
      </c>
      <c r="AS566" t="s">
        <v>5683</v>
      </c>
      <c r="AT566">
        <v>0</v>
      </c>
      <c r="AU566">
        <v>0</v>
      </c>
      <c r="AV566">
        <v>0</v>
      </c>
    </row>
    <row r="567" spans="1:48">
      <c r="A567" s="1">
        <f>_xlfn.XLOOKUP(J567,数据!E:E,数据!A:A)</f>
        <v>2</v>
      </c>
      <c r="B567" s="1">
        <f>_xlfn.XLOOKUP(J567,数据!E:E,数据!B:B)</f>
        <v>6</v>
      </c>
      <c r="C567" s="1" t="str">
        <f>_xlfn.XLOOKUP(J567,数据!E:E,数据!J:J)</f>
        <v>空派</v>
      </c>
      <c r="D567" s="1" t="str" cm="1">
        <f t="array" ref="D567">IF(OR(C567="红单",C567="空派"),_xlfn.IFS(E567="未开售","新品首批发货",F567&lt;E567,"新品首批发货",F567-E567&lt;=60,"新品期补货空运",F567-E567&gt;60,"老品应急空运"),"海运，不进行分析")</f>
        <v>新品期补货空运</v>
      </c>
      <c r="E567" s="2">
        <v>46029</v>
      </c>
      <c r="F567" s="2">
        <f>_xlfn.XLOOKUP(J567,数据!E:E,数据!C:C)</f>
        <v>46060</v>
      </c>
      <c r="G567" s="4">
        <v>76</v>
      </c>
      <c r="H567" s="4">
        <f t="shared" si="27"/>
        <v>7.6</v>
      </c>
      <c r="I567" s="4">
        <f>_xlfn.XLOOKUP(J567,数据!E:E,数据!S:S)*(H567/_xlfn.XLOOKUP(J567,数据!E:E,数据!X:X))</f>
        <v>442.742772511848</v>
      </c>
      <c r="J567" t="s">
        <v>1071</v>
      </c>
      <c r="K567" t="s">
        <v>59</v>
      </c>
      <c r="L567" t="s">
        <v>2374</v>
      </c>
      <c r="M567" t="s">
        <v>5668</v>
      </c>
      <c r="N567" t="s">
        <v>2376</v>
      </c>
      <c r="O567" t="s">
        <v>2400</v>
      </c>
      <c r="P567" t="s">
        <v>2378</v>
      </c>
      <c r="Q567" t="s">
        <v>2379</v>
      </c>
      <c r="R567" t="s">
        <v>5669</v>
      </c>
      <c r="S567" t="s">
        <v>2511</v>
      </c>
      <c r="T567" s="3" t="s">
        <v>5628</v>
      </c>
      <c r="U567" t="s">
        <v>5629</v>
      </c>
      <c r="V567" t="s">
        <v>5670</v>
      </c>
      <c r="W567" t="s">
        <v>5671</v>
      </c>
      <c r="X567" t="s">
        <v>2403</v>
      </c>
      <c r="Y567" t="s">
        <v>5672</v>
      </c>
      <c r="Z567" t="s">
        <v>2387</v>
      </c>
      <c r="AA567" t="s">
        <v>5628</v>
      </c>
      <c r="AB567" t="s">
        <v>4491</v>
      </c>
      <c r="AC567" t="s">
        <v>5673</v>
      </c>
      <c r="AD567" t="s">
        <v>5527</v>
      </c>
      <c r="AH567" t="s">
        <v>5227</v>
      </c>
      <c r="AI567" t="s">
        <v>5228</v>
      </c>
      <c r="AJ567" t="s">
        <v>4609</v>
      </c>
      <c r="AK567" t="s">
        <v>4610</v>
      </c>
      <c r="AL567" t="s">
        <v>4611</v>
      </c>
      <c r="AM567" t="s">
        <v>4612</v>
      </c>
      <c r="AN567" t="s">
        <v>4613</v>
      </c>
      <c r="AO567" t="s">
        <v>4609</v>
      </c>
      <c r="AP567">
        <v>100</v>
      </c>
      <c r="AQ567">
        <v>100</v>
      </c>
      <c r="AR567">
        <v>100</v>
      </c>
      <c r="AS567" t="s">
        <v>5684</v>
      </c>
      <c r="AT567">
        <v>0</v>
      </c>
      <c r="AU567">
        <v>0</v>
      </c>
      <c r="AV567">
        <v>0</v>
      </c>
    </row>
    <row r="568" spans="1:48">
      <c r="A568" s="1">
        <f>_xlfn.XLOOKUP(J568,数据!E:E,数据!A:A)</f>
        <v>2</v>
      </c>
      <c r="B568" s="1">
        <f>_xlfn.XLOOKUP(J568,数据!E:E,数据!B:B)</f>
        <v>6</v>
      </c>
      <c r="C568" s="1" t="str">
        <f>_xlfn.XLOOKUP(J568,数据!E:E,数据!J:J)</f>
        <v>红单</v>
      </c>
      <c r="D568" s="1" t="str" cm="1">
        <f t="array" ref="D568">IF(OR(C568="红单",C568="空派"),_xlfn.IFS(E568="未开售","新品首批发货",F568&lt;E568,"新品首批发货",F568-E568&lt;=60,"新品期补货空运",F568-E568&gt;60,"老品应急空运"),"海运，不进行分析")</f>
        <v>新品期补货空运</v>
      </c>
      <c r="E568" s="2">
        <v>46023</v>
      </c>
      <c r="F568" s="2">
        <f>_xlfn.XLOOKUP(J568,数据!E:E,数据!C:C)</f>
        <v>46060</v>
      </c>
      <c r="G568" s="4">
        <v>237</v>
      </c>
      <c r="H568" s="4">
        <f t="shared" si="27"/>
        <v>7.11</v>
      </c>
      <c r="I568" s="4">
        <f>_xlfn.XLOOKUP(J568,数据!E:E,数据!S:S)*(H568/_xlfn.XLOOKUP(J568,数据!E:E,数据!X:X))</f>
        <v>626.196666666667</v>
      </c>
      <c r="J568" t="s">
        <v>1083</v>
      </c>
      <c r="K568" t="s">
        <v>56</v>
      </c>
      <c r="L568" t="s">
        <v>2374</v>
      </c>
      <c r="M568" t="s">
        <v>5685</v>
      </c>
      <c r="N568" t="s">
        <v>2376</v>
      </c>
      <c r="O568" t="s">
        <v>2377</v>
      </c>
      <c r="P568" t="s">
        <v>2378</v>
      </c>
      <c r="Q568" t="s">
        <v>2379</v>
      </c>
      <c r="R568" t="s">
        <v>1083</v>
      </c>
      <c r="S568" t="s">
        <v>2511</v>
      </c>
      <c r="T568" s="3" t="s">
        <v>5686</v>
      </c>
      <c r="U568" t="s">
        <v>5687</v>
      </c>
      <c r="V568" t="s">
        <v>5688</v>
      </c>
      <c r="W568" t="s">
        <v>5689</v>
      </c>
      <c r="X568" t="s">
        <v>2403</v>
      </c>
      <c r="Y568" t="s">
        <v>5690</v>
      </c>
      <c r="Z568" t="s">
        <v>2405</v>
      </c>
      <c r="AA568" t="s">
        <v>5686</v>
      </c>
      <c r="AB568" t="s">
        <v>5691</v>
      </c>
      <c r="AC568" t="s">
        <v>5692</v>
      </c>
      <c r="AD568" t="s">
        <v>5227</v>
      </c>
      <c r="AH568" t="s">
        <v>5693</v>
      </c>
      <c r="AI568" t="s">
        <v>5227</v>
      </c>
      <c r="AJ568" t="s">
        <v>5322</v>
      </c>
      <c r="AK568" t="s">
        <v>5323</v>
      </c>
      <c r="AL568" t="s">
        <v>5324</v>
      </c>
      <c r="AM568" t="s">
        <v>2396</v>
      </c>
      <c r="AN568" t="s">
        <v>5325</v>
      </c>
      <c r="AO568" t="s">
        <v>5322</v>
      </c>
      <c r="AP568">
        <v>30</v>
      </c>
      <c r="AQ568">
        <v>30</v>
      </c>
      <c r="AR568">
        <v>30</v>
      </c>
      <c r="AS568" t="s">
        <v>5694</v>
      </c>
      <c r="AT568">
        <v>0</v>
      </c>
      <c r="AU568">
        <v>0</v>
      </c>
      <c r="AV568">
        <v>0</v>
      </c>
    </row>
    <row r="569" spans="1:48">
      <c r="A569" s="1">
        <f>_xlfn.XLOOKUP(J569,数据!E:E,数据!A:A)</f>
        <v>2</v>
      </c>
      <c r="B569" s="1">
        <f>_xlfn.XLOOKUP(J569,数据!E:E,数据!B:B)</f>
        <v>6</v>
      </c>
      <c r="C569" s="1" t="str">
        <f>_xlfn.XLOOKUP(J569,数据!E:E,数据!J:J)</f>
        <v>红单</v>
      </c>
      <c r="D569" s="1" t="str" cm="1">
        <f t="array" ref="D569">IF(OR(C569="红单",C569="空派"),_xlfn.IFS(E569="未开售","新品首批发货",F569&lt;E569,"新品首批发货",F569-E569&lt;=60,"新品期补货空运",F569-E569&gt;60,"老品应急空运"),"海运，不进行分析")</f>
        <v>新品首批发货</v>
      </c>
      <c r="E569" s="2">
        <v>46072</v>
      </c>
      <c r="F569" s="2">
        <f>_xlfn.XLOOKUP(J569,数据!E:E,数据!C:C)</f>
        <v>46060</v>
      </c>
      <c r="G569" s="4">
        <v>96</v>
      </c>
      <c r="H569" s="4">
        <f t="shared" si="27"/>
        <v>7.68</v>
      </c>
      <c r="I569" s="4">
        <f>_xlfn.XLOOKUP(J569,数据!E:E,数据!S:S)*(H569/_xlfn.XLOOKUP(J569,数据!E:E,数据!X:X))</f>
        <v>635.279609756099</v>
      </c>
      <c r="J569" t="s">
        <v>1082</v>
      </c>
      <c r="K569" t="s">
        <v>51</v>
      </c>
      <c r="L569" t="s">
        <v>2374</v>
      </c>
      <c r="M569" t="s">
        <v>5695</v>
      </c>
      <c r="N569" t="s">
        <v>2376</v>
      </c>
      <c r="O569" t="s">
        <v>2400</v>
      </c>
      <c r="P569" t="s">
        <v>2378</v>
      </c>
      <c r="Q569" t="s">
        <v>2379</v>
      </c>
      <c r="R569" t="s">
        <v>1082</v>
      </c>
      <c r="S569" t="s">
        <v>2511</v>
      </c>
      <c r="T569" s="3" t="s">
        <v>5696</v>
      </c>
      <c r="U569" t="s">
        <v>5697</v>
      </c>
      <c r="V569" t="s">
        <v>5698</v>
      </c>
      <c r="W569" t="s">
        <v>5699</v>
      </c>
      <c r="X569" t="s">
        <v>2403</v>
      </c>
      <c r="Y569" t="s">
        <v>5700</v>
      </c>
      <c r="Z569" t="s">
        <v>2405</v>
      </c>
      <c r="AA569" t="s">
        <v>5696</v>
      </c>
      <c r="AB569" t="s">
        <v>5495</v>
      </c>
      <c r="AC569" t="s">
        <v>5701</v>
      </c>
      <c r="AD569" t="s">
        <v>5227</v>
      </c>
      <c r="AH569" t="s">
        <v>5693</v>
      </c>
      <c r="AI569" t="s">
        <v>5227</v>
      </c>
      <c r="AJ569" t="s">
        <v>5702</v>
      </c>
      <c r="AK569" t="s">
        <v>5703</v>
      </c>
      <c r="AL569" t="s">
        <v>5704</v>
      </c>
      <c r="AM569" t="s">
        <v>5704</v>
      </c>
      <c r="AN569" t="s">
        <v>5705</v>
      </c>
      <c r="AO569" t="s">
        <v>5702</v>
      </c>
      <c r="AP569">
        <v>80</v>
      </c>
      <c r="AQ569">
        <v>80</v>
      </c>
      <c r="AR569">
        <v>80</v>
      </c>
      <c r="AS569" t="s">
        <v>5706</v>
      </c>
      <c r="AT569">
        <v>0</v>
      </c>
      <c r="AU569">
        <v>0</v>
      </c>
      <c r="AV569">
        <v>0</v>
      </c>
    </row>
    <row r="570" spans="1:48">
      <c r="A570" s="1">
        <f>_xlfn.XLOOKUP(J570,数据!E:E,数据!A:A)</f>
        <v>2</v>
      </c>
      <c r="B570" s="1">
        <f>_xlfn.XLOOKUP(J570,数据!E:E,数据!B:B)</f>
        <v>6</v>
      </c>
      <c r="C570" s="1" t="str">
        <f>_xlfn.XLOOKUP(J570,数据!E:E,数据!J:J)</f>
        <v>红单</v>
      </c>
      <c r="D570" s="1" t="str" cm="1">
        <f t="array" ref="D570">IF(OR(C570="红单",C570="空派"),_xlfn.IFS(E570="未开售","新品首批发货",F570&lt;E570,"新品首批发货",F570-E570&lt;=60,"新品期补货空运",F570-E570&gt;60,"老品应急空运"),"海运，不进行分析")</f>
        <v>新品期补货空运</v>
      </c>
      <c r="E570" s="2">
        <v>46017</v>
      </c>
      <c r="F570" s="2">
        <f>_xlfn.XLOOKUP(J570,数据!E:E,数据!C:C)</f>
        <v>46060</v>
      </c>
      <c r="G570" s="4">
        <v>109</v>
      </c>
      <c r="H570" s="4">
        <f t="shared" si="27"/>
        <v>8.72</v>
      </c>
      <c r="I570" s="4">
        <f>_xlfn.XLOOKUP(J570,数据!E:E,数据!S:S)*(H570/_xlfn.XLOOKUP(J570,数据!E:E,数据!X:X))</f>
        <v>721.307056910571</v>
      </c>
      <c r="J570" t="s">
        <v>1082</v>
      </c>
      <c r="K570" t="s">
        <v>51</v>
      </c>
      <c r="L570" t="s">
        <v>2374</v>
      </c>
      <c r="M570" t="s">
        <v>5695</v>
      </c>
      <c r="N570" t="s">
        <v>2376</v>
      </c>
      <c r="O570" t="s">
        <v>2400</v>
      </c>
      <c r="P570" t="s">
        <v>2378</v>
      </c>
      <c r="Q570" t="s">
        <v>2379</v>
      </c>
      <c r="R570" t="s">
        <v>1082</v>
      </c>
      <c r="S570" t="s">
        <v>2511</v>
      </c>
      <c r="T570" s="3" t="s">
        <v>5696</v>
      </c>
      <c r="U570" t="s">
        <v>5697</v>
      </c>
      <c r="V570" t="s">
        <v>5698</v>
      </c>
      <c r="W570" t="s">
        <v>5699</v>
      </c>
      <c r="X570" t="s">
        <v>2403</v>
      </c>
      <c r="Y570" t="s">
        <v>5700</v>
      </c>
      <c r="Z570" t="s">
        <v>2405</v>
      </c>
      <c r="AA570" t="s">
        <v>5696</v>
      </c>
      <c r="AB570" t="s">
        <v>5495</v>
      </c>
      <c r="AC570" t="s">
        <v>5701</v>
      </c>
      <c r="AD570" t="s">
        <v>5227</v>
      </c>
      <c r="AH570" t="s">
        <v>5693</v>
      </c>
      <c r="AI570" t="s">
        <v>5227</v>
      </c>
      <c r="AJ570" t="s">
        <v>5707</v>
      </c>
      <c r="AK570" t="s">
        <v>5708</v>
      </c>
      <c r="AL570" t="s">
        <v>5709</v>
      </c>
      <c r="AM570" t="s">
        <v>2590</v>
      </c>
      <c r="AN570" t="s">
        <v>5710</v>
      </c>
      <c r="AO570" t="s">
        <v>5707</v>
      </c>
      <c r="AP570">
        <v>80</v>
      </c>
      <c r="AQ570">
        <v>80</v>
      </c>
      <c r="AR570">
        <v>80</v>
      </c>
      <c r="AS570" t="s">
        <v>5711</v>
      </c>
      <c r="AT570">
        <v>0</v>
      </c>
      <c r="AU570">
        <v>0</v>
      </c>
      <c r="AV570">
        <v>0</v>
      </c>
    </row>
    <row r="571" spans="1:48">
      <c r="A571" s="1">
        <f>_xlfn.XLOOKUP(J571,数据!E:E,数据!A:A)</f>
        <v>2</v>
      </c>
      <c r="B571" s="1">
        <f>_xlfn.XLOOKUP(J571,数据!E:E,数据!B:B)</f>
        <v>6</v>
      </c>
      <c r="C571" s="1" t="str">
        <f>_xlfn.XLOOKUP(J571,数据!E:E,数据!J:J)</f>
        <v>红单</v>
      </c>
      <c r="D571" s="1" t="str" cm="1">
        <f t="array" ref="D571">IF(OR(C571="红单",C571="空派"),_xlfn.IFS(E571="未开售","新品首批发货",F571&lt;E571,"新品首批发货",F571-E571&lt;=60,"新品期补货空运",F571-E571&gt;60,"老品应急空运"),"海运，不进行分析")</f>
        <v>新品首批发货</v>
      </c>
      <c r="E571" s="2">
        <v>46078</v>
      </c>
      <c r="F571" s="2">
        <f>_xlfn.XLOOKUP(J571,数据!E:E,数据!C:C)</f>
        <v>46060</v>
      </c>
      <c r="G571" s="4">
        <v>71</v>
      </c>
      <c r="H571" s="4">
        <f t="shared" si="27"/>
        <v>5.68</v>
      </c>
      <c r="I571" s="4">
        <f>_xlfn.XLOOKUP(J571,数据!E:E,数据!S:S)*(H571/_xlfn.XLOOKUP(J571,数据!E:E,数据!X:X))</f>
        <v>472.511128818062</v>
      </c>
      <c r="J571" t="s">
        <v>1081</v>
      </c>
      <c r="K571" t="s">
        <v>37</v>
      </c>
      <c r="L571" t="s">
        <v>2374</v>
      </c>
      <c r="M571" t="s">
        <v>5712</v>
      </c>
      <c r="N571" t="s">
        <v>2376</v>
      </c>
      <c r="O571" t="s">
        <v>2400</v>
      </c>
      <c r="P571" t="s">
        <v>2378</v>
      </c>
      <c r="Q571" t="s">
        <v>2379</v>
      </c>
      <c r="R571" t="s">
        <v>1081</v>
      </c>
      <c r="S571" t="s">
        <v>2511</v>
      </c>
      <c r="T571" s="3" t="s">
        <v>5713</v>
      </c>
      <c r="U571" t="s">
        <v>5532</v>
      </c>
      <c r="V571" t="s">
        <v>5714</v>
      </c>
      <c r="W571" t="s">
        <v>5715</v>
      </c>
      <c r="X571" t="s">
        <v>2385</v>
      </c>
      <c r="Y571" t="s">
        <v>5716</v>
      </c>
      <c r="Z571" t="s">
        <v>2405</v>
      </c>
      <c r="AA571" t="s">
        <v>5713</v>
      </c>
      <c r="AB571" t="s">
        <v>5576</v>
      </c>
      <c r="AC571" t="s">
        <v>5717</v>
      </c>
      <c r="AD571" t="s">
        <v>5227</v>
      </c>
      <c r="AH571" t="s">
        <v>5693</v>
      </c>
      <c r="AI571" t="s">
        <v>5227</v>
      </c>
      <c r="AJ571" t="s">
        <v>5718</v>
      </c>
      <c r="AK571" t="s">
        <v>5719</v>
      </c>
      <c r="AL571" t="s">
        <v>5720</v>
      </c>
      <c r="AM571" t="s">
        <v>5720</v>
      </c>
      <c r="AN571" t="s">
        <v>5721</v>
      </c>
      <c r="AO571" t="s">
        <v>5718</v>
      </c>
      <c r="AP571">
        <v>80</v>
      </c>
      <c r="AQ571">
        <v>80</v>
      </c>
      <c r="AR571">
        <v>56</v>
      </c>
      <c r="AS571" t="s">
        <v>5722</v>
      </c>
      <c r="AT571">
        <v>0</v>
      </c>
      <c r="AU571">
        <v>-24</v>
      </c>
      <c r="AV571">
        <v>24</v>
      </c>
    </row>
    <row r="572" spans="1:48">
      <c r="A572" s="1">
        <f>_xlfn.XLOOKUP(J572,数据!E:E,数据!A:A)</f>
        <v>2</v>
      </c>
      <c r="B572" s="1">
        <f>_xlfn.XLOOKUP(J572,数据!E:E,数据!B:B)</f>
        <v>6</v>
      </c>
      <c r="C572" s="1" t="str">
        <f>_xlfn.XLOOKUP(J572,数据!E:E,数据!J:J)</f>
        <v>红单</v>
      </c>
      <c r="D572" s="1" t="str" cm="1">
        <f t="array" ref="D572">IF(OR(C572="红单",C572="空派"),_xlfn.IFS(E572="未开售","新品首批发货",F572&lt;E572,"新品首批发货",F572-E572&lt;=60,"新品期补货空运",F572-E572&gt;60,"老品应急空运"),"海运，不进行分析")</f>
        <v>新品首批发货</v>
      </c>
      <c r="E572" s="2">
        <v>46073</v>
      </c>
      <c r="F572" s="2">
        <f>_xlfn.XLOOKUP(J572,数据!E:E,数据!C:C)</f>
        <v>46060</v>
      </c>
      <c r="G572" s="4">
        <v>96</v>
      </c>
      <c r="H572" s="4">
        <f t="shared" si="27"/>
        <v>14.4</v>
      </c>
      <c r="I572" s="4">
        <f>_xlfn.XLOOKUP(J572,数据!E:E,数据!S:S)*(H572/_xlfn.XLOOKUP(J572,数据!E:E,数据!X:X))</f>
        <v>1197.91553784861</v>
      </c>
      <c r="J572" t="s">
        <v>1081</v>
      </c>
      <c r="K572" t="s">
        <v>37</v>
      </c>
      <c r="L572" t="s">
        <v>2374</v>
      </c>
      <c r="M572" t="s">
        <v>5712</v>
      </c>
      <c r="N572" t="s">
        <v>2376</v>
      </c>
      <c r="O572" t="s">
        <v>2400</v>
      </c>
      <c r="P572" t="s">
        <v>2378</v>
      </c>
      <c r="Q572" t="s">
        <v>2379</v>
      </c>
      <c r="R572" t="s">
        <v>1081</v>
      </c>
      <c r="S572" t="s">
        <v>2511</v>
      </c>
      <c r="T572" s="3" t="s">
        <v>5713</v>
      </c>
      <c r="U572" t="s">
        <v>5532</v>
      </c>
      <c r="V572" t="s">
        <v>5714</v>
      </c>
      <c r="W572" t="s">
        <v>5715</v>
      </c>
      <c r="X572" t="s">
        <v>2385</v>
      </c>
      <c r="Y572" t="s">
        <v>5716</v>
      </c>
      <c r="Z572" t="s">
        <v>2405</v>
      </c>
      <c r="AA572" t="s">
        <v>5713</v>
      </c>
      <c r="AB572" t="s">
        <v>5576</v>
      </c>
      <c r="AC572" t="s">
        <v>5717</v>
      </c>
      <c r="AD572" t="s">
        <v>5227</v>
      </c>
      <c r="AH572" t="s">
        <v>5693</v>
      </c>
      <c r="AI572" t="s">
        <v>5227</v>
      </c>
      <c r="AJ572" t="s">
        <v>5723</v>
      </c>
      <c r="AK572" t="s">
        <v>5724</v>
      </c>
      <c r="AL572" t="s">
        <v>5725</v>
      </c>
      <c r="AM572" t="s">
        <v>5725</v>
      </c>
      <c r="AN572" t="s">
        <v>5726</v>
      </c>
      <c r="AO572" t="s">
        <v>5723</v>
      </c>
      <c r="AP572">
        <v>150</v>
      </c>
      <c r="AQ572">
        <v>150</v>
      </c>
      <c r="AR572">
        <v>150</v>
      </c>
      <c r="AS572" t="s">
        <v>5727</v>
      </c>
      <c r="AT572">
        <v>0</v>
      </c>
      <c r="AU572">
        <v>0</v>
      </c>
      <c r="AV572">
        <v>0</v>
      </c>
    </row>
    <row r="573" spans="1:48">
      <c r="A573" s="1">
        <f>_xlfn.XLOOKUP(J573,数据!E:E,数据!A:A)</f>
        <v>2</v>
      </c>
      <c r="B573" s="1">
        <f>_xlfn.XLOOKUP(J573,数据!E:E,数据!B:B)</f>
        <v>6</v>
      </c>
      <c r="C573" s="1" t="str">
        <f>_xlfn.XLOOKUP(J573,数据!E:E,数据!J:J)</f>
        <v>空派</v>
      </c>
      <c r="D573" s="1" t="str" cm="1">
        <f t="array" ref="D573">IF(OR(C573="红单",C573="空派"),_xlfn.IFS(E573="未开售","新品首批发货",F573&lt;E573,"新品首批发货",F573-E573&lt;=60,"新品期补货空运",F573-E573&gt;60,"老品应急空运"),"海运，不进行分析")</f>
        <v>新品首批发货</v>
      </c>
      <c r="E573" s="2">
        <v>46092</v>
      </c>
      <c r="F573" s="2">
        <f>_xlfn.XLOOKUP(J573,数据!E:E,数据!C:C)</f>
        <v>46058</v>
      </c>
      <c r="G573" s="4">
        <v>115</v>
      </c>
      <c r="H573" s="4">
        <f>G573*AP573/1000</f>
        <v>6.9</v>
      </c>
      <c r="I573" s="4">
        <f>_xlfn.XLOOKUP(J573,数据!E:E,数据!S:S)*(H573/_xlfn.XLOOKUP(J573,数据!E:E,数据!X:X))</f>
        <v>466.753541033435</v>
      </c>
      <c r="J573" t="s">
        <v>912</v>
      </c>
      <c r="K573" t="s">
        <v>51</v>
      </c>
      <c r="L573" t="s">
        <v>2374</v>
      </c>
      <c r="M573" t="s">
        <v>5728</v>
      </c>
      <c r="N573" t="s">
        <v>2376</v>
      </c>
      <c r="O573" t="s">
        <v>2400</v>
      </c>
      <c r="P573" t="s">
        <v>2378</v>
      </c>
      <c r="Q573" t="s">
        <v>2379</v>
      </c>
      <c r="R573" t="s">
        <v>5729</v>
      </c>
      <c r="S573" t="s">
        <v>2511</v>
      </c>
      <c r="T573" s="3" t="s">
        <v>5730</v>
      </c>
      <c r="U573" t="s">
        <v>5731</v>
      </c>
      <c r="V573" t="s">
        <v>5732</v>
      </c>
      <c r="W573" t="s">
        <v>5733</v>
      </c>
      <c r="X573" t="s">
        <v>2385</v>
      </c>
      <c r="Y573" t="s">
        <v>5734</v>
      </c>
      <c r="Z573" t="s">
        <v>2387</v>
      </c>
      <c r="AA573" t="s">
        <v>5730</v>
      </c>
      <c r="AB573" t="s">
        <v>4120</v>
      </c>
      <c r="AC573" t="s">
        <v>5735</v>
      </c>
      <c r="AD573" t="s">
        <v>5736</v>
      </c>
      <c r="AH573" t="s">
        <v>5693</v>
      </c>
      <c r="AI573" t="s">
        <v>5227</v>
      </c>
      <c r="AJ573" t="s">
        <v>3778</v>
      </c>
      <c r="AK573" t="s">
        <v>3779</v>
      </c>
      <c r="AL573" t="s">
        <v>3780</v>
      </c>
      <c r="AM573" t="s">
        <v>3781</v>
      </c>
      <c r="AN573" t="s">
        <v>3782</v>
      </c>
      <c r="AO573" t="s">
        <v>3778</v>
      </c>
      <c r="AP573">
        <v>60</v>
      </c>
      <c r="AQ573">
        <v>60</v>
      </c>
      <c r="AR573">
        <v>58</v>
      </c>
      <c r="AS573" t="s">
        <v>5737</v>
      </c>
      <c r="AT573">
        <v>0</v>
      </c>
      <c r="AU573">
        <v>-2</v>
      </c>
      <c r="AV573">
        <v>2</v>
      </c>
    </row>
    <row r="574" spans="1:48">
      <c r="A574" s="1">
        <f>_xlfn.XLOOKUP(J574,数据!E:E,数据!A:A)</f>
        <v>2</v>
      </c>
      <c r="B574" s="1">
        <f>_xlfn.XLOOKUP(J574,数据!E:E,数据!B:B)</f>
        <v>6</v>
      </c>
      <c r="C574" s="1" t="str">
        <f>_xlfn.XLOOKUP(J574,数据!E:E,数据!J:J)</f>
        <v>空派</v>
      </c>
      <c r="D574" s="1" t="str" cm="1">
        <f t="array" ref="D574">IF(OR(C574="红单",C574="空派"),_xlfn.IFS(E574="未开售","新品首批发货",F574&lt;E574,"新品首批发货",F574-E574&lt;=60,"新品期补货空运",F574-E574&gt;60,"老品应急空运"),"海运，不进行分析")</f>
        <v>新品首批发货</v>
      </c>
      <c r="E574" s="2">
        <v>46088</v>
      </c>
      <c r="F574" s="2">
        <f>_xlfn.XLOOKUP(J574,数据!E:E,数据!C:C)</f>
        <v>46058</v>
      </c>
      <c r="G574" s="4">
        <v>114</v>
      </c>
      <c r="H574" s="4">
        <f>G574*AP574/1000</f>
        <v>11.4</v>
      </c>
      <c r="I574" s="4">
        <f>_xlfn.XLOOKUP(J574,数据!E:E,数据!S:S)*(H574/_xlfn.XLOOKUP(J574,数据!E:E,数据!X:X))</f>
        <v>771.15802431611</v>
      </c>
      <c r="J574" t="s">
        <v>912</v>
      </c>
      <c r="K574" t="s">
        <v>51</v>
      </c>
      <c r="L574" t="s">
        <v>2374</v>
      </c>
      <c r="M574" t="s">
        <v>5728</v>
      </c>
      <c r="N574" t="s">
        <v>2376</v>
      </c>
      <c r="O574" t="s">
        <v>2400</v>
      </c>
      <c r="P574" t="s">
        <v>2378</v>
      </c>
      <c r="Q574" t="s">
        <v>2379</v>
      </c>
      <c r="R574" t="s">
        <v>5729</v>
      </c>
      <c r="S574" t="s">
        <v>2511</v>
      </c>
      <c r="T574" s="3" t="s">
        <v>5730</v>
      </c>
      <c r="U574" t="s">
        <v>5731</v>
      </c>
      <c r="V574" t="s">
        <v>5732</v>
      </c>
      <c r="W574" t="s">
        <v>5733</v>
      </c>
      <c r="X574" t="s">
        <v>2385</v>
      </c>
      <c r="Y574" t="s">
        <v>5734</v>
      </c>
      <c r="Z574" t="s">
        <v>2387</v>
      </c>
      <c r="AA574" t="s">
        <v>5730</v>
      </c>
      <c r="AB574" t="s">
        <v>4120</v>
      </c>
      <c r="AC574" t="s">
        <v>5735</v>
      </c>
      <c r="AD574" t="s">
        <v>5736</v>
      </c>
      <c r="AH574" t="s">
        <v>5693</v>
      </c>
      <c r="AI574" t="s">
        <v>5227</v>
      </c>
      <c r="AJ574" t="s">
        <v>4128</v>
      </c>
      <c r="AK574" t="s">
        <v>4129</v>
      </c>
      <c r="AL574" t="s">
        <v>4130</v>
      </c>
      <c r="AM574" t="s">
        <v>3781</v>
      </c>
      <c r="AN574" t="s">
        <v>4131</v>
      </c>
      <c r="AO574" t="s">
        <v>4128</v>
      </c>
      <c r="AP574">
        <v>100</v>
      </c>
      <c r="AQ574">
        <v>100</v>
      </c>
      <c r="AR574">
        <v>100</v>
      </c>
      <c r="AS574" t="s">
        <v>5738</v>
      </c>
      <c r="AT574">
        <v>0</v>
      </c>
      <c r="AU574">
        <v>0</v>
      </c>
      <c r="AV574">
        <v>0</v>
      </c>
    </row>
    <row r="575" spans="1:48">
      <c r="A575" s="1">
        <f>_xlfn.XLOOKUP(J575,数据!E:E,数据!A:A)</f>
        <v>2</v>
      </c>
      <c r="B575" s="1">
        <f>_xlfn.XLOOKUP(J575,数据!E:E,数据!B:B)</f>
        <v>6</v>
      </c>
      <c r="C575" s="1" t="str">
        <f>_xlfn.XLOOKUP(J575,数据!E:E,数据!J:J)</f>
        <v>空派</v>
      </c>
      <c r="D575" s="1" t="str" cm="1">
        <f t="array" ref="D575">IF(OR(C575="红单",C575="空派"),_xlfn.IFS(E575="未开售","新品首批发货",F575&lt;E575,"新品首批发货",F575-E575&lt;=60,"新品期补货空运",F575-E575&gt;60,"老品应急空运"),"海运，不进行分析")</f>
        <v>新品首批发货</v>
      </c>
      <c r="E575" s="2">
        <v>46088</v>
      </c>
      <c r="F575" s="2">
        <f>_xlfn.XLOOKUP(J575,数据!E:E,数据!C:C)</f>
        <v>46058</v>
      </c>
      <c r="G575" s="4">
        <v>114</v>
      </c>
      <c r="H575" s="4">
        <f>G575*AP575/1000</f>
        <v>6.84</v>
      </c>
      <c r="I575" s="4">
        <f>_xlfn.XLOOKUP(J575,数据!E:E,数据!S:S)*(H575/_xlfn.XLOOKUP(J575,数据!E:E,数据!X:X))</f>
        <v>462.694814589666</v>
      </c>
      <c r="J575" t="s">
        <v>912</v>
      </c>
      <c r="K575" t="s">
        <v>51</v>
      </c>
      <c r="L575" t="s">
        <v>2374</v>
      </c>
      <c r="M575" t="s">
        <v>5728</v>
      </c>
      <c r="N575" t="s">
        <v>2376</v>
      </c>
      <c r="O575" t="s">
        <v>2400</v>
      </c>
      <c r="P575" t="s">
        <v>2378</v>
      </c>
      <c r="Q575" t="s">
        <v>2379</v>
      </c>
      <c r="R575" t="s">
        <v>5729</v>
      </c>
      <c r="S575" t="s">
        <v>2511</v>
      </c>
      <c r="T575" s="3" t="s">
        <v>5730</v>
      </c>
      <c r="U575" t="s">
        <v>5731</v>
      </c>
      <c r="V575" t="s">
        <v>5732</v>
      </c>
      <c r="W575" t="s">
        <v>5733</v>
      </c>
      <c r="X575" t="s">
        <v>2385</v>
      </c>
      <c r="Y575" t="s">
        <v>5734</v>
      </c>
      <c r="Z575" t="s">
        <v>2387</v>
      </c>
      <c r="AA575" t="s">
        <v>5730</v>
      </c>
      <c r="AB575" t="s">
        <v>4120</v>
      </c>
      <c r="AC575" t="s">
        <v>5735</v>
      </c>
      <c r="AD575" t="s">
        <v>5736</v>
      </c>
      <c r="AH575" t="s">
        <v>5693</v>
      </c>
      <c r="AI575" t="s">
        <v>5227</v>
      </c>
      <c r="AJ575" t="s">
        <v>3784</v>
      </c>
      <c r="AK575" t="s">
        <v>3785</v>
      </c>
      <c r="AL575" t="s">
        <v>3786</v>
      </c>
      <c r="AM575" t="s">
        <v>3781</v>
      </c>
      <c r="AN575" t="s">
        <v>3787</v>
      </c>
      <c r="AO575" t="s">
        <v>3784</v>
      </c>
      <c r="AP575">
        <v>60</v>
      </c>
      <c r="AQ575">
        <v>60</v>
      </c>
      <c r="AR575">
        <v>58</v>
      </c>
      <c r="AS575" t="s">
        <v>5739</v>
      </c>
      <c r="AT575">
        <v>0</v>
      </c>
      <c r="AU575">
        <v>-2</v>
      </c>
      <c r="AV575">
        <v>2</v>
      </c>
    </row>
    <row r="576" spans="1:48">
      <c r="A576" s="1">
        <f>_xlfn.XLOOKUP(J576,数据!E:E,数据!A:A)</f>
        <v>2</v>
      </c>
      <c r="B576" s="1">
        <f>_xlfn.XLOOKUP(J576,数据!E:E,数据!B:B)</f>
        <v>6</v>
      </c>
      <c r="C576" s="1" t="str">
        <f>_xlfn.XLOOKUP(J576,数据!E:E,数据!J:J)</f>
        <v>空派</v>
      </c>
      <c r="D576" s="1" t="str" cm="1">
        <f t="array" ref="D576">IF(OR(C576="红单",C576="空派"),_xlfn.IFS(E576="未开售","新品首批发货",F576&lt;E576,"新品首批发货",F576-E576&lt;=60,"新品期补货空运",F576-E576&gt;60,"老品应急空运"),"海运，不进行分析")</f>
        <v>新品首批发货</v>
      </c>
      <c r="E576" s="2">
        <v>46093</v>
      </c>
      <c r="F576" s="2">
        <f>_xlfn.XLOOKUP(J576,数据!E:E,数据!C:C)</f>
        <v>46058</v>
      </c>
      <c r="G576" s="4">
        <v>114</v>
      </c>
      <c r="H576" s="4">
        <f>G576*AP576/1000</f>
        <v>9.12</v>
      </c>
      <c r="I576" s="4">
        <f>_xlfn.XLOOKUP(J576,数据!E:E,数据!S:S)*(H576/_xlfn.XLOOKUP(J576,数据!E:E,数据!X:X))</f>
        <v>616.926419452887</v>
      </c>
      <c r="J576" t="s">
        <v>912</v>
      </c>
      <c r="K576" t="s">
        <v>51</v>
      </c>
      <c r="L576" t="s">
        <v>2374</v>
      </c>
      <c r="M576" t="s">
        <v>5728</v>
      </c>
      <c r="N576" t="s">
        <v>2376</v>
      </c>
      <c r="O576" t="s">
        <v>2400</v>
      </c>
      <c r="P576" t="s">
        <v>2378</v>
      </c>
      <c r="Q576" t="s">
        <v>2379</v>
      </c>
      <c r="R576" t="s">
        <v>5729</v>
      </c>
      <c r="S576" t="s">
        <v>2511</v>
      </c>
      <c r="T576" s="3" t="s">
        <v>5730</v>
      </c>
      <c r="U576" t="s">
        <v>5731</v>
      </c>
      <c r="V576" t="s">
        <v>5732</v>
      </c>
      <c r="W576" t="s">
        <v>5733</v>
      </c>
      <c r="X576" t="s">
        <v>2385</v>
      </c>
      <c r="Y576" t="s">
        <v>5734</v>
      </c>
      <c r="Z576" t="s">
        <v>2387</v>
      </c>
      <c r="AA576" t="s">
        <v>5730</v>
      </c>
      <c r="AB576" t="s">
        <v>4120</v>
      </c>
      <c r="AC576" t="s">
        <v>5735</v>
      </c>
      <c r="AD576" t="s">
        <v>5736</v>
      </c>
      <c r="AH576" t="s">
        <v>5693</v>
      </c>
      <c r="AI576" t="s">
        <v>5227</v>
      </c>
      <c r="AJ576" t="s">
        <v>5740</v>
      </c>
      <c r="AK576" t="s">
        <v>5741</v>
      </c>
      <c r="AL576" t="s">
        <v>5742</v>
      </c>
      <c r="AM576" t="s">
        <v>3781</v>
      </c>
      <c r="AN576" t="s">
        <v>5743</v>
      </c>
      <c r="AO576" t="s">
        <v>5740</v>
      </c>
      <c r="AP576">
        <v>80</v>
      </c>
      <c r="AQ576">
        <v>80</v>
      </c>
      <c r="AR576">
        <v>75</v>
      </c>
      <c r="AS576" t="s">
        <v>5744</v>
      </c>
      <c r="AT576">
        <v>0</v>
      </c>
      <c r="AU576">
        <v>-5</v>
      </c>
      <c r="AV576">
        <v>5</v>
      </c>
    </row>
    <row r="577" spans="1:48">
      <c r="A577" s="1">
        <f>_xlfn.XLOOKUP(J577,数据!E:E,数据!A:A)</f>
        <v>2</v>
      </c>
      <c r="B577" s="1">
        <f>_xlfn.XLOOKUP(J577,数据!E:E,数据!B:B)</f>
        <v>6</v>
      </c>
      <c r="C577" s="1" t="str">
        <f>_xlfn.XLOOKUP(J577,数据!E:E,数据!J:J)</f>
        <v>空派</v>
      </c>
      <c r="D577" s="1" t="str" cm="1">
        <f t="array" ref="D577">IF(OR(C577="红单",C577="空派"),_xlfn.IFS(E577="未开售","新品首批发货",F577&lt;E577,"新品首批发货",F577-E577&lt;=60,"新品期补货空运",F577-E577&gt;60,"老品应急空运"),"海运，不进行分析")</f>
        <v>新品期补货空运</v>
      </c>
      <c r="E577" s="2">
        <v>46035</v>
      </c>
      <c r="F577" s="2">
        <f>_xlfn.XLOOKUP(J577,数据!E:E,数据!C:C)</f>
        <v>46058</v>
      </c>
      <c r="G577" s="4">
        <v>101</v>
      </c>
      <c r="H577" s="4">
        <f t="shared" ref="H577:H590" si="28">G577*AP577/1000</f>
        <v>10.1</v>
      </c>
      <c r="I577" s="4">
        <f>_xlfn.XLOOKUP(J577,数据!E:E,数据!S:S)*(H577/_xlfn.XLOOKUP(J577,数据!E:E,数据!X:X))</f>
        <v>683.218951367781</v>
      </c>
      <c r="J577" t="s">
        <v>912</v>
      </c>
      <c r="K577" t="s">
        <v>51</v>
      </c>
      <c r="L577" t="s">
        <v>2374</v>
      </c>
      <c r="M577" t="s">
        <v>5728</v>
      </c>
      <c r="N577" t="s">
        <v>2376</v>
      </c>
      <c r="O577" t="s">
        <v>2400</v>
      </c>
      <c r="P577" t="s">
        <v>2378</v>
      </c>
      <c r="Q577" t="s">
        <v>2379</v>
      </c>
      <c r="R577" t="s">
        <v>5729</v>
      </c>
      <c r="S577" t="s">
        <v>2511</v>
      </c>
      <c r="T577" s="3" t="s">
        <v>5730</v>
      </c>
      <c r="U577" t="s">
        <v>5731</v>
      </c>
      <c r="V577" t="s">
        <v>5732</v>
      </c>
      <c r="W577" t="s">
        <v>5733</v>
      </c>
      <c r="X577" t="s">
        <v>2385</v>
      </c>
      <c r="Y577" t="s">
        <v>5734</v>
      </c>
      <c r="Z577" t="s">
        <v>2387</v>
      </c>
      <c r="AA577" t="s">
        <v>5730</v>
      </c>
      <c r="AB577" t="s">
        <v>4120</v>
      </c>
      <c r="AC577" t="s">
        <v>5735</v>
      </c>
      <c r="AD577" t="s">
        <v>5736</v>
      </c>
      <c r="AH577" t="s">
        <v>5693</v>
      </c>
      <c r="AI577" t="s">
        <v>5227</v>
      </c>
      <c r="AJ577" t="s">
        <v>5509</v>
      </c>
      <c r="AK577" t="s">
        <v>5510</v>
      </c>
      <c r="AL577" t="s">
        <v>5511</v>
      </c>
      <c r="AM577" t="s">
        <v>5511</v>
      </c>
      <c r="AN577" t="s">
        <v>5512</v>
      </c>
      <c r="AO577" t="s">
        <v>5509</v>
      </c>
      <c r="AP577">
        <v>100</v>
      </c>
      <c r="AQ577">
        <v>100</v>
      </c>
      <c r="AR577">
        <v>100</v>
      </c>
      <c r="AS577" t="s">
        <v>5745</v>
      </c>
      <c r="AT577">
        <v>0</v>
      </c>
      <c r="AU577">
        <v>0</v>
      </c>
      <c r="AV577">
        <v>0</v>
      </c>
    </row>
    <row r="578" spans="1:48">
      <c r="A578" s="1">
        <f>_xlfn.XLOOKUP(J578,数据!E:E,数据!A:A)</f>
        <v>2</v>
      </c>
      <c r="B578" s="1">
        <f>_xlfn.XLOOKUP(J578,数据!E:E,数据!B:B)</f>
        <v>6</v>
      </c>
      <c r="C578" s="1" t="str">
        <f>_xlfn.XLOOKUP(J578,数据!E:E,数据!J:J)</f>
        <v>空派</v>
      </c>
      <c r="D578" s="1" t="str" cm="1">
        <f t="array" ref="D578">IF(OR(C578="红单",C578="空派"),_xlfn.IFS(E578="未开售","新品首批发货",F578&lt;E578,"新品首批发货",F578-E578&lt;=60,"新品期补货空运",F578-E578&gt;60,"老品应急空运"),"海运，不进行分析")</f>
        <v>新品首批发货</v>
      </c>
      <c r="E578" s="2">
        <v>46091</v>
      </c>
      <c r="F578" s="2">
        <f>_xlfn.XLOOKUP(J578,数据!E:E,数据!C:C)</f>
        <v>46058</v>
      </c>
      <c r="G578" s="4">
        <v>134</v>
      </c>
      <c r="H578" s="4">
        <f t="shared" si="28"/>
        <v>10.72</v>
      </c>
      <c r="I578" s="4">
        <f>_xlfn.XLOOKUP(J578,数据!E:E,数据!S:S)*(H578/_xlfn.XLOOKUP(J578,数据!E:E,数据!X:X))</f>
        <v>725.159124620061</v>
      </c>
      <c r="J578" t="s">
        <v>912</v>
      </c>
      <c r="K578" t="s">
        <v>51</v>
      </c>
      <c r="L578" t="s">
        <v>2374</v>
      </c>
      <c r="M578" t="s">
        <v>5728</v>
      </c>
      <c r="N578" t="s">
        <v>2376</v>
      </c>
      <c r="O578" t="s">
        <v>2400</v>
      </c>
      <c r="P578" t="s">
        <v>2378</v>
      </c>
      <c r="Q578" t="s">
        <v>2379</v>
      </c>
      <c r="R578" t="s">
        <v>5729</v>
      </c>
      <c r="S578" t="s">
        <v>2511</v>
      </c>
      <c r="T578" s="3" t="s">
        <v>5730</v>
      </c>
      <c r="U578" t="s">
        <v>5731</v>
      </c>
      <c r="V578" t="s">
        <v>5732</v>
      </c>
      <c r="W578" t="s">
        <v>5733</v>
      </c>
      <c r="X578" t="s">
        <v>2385</v>
      </c>
      <c r="Y578" t="s">
        <v>5734</v>
      </c>
      <c r="Z578" t="s">
        <v>2387</v>
      </c>
      <c r="AA578" t="s">
        <v>5730</v>
      </c>
      <c r="AB578" t="s">
        <v>4120</v>
      </c>
      <c r="AC578" t="s">
        <v>5735</v>
      </c>
      <c r="AD578" t="s">
        <v>5736</v>
      </c>
      <c r="AH578" t="s">
        <v>5693</v>
      </c>
      <c r="AI578" t="s">
        <v>5227</v>
      </c>
      <c r="AJ578" t="s">
        <v>5746</v>
      </c>
      <c r="AK578" t="s">
        <v>5747</v>
      </c>
      <c r="AL578" t="s">
        <v>5748</v>
      </c>
      <c r="AM578" t="s">
        <v>5566</v>
      </c>
      <c r="AN578" t="s">
        <v>5749</v>
      </c>
      <c r="AO578" t="s">
        <v>5746</v>
      </c>
      <c r="AP578">
        <v>80</v>
      </c>
      <c r="AQ578">
        <v>80</v>
      </c>
      <c r="AR578">
        <v>77</v>
      </c>
      <c r="AS578" t="s">
        <v>5750</v>
      </c>
      <c r="AT578">
        <v>0</v>
      </c>
      <c r="AU578">
        <v>-3</v>
      </c>
      <c r="AV578">
        <v>3</v>
      </c>
    </row>
    <row r="579" spans="1:48">
      <c r="A579" s="1">
        <f>_xlfn.XLOOKUP(J579,数据!E:E,数据!A:A)</f>
        <v>2</v>
      </c>
      <c r="B579" s="1">
        <f>_xlfn.XLOOKUP(J579,数据!E:E,数据!B:B)</f>
        <v>6</v>
      </c>
      <c r="C579" s="1" t="str">
        <f>_xlfn.XLOOKUP(J579,数据!E:E,数据!J:J)</f>
        <v>空派</v>
      </c>
      <c r="D579" s="1" t="str" cm="1">
        <f t="array" ref="D579">IF(OR(C579="红单",C579="空派"),_xlfn.IFS(E579="未开售","新品首批发货",F579&lt;E579,"新品首批发货",F579-E579&lt;=60,"新品期补货空运",F579-E579&gt;60,"老品应急空运"),"海运，不进行分析")</f>
        <v>新品首批发货</v>
      </c>
      <c r="E579" s="2">
        <v>46091</v>
      </c>
      <c r="F579" s="2">
        <f>_xlfn.XLOOKUP(J579,数据!E:E,数据!C:C)</f>
        <v>46058</v>
      </c>
      <c r="G579" s="4">
        <v>134</v>
      </c>
      <c r="H579" s="4">
        <f t="shared" si="28"/>
        <v>10.72</v>
      </c>
      <c r="I579" s="4">
        <f>_xlfn.XLOOKUP(J579,数据!E:E,数据!S:S)*(H579/_xlfn.XLOOKUP(J579,数据!E:E,数据!X:X))</f>
        <v>725.159124620061</v>
      </c>
      <c r="J579" t="s">
        <v>912</v>
      </c>
      <c r="K579" t="s">
        <v>51</v>
      </c>
      <c r="L579" t="s">
        <v>2374</v>
      </c>
      <c r="M579" t="s">
        <v>5728</v>
      </c>
      <c r="N579" t="s">
        <v>2376</v>
      </c>
      <c r="O579" t="s">
        <v>2400</v>
      </c>
      <c r="P579" t="s">
        <v>2378</v>
      </c>
      <c r="Q579" t="s">
        <v>2379</v>
      </c>
      <c r="R579" t="s">
        <v>5729</v>
      </c>
      <c r="S579" t="s">
        <v>2511</v>
      </c>
      <c r="T579" s="3" t="s">
        <v>5730</v>
      </c>
      <c r="U579" t="s">
        <v>5731</v>
      </c>
      <c r="V579" t="s">
        <v>5732</v>
      </c>
      <c r="W579" t="s">
        <v>5733</v>
      </c>
      <c r="X579" t="s">
        <v>2385</v>
      </c>
      <c r="Y579" t="s">
        <v>5734</v>
      </c>
      <c r="Z579" t="s">
        <v>2387</v>
      </c>
      <c r="AA579" t="s">
        <v>5730</v>
      </c>
      <c r="AB579" t="s">
        <v>4120</v>
      </c>
      <c r="AC579" t="s">
        <v>5735</v>
      </c>
      <c r="AD579" t="s">
        <v>5736</v>
      </c>
      <c r="AH579" t="s">
        <v>5693</v>
      </c>
      <c r="AI579" t="s">
        <v>5227</v>
      </c>
      <c r="AJ579" t="s">
        <v>5751</v>
      </c>
      <c r="AK579" t="s">
        <v>5752</v>
      </c>
      <c r="AL579" t="s">
        <v>5753</v>
      </c>
      <c r="AM579" t="s">
        <v>5566</v>
      </c>
      <c r="AN579" t="s">
        <v>5754</v>
      </c>
      <c r="AO579" t="s">
        <v>5751</v>
      </c>
      <c r="AP579">
        <v>80</v>
      </c>
      <c r="AQ579">
        <v>80</v>
      </c>
      <c r="AR579">
        <v>80</v>
      </c>
      <c r="AS579" t="s">
        <v>5755</v>
      </c>
      <c r="AT579">
        <v>0</v>
      </c>
      <c r="AU579">
        <v>0</v>
      </c>
      <c r="AV579">
        <v>0</v>
      </c>
    </row>
    <row r="580" spans="1:48">
      <c r="A580" s="1">
        <f>_xlfn.XLOOKUP(J580,数据!E:E,数据!A:A)</f>
        <v>2</v>
      </c>
      <c r="B580" s="1">
        <f>_xlfn.XLOOKUP(J580,数据!E:E,数据!B:B)</f>
        <v>6</v>
      </c>
      <c r="C580" s="1" t="str">
        <f>_xlfn.XLOOKUP(J580,数据!E:E,数据!J:J)</f>
        <v>空派</v>
      </c>
      <c r="D580" s="1" t="str" cm="1">
        <f t="array" ref="D580">IF(OR(C580="红单",C580="空派"),_xlfn.IFS(E580="未开售","新品首批发货",F580&lt;E580,"新品首批发货",F580-E580&lt;=60,"新品期补货空运",F580-E580&gt;60,"老品应急空运"),"海运，不进行分析")</f>
        <v>新品首批发货</v>
      </c>
      <c r="E580" s="2">
        <v>46091</v>
      </c>
      <c r="F580" s="2">
        <f>_xlfn.XLOOKUP(J580,数据!E:E,数据!C:C)</f>
        <v>46058</v>
      </c>
      <c r="G580" s="4">
        <v>108</v>
      </c>
      <c r="H580" s="4">
        <f t="shared" si="28"/>
        <v>6.372</v>
      </c>
      <c r="I580" s="4">
        <f>_xlfn.XLOOKUP(J580,数据!E:E,数据!S:S)*(H580/_xlfn.XLOOKUP(J580,数据!E:E,数据!X:X))</f>
        <v>425.510617375231</v>
      </c>
      <c r="J580" t="s">
        <v>909</v>
      </c>
      <c r="K580" t="s">
        <v>51</v>
      </c>
      <c r="L580" t="s">
        <v>2374</v>
      </c>
      <c r="M580" t="s">
        <v>5756</v>
      </c>
      <c r="N580" t="s">
        <v>2376</v>
      </c>
      <c r="O580" t="s">
        <v>2400</v>
      </c>
      <c r="P580" t="s">
        <v>2378</v>
      </c>
      <c r="Q580" t="s">
        <v>2379</v>
      </c>
      <c r="R580" t="s">
        <v>5757</v>
      </c>
      <c r="S580" t="s">
        <v>2511</v>
      </c>
      <c r="T580" s="3" t="s">
        <v>5730</v>
      </c>
      <c r="U580" t="s">
        <v>5758</v>
      </c>
      <c r="V580" t="s">
        <v>5759</v>
      </c>
      <c r="W580" t="s">
        <v>5760</v>
      </c>
      <c r="X580" t="s">
        <v>2385</v>
      </c>
      <c r="Y580" t="s">
        <v>5761</v>
      </c>
      <c r="Z580" t="s">
        <v>2387</v>
      </c>
      <c r="AA580" t="s">
        <v>5730</v>
      </c>
      <c r="AB580" t="s">
        <v>4120</v>
      </c>
      <c r="AC580" t="s">
        <v>5762</v>
      </c>
      <c r="AD580" t="s">
        <v>5736</v>
      </c>
      <c r="AH580" t="s">
        <v>5693</v>
      </c>
      <c r="AI580" t="s">
        <v>5227</v>
      </c>
      <c r="AJ580" t="s">
        <v>5763</v>
      </c>
      <c r="AK580" t="s">
        <v>5764</v>
      </c>
      <c r="AL580" t="s">
        <v>5765</v>
      </c>
      <c r="AM580" t="s">
        <v>2590</v>
      </c>
      <c r="AN580" t="s">
        <v>5766</v>
      </c>
      <c r="AO580" t="s">
        <v>5763</v>
      </c>
      <c r="AP580">
        <v>59</v>
      </c>
      <c r="AQ580">
        <v>59</v>
      </c>
      <c r="AR580">
        <v>59</v>
      </c>
      <c r="AS580" t="s">
        <v>5767</v>
      </c>
      <c r="AT580">
        <v>0</v>
      </c>
      <c r="AU580">
        <v>0</v>
      </c>
      <c r="AV580">
        <v>0</v>
      </c>
    </row>
    <row r="581" spans="1:48">
      <c r="A581" s="1">
        <f>_xlfn.XLOOKUP(J581,数据!E:E,数据!A:A)</f>
        <v>2</v>
      </c>
      <c r="B581" s="1">
        <f>_xlfn.XLOOKUP(J581,数据!E:E,数据!B:B)</f>
        <v>6</v>
      </c>
      <c r="C581" s="1" t="str">
        <f>_xlfn.XLOOKUP(J581,数据!E:E,数据!J:J)</f>
        <v>空派</v>
      </c>
      <c r="D581" s="1" t="str" cm="1">
        <f t="array" ref="D581">IF(OR(C581="红单",C581="空派"),_xlfn.IFS(E581="未开售","新品首批发货",F581&lt;E581,"新品首批发货",F581-E581&lt;=60,"新品期补货空运",F581-E581&gt;60,"老品应急空运"),"海运，不进行分析")</f>
        <v>新品首批发货</v>
      </c>
      <c r="E581" s="2">
        <v>46088</v>
      </c>
      <c r="F581" s="2">
        <f>_xlfn.XLOOKUP(J581,数据!E:E,数据!C:C)</f>
        <v>46058</v>
      </c>
      <c r="G581" s="4">
        <v>108</v>
      </c>
      <c r="H581" s="4">
        <f t="shared" si="28"/>
        <v>6.372</v>
      </c>
      <c r="I581" s="4">
        <f>_xlfn.XLOOKUP(J581,数据!E:E,数据!S:S)*(H581/_xlfn.XLOOKUP(J581,数据!E:E,数据!X:X))</f>
        <v>425.510617375231</v>
      </c>
      <c r="J581" t="s">
        <v>909</v>
      </c>
      <c r="K581" t="s">
        <v>51</v>
      </c>
      <c r="L581" t="s">
        <v>2374</v>
      </c>
      <c r="M581" t="s">
        <v>5756</v>
      </c>
      <c r="N581" t="s">
        <v>2376</v>
      </c>
      <c r="O581" t="s">
        <v>2400</v>
      </c>
      <c r="P581" t="s">
        <v>2378</v>
      </c>
      <c r="Q581" t="s">
        <v>2379</v>
      </c>
      <c r="R581" t="s">
        <v>5757</v>
      </c>
      <c r="S581" t="s">
        <v>2511</v>
      </c>
      <c r="T581" s="3" t="s">
        <v>5730</v>
      </c>
      <c r="U581" t="s">
        <v>5758</v>
      </c>
      <c r="V581" t="s">
        <v>5759</v>
      </c>
      <c r="W581" t="s">
        <v>5760</v>
      </c>
      <c r="X581" t="s">
        <v>2385</v>
      </c>
      <c r="Y581" t="s">
        <v>5761</v>
      </c>
      <c r="Z581" t="s">
        <v>2387</v>
      </c>
      <c r="AA581" t="s">
        <v>5730</v>
      </c>
      <c r="AB581" t="s">
        <v>4120</v>
      </c>
      <c r="AC581" t="s">
        <v>5762</v>
      </c>
      <c r="AD581" t="s">
        <v>5736</v>
      </c>
      <c r="AH581" t="s">
        <v>5693</v>
      </c>
      <c r="AI581" t="s">
        <v>5227</v>
      </c>
      <c r="AJ581" t="s">
        <v>3376</v>
      </c>
      <c r="AK581" t="s">
        <v>3377</v>
      </c>
      <c r="AL581" t="s">
        <v>3378</v>
      </c>
      <c r="AM581" t="s">
        <v>2590</v>
      </c>
      <c r="AN581" t="s">
        <v>3379</v>
      </c>
      <c r="AO581" t="s">
        <v>3376</v>
      </c>
      <c r="AP581">
        <v>59</v>
      </c>
      <c r="AQ581">
        <v>59</v>
      </c>
      <c r="AR581">
        <v>59</v>
      </c>
      <c r="AS581" t="s">
        <v>5768</v>
      </c>
      <c r="AT581">
        <v>0</v>
      </c>
      <c r="AU581">
        <v>0</v>
      </c>
      <c r="AV581">
        <v>0</v>
      </c>
    </row>
    <row r="582" spans="1:48">
      <c r="A582" s="1">
        <f>_xlfn.XLOOKUP(J582,数据!E:E,数据!A:A)</f>
        <v>2</v>
      </c>
      <c r="B582" s="1">
        <f>_xlfn.XLOOKUP(J582,数据!E:E,数据!B:B)</f>
        <v>6</v>
      </c>
      <c r="C582" s="1" t="str">
        <f>_xlfn.XLOOKUP(J582,数据!E:E,数据!J:J)</f>
        <v>空派</v>
      </c>
      <c r="D582" s="1" t="str" cm="1">
        <f t="array" ref="D582">IF(OR(C582="红单",C582="空派"),_xlfn.IFS(E582="未开售","新品首批发货",F582&lt;E582,"新品首批发货",F582-E582&lt;=60,"新品期补货空运",F582-E582&gt;60,"老品应急空运"),"海运，不进行分析")</f>
        <v>新品首批发货</v>
      </c>
      <c r="E582" s="2">
        <v>46088</v>
      </c>
      <c r="F582" s="2">
        <f>_xlfn.XLOOKUP(J582,数据!E:E,数据!C:C)</f>
        <v>46058</v>
      </c>
      <c r="G582" s="4">
        <v>109</v>
      </c>
      <c r="H582" s="4">
        <f t="shared" si="28"/>
        <v>6.431</v>
      </c>
      <c r="I582" s="4">
        <f>_xlfn.XLOOKUP(J582,数据!E:E,数据!S:S)*(H582/_xlfn.XLOOKUP(J582,数据!E:E,数据!X:X))</f>
        <v>429.450530499076</v>
      </c>
      <c r="J582" t="s">
        <v>909</v>
      </c>
      <c r="K582" t="s">
        <v>51</v>
      </c>
      <c r="L582" t="s">
        <v>2374</v>
      </c>
      <c r="M582" t="s">
        <v>5756</v>
      </c>
      <c r="N582" t="s">
        <v>2376</v>
      </c>
      <c r="O582" t="s">
        <v>2400</v>
      </c>
      <c r="P582" t="s">
        <v>2378</v>
      </c>
      <c r="Q582" t="s">
        <v>2379</v>
      </c>
      <c r="R582" t="s">
        <v>5757</v>
      </c>
      <c r="S582" t="s">
        <v>2511</v>
      </c>
      <c r="T582" s="3" t="s">
        <v>5730</v>
      </c>
      <c r="U582" t="s">
        <v>5758</v>
      </c>
      <c r="V582" t="s">
        <v>5759</v>
      </c>
      <c r="W582" t="s">
        <v>5760</v>
      </c>
      <c r="X582" t="s">
        <v>2385</v>
      </c>
      <c r="Y582" t="s">
        <v>5761</v>
      </c>
      <c r="Z582" t="s">
        <v>2387</v>
      </c>
      <c r="AA582" t="s">
        <v>5730</v>
      </c>
      <c r="AB582" t="s">
        <v>4120</v>
      </c>
      <c r="AC582" t="s">
        <v>5762</v>
      </c>
      <c r="AD582" t="s">
        <v>5736</v>
      </c>
      <c r="AH582" t="s">
        <v>5693</v>
      </c>
      <c r="AI582" t="s">
        <v>5227</v>
      </c>
      <c r="AJ582" t="s">
        <v>5769</v>
      </c>
      <c r="AK582" t="s">
        <v>5770</v>
      </c>
      <c r="AL582" t="s">
        <v>5771</v>
      </c>
      <c r="AM582" t="s">
        <v>2590</v>
      </c>
      <c r="AN582" t="s">
        <v>5772</v>
      </c>
      <c r="AO582" t="s">
        <v>5769</v>
      </c>
      <c r="AP582">
        <v>59</v>
      </c>
      <c r="AQ582">
        <v>59</v>
      </c>
      <c r="AR582">
        <v>59</v>
      </c>
      <c r="AS582" t="s">
        <v>5773</v>
      </c>
      <c r="AT582">
        <v>0</v>
      </c>
      <c r="AU582">
        <v>0</v>
      </c>
      <c r="AV582">
        <v>0</v>
      </c>
    </row>
    <row r="583" spans="1:48">
      <c r="A583" s="1">
        <f>_xlfn.XLOOKUP(J583,数据!E:E,数据!A:A)</f>
        <v>2</v>
      </c>
      <c r="B583" s="1">
        <f>_xlfn.XLOOKUP(J583,数据!E:E,数据!B:B)</f>
        <v>6</v>
      </c>
      <c r="C583" s="1" t="str">
        <f>_xlfn.XLOOKUP(J583,数据!E:E,数据!J:J)</f>
        <v>空派</v>
      </c>
      <c r="D583" s="1" t="str" cm="1">
        <f t="array" ref="D583">IF(OR(C583="红单",C583="空派"),_xlfn.IFS(E583="未开售","新品首批发货",F583&lt;E583,"新品首批发货",F583-E583&lt;=60,"新品期补货空运",F583-E583&gt;60,"老品应急空运"),"海运，不进行分析")</f>
        <v>新品首批发货</v>
      </c>
      <c r="E583" s="2">
        <v>46091</v>
      </c>
      <c r="F583" s="2">
        <f>_xlfn.XLOOKUP(J583,数据!E:E,数据!C:C)</f>
        <v>46058</v>
      </c>
      <c r="G583" s="4">
        <v>107</v>
      </c>
      <c r="H583" s="4">
        <f t="shared" si="28"/>
        <v>6.313</v>
      </c>
      <c r="I583" s="4">
        <f>_xlfn.XLOOKUP(J583,数据!E:E,数据!S:S)*(H583/_xlfn.XLOOKUP(J583,数据!E:E,数据!X:X))</f>
        <v>421.570704251386</v>
      </c>
      <c r="J583" t="s">
        <v>909</v>
      </c>
      <c r="K583" t="s">
        <v>51</v>
      </c>
      <c r="L583" t="s">
        <v>2374</v>
      </c>
      <c r="M583" t="s">
        <v>5756</v>
      </c>
      <c r="N583" t="s">
        <v>2376</v>
      </c>
      <c r="O583" t="s">
        <v>2400</v>
      </c>
      <c r="P583" t="s">
        <v>2378</v>
      </c>
      <c r="Q583" t="s">
        <v>2379</v>
      </c>
      <c r="R583" t="s">
        <v>5757</v>
      </c>
      <c r="S583" t="s">
        <v>2511</v>
      </c>
      <c r="T583" s="3" t="s">
        <v>5730</v>
      </c>
      <c r="U583" t="s">
        <v>5758</v>
      </c>
      <c r="V583" t="s">
        <v>5759</v>
      </c>
      <c r="W583" t="s">
        <v>5760</v>
      </c>
      <c r="X583" t="s">
        <v>2385</v>
      </c>
      <c r="Y583" t="s">
        <v>5761</v>
      </c>
      <c r="Z583" t="s">
        <v>2387</v>
      </c>
      <c r="AA583" t="s">
        <v>5730</v>
      </c>
      <c r="AB583" t="s">
        <v>4120</v>
      </c>
      <c r="AC583" t="s">
        <v>5762</v>
      </c>
      <c r="AD583" t="s">
        <v>5736</v>
      </c>
      <c r="AH583" t="s">
        <v>5693</v>
      </c>
      <c r="AI583" t="s">
        <v>5227</v>
      </c>
      <c r="AJ583" t="s">
        <v>5774</v>
      </c>
      <c r="AK583" t="s">
        <v>5775</v>
      </c>
      <c r="AL583" t="s">
        <v>5776</v>
      </c>
      <c r="AM583" t="s">
        <v>2590</v>
      </c>
      <c r="AN583" t="s">
        <v>5777</v>
      </c>
      <c r="AO583" t="s">
        <v>5774</v>
      </c>
      <c r="AP583">
        <v>59</v>
      </c>
      <c r="AQ583">
        <v>59</v>
      </c>
      <c r="AR583">
        <v>47</v>
      </c>
      <c r="AS583" t="s">
        <v>5778</v>
      </c>
      <c r="AT583">
        <v>0</v>
      </c>
      <c r="AU583">
        <v>-12</v>
      </c>
      <c r="AV583">
        <v>12</v>
      </c>
    </row>
    <row r="584" spans="1:48">
      <c r="A584" s="1">
        <f>_xlfn.XLOOKUP(J584,数据!E:E,数据!A:A)</f>
        <v>2</v>
      </c>
      <c r="B584" s="1">
        <f>_xlfn.XLOOKUP(J584,数据!E:E,数据!B:B)</f>
        <v>6</v>
      </c>
      <c r="C584" s="1" t="str">
        <f>_xlfn.XLOOKUP(J584,数据!E:E,数据!J:J)</f>
        <v>空派</v>
      </c>
      <c r="D584" s="1" t="str" cm="1">
        <f t="array" ref="D584">IF(OR(C584="红单",C584="空派"),_xlfn.IFS(E584="未开售","新品首批发货",F584&lt;E584,"新品首批发货",F584-E584&lt;=60,"新品期补货空运",F584-E584&gt;60,"老品应急空运"),"海运，不进行分析")</f>
        <v>新品首批发货</v>
      </c>
      <c r="E584" s="2">
        <v>46093</v>
      </c>
      <c r="F584" s="2">
        <f>_xlfn.XLOOKUP(J584,数据!E:E,数据!C:C)</f>
        <v>46058</v>
      </c>
      <c r="G584" s="4">
        <v>108</v>
      </c>
      <c r="H584" s="4">
        <f t="shared" si="28"/>
        <v>6.372</v>
      </c>
      <c r="I584" s="4">
        <f>_xlfn.XLOOKUP(J584,数据!E:E,数据!S:S)*(H584/_xlfn.XLOOKUP(J584,数据!E:E,数据!X:X))</f>
        <v>425.510617375231</v>
      </c>
      <c r="J584" t="s">
        <v>909</v>
      </c>
      <c r="K584" t="s">
        <v>51</v>
      </c>
      <c r="L584" t="s">
        <v>2374</v>
      </c>
      <c r="M584" t="s">
        <v>5756</v>
      </c>
      <c r="N584" t="s">
        <v>2376</v>
      </c>
      <c r="O584" t="s">
        <v>2400</v>
      </c>
      <c r="P584" t="s">
        <v>2378</v>
      </c>
      <c r="Q584" t="s">
        <v>2379</v>
      </c>
      <c r="R584" t="s">
        <v>5757</v>
      </c>
      <c r="S584" t="s">
        <v>2511</v>
      </c>
      <c r="T584" s="3" t="s">
        <v>5730</v>
      </c>
      <c r="U584" t="s">
        <v>5758</v>
      </c>
      <c r="V584" t="s">
        <v>5759</v>
      </c>
      <c r="W584" t="s">
        <v>5760</v>
      </c>
      <c r="X584" t="s">
        <v>2385</v>
      </c>
      <c r="Y584" t="s">
        <v>5761</v>
      </c>
      <c r="Z584" t="s">
        <v>2387</v>
      </c>
      <c r="AA584" t="s">
        <v>5730</v>
      </c>
      <c r="AB584" t="s">
        <v>4120</v>
      </c>
      <c r="AC584" t="s">
        <v>5762</v>
      </c>
      <c r="AD584" t="s">
        <v>5736</v>
      </c>
      <c r="AH584" t="s">
        <v>5693</v>
      </c>
      <c r="AI584" t="s">
        <v>5227</v>
      </c>
      <c r="AJ584" t="s">
        <v>2587</v>
      </c>
      <c r="AK584" t="s">
        <v>2588</v>
      </c>
      <c r="AL584" t="s">
        <v>2589</v>
      </c>
      <c r="AM584" t="s">
        <v>2590</v>
      </c>
      <c r="AN584" t="s">
        <v>2591</v>
      </c>
      <c r="AO584" t="s">
        <v>2587</v>
      </c>
      <c r="AP584">
        <v>59</v>
      </c>
      <c r="AQ584">
        <v>59</v>
      </c>
      <c r="AR584">
        <v>46</v>
      </c>
      <c r="AS584" t="s">
        <v>5779</v>
      </c>
      <c r="AT584">
        <v>0</v>
      </c>
      <c r="AU584">
        <v>-13</v>
      </c>
      <c r="AV584">
        <v>13</v>
      </c>
    </row>
    <row r="585" spans="1:48">
      <c r="A585" s="1">
        <f>_xlfn.XLOOKUP(J585,数据!E:E,数据!A:A)</f>
        <v>2</v>
      </c>
      <c r="B585" s="1">
        <f>_xlfn.XLOOKUP(J585,数据!E:E,数据!B:B)</f>
        <v>6</v>
      </c>
      <c r="C585" s="1" t="str">
        <f>_xlfn.XLOOKUP(J585,数据!E:E,数据!J:J)</f>
        <v>空派</v>
      </c>
      <c r="D585" s="1" t="str" cm="1">
        <f t="array" ref="D585">IF(OR(C585="红单",C585="空派"),_xlfn.IFS(E585="未开售","新品首批发货",F585&lt;E585,"新品首批发货",F585-E585&lt;=60,"新品期补货空运",F585-E585&gt;60,"老品应急空运"),"海运，不进行分析")</f>
        <v>新品首批发货</v>
      </c>
      <c r="E585" s="2">
        <v>46088</v>
      </c>
      <c r="F585" s="2">
        <f>_xlfn.XLOOKUP(J585,数据!E:E,数据!C:C)</f>
        <v>46058</v>
      </c>
      <c r="G585" s="4">
        <v>118</v>
      </c>
      <c r="H585" s="4">
        <f t="shared" si="28"/>
        <v>9.322</v>
      </c>
      <c r="I585" s="4">
        <f>_xlfn.XLOOKUP(J585,数据!E:E,数据!S:S)*(H585/_xlfn.XLOOKUP(J585,数据!E:E,数据!X:X))</f>
        <v>622.506273567467</v>
      </c>
      <c r="J585" t="s">
        <v>909</v>
      </c>
      <c r="K585" t="s">
        <v>51</v>
      </c>
      <c r="L585" t="s">
        <v>2374</v>
      </c>
      <c r="M585" t="s">
        <v>5756</v>
      </c>
      <c r="N585" t="s">
        <v>2376</v>
      </c>
      <c r="O585" t="s">
        <v>2400</v>
      </c>
      <c r="P585" t="s">
        <v>2378</v>
      </c>
      <c r="Q585" t="s">
        <v>2379</v>
      </c>
      <c r="R585" t="s">
        <v>5757</v>
      </c>
      <c r="S585" t="s">
        <v>2511</v>
      </c>
      <c r="T585" s="3" t="s">
        <v>5730</v>
      </c>
      <c r="U585" t="s">
        <v>5758</v>
      </c>
      <c r="V585" t="s">
        <v>5759</v>
      </c>
      <c r="W585" t="s">
        <v>5760</v>
      </c>
      <c r="X585" t="s">
        <v>2385</v>
      </c>
      <c r="Y585" t="s">
        <v>5761</v>
      </c>
      <c r="Z585" t="s">
        <v>2387</v>
      </c>
      <c r="AA585" t="s">
        <v>5730</v>
      </c>
      <c r="AB585" t="s">
        <v>4120</v>
      </c>
      <c r="AC585" t="s">
        <v>5762</v>
      </c>
      <c r="AD585" t="s">
        <v>5736</v>
      </c>
      <c r="AH585" t="s">
        <v>5693</v>
      </c>
      <c r="AI585" t="s">
        <v>5227</v>
      </c>
      <c r="AJ585" t="s">
        <v>3888</v>
      </c>
      <c r="AK585" t="s">
        <v>3889</v>
      </c>
      <c r="AL585" t="s">
        <v>3890</v>
      </c>
      <c r="AM585" t="s">
        <v>3891</v>
      </c>
      <c r="AN585" t="s">
        <v>3892</v>
      </c>
      <c r="AO585" t="s">
        <v>3888</v>
      </c>
      <c r="AP585">
        <v>79</v>
      </c>
      <c r="AQ585">
        <v>79</v>
      </c>
      <c r="AR585">
        <v>60</v>
      </c>
      <c r="AS585" t="s">
        <v>5780</v>
      </c>
      <c r="AT585">
        <v>0</v>
      </c>
      <c r="AU585">
        <v>-19</v>
      </c>
      <c r="AV585">
        <v>19</v>
      </c>
    </row>
    <row r="586" spans="1:48">
      <c r="A586" s="1">
        <f>_xlfn.XLOOKUP(J586,数据!E:E,数据!A:A)</f>
        <v>2</v>
      </c>
      <c r="B586" s="1">
        <f>_xlfn.XLOOKUP(J586,数据!E:E,数据!B:B)</f>
        <v>6</v>
      </c>
      <c r="C586" s="1" t="str">
        <f>_xlfn.XLOOKUP(J586,数据!E:E,数据!J:J)</f>
        <v>空派</v>
      </c>
      <c r="D586" s="1" t="str" cm="1">
        <f t="array" ref="D586">IF(OR(C586="红单",C586="空派"),_xlfn.IFS(E586="未开售","新品首批发货",F586&lt;E586,"新品首批发货",F586-E586&lt;=60,"新品期补货空运",F586-E586&gt;60,"老品应急空运"),"海运，不进行分析")</f>
        <v>新品首批发货</v>
      </c>
      <c r="E586" s="2">
        <v>46092</v>
      </c>
      <c r="F586" s="2">
        <f>_xlfn.XLOOKUP(J586,数据!E:E,数据!C:C)</f>
        <v>46058</v>
      </c>
      <c r="G586" s="4">
        <v>116</v>
      </c>
      <c r="H586" s="4">
        <f t="shared" si="28"/>
        <v>9.164</v>
      </c>
      <c r="I586" s="4">
        <f>_xlfn.XLOOKUP(J586,数据!E:E,数据!S:S)*(H586/_xlfn.XLOOKUP(J586,数据!E:E,数据!X:X))</f>
        <v>611.955319778188</v>
      </c>
      <c r="J586" t="s">
        <v>909</v>
      </c>
      <c r="K586" t="s">
        <v>51</v>
      </c>
      <c r="L586" t="s">
        <v>2374</v>
      </c>
      <c r="M586" t="s">
        <v>5756</v>
      </c>
      <c r="N586" t="s">
        <v>2376</v>
      </c>
      <c r="O586" t="s">
        <v>2400</v>
      </c>
      <c r="P586" t="s">
        <v>2378</v>
      </c>
      <c r="Q586" t="s">
        <v>2379</v>
      </c>
      <c r="R586" t="s">
        <v>5757</v>
      </c>
      <c r="S586" t="s">
        <v>2511</v>
      </c>
      <c r="T586" s="3" t="s">
        <v>5730</v>
      </c>
      <c r="U586" t="s">
        <v>5758</v>
      </c>
      <c r="V586" t="s">
        <v>5759</v>
      </c>
      <c r="W586" t="s">
        <v>5760</v>
      </c>
      <c r="X586" t="s">
        <v>2385</v>
      </c>
      <c r="Y586" t="s">
        <v>5761</v>
      </c>
      <c r="Z586" t="s">
        <v>2387</v>
      </c>
      <c r="AA586" t="s">
        <v>5730</v>
      </c>
      <c r="AB586" t="s">
        <v>4120</v>
      </c>
      <c r="AC586" t="s">
        <v>5762</v>
      </c>
      <c r="AD586" t="s">
        <v>5736</v>
      </c>
      <c r="AH586" t="s">
        <v>5693</v>
      </c>
      <c r="AI586" t="s">
        <v>5227</v>
      </c>
      <c r="AJ586" t="s">
        <v>5781</v>
      </c>
      <c r="AK586" t="s">
        <v>5782</v>
      </c>
      <c r="AL586" t="s">
        <v>5783</v>
      </c>
      <c r="AM586" t="s">
        <v>3891</v>
      </c>
      <c r="AN586" t="s">
        <v>5784</v>
      </c>
      <c r="AO586" t="s">
        <v>5781</v>
      </c>
      <c r="AP586">
        <v>79</v>
      </c>
      <c r="AQ586">
        <v>79</v>
      </c>
      <c r="AR586">
        <v>79</v>
      </c>
      <c r="AS586" t="s">
        <v>5785</v>
      </c>
      <c r="AT586">
        <v>0</v>
      </c>
      <c r="AU586">
        <v>0</v>
      </c>
      <c r="AV586">
        <v>0</v>
      </c>
    </row>
    <row r="587" spans="1:48">
      <c r="A587" s="1">
        <f>_xlfn.XLOOKUP(J587,数据!E:E,数据!A:A)</f>
        <v>2</v>
      </c>
      <c r="B587" s="1">
        <f>_xlfn.XLOOKUP(J587,数据!E:E,数据!B:B)</f>
        <v>6</v>
      </c>
      <c r="C587" s="1" t="str">
        <f>_xlfn.XLOOKUP(J587,数据!E:E,数据!J:J)</f>
        <v>空派</v>
      </c>
      <c r="D587" s="1" t="str" cm="1">
        <f t="array" ref="D587">IF(OR(C587="红单",C587="空派"),_xlfn.IFS(E587="未开售","新品首批发货",F587&lt;E587,"新品首批发货",F587-E587&lt;=60,"新品期补货空运",F587-E587&gt;60,"老品应急空运"),"海运，不进行分析")</f>
        <v>新品首批发货</v>
      </c>
      <c r="E587" s="2">
        <v>46088</v>
      </c>
      <c r="F587" s="2">
        <f>_xlfn.XLOOKUP(J587,数据!E:E,数据!C:C)</f>
        <v>46058</v>
      </c>
      <c r="G587" s="4">
        <v>116</v>
      </c>
      <c r="H587" s="4">
        <f t="shared" si="28"/>
        <v>9.164</v>
      </c>
      <c r="I587" s="4">
        <f>_xlfn.XLOOKUP(J587,数据!E:E,数据!S:S)*(H587/_xlfn.XLOOKUP(J587,数据!E:E,数据!X:X))</f>
        <v>611.955319778188</v>
      </c>
      <c r="J587" t="s">
        <v>909</v>
      </c>
      <c r="K587" t="s">
        <v>51</v>
      </c>
      <c r="L587" t="s">
        <v>2374</v>
      </c>
      <c r="M587" t="s">
        <v>5756</v>
      </c>
      <c r="N587" t="s">
        <v>2376</v>
      </c>
      <c r="O587" t="s">
        <v>2400</v>
      </c>
      <c r="P587" t="s">
        <v>2378</v>
      </c>
      <c r="Q587" t="s">
        <v>2379</v>
      </c>
      <c r="R587" t="s">
        <v>5757</v>
      </c>
      <c r="S587" t="s">
        <v>2511</v>
      </c>
      <c r="T587" s="3" t="s">
        <v>5730</v>
      </c>
      <c r="U587" t="s">
        <v>5758</v>
      </c>
      <c r="V587" t="s">
        <v>5759</v>
      </c>
      <c r="W587" t="s">
        <v>5760</v>
      </c>
      <c r="X587" t="s">
        <v>2385</v>
      </c>
      <c r="Y587" t="s">
        <v>5761</v>
      </c>
      <c r="Z587" t="s">
        <v>2387</v>
      </c>
      <c r="AA587" t="s">
        <v>5730</v>
      </c>
      <c r="AB587" t="s">
        <v>4120</v>
      </c>
      <c r="AC587" t="s">
        <v>5762</v>
      </c>
      <c r="AD587" t="s">
        <v>5736</v>
      </c>
      <c r="AH587" t="s">
        <v>5693</v>
      </c>
      <c r="AI587" t="s">
        <v>5227</v>
      </c>
      <c r="AJ587" t="s">
        <v>5786</v>
      </c>
      <c r="AK587" t="s">
        <v>5787</v>
      </c>
      <c r="AL587" t="s">
        <v>5788</v>
      </c>
      <c r="AM587" t="s">
        <v>3891</v>
      </c>
      <c r="AN587" t="s">
        <v>5789</v>
      </c>
      <c r="AO587" t="s">
        <v>5786</v>
      </c>
      <c r="AP587">
        <v>79</v>
      </c>
      <c r="AQ587">
        <v>79</v>
      </c>
      <c r="AR587">
        <v>62</v>
      </c>
      <c r="AS587" t="s">
        <v>5790</v>
      </c>
      <c r="AT587">
        <v>0</v>
      </c>
      <c r="AU587">
        <v>-17</v>
      </c>
      <c r="AV587">
        <v>17</v>
      </c>
    </row>
    <row r="588" spans="1:48">
      <c r="A588" s="1">
        <f>_xlfn.XLOOKUP(J588,数据!E:E,数据!A:A)</f>
        <v>2</v>
      </c>
      <c r="B588" s="1">
        <f>_xlfn.XLOOKUP(J588,数据!E:E,数据!B:B)</f>
        <v>6</v>
      </c>
      <c r="C588" s="1" t="str">
        <f>_xlfn.XLOOKUP(J588,数据!E:E,数据!J:J)</f>
        <v>空派</v>
      </c>
      <c r="D588" s="1" t="str" cm="1">
        <f t="array" ref="D588">IF(OR(C588="红单",C588="空派"),_xlfn.IFS(E588="未开售","新品首批发货",F588&lt;E588,"新品首批发货",F588-E588&lt;=60,"新品期补货空运",F588-E588&gt;60,"老品应急空运"),"海运，不进行分析")</f>
        <v>新品期补货空运</v>
      </c>
      <c r="E588" s="2">
        <v>46030</v>
      </c>
      <c r="F588" s="2">
        <f>_xlfn.XLOOKUP(J588,数据!E:E,数据!C:C)</f>
        <v>46058</v>
      </c>
      <c r="G588" s="4">
        <v>146</v>
      </c>
      <c r="H588" s="4">
        <f t="shared" si="28"/>
        <v>14.016</v>
      </c>
      <c r="I588" s="4">
        <f>_xlfn.XLOOKUP(J588,数据!E:E,数据!S:S)*(H588/_xlfn.XLOOKUP(J588,数据!E:E,数据!X:X))</f>
        <v>908.91</v>
      </c>
      <c r="J588" t="s">
        <v>911</v>
      </c>
      <c r="K588" t="s">
        <v>31</v>
      </c>
      <c r="L588" t="s">
        <v>2374</v>
      </c>
      <c r="M588" t="s">
        <v>5791</v>
      </c>
      <c r="N588" t="s">
        <v>2376</v>
      </c>
      <c r="O588" t="s">
        <v>2377</v>
      </c>
      <c r="P588" t="s">
        <v>2378</v>
      </c>
      <c r="Q588" t="s">
        <v>2379</v>
      </c>
      <c r="R588" t="s">
        <v>5792</v>
      </c>
      <c r="S588" t="s">
        <v>2511</v>
      </c>
      <c r="T588" s="3" t="s">
        <v>5730</v>
      </c>
      <c r="U588" t="s">
        <v>5793</v>
      </c>
      <c r="V588" t="s">
        <v>5794</v>
      </c>
      <c r="W588" t="s">
        <v>5795</v>
      </c>
      <c r="X588" t="s">
        <v>2385</v>
      </c>
      <c r="Y588" t="s">
        <v>5796</v>
      </c>
      <c r="Z588" t="s">
        <v>2387</v>
      </c>
      <c r="AA588" t="s">
        <v>5730</v>
      </c>
      <c r="AB588" t="s">
        <v>4392</v>
      </c>
      <c r="AC588" t="s">
        <v>5797</v>
      </c>
      <c r="AD588" t="s">
        <v>5213</v>
      </c>
      <c r="AH588" t="s">
        <v>5693</v>
      </c>
      <c r="AI588" t="s">
        <v>5227</v>
      </c>
      <c r="AJ588" t="s">
        <v>3683</v>
      </c>
      <c r="AK588" t="s">
        <v>3684</v>
      </c>
      <c r="AL588" t="s">
        <v>3685</v>
      </c>
      <c r="AM588" t="s">
        <v>2787</v>
      </c>
      <c r="AN588" t="s">
        <v>3686</v>
      </c>
      <c r="AO588" t="s">
        <v>3683</v>
      </c>
      <c r="AP588">
        <v>96</v>
      </c>
      <c r="AQ588">
        <v>96</v>
      </c>
      <c r="AR588">
        <v>95</v>
      </c>
      <c r="AS588" t="s">
        <v>5798</v>
      </c>
      <c r="AT588">
        <v>0</v>
      </c>
      <c r="AU588">
        <v>-1</v>
      </c>
      <c r="AV588">
        <v>1</v>
      </c>
    </row>
    <row r="589" spans="1:48">
      <c r="A589" s="1">
        <f>_xlfn.XLOOKUP(J589,数据!E:E,数据!A:A)</f>
        <v>2</v>
      </c>
      <c r="B589" s="1">
        <f>_xlfn.XLOOKUP(J589,数据!E:E,数据!B:B)</f>
        <v>6</v>
      </c>
      <c r="C589" s="1" t="str">
        <f>_xlfn.XLOOKUP(J589,数据!E:E,数据!J:J)</f>
        <v>空派</v>
      </c>
      <c r="D589" s="1" t="str" cm="1">
        <f t="array" ref="D589">IF(OR(C589="红单",C589="空派"),_xlfn.IFS(E589="未开售","新品首批发货",F589&lt;E589,"新品首批发货",F589-E589&lt;=60,"新品期补货空运",F589-E589&gt;60,"老品应急空运"),"海运，不进行分析")</f>
        <v>新品期补货空运</v>
      </c>
      <c r="E589" s="2">
        <v>46043</v>
      </c>
      <c r="F589" s="2">
        <f>_xlfn.XLOOKUP(J589,数据!E:E,数据!C:C)</f>
        <v>46058</v>
      </c>
      <c r="G589" s="4">
        <v>132</v>
      </c>
      <c r="H589" s="4">
        <f t="shared" si="28"/>
        <v>31.416</v>
      </c>
      <c r="I589" s="4">
        <f>_xlfn.XLOOKUP(J589,数据!E:E,数据!S:S)*(H589/_xlfn.XLOOKUP(J589,数据!E:E,数据!X:X))</f>
        <v>2017.51837541802</v>
      </c>
      <c r="J589" t="s">
        <v>910</v>
      </c>
      <c r="K589" t="s">
        <v>46</v>
      </c>
      <c r="L589" t="s">
        <v>2374</v>
      </c>
      <c r="M589" t="s">
        <v>5799</v>
      </c>
      <c r="N589" t="s">
        <v>2376</v>
      </c>
      <c r="O589" t="s">
        <v>2400</v>
      </c>
      <c r="P589" t="s">
        <v>2378</v>
      </c>
      <c r="Q589" t="s">
        <v>2379</v>
      </c>
      <c r="R589" t="s">
        <v>5800</v>
      </c>
      <c r="S589" t="s">
        <v>2511</v>
      </c>
      <c r="T589" s="3" t="s">
        <v>5730</v>
      </c>
      <c r="U589" t="s">
        <v>5801</v>
      </c>
      <c r="V589" t="s">
        <v>5802</v>
      </c>
      <c r="W589" t="s">
        <v>5803</v>
      </c>
      <c r="X589" t="s">
        <v>2385</v>
      </c>
      <c r="Y589" t="s">
        <v>5804</v>
      </c>
      <c r="Z589" t="s">
        <v>2387</v>
      </c>
      <c r="AA589" t="s">
        <v>5730</v>
      </c>
      <c r="AB589" t="s">
        <v>3838</v>
      </c>
      <c r="AC589" t="s">
        <v>5805</v>
      </c>
      <c r="AD589" t="s">
        <v>5736</v>
      </c>
      <c r="AH589" t="s">
        <v>5693</v>
      </c>
      <c r="AI589" t="s">
        <v>5227</v>
      </c>
      <c r="AJ589" t="s">
        <v>5214</v>
      </c>
      <c r="AK589" t="s">
        <v>5215</v>
      </c>
      <c r="AL589" t="s">
        <v>5216</v>
      </c>
      <c r="AM589" t="s">
        <v>2437</v>
      </c>
      <c r="AN589" t="s">
        <v>5217</v>
      </c>
      <c r="AO589" t="s">
        <v>5214</v>
      </c>
      <c r="AP589">
        <v>238</v>
      </c>
      <c r="AQ589">
        <v>238</v>
      </c>
      <c r="AR589">
        <v>225</v>
      </c>
      <c r="AS589" t="s">
        <v>5806</v>
      </c>
      <c r="AT589">
        <v>0</v>
      </c>
      <c r="AU589">
        <v>-13</v>
      </c>
      <c r="AV589">
        <v>13</v>
      </c>
    </row>
    <row r="590" spans="1:48">
      <c r="A590" s="1">
        <f>_xlfn.XLOOKUP(J590,数据!E:E,数据!A:A)</f>
        <v>2</v>
      </c>
      <c r="B590" s="1">
        <f>_xlfn.XLOOKUP(J590,数据!E:E,数据!B:B)</f>
        <v>6</v>
      </c>
      <c r="C590" s="1" t="str">
        <f>_xlfn.XLOOKUP(J590,数据!E:E,数据!J:J)</f>
        <v>空派</v>
      </c>
      <c r="D590" s="1" t="str" cm="1">
        <f t="array" ref="D590">IF(OR(C590="红单",C590="空派"),_xlfn.IFS(E590="未开售","新品首批发货",F590&lt;E590,"新品首批发货",F590-E590&lt;=60,"新品期补货空运",F590-E590&gt;60,"老品应急空运"),"海运，不进行分析")</f>
        <v>老品应急空运</v>
      </c>
      <c r="E590" s="2">
        <v>45903</v>
      </c>
      <c r="F590" s="2">
        <f>_xlfn.XLOOKUP(J590,数据!E:E,数据!C:C)</f>
        <v>46058</v>
      </c>
      <c r="G590" s="4">
        <v>197</v>
      </c>
      <c r="H590" s="4">
        <f t="shared" si="28"/>
        <v>9.85</v>
      </c>
      <c r="I590" s="4">
        <f>_xlfn.XLOOKUP(J590,数据!E:E,数据!S:S)*(H590/_xlfn.XLOOKUP(J590,数据!E:E,数据!X:X))</f>
        <v>632.56162458198</v>
      </c>
      <c r="J590" t="s">
        <v>910</v>
      </c>
      <c r="K590" t="s">
        <v>46</v>
      </c>
      <c r="L590" t="s">
        <v>2374</v>
      </c>
      <c r="M590" t="s">
        <v>5799</v>
      </c>
      <c r="N590" t="s">
        <v>2376</v>
      </c>
      <c r="O590" t="s">
        <v>2400</v>
      </c>
      <c r="P590" t="s">
        <v>2378</v>
      </c>
      <c r="Q590" t="s">
        <v>2379</v>
      </c>
      <c r="R590" t="s">
        <v>5800</v>
      </c>
      <c r="S590" t="s">
        <v>2511</v>
      </c>
      <c r="T590" s="3" t="s">
        <v>5730</v>
      </c>
      <c r="U590" t="s">
        <v>5801</v>
      </c>
      <c r="V590" t="s">
        <v>5802</v>
      </c>
      <c r="W590" t="s">
        <v>5803</v>
      </c>
      <c r="X590" t="s">
        <v>2385</v>
      </c>
      <c r="Y590" t="s">
        <v>5804</v>
      </c>
      <c r="Z590" t="s">
        <v>2387</v>
      </c>
      <c r="AA590" t="s">
        <v>5730</v>
      </c>
      <c r="AB590" t="s">
        <v>3838</v>
      </c>
      <c r="AC590" t="s">
        <v>5805</v>
      </c>
      <c r="AD590" t="s">
        <v>5736</v>
      </c>
      <c r="AH590" t="s">
        <v>5693</v>
      </c>
      <c r="AI590" t="s">
        <v>5227</v>
      </c>
      <c r="AJ590" t="s">
        <v>5807</v>
      </c>
      <c r="AK590" t="s">
        <v>5808</v>
      </c>
      <c r="AL590" t="s">
        <v>5809</v>
      </c>
      <c r="AM590" t="s">
        <v>5809</v>
      </c>
      <c r="AN590" t="s">
        <v>5810</v>
      </c>
      <c r="AO590" t="s">
        <v>5807</v>
      </c>
      <c r="AP590">
        <v>50</v>
      </c>
      <c r="AQ590">
        <v>50</v>
      </c>
      <c r="AR590">
        <v>51</v>
      </c>
      <c r="AS590" t="s">
        <v>5811</v>
      </c>
      <c r="AT590">
        <v>0</v>
      </c>
      <c r="AU590">
        <v>1</v>
      </c>
      <c r="AV590">
        <v>-1</v>
      </c>
    </row>
    <row r="591" spans="1:48">
      <c r="A591" s="1">
        <f>_xlfn.XLOOKUP(J591,数据!E:E,数据!A:A)</f>
        <v>2</v>
      </c>
      <c r="B591" s="1">
        <f>_xlfn.XLOOKUP(J591,数据!E:E,数据!B:B)</f>
        <v>6</v>
      </c>
      <c r="C591" s="1" t="str">
        <f>_xlfn.XLOOKUP(J591,数据!E:E,数据!J:J)</f>
        <v>空派</v>
      </c>
      <c r="D591" s="1" t="str" cm="1">
        <f t="array" ref="D591">IF(OR(C591="红单",C591="空派"),_xlfn.IFS(E591="未开售","新品首批发货",F591&lt;E591,"新品首批发货",F591-E591&lt;=60,"新品期补货空运",F591-E591&gt;60,"老品应急空运"),"海运，不进行分析")</f>
        <v>新品期补货空运</v>
      </c>
      <c r="E591" s="2">
        <v>46036</v>
      </c>
      <c r="F591" s="2">
        <f>_xlfn.XLOOKUP(J591,数据!E:E,数据!C:C)</f>
        <v>46058</v>
      </c>
      <c r="G591" s="4">
        <v>120</v>
      </c>
      <c r="H591" s="4">
        <f>G591*AP591/1000</f>
        <v>12</v>
      </c>
      <c r="I591" s="4">
        <f>_xlfn.XLOOKUP(J591,数据!E:E,数据!S:S)*(H591/_xlfn.XLOOKUP(J591,数据!E:E,数据!X:X))</f>
        <v>1229.5</v>
      </c>
      <c r="J591" t="s">
        <v>908</v>
      </c>
      <c r="K591" t="s">
        <v>78</v>
      </c>
      <c r="L591" t="s">
        <v>2374</v>
      </c>
      <c r="M591" t="s">
        <v>5812</v>
      </c>
      <c r="N591" t="s">
        <v>2376</v>
      </c>
      <c r="O591" t="s">
        <v>2377</v>
      </c>
      <c r="P591" t="s">
        <v>2378</v>
      </c>
      <c r="Q591" t="s">
        <v>2379</v>
      </c>
      <c r="R591" t="s">
        <v>5813</v>
      </c>
      <c r="S591" t="s">
        <v>2511</v>
      </c>
      <c r="T591" s="3" t="s">
        <v>5814</v>
      </c>
      <c r="U591" t="s">
        <v>5815</v>
      </c>
      <c r="V591" t="s">
        <v>5816</v>
      </c>
      <c r="W591" t="s">
        <v>5817</v>
      </c>
      <c r="X591" t="s">
        <v>2403</v>
      </c>
      <c r="Y591" t="s">
        <v>5818</v>
      </c>
      <c r="Z591" t="s">
        <v>2387</v>
      </c>
      <c r="AA591" t="s">
        <v>5814</v>
      </c>
      <c r="AB591" t="s">
        <v>4261</v>
      </c>
      <c r="AC591" t="s">
        <v>5819</v>
      </c>
      <c r="AD591" t="s">
        <v>5226</v>
      </c>
      <c r="AH591" t="s">
        <v>5693</v>
      </c>
      <c r="AI591" t="s">
        <v>5227</v>
      </c>
      <c r="AJ591" t="s">
        <v>2853</v>
      </c>
      <c r="AK591" t="s">
        <v>2854</v>
      </c>
      <c r="AL591" t="s">
        <v>2855</v>
      </c>
      <c r="AM591" t="s">
        <v>2856</v>
      </c>
      <c r="AN591" t="s">
        <v>2857</v>
      </c>
      <c r="AO591" t="s">
        <v>2853</v>
      </c>
      <c r="AP591">
        <v>100</v>
      </c>
      <c r="AQ591">
        <v>100</v>
      </c>
      <c r="AR591">
        <v>100</v>
      </c>
      <c r="AS591" t="s">
        <v>5820</v>
      </c>
      <c r="AT591">
        <v>0</v>
      </c>
      <c r="AU591">
        <v>0</v>
      </c>
      <c r="AV591">
        <v>0</v>
      </c>
    </row>
    <row r="592" spans="1:48">
      <c r="A592" s="1">
        <f>_xlfn.XLOOKUP(J592,数据!E:E,数据!A:A)</f>
        <v>2</v>
      </c>
      <c r="B592" s="1">
        <f>_xlfn.XLOOKUP(J592,数据!E:E,数据!B:B)</f>
        <v>6</v>
      </c>
      <c r="C592" s="1" t="str">
        <f>_xlfn.XLOOKUP(J592,数据!E:E,数据!J:J)</f>
        <v>红单</v>
      </c>
      <c r="D592" s="1" t="str" cm="1">
        <f t="array" ref="D592">IF(OR(C592="红单",C592="空派"),_xlfn.IFS(E592="未开售","新品首批发货",F592&lt;E592,"新品首批发货",F592-E592&lt;=60,"新品期补货空运",F592-E592&gt;60,"老品应急空运"),"海运，不进行分析")</f>
        <v>新品期补货空运</v>
      </c>
      <c r="E592" s="2">
        <v>46028</v>
      </c>
      <c r="F592" s="2">
        <f>_xlfn.XLOOKUP(J592,数据!E:E,数据!C:C)</f>
        <v>46056</v>
      </c>
      <c r="G592" s="4">
        <v>104</v>
      </c>
      <c r="H592" s="4">
        <f>G592*AP592/1000</f>
        <v>10.296</v>
      </c>
      <c r="I592" s="4">
        <f>_xlfn.XLOOKUP(J592,数据!E:E,数据!S:S)*(H592/_xlfn.XLOOKUP(J592,数据!E:E,数据!X:X))</f>
        <v>749.554666666667</v>
      </c>
      <c r="J592" t="s">
        <v>902</v>
      </c>
      <c r="K592" t="s">
        <v>224</v>
      </c>
      <c r="L592" t="s">
        <v>2374</v>
      </c>
      <c r="M592" t="s">
        <v>5821</v>
      </c>
      <c r="N592" t="s">
        <v>2376</v>
      </c>
      <c r="O592" t="s">
        <v>2377</v>
      </c>
      <c r="P592" t="s">
        <v>2378</v>
      </c>
      <c r="Q592" t="s">
        <v>2379</v>
      </c>
      <c r="R592" t="s">
        <v>902</v>
      </c>
      <c r="S592" t="s">
        <v>2511</v>
      </c>
      <c r="T592" s="3" t="s">
        <v>5822</v>
      </c>
      <c r="U592" t="s">
        <v>5823</v>
      </c>
      <c r="V592" t="s">
        <v>5824</v>
      </c>
      <c r="W592" t="s">
        <v>5825</v>
      </c>
      <c r="X592" t="s">
        <v>2403</v>
      </c>
      <c r="Y592" t="s">
        <v>5826</v>
      </c>
      <c r="Z592" t="s">
        <v>2405</v>
      </c>
      <c r="AA592" t="s">
        <v>5822</v>
      </c>
      <c r="AB592" t="s">
        <v>5827</v>
      </c>
      <c r="AC592" t="s">
        <v>5828</v>
      </c>
      <c r="AD592" t="s">
        <v>5829</v>
      </c>
      <c r="AH592" t="s">
        <v>5693</v>
      </c>
      <c r="AI592" t="s">
        <v>5227</v>
      </c>
      <c r="AJ592" t="s">
        <v>5621</v>
      </c>
      <c r="AK592" t="s">
        <v>5622</v>
      </c>
      <c r="AL592" t="s">
        <v>5623</v>
      </c>
      <c r="AM592" t="s">
        <v>5623</v>
      </c>
      <c r="AN592" t="s">
        <v>5624</v>
      </c>
      <c r="AO592" t="s">
        <v>5621</v>
      </c>
      <c r="AP592">
        <v>99</v>
      </c>
      <c r="AQ592">
        <v>99</v>
      </c>
      <c r="AR592">
        <v>99</v>
      </c>
      <c r="AS592" t="s">
        <v>5830</v>
      </c>
      <c r="AT592">
        <v>0</v>
      </c>
      <c r="AU592">
        <v>0</v>
      </c>
      <c r="AV592">
        <v>0</v>
      </c>
    </row>
    <row r="593" spans="1:48">
      <c r="A593" s="1">
        <f>_xlfn.XLOOKUP(J593,数据!E:E,数据!A:A)</f>
        <v>2</v>
      </c>
      <c r="B593" s="1">
        <f>_xlfn.XLOOKUP(J593,数据!E:E,数据!B:B)</f>
        <v>6</v>
      </c>
      <c r="C593" s="1" t="str">
        <f>_xlfn.XLOOKUP(J593,数据!E:E,数据!J:J)</f>
        <v>红单</v>
      </c>
      <c r="D593" s="1" t="str" cm="1">
        <f t="array" ref="D593">IF(OR(C593="红单",C593="空派"),_xlfn.IFS(E593="未开售","新品首批发货",F593&lt;E593,"新品首批发货",F593-E593&lt;=60,"新品期补货空运",F593-E593&gt;60,"老品应急空运"),"海运，不进行分析")</f>
        <v>新品首批发货</v>
      </c>
      <c r="E593" s="2">
        <v>46070</v>
      </c>
      <c r="F593" s="2">
        <f>_xlfn.XLOOKUP(J593,数据!E:E,数据!C:C)</f>
        <v>46056</v>
      </c>
      <c r="G593" s="4">
        <v>202</v>
      </c>
      <c r="H593" s="4">
        <f>G593*AP593/1000</f>
        <v>20.604</v>
      </c>
      <c r="I593" s="4">
        <f>_xlfn.XLOOKUP(J593,数据!E:E,数据!S:S)*(H593/_xlfn.XLOOKUP(J593,数据!E:E,数据!X:X))</f>
        <v>1373.78066666667</v>
      </c>
      <c r="J593" t="s">
        <v>899</v>
      </c>
      <c r="K593" t="s">
        <v>59</v>
      </c>
      <c r="L593" t="s">
        <v>2374</v>
      </c>
      <c r="M593" t="s">
        <v>5831</v>
      </c>
      <c r="N593" t="s">
        <v>2376</v>
      </c>
      <c r="O593" t="s">
        <v>2377</v>
      </c>
      <c r="P593" t="s">
        <v>2378</v>
      </c>
      <c r="Q593" t="s">
        <v>2379</v>
      </c>
      <c r="R593" t="s">
        <v>899</v>
      </c>
      <c r="S593" t="s">
        <v>2511</v>
      </c>
      <c r="T593" s="3" t="s">
        <v>5822</v>
      </c>
      <c r="U593" t="s">
        <v>5832</v>
      </c>
      <c r="V593" t="s">
        <v>5833</v>
      </c>
      <c r="W593" t="s">
        <v>5834</v>
      </c>
      <c r="X593" t="s">
        <v>2403</v>
      </c>
      <c r="Y593" t="s">
        <v>5835</v>
      </c>
      <c r="Z593" t="s">
        <v>2387</v>
      </c>
      <c r="AA593" t="s">
        <v>5822</v>
      </c>
      <c r="AB593" t="s">
        <v>5836</v>
      </c>
      <c r="AC593" t="s">
        <v>5837</v>
      </c>
      <c r="AD593" t="s">
        <v>5829</v>
      </c>
      <c r="AH593" t="s">
        <v>5693</v>
      </c>
      <c r="AI593" t="s">
        <v>5227</v>
      </c>
      <c r="AJ593" t="s">
        <v>5838</v>
      </c>
      <c r="AK593" t="s">
        <v>5839</v>
      </c>
      <c r="AL593" t="s">
        <v>5840</v>
      </c>
      <c r="AM593" t="s">
        <v>5840</v>
      </c>
      <c r="AN593" t="s">
        <v>5841</v>
      </c>
      <c r="AO593" t="s">
        <v>5838</v>
      </c>
      <c r="AP593">
        <v>102</v>
      </c>
      <c r="AQ593">
        <v>102</v>
      </c>
      <c r="AR593">
        <v>102</v>
      </c>
      <c r="AS593" t="s">
        <v>5842</v>
      </c>
      <c r="AT593">
        <v>0</v>
      </c>
      <c r="AU593">
        <v>0</v>
      </c>
      <c r="AV593">
        <v>0</v>
      </c>
    </row>
    <row r="594" spans="1:48">
      <c r="A594" s="1">
        <f>_xlfn.XLOOKUP(J594,数据!E:E,数据!A:A)</f>
        <v>2</v>
      </c>
      <c r="B594" s="1">
        <f>_xlfn.XLOOKUP(J594,数据!E:E,数据!B:B)</f>
        <v>6</v>
      </c>
      <c r="C594" s="1" t="str">
        <f>_xlfn.XLOOKUP(J594,数据!E:E,数据!J:J)</f>
        <v>红单</v>
      </c>
      <c r="D594" s="1" t="str" cm="1">
        <f t="array" ref="D594">IF(OR(C594="红单",C594="空派"),_xlfn.IFS(E594="未开售","新品首批发货",F594&lt;E594,"新品首批发货",F594-E594&lt;=60,"新品期补货空运",F594-E594&gt;60,"老品应急空运"),"海运，不进行分析")</f>
        <v>新品期补货空运</v>
      </c>
      <c r="E594" s="2">
        <v>46043</v>
      </c>
      <c r="F594" s="2">
        <f>_xlfn.XLOOKUP(J594,数据!E:E,数据!C:C)</f>
        <v>46056</v>
      </c>
      <c r="G594" s="4">
        <v>132</v>
      </c>
      <c r="H594" s="4">
        <f>G594*AP594/1000</f>
        <v>13.068</v>
      </c>
      <c r="I594" s="4">
        <f>_xlfn.XLOOKUP(J594,数据!E:E,数据!S:S)*(H594/_xlfn.XLOOKUP(J594,数据!E:E,数据!X:X))</f>
        <v>899.554666666667</v>
      </c>
      <c r="J594" t="s">
        <v>901</v>
      </c>
      <c r="K594" t="s">
        <v>46</v>
      </c>
      <c r="L594" t="s">
        <v>2374</v>
      </c>
      <c r="M594" t="s">
        <v>5843</v>
      </c>
      <c r="N594" t="s">
        <v>2376</v>
      </c>
      <c r="O594" t="s">
        <v>2377</v>
      </c>
      <c r="P594" t="s">
        <v>2378</v>
      </c>
      <c r="Q594" t="s">
        <v>2379</v>
      </c>
      <c r="R594" t="s">
        <v>901</v>
      </c>
      <c r="S594" t="s">
        <v>2511</v>
      </c>
      <c r="T594" s="3" t="s">
        <v>5822</v>
      </c>
      <c r="U594" t="s">
        <v>5844</v>
      </c>
      <c r="V594" t="s">
        <v>5833</v>
      </c>
      <c r="W594" t="s">
        <v>5845</v>
      </c>
      <c r="X594" t="s">
        <v>2403</v>
      </c>
      <c r="Y594" t="s">
        <v>5846</v>
      </c>
      <c r="Z594" t="s">
        <v>2405</v>
      </c>
      <c r="AA594" t="s">
        <v>5822</v>
      </c>
      <c r="AB594" t="s">
        <v>5339</v>
      </c>
      <c r="AC594" t="s">
        <v>5847</v>
      </c>
      <c r="AD594" t="s">
        <v>5829</v>
      </c>
      <c r="AH594" t="s">
        <v>5693</v>
      </c>
      <c r="AI594" t="s">
        <v>5227</v>
      </c>
      <c r="AJ594" t="s">
        <v>5214</v>
      </c>
      <c r="AK594" t="s">
        <v>5215</v>
      </c>
      <c r="AL594" t="s">
        <v>5216</v>
      </c>
      <c r="AM594" t="s">
        <v>2437</v>
      </c>
      <c r="AN594" t="s">
        <v>5217</v>
      </c>
      <c r="AO594" t="s">
        <v>5214</v>
      </c>
      <c r="AP594">
        <v>99</v>
      </c>
      <c r="AQ594">
        <v>99</v>
      </c>
      <c r="AR594">
        <v>99</v>
      </c>
      <c r="AS594" t="s">
        <v>5848</v>
      </c>
      <c r="AT594">
        <v>0</v>
      </c>
      <c r="AU594">
        <v>0</v>
      </c>
      <c r="AV594">
        <v>0</v>
      </c>
    </row>
    <row r="595" spans="1:48">
      <c r="A595" s="1">
        <f>_xlfn.XLOOKUP(J595,数据!E:E,数据!A:A)</f>
        <v>1</v>
      </c>
      <c r="B595" s="1">
        <f>_xlfn.XLOOKUP(J595,数据!E:E,数据!B:B)</f>
        <v>5</v>
      </c>
      <c r="C595" s="1" t="str">
        <f>_xlfn.XLOOKUP(J595,数据!E:E,数据!J:J)</f>
        <v>红单</v>
      </c>
      <c r="D595" s="1" t="str" cm="1">
        <f t="array" ref="D595">IF(OR(C595="红单",C595="空派"),_xlfn.IFS(E595="未开售","新品首批发货",F595&lt;E595,"新品首批发货",F595-E595&lt;=60,"新品期补货空运",F595-E595&gt;60,"老品应急空运"),"海运，不进行分析")</f>
        <v>新品期补货空运</v>
      </c>
      <c r="E595" s="2">
        <v>46013</v>
      </c>
      <c r="F595" s="2">
        <f>_xlfn.XLOOKUP(J595,数据!E:E,数据!C:C)</f>
        <v>46052</v>
      </c>
      <c r="G595" s="4">
        <v>142</v>
      </c>
      <c r="H595" s="4">
        <f>G595*AP595/1000</f>
        <v>20.59</v>
      </c>
      <c r="I595" s="4">
        <f>_xlfn.XLOOKUP(J595,数据!E:E,数据!S:S)*(H595/_xlfn.XLOOKUP(J595,数据!E:E,数据!X:X))</f>
        <v>1885.19</v>
      </c>
      <c r="J595" t="s">
        <v>820</v>
      </c>
      <c r="K595" t="s">
        <v>31</v>
      </c>
      <c r="L595" t="s">
        <v>2374</v>
      </c>
      <c r="M595" t="s">
        <v>5849</v>
      </c>
      <c r="N595" t="s">
        <v>2376</v>
      </c>
      <c r="O595" t="s">
        <v>2377</v>
      </c>
      <c r="P595" t="s">
        <v>2378</v>
      </c>
      <c r="Q595" t="s">
        <v>2379</v>
      </c>
      <c r="R595" t="s">
        <v>820</v>
      </c>
      <c r="S595" t="s">
        <v>2511</v>
      </c>
      <c r="T595" s="3" t="s">
        <v>5850</v>
      </c>
      <c r="U595" t="s">
        <v>5851</v>
      </c>
      <c r="V595" t="s">
        <v>5852</v>
      </c>
      <c r="W595" t="s">
        <v>5853</v>
      </c>
      <c r="X595" t="s">
        <v>2403</v>
      </c>
      <c r="Y595" t="s">
        <v>5854</v>
      </c>
      <c r="Z595" t="s">
        <v>2405</v>
      </c>
      <c r="AA595" t="s">
        <v>5850</v>
      </c>
      <c r="AB595" t="s">
        <v>5855</v>
      </c>
      <c r="AC595" t="s">
        <v>5856</v>
      </c>
      <c r="AD595" t="s">
        <v>5857</v>
      </c>
      <c r="AH595" t="s">
        <v>5858</v>
      </c>
      <c r="AI595" t="s">
        <v>5693</v>
      </c>
      <c r="AJ595" t="s">
        <v>3574</v>
      </c>
      <c r="AK595" t="s">
        <v>3575</v>
      </c>
      <c r="AL595" t="s">
        <v>3576</v>
      </c>
      <c r="AM595" t="s">
        <v>2787</v>
      </c>
      <c r="AN595" t="s">
        <v>3577</v>
      </c>
      <c r="AO595" t="s">
        <v>3574</v>
      </c>
      <c r="AP595">
        <v>145</v>
      </c>
      <c r="AQ595">
        <v>145</v>
      </c>
      <c r="AR595">
        <v>145</v>
      </c>
      <c r="AS595" t="s">
        <v>5859</v>
      </c>
      <c r="AT595">
        <v>0</v>
      </c>
      <c r="AU595">
        <v>0</v>
      </c>
      <c r="AV595">
        <v>0</v>
      </c>
    </row>
    <row r="596" spans="1:48">
      <c r="A596" s="1">
        <f>_xlfn.XLOOKUP(J596,数据!E:E,数据!A:A)</f>
        <v>1</v>
      </c>
      <c r="B596" s="1">
        <f>_xlfn.XLOOKUP(J596,数据!E:E,数据!B:B)</f>
        <v>5</v>
      </c>
      <c r="C596" s="1" t="str">
        <f>_xlfn.XLOOKUP(J596,数据!E:E,数据!J:J)</f>
        <v>空派</v>
      </c>
      <c r="D596" s="1" t="str" cm="1">
        <f t="array" ref="D596">IF(OR(C596="红单",C596="空派"),_xlfn.IFS(E596="未开售","新品首批发货",F596&lt;E596,"新品首批发货",F596-E596&lt;=60,"新品期补货空运",F596-E596&gt;60,"老品应急空运"),"海运，不进行分析")</f>
        <v>新品期补货空运</v>
      </c>
      <c r="E596" s="2">
        <v>46036</v>
      </c>
      <c r="F596" s="2">
        <f>_xlfn.XLOOKUP(J596,数据!E:E,数据!C:C)</f>
        <v>46051</v>
      </c>
      <c r="G596" s="4">
        <v>120</v>
      </c>
      <c r="H596" s="4">
        <f>G596*AP596/1000</f>
        <v>12</v>
      </c>
      <c r="I596" s="4">
        <f>_xlfn.XLOOKUP(J596,数据!E:E,数据!S:S)*(H596/_xlfn.XLOOKUP(J596,数据!E:E,数据!X:X))</f>
        <v>895.585</v>
      </c>
      <c r="J596" t="s">
        <v>759</v>
      </c>
      <c r="K596" t="s">
        <v>78</v>
      </c>
      <c r="L596" t="s">
        <v>2374</v>
      </c>
      <c r="M596" t="s">
        <v>5860</v>
      </c>
      <c r="N596" t="s">
        <v>2376</v>
      </c>
      <c r="O596" t="s">
        <v>2377</v>
      </c>
      <c r="P596" t="s">
        <v>2378</v>
      </c>
      <c r="Q596" t="s">
        <v>2379</v>
      </c>
      <c r="S596" t="s">
        <v>2511</v>
      </c>
      <c r="T596" s="3" t="s">
        <v>5861</v>
      </c>
      <c r="U596" t="s">
        <v>5862</v>
      </c>
      <c r="V596" t="s">
        <v>5863</v>
      </c>
      <c r="W596" t="s">
        <v>5864</v>
      </c>
      <c r="X596" t="s">
        <v>2403</v>
      </c>
      <c r="Y596" t="s">
        <v>5865</v>
      </c>
      <c r="Z596" t="s">
        <v>2387</v>
      </c>
      <c r="AA596" t="s">
        <v>5861</v>
      </c>
      <c r="AB596" t="s">
        <v>5866</v>
      </c>
      <c r="AC596" t="s">
        <v>5867</v>
      </c>
      <c r="AD596" t="s">
        <v>5868</v>
      </c>
      <c r="AG596" t="s">
        <v>2432</v>
      </c>
      <c r="AH596" t="s">
        <v>5858</v>
      </c>
      <c r="AI596" t="s">
        <v>5693</v>
      </c>
      <c r="AJ596" t="s">
        <v>2853</v>
      </c>
      <c r="AK596" t="s">
        <v>2854</v>
      </c>
      <c r="AL596" t="s">
        <v>2855</v>
      </c>
      <c r="AM596" t="s">
        <v>2856</v>
      </c>
      <c r="AN596" t="s">
        <v>2857</v>
      </c>
      <c r="AO596" t="s">
        <v>2853</v>
      </c>
      <c r="AP596">
        <v>100</v>
      </c>
      <c r="AQ596">
        <v>100</v>
      </c>
      <c r="AR596">
        <v>100</v>
      </c>
      <c r="AS596" t="s">
        <v>5869</v>
      </c>
      <c r="AT596">
        <v>0</v>
      </c>
      <c r="AU596">
        <v>0</v>
      </c>
      <c r="AV596">
        <v>0</v>
      </c>
    </row>
    <row r="597" spans="1:48">
      <c r="A597" s="1">
        <f>_xlfn.XLOOKUP(J597,数据!E:E,数据!A:A)</f>
        <v>1</v>
      </c>
      <c r="B597" s="1">
        <f>_xlfn.XLOOKUP(J597,数据!E:E,数据!B:B)</f>
        <v>5</v>
      </c>
      <c r="C597" s="1" t="str">
        <f>_xlfn.XLOOKUP(J597,数据!E:E,数据!J:J)</f>
        <v>空派</v>
      </c>
      <c r="D597" s="1" t="str" cm="1">
        <f t="array" ref="D597">IF(OR(C597="红单",C597="空派"),_xlfn.IFS(E597="未开售","新品首批发货",F597&lt;E597,"新品首批发货",F597-E597&lt;=60,"新品期补货空运",F597-E597&gt;60,"老品应急空运"),"海运，不进行分析")</f>
        <v>新品期补货空运</v>
      </c>
      <c r="E597" s="2">
        <v>46028</v>
      </c>
      <c r="F597" s="2">
        <f>_xlfn.XLOOKUP(J597,数据!E:E,数据!C:C)</f>
        <v>46051</v>
      </c>
      <c r="G597" s="4">
        <v>104</v>
      </c>
      <c r="H597" s="4">
        <f>G597*AP597/1000</f>
        <v>2.08</v>
      </c>
      <c r="I597" s="4">
        <f>_xlfn.XLOOKUP(J597,数据!E:E,数据!S:S)*(H597/_xlfn.XLOOKUP(J597,数据!E:E,数据!X:X))</f>
        <v>146.76170212766</v>
      </c>
      <c r="J597" t="s">
        <v>757</v>
      </c>
      <c r="K597" t="s">
        <v>224</v>
      </c>
      <c r="L597" t="s">
        <v>2374</v>
      </c>
      <c r="M597" t="s">
        <v>5870</v>
      </c>
      <c r="N597" t="s">
        <v>2376</v>
      </c>
      <c r="O597" t="s">
        <v>2400</v>
      </c>
      <c r="P597" t="s">
        <v>2378</v>
      </c>
      <c r="Q597" t="s">
        <v>2379</v>
      </c>
      <c r="S597" t="s">
        <v>2511</v>
      </c>
      <c r="T597" s="3" t="s">
        <v>5861</v>
      </c>
      <c r="U597" t="s">
        <v>5871</v>
      </c>
      <c r="V597" t="s">
        <v>5872</v>
      </c>
      <c r="W597" t="s">
        <v>5873</v>
      </c>
      <c r="X597" t="s">
        <v>2403</v>
      </c>
      <c r="Y597" t="s">
        <v>5874</v>
      </c>
      <c r="Z597" t="s">
        <v>2405</v>
      </c>
      <c r="AA597" t="s">
        <v>5861</v>
      </c>
      <c r="AB597" t="s">
        <v>5875</v>
      </c>
      <c r="AC597" t="s">
        <v>5876</v>
      </c>
      <c r="AD597" t="s">
        <v>5868</v>
      </c>
      <c r="AG597" t="s">
        <v>2432</v>
      </c>
      <c r="AH597" t="s">
        <v>5858</v>
      </c>
      <c r="AI597" t="s">
        <v>5693</v>
      </c>
      <c r="AJ597" t="s">
        <v>5621</v>
      </c>
      <c r="AK597" t="s">
        <v>5622</v>
      </c>
      <c r="AL597" t="s">
        <v>5623</v>
      </c>
      <c r="AM597" t="s">
        <v>5623</v>
      </c>
      <c r="AN597" t="s">
        <v>5624</v>
      </c>
      <c r="AO597" t="s">
        <v>5621</v>
      </c>
      <c r="AP597">
        <v>20</v>
      </c>
      <c r="AQ597">
        <v>20</v>
      </c>
      <c r="AR597">
        <v>20</v>
      </c>
      <c r="AS597" t="s">
        <v>5877</v>
      </c>
      <c r="AT597">
        <v>0</v>
      </c>
      <c r="AU597">
        <v>0</v>
      </c>
      <c r="AV597">
        <v>0</v>
      </c>
    </row>
    <row r="598" spans="1:48">
      <c r="A598" s="1">
        <f>_xlfn.XLOOKUP(J598,数据!E:E,数据!A:A)</f>
        <v>1</v>
      </c>
      <c r="B598" s="1">
        <f>_xlfn.XLOOKUP(J598,数据!E:E,数据!B:B)</f>
        <v>5</v>
      </c>
      <c r="C598" s="1" t="str">
        <f>_xlfn.XLOOKUP(J598,数据!E:E,数据!J:J)</f>
        <v>空派</v>
      </c>
      <c r="D598" s="1" t="str" cm="1">
        <f t="array" ref="D598">IF(OR(C598="红单",C598="空派"),_xlfn.IFS(E598="未开售","新品首批发货",F598&lt;E598,"新品首批发货",F598-E598&lt;=60,"新品期补货空运",F598-E598&gt;60,"老品应急空运"),"海运，不进行分析")</f>
        <v>新品期补货空运</v>
      </c>
      <c r="E598" s="2">
        <v>46029</v>
      </c>
      <c r="F598" s="2">
        <f>_xlfn.XLOOKUP(J598,数据!E:E,数据!C:C)</f>
        <v>46051</v>
      </c>
      <c r="G598" s="4">
        <v>156</v>
      </c>
      <c r="H598" s="4">
        <f>G598*AP598/1000</f>
        <v>10.14</v>
      </c>
      <c r="I598" s="4">
        <f>_xlfn.XLOOKUP(J598,数据!E:E,数据!S:S)*(H598/_xlfn.XLOOKUP(J598,数据!E:E,数据!X:X))</f>
        <v>715.46329787234</v>
      </c>
      <c r="J598" t="s">
        <v>757</v>
      </c>
      <c r="K598" t="s">
        <v>224</v>
      </c>
      <c r="L598" t="s">
        <v>2374</v>
      </c>
      <c r="M598" t="s">
        <v>5870</v>
      </c>
      <c r="N598" t="s">
        <v>2376</v>
      </c>
      <c r="O598" t="s">
        <v>2400</v>
      </c>
      <c r="P598" t="s">
        <v>2378</v>
      </c>
      <c r="Q598" t="s">
        <v>2379</v>
      </c>
      <c r="S598" t="s">
        <v>2511</v>
      </c>
      <c r="T598" s="3" t="s">
        <v>5861</v>
      </c>
      <c r="U598" t="s">
        <v>5871</v>
      </c>
      <c r="V598" t="s">
        <v>5872</v>
      </c>
      <c r="W598" t="s">
        <v>5873</v>
      </c>
      <c r="X598" t="s">
        <v>2403</v>
      </c>
      <c r="Y598" t="s">
        <v>5874</v>
      </c>
      <c r="Z598" t="s">
        <v>2405</v>
      </c>
      <c r="AA598" t="s">
        <v>5861</v>
      </c>
      <c r="AB598" t="s">
        <v>5875</v>
      </c>
      <c r="AC598" t="s">
        <v>5876</v>
      </c>
      <c r="AD598" t="s">
        <v>5868</v>
      </c>
      <c r="AG598" t="s">
        <v>2432</v>
      </c>
      <c r="AH598" t="s">
        <v>5858</v>
      </c>
      <c r="AI598" t="s">
        <v>5693</v>
      </c>
      <c r="AJ598" t="s">
        <v>5878</v>
      </c>
      <c r="AK598" t="s">
        <v>5879</v>
      </c>
      <c r="AL598" t="s">
        <v>5880</v>
      </c>
      <c r="AM598" t="s">
        <v>5880</v>
      </c>
      <c r="AN598" t="s">
        <v>5881</v>
      </c>
      <c r="AO598" t="s">
        <v>5878</v>
      </c>
      <c r="AP598">
        <v>65</v>
      </c>
      <c r="AQ598">
        <v>65</v>
      </c>
      <c r="AR598">
        <v>65</v>
      </c>
      <c r="AS598" t="s">
        <v>5882</v>
      </c>
      <c r="AT598">
        <v>0</v>
      </c>
      <c r="AU598">
        <v>0</v>
      </c>
      <c r="AV598">
        <v>0</v>
      </c>
    </row>
    <row r="599" spans="1:48">
      <c r="A599" s="1">
        <f>_xlfn.XLOOKUP(J599,数据!E:E,数据!A:A)</f>
        <v>1</v>
      </c>
      <c r="B599" s="1">
        <f>_xlfn.XLOOKUP(J599,数据!E:E,数据!B:B)</f>
        <v>5</v>
      </c>
      <c r="C599" s="1" t="str">
        <f>_xlfn.XLOOKUP(J599,数据!E:E,数据!J:J)</f>
        <v>空派</v>
      </c>
      <c r="D599" s="1" t="str" cm="1">
        <f t="array" ref="D599">IF(OR(C599="红单",C599="空派"),_xlfn.IFS(E599="未开售","新品首批发货",F599&lt;E599,"新品首批发货",F599-E599&lt;=60,"新品期补货空运",F599-E599&gt;60,"老品应急空运"),"海运，不进行分析")</f>
        <v>老品应急空运</v>
      </c>
      <c r="E599" s="2">
        <v>44941</v>
      </c>
      <c r="F599" s="2">
        <f>_xlfn.XLOOKUP(J599,数据!E:E,数据!C:C)</f>
        <v>46051</v>
      </c>
      <c r="G599" s="4">
        <v>296</v>
      </c>
      <c r="H599" s="4">
        <f>G599*AP599/1000</f>
        <v>4.44</v>
      </c>
      <c r="I599" s="4">
        <f>_xlfn.XLOOKUP(J599,数据!E:E,数据!S:S)*(H599/_xlfn.XLOOKUP(J599,数据!E:E,数据!X:X))</f>
        <v>282.40028708134</v>
      </c>
      <c r="J599" t="s">
        <v>758</v>
      </c>
      <c r="K599" t="s">
        <v>56</v>
      </c>
      <c r="L599" t="s">
        <v>2374</v>
      </c>
      <c r="M599" t="s">
        <v>5883</v>
      </c>
      <c r="N599" t="s">
        <v>2376</v>
      </c>
      <c r="O599" t="s">
        <v>2400</v>
      </c>
      <c r="P599" t="s">
        <v>2378</v>
      </c>
      <c r="Q599" t="s">
        <v>2379</v>
      </c>
      <c r="S599" t="s">
        <v>2511</v>
      </c>
      <c r="T599" s="3" t="s">
        <v>5861</v>
      </c>
      <c r="U599" t="s">
        <v>5871</v>
      </c>
      <c r="V599" t="s">
        <v>5884</v>
      </c>
      <c r="W599" t="s">
        <v>5885</v>
      </c>
      <c r="X599" t="s">
        <v>2403</v>
      </c>
      <c r="Y599" t="s">
        <v>5886</v>
      </c>
      <c r="Z599" t="s">
        <v>2387</v>
      </c>
      <c r="AA599" t="s">
        <v>5861</v>
      </c>
      <c r="AB599" t="s">
        <v>5259</v>
      </c>
      <c r="AC599" t="s">
        <v>5887</v>
      </c>
      <c r="AD599" t="s">
        <v>5868</v>
      </c>
      <c r="AG599" t="s">
        <v>2432</v>
      </c>
      <c r="AH599" t="s">
        <v>5858</v>
      </c>
      <c r="AI599" t="s">
        <v>5693</v>
      </c>
      <c r="AJ599" t="s">
        <v>5888</v>
      </c>
      <c r="AK599" t="s">
        <v>5889</v>
      </c>
      <c r="AL599" t="s">
        <v>5890</v>
      </c>
      <c r="AM599" t="s">
        <v>3031</v>
      </c>
      <c r="AN599" t="s">
        <v>5891</v>
      </c>
      <c r="AO599" t="s">
        <v>5888</v>
      </c>
      <c r="AP599">
        <v>15</v>
      </c>
      <c r="AQ599">
        <v>15</v>
      </c>
      <c r="AR599">
        <v>15</v>
      </c>
      <c r="AS599" t="s">
        <v>5892</v>
      </c>
      <c r="AT599">
        <v>0</v>
      </c>
      <c r="AU599">
        <v>0</v>
      </c>
      <c r="AV599">
        <v>0</v>
      </c>
    </row>
    <row r="600" spans="1:48">
      <c r="A600" s="1">
        <f>_xlfn.XLOOKUP(J600,数据!E:E,数据!A:A)</f>
        <v>1</v>
      </c>
      <c r="B600" s="1">
        <f>_xlfn.XLOOKUP(J600,数据!E:E,数据!B:B)</f>
        <v>5</v>
      </c>
      <c r="C600" s="1" t="str">
        <f>_xlfn.XLOOKUP(J600,数据!E:E,数据!J:J)</f>
        <v>空派</v>
      </c>
      <c r="D600" s="1" t="str" cm="1">
        <f t="array" ref="D600">IF(OR(C600="红单",C600="空派"),_xlfn.IFS(E600="未开售","新品首批发货",F600&lt;E600,"新品首批发货",F600-E600&lt;=60,"新品期补货空运",F600-E600&gt;60,"老品应急空运"),"海运，不进行分析")</f>
        <v>老品应急空运</v>
      </c>
      <c r="E600" s="2">
        <v>45001</v>
      </c>
      <c r="F600" s="2">
        <f>_xlfn.XLOOKUP(J600,数据!E:E,数据!C:C)</f>
        <v>46051</v>
      </c>
      <c r="G600" s="4">
        <v>270</v>
      </c>
      <c r="H600" s="4">
        <f>G600*AP600/1000</f>
        <v>8.1</v>
      </c>
      <c r="I600" s="4">
        <f>_xlfn.XLOOKUP(J600,数据!E:E,数据!S:S)*(H600/_xlfn.XLOOKUP(J600,数据!E:E,数据!X:X))</f>
        <v>515.18971291866</v>
      </c>
      <c r="J600" t="s">
        <v>758</v>
      </c>
      <c r="K600" t="s">
        <v>56</v>
      </c>
      <c r="L600" t="s">
        <v>2374</v>
      </c>
      <c r="M600" t="s">
        <v>5883</v>
      </c>
      <c r="N600" t="s">
        <v>2376</v>
      </c>
      <c r="O600" t="s">
        <v>2400</v>
      </c>
      <c r="P600" t="s">
        <v>2378</v>
      </c>
      <c r="Q600" t="s">
        <v>2379</v>
      </c>
      <c r="S600" t="s">
        <v>2511</v>
      </c>
      <c r="T600" s="3" t="s">
        <v>5861</v>
      </c>
      <c r="U600" t="s">
        <v>5871</v>
      </c>
      <c r="V600" t="s">
        <v>5884</v>
      </c>
      <c r="W600" t="s">
        <v>5885</v>
      </c>
      <c r="X600" t="s">
        <v>2403</v>
      </c>
      <c r="Y600" t="s">
        <v>5886</v>
      </c>
      <c r="Z600" t="s">
        <v>2387</v>
      </c>
      <c r="AA600" t="s">
        <v>5861</v>
      </c>
      <c r="AB600" t="s">
        <v>5259</v>
      </c>
      <c r="AC600" t="s">
        <v>5887</v>
      </c>
      <c r="AD600" t="s">
        <v>5868</v>
      </c>
      <c r="AG600" t="s">
        <v>2432</v>
      </c>
      <c r="AH600" t="s">
        <v>5858</v>
      </c>
      <c r="AI600" t="s">
        <v>5693</v>
      </c>
      <c r="AJ600" t="s">
        <v>3028</v>
      </c>
      <c r="AK600" t="s">
        <v>3029</v>
      </c>
      <c r="AL600" t="s">
        <v>3030</v>
      </c>
      <c r="AM600" t="s">
        <v>3031</v>
      </c>
      <c r="AN600" t="s">
        <v>3032</v>
      </c>
      <c r="AO600" t="s">
        <v>3028</v>
      </c>
      <c r="AP600">
        <v>30</v>
      </c>
      <c r="AQ600">
        <v>30</v>
      </c>
      <c r="AR600">
        <v>30</v>
      </c>
      <c r="AS600" t="s">
        <v>5893</v>
      </c>
      <c r="AT600">
        <v>0</v>
      </c>
      <c r="AU600">
        <v>0</v>
      </c>
      <c r="AV600">
        <v>0</v>
      </c>
    </row>
    <row r="601" spans="1:48">
      <c r="A601" s="1">
        <f>_xlfn.XLOOKUP(J601,数据!E:E,数据!A:A)</f>
        <v>1</v>
      </c>
      <c r="B601" s="1">
        <f>_xlfn.XLOOKUP(J601,数据!E:E,数据!B:B)</f>
        <v>5</v>
      </c>
      <c r="C601" s="1" t="str">
        <f>_xlfn.XLOOKUP(J601,数据!E:E,数据!J:J)</f>
        <v>空派</v>
      </c>
      <c r="D601" s="1" t="str" cm="1">
        <f t="array" ref="D601">IF(OR(C601="红单",C601="空派"),_xlfn.IFS(E601="未开售","新品首批发货",F601&lt;E601,"新品首批发货",F601-E601&lt;=60,"新品期补货空运",F601-E601&gt;60,"老品应急空运"),"海运，不进行分析")</f>
        <v>老品应急空运</v>
      </c>
      <c r="E601" s="2">
        <v>45682</v>
      </c>
      <c r="F601" s="2">
        <f>_xlfn.XLOOKUP(J601,数据!E:E,数据!C:C)</f>
        <v>46050</v>
      </c>
      <c r="G601" s="4">
        <v>425</v>
      </c>
      <c r="H601" s="4">
        <f t="shared" ref="H601:H607" si="29">G601*AP601/1000</f>
        <v>21.25</v>
      </c>
      <c r="I601" s="4">
        <f>_xlfn.XLOOKUP(J601,数据!E:E,数据!S:S)*(H601/_xlfn.XLOOKUP(J601,数据!E:E,数据!X:X))</f>
        <v>1326.05610561056</v>
      </c>
      <c r="J601" t="s">
        <v>651</v>
      </c>
      <c r="K601" t="s">
        <v>51</v>
      </c>
      <c r="L601" t="s">
        <v>2374</v>
      </c>
      <c r="M601" t="s">
        <v>5894</v>
      </c>
      <c r="N601" t="s">
        <v>2376</v>
      </c>
      <c r="O601" t="s">
        <v>2400</v>
      </c>
      <c r="P601" t="s">
        <v>2378</v>
      </c>
      <c r="Q601" t="s">
        <v>2379</v>
      </c>
      <c r="S601" t="s">
        <v>2511</v>
      </c>
      <c r="T601" s="3" t="s">
        <v>5895</v>
      </c>
      <c r="U601" t="s">
        <v>5896</v>
      </c>
      <c r="V601" t="s">
        <v>5897</v>
      </c>
      <c r="W601" t="s">
        <v>5898</v>
      </c>
      <c r="X601" t="s">
        <v>2403</v>
      </c>
      <c r="Y601" t="s">
        <v>5899</v>
      </c>
      <c r="Z601" t="s">
        <v>2405</v>
      </c>
      <c r="AA601" t="s">
        <v>5895</v>
      </c>
      <c r="AB601" t="s">
        <v>5900</v>
      </c>
      <c r="AC601" t="s">
        <v>5901</v>
      </c>
      <c r="AD601" t="s">
        <v>5857</v>
      </c>
      <c r="AG601" t="s">
        <v>2541</v>
      </c>
      <c r="AH601" t="s">
        <v>5858</v>
      </c>
      <c r="AI601" t="s">
        <v>5693</v>
      </c>
      <c r="AJ601" t="s">
        <v>5902</v>
      </c>
      <c r="AK601" t="s">
        <v>5903</v>
      </c>
      <c r="AL601" t="s">
        <v>5904</v>
      </c>
      <c r="AM601" t="s">
        <v>5905</v>
      </c>
      <c r="AN601" t="s">
        <v>5906</v>
      </c>
      <c r="AO601" t="s">
        <v>5902</v>
      </c>
      <c r="AP601">
        <v>50</v>
      </c>
      <c r="AQ601">
        <v>50</v>
      </c>
      <c r="AR601">
        <v>50</v>
      </c>
      <c r="AS601" t="s">
        <v>5907</v>
      </c>
      <c r="AT601">
        <v>0</v>
      </c>
      <c r="AU601">
        <v>0</v>
      </c>
      <c r="AV601">
        <v>0</v>
      </c>
    </row>
    <row r="602" spans="1:48">
      <c r="A602" s="1">
        <f>_xlfn.XLOOKUP(J602,数据!E:E,数据!A:A)</f>
        <v>1</v>
      </c>
      <c r="B602" s="1">
        <f>_xlfn.XLOOKUP(J602,数据!E:E,数据!B:B)</f>
        <v>5</v>
      </c>
      <c r="C602" s="1" t="str">
        <f>_xlfn.XLOOKUP(J602,数据!E:E,数据!J:J)</f>
        <v>空派</v>
      </c>
      <c r="D602" s="1" t="str" cm="1">
        <f t="array" ref="D602">IF(OR(C602="红单",C602="空派"),_xlfn.IFS(E602="未开售","新品首批发货",F602&lt;E602,"新品首批发货",F602-E602&lt;=60,"新品期补货空运",F602-E602&gt;60,"老品应急空运"),"海运，不进行分析")</f>
        <v>新品期补货空运</v>
      </c>
      <c r="E602" s="2">
        <v>46020</v>
      </c>
      <c r="F602" s="2">
        <f>_xlfn.XLOOKUP(J602,数据!E:E,数据!C:C)</f>
        <v>46050</v>
      </c>
      <c r="G602" s="4">
        <v>181</v>
      </c>
      <c r="H602" s="4">
        <f t="shared" si="29"/>
        <v>9.05</v>
      </c>
      <c r="I602" s="4">
        <f>_xlfn.XLOOKUP(J602,数据!E:E,数据!S:S)*(H602/_xlfn.XLOOKUP(J602,数据!E:E,数据!X:X))</f>
        <v>564.743894389439</v>
      </c>
      <c r="J602" t="s">
        <v>651</v>
      </c>
      <c r="K602" t="s">
        <v>51</v>
      </c>
      <c r="L602" t="s">
        <v>2374</v>
      </c>
      <c r="M602" t="s">
        <v>5894</v>
      </c>
      <c r="N602" t="s">
        <v>2376</v>
      </c>
      <c r="O602" t="s">
        <v>2400</v>
      </c>
      <c r="P602" t="s">
        <v>2378</v>
      </c>
      <c r="Q602" t="s">
        <v>2379</v>
      </c>
      <c r="S602" t="s">
        <v>2511</v>
      </c>
      <c r="T602" s="3" t="s">
        <v>5895</v>
      </c>
      <c r="U602" t="s">
        <v>5896</v>
      </c>
      <c r="V602" t="s">
        <v>5897</v>
      </c>
      <c r="W602" t="s">
        <v>5898</v>
      </c>
      <c r="X602" t="s">
        <v>2403</v>
      </c>
      <c r="Y602" t="s">
        <v>5899</v>
      </c>
      <c r="Z602" t="s">
        <v>2405</v>
      </c>
      <c r="AA602" t="s">
        <v>5895</v>
      </c>
      <c r="AB602" t="s">
        <v>5900</v>
      </c>
      <c r="AC602" t="s">
        <v>5901</v>
      </c>
      <c r="AD602" t="s">
        <v>5857</v>
      </c>
      <c r="AG602" t="s">
        <v>2541</v>
      </c>
      <c r="AH602" t="s">
        <v>5858</v>
      </c>
      <c r="AI602" t="s">
        <v>5693</v>
      </c>
      <c r="AJ602" t="s">
        <v>5908</v>
      </c>
      <c r="AK602" t="s">
        <v>5909</v>
      </c>
      <c r="AL602" t="s">
        <v>5910</v>
      </c>
      <c r="AM602" t="s">
        <v>5911</v>
      </c>
      <c r="AN602" t="s">
        <v>5912</v>
      </c>
      <c r="AO602" t="s">
        <v>5908</v>
      </c>
      <c r="AP602">
        <v>50</v>
      </c>
      <c r="AQ602">
        <v>50</v>
      </c>
      <c r="AR602">
        <v>50</v>
      </c>
      <c r="AS602" t="s">
        <v>5913</v>
      </c>
      <c r="AT602">
        <v>0</v>
      </c>
      <c r="AU602">
        <v>0</v>
      </c>
      <c r="AV602">
        <v>0</v>
      </c>
    </row>
    <row r="603" spans="1:48">
      <c r="A603" s="1">
        <f>_xlfn.XLOOKUP(J603,数据!E:E,数据!A:A)</f>
        <v>1</v>
      </c>
      <c r="B603" s="1">
        <f>_xlfn.XLOOKUP(J603,数据!E:E,数据!B:B)</f>
        <v>5</v>
      </c>
      <c r="C603" s="1" t="str">
        <f>_xlfn.XLOOKUP(J603,数据!E:E,数据!J:J)</f>
        <v>空派</v>
      </c>
      <c r="D603" s="1" t="str" cm="1">
        <f t="array" ref="D603">IF(OR(C603="红单",C603="空派"),_xlfn.IFS(E603="未开售","新品首批发货",F603&lt;E603,"新品首批发货",F603-E603&lt;=60,"新品期补货空运",F603-E603&gt;60,"老品应急空运"),"海运，不进行分析")</f>
        <v>老品应急空运</v>
      </c>
      <c r="E603" s="2">
        <v>44662</v>
      </c>
      <c r="F603" s="2">
        <f>_xlfn.XLOOKUP(J603,数据!E:E,数据!C:C)</f>
        <v>46050</v>
      </c>
      <c r="G603" s="4">
        <v>142</v>
      </c>
      <c r="H603" s="4">
        <f t="shared" si="29"/>
        <v>7.1</v>
      </c>
      <c r="I603" s="4">
        <f>_xlfn.XLOOKUP(J603,数据!E:E,数据!S:S)*(H603/_xlfn.XLOOKUP(J603,数据!E:E,数据!X:X))</f>
        <v>493.487632508834</v>
      </c>
      <c r="J603" t="s">
        <v>654</v>
      </c>
      <c r="K603" t="s">
        <v>224</v>
      </c>
      <c r="L603" t="s">
        <v>2374</v>
      </c>
      <c r="M603" t="s">
        <v>5914</v>
      </c>
      <c r="N603" t="s">
        <v>2376</v>
      </c>
      <c r="O603" t="s">
        <v>2400</v>
      </c>
      <c r="P603" t="s">
        <v>2378</v>
      </c>
      <c r="Q603" t="s">
        <v>2379</v>
      </c>
      <c r="S603" t="s">
        <v>2511</v>
      </c>
      <c r="T603" s="3" t="s">
        <v>5895</v>
      </c>
      <c r="U603" t="s">
        <v>5915</v>
      </c>
      <c r="V603" t="s">
        <v>5916</v>
      </c>
      <c r="W603" t="s">
        <v>5917</v>
      </c>
      <c r="X603" t="s">
        <v>2385</v>
      </c>
      <c r="Y603" t="s">
        <v>5918</v>
      </c>
      <c r="Z603" t="s">
        <v>2387</v>
      </c>
      <c r="AA603" t="s">
        <v>5895</v>
      </c>
      <c r="AB603" t="s">
        <v>5875</v>
      </c>
      <c r="AC603" t="s">
        <v>5919</v>
      </c>
      <c r="AD603" t="s">
        <v>5857</v>
      </c>
      <c r="AG603" t="s">
        <v>2432</v>
      </c>
      <c r="AH603" t="s">
        <v>5858</v>
      </c>
      <c r="AI603" t="s">
        <v>5693</v>
      </c>
      <c r="AJ603" t="s">
        <v>5920</v>
      </c>
      <c r="AK603" t="s">
        <v>5921</v>
      </c>
      <c r="AL603" t="s">
        <v>5922</v>
      </c>
      <c r="AM603" t="s">
        <v>5923</v>
      </c>
      <c r="AN603" t="s">
        <v>5924</v>
      </c>
      <c r="AO603" t="s">
        <v>5920</v>
      </c>
      <c r="AP603">
        <v>50</v>
      </c>
      <c r="AQ603">
        <v>50</v>
      </c>
      <c r="AR603">
        <v>50</v>
      </c>
      <c r="AS603" t="s">
        <v>5925</v>
      </c>
      <c r="AT603">
        <v>0</v>
      </c>
      <c r="AU603">
        <v>0</v>
      </c>
      <c r="AV603">
        <v>0</v>
      </c>
    </row>
    <row r="604" spans="1:48">
      <c r="A604" s="1">
        <f>_xlfn.XLOOKUP(J604,数据!E:E,数据!A:A)</f>
        <v>1</v>
      </c>
      <c r="B604" s="1">
        <f>_xlfn.XLOOKUP(J604,数据!E:E,数据!B:B)</f>
        <v>5</v>
      </c>
      <c r="C604" s="1" t="str">
        <f>_xlfn.XLOOKUP(J604,数据!E:E,数据!J:J)</f>
        <v>空派</v>
      </c>
      <c r="D604" s="1" t="str" cm="1">
        <f t="array" ref="D604">IF(OR(C604="红单",C604="空派"),_xlfn.IFS(E604="未开售","新品首批发货",F604&lt;E604,"新品首批发货",F604-E604&lt;=60,"新品期补货空运",F604-E604&gt;60,"老品应急空运"),"海运，不进行分析")</f>
        <v>老品应急空运</v>
      </c>
      <c r="E604" s="2">
        <v>44600</v>
      </c>
      <c r="F604" s="2">
        <f>_xlfn.XLOOKUP(J604,数据!E:E,数据!C:C)</f>
        <v>46050</v>
      </c>
      <c r="G604" s="4">
        <v>141</v>
      </c>
      <c r="H604" s="4">
        <f t="shared" si="29"/>
        <v>7.05</v>
      </c>
      <c r="I604" s="4">
        <f>_xlfn.XLOOKUP(J604,数据!E:E,数据!S:S)*(H604/_xlfn.XLOOKUP(J604,数据!E:E,数据!X:X))</f>
        <v>490.012367491166</v>
      </c>
      <c r="J604" t="s">
        <v>654</v>
      </c>
      <c r="K604" t="s">
        <v>224</v>
      </c>
      <c r="L604" t="s">
        <v>2374</v>
      </c>
      <c r="M604" t="s">
        <v>5914</v>
      </c>
      <c r="N604" t="s">
        <v>2376</v>
      </c>
      <c r="O604" t="s">
        <v>2400</v>
      </c>
      <c r="P604" t="s">
        <v>2378</v>
      </c>
      <c r="Q604" t="s">
        <v>2379</v>
      </c>
      <c r="S604" t="s">
        <v>2511</v>
      </c>
      <c r="T604" s="3" t="s">
        <v>5895</v>
      </c>
      <c r="U604" t="s">
        <v>5915</v>
      </c>
      <c r="V604" t="s">
        <v>5916</v>
      </c>
      <c r="W604" t="s">
        <v>5917</v>
      </c>
      <c r="X604" t="s">
        <v>2385</v>
      </c>
      <c r="Y604" t="s">
        <v>5918</v>
      </c>
      <c r="Z604" t="s">
        <v>2387</v>
      </c>
      <c r="AA604" t="s">
        <v>5895</v>
      </c>
      <c r="AB604" t="s">
        <v>5875</v>
      </c>
      <c r="AC604" t="s">
        <v>5919</v>
      </c>
      <c r="AD604" t="s">
        <v>5857</v>
      </c>
      <c r="AG604" t="s">
        <v>2432</v>
      </c>
      <c r="AH604" t="s">
        <v>5858</v>
      </c>
      <c r="AI604" t="s">
        <v>5693</v>
      </c>
      <c r="AJ604" t="s">
        <v>5926</v>
      </c>
      <c r="AK604" t="s">
        <v>5927</v>
      </c>
      <c r="AL604" t="s">
        <v>5928</v>
      </c>
      <c r="AM604" t="s">
        <v>5923</v>
      </c>
      <c r="AN604" t="s">
        <v>5929</v>
      </c>
      <c r="AO604" t="s">
        <v>5926</v>
      </c>
      <c r="AP604">
        <v>50</v>
      </c>
      <c r="AQ604">
        <v>50</v>
      </c>
      <c r="AR604">
        <v>49</v>
      </c>
      <c r="AS604" t="s">
        <v>5930</v>
      </c>
      <c r="AT604">
        <v>0</v>
      </c>
      <c r="AU604">
        <v>-1</v>
      </c>
      <c r="AV604">
        <v>1</v>
      </c>
    </row>
    <row r="605" spans="1:48">
      <c r="A605" s="1">
        <f>_xlfn.XLOOKUP(J605,数据!E:E,数据!A:A)</f>
        <v>1</v>
      </c>
      <c r="B605" s="1">
        <f>_xlfn.XLOOKUP(J605,数据!E:E,数据!B:B)</f>
        <v>5</v>
      </c>
      <c r="C605" s="1" t="str">
        <f>_xlfn.XLOOKUP(J605,数据!E:E,数据!J:J)</f>
        <v>空派</v>
      </c>
      <c r="D605" s="1" t="str" cm="1">
        <f t="array" ref="D605">IF(OR(C605="红单",C605="空派"),_xlfn.IFS(E605="未开售","新品首批发货",F605&lt;E605,"新品首批发货",F605-E605&lt;=60,"新品期补货空运",F605-E605&gt;60,"老品应急空运"),"海运，不进行分析")</f>
        <v>新品期补货空运</v>
      </c>
      <c r="E605" s="2">
        <v>46035</v>
      </c>
      <c r="F605" s="2">
        <f>_xlfn.XLOOKUP(J605,数据!E:E,数据!C:C)</f>
        <v>46050</v>
      </c>
      <c r="G605" s="4">
        <v>76</v>
      </c>
      <c r="H605" s="4">
        <f t="shared" si="29"/>
        <v>1.52</v>
      </c>
      <c r="I605" s="4">
        <f>_xlfn.XLOOKUP(J605,数据!E:E,数据!S:S)*(H605/_xlfn.XLOOKUP(J605,数据!E:E,数据!X:X))</f>
        <v>129.690322580645</v>
      </c>
      <c r="J605" t="s">
        <v>653</v>
      </c>
      <c r="K605" t="s">
        <v>59</v>
      </c>
      <c r="L605" t="s">
        <v>2374</v>
      </c>
      <c r="M605" t="s">
        <v>5931</v>
      </c>
      <c r="N605" t="s">
        <v>2376</v>
      </c>
      <c r="O605" t="s">
        <v>2400</v>
      </c>
      <c r="P605" t="s">
        <v>2378</v>
      </c>
      <c r="Q605" t="s">
        <v>2379</v>
      </c>
      <c r="S605" t="s">
        <v>2511</v>
      </c>
      <c r="T605" s="3" t="s">
        <v>5895</v>
      </c>
      <c r="U605" t="s">
        <v>5932</v>
      </c>
      <c r="V605" t="s">
        <v>5933</v>
      </c>
      <c r="W605" t="s">
        <v>5934</v>
      </c>
      <c r="X605" t="s">
        <v>2385</v>
      </c>
      <c r="Y605" t="s">
        <v>5935</v>
      </c>
      <c r="Z605" t="s">
        <v>2387</v>
      </c>
      <c r="AA605" t="s">
        <v>5895</v>
      </c>
      <c r="AB605" t="s">
        <v>5272</v>
      </c>
      <c r="AC605" t="s">
        <v>5936</v>
      </c>
      <c r="AD605" t="s">
        <v>5857</v>
      </c>
      <c r="AG605" t="s">
        <v>2432</v>
      </c>
      <c r="AH605" t="s">
        <v>5858</v>
      </c>
      <c r="AI605" t="s">
        <v>5693</v>
      </c>
      <c r="AJ605" t="s">
        <v>5937</v>
      </c>
      <c r="AK605" t="s">
        <v>5938</v>
      </c>
      <c r="AL605" t="s">
        <v>5939</v>
      </c>
      <c r="AM605" t="s">
        <v>2940</v>
      </c>
      <c r="AN605" t="s">
        <v>5940</v>
      </c>
      <c r="AO605" t="s">
        <v>5937</v>
      </c>
      <c r="AP605">
        <v>20</v>
      </c>
      <c r="AQ605">
        <v>20</v>
      </c>
      <c r="AR605">
        <v>20</v>
      </c>
      <c r="AS605" t="s">
        <v>5941</v>
      </c>
      <c r="AT605">
        <v>0</v>
      </c>
      <c r="AU605">
        <v>0</v>
      </c>
      <c r="AV605">
        <v>0</v>
      </c>
    </row>
    <row r="606" spans="1:48">
      <c r="A606" s="1">
        <f>_xlfn.XLOOKUP(J606,数据!E:E,数据!A:A)</f>
        <v>1</v>
      </c>
      <c r="B606" s="1">
        <f>_xlfn.XLOOKUP(J606,数据!E:E,数据!B:B)</f>
        <v>5</v>
      </c>
      <c r="C606" s="1" t="str">
        <f>_xlfn.XLOOKUP(J606,数据!E:E,数据!J:J)</f>
        <v>空派</v>
      </c>
      <c r="D606" s="1" t="str" cm="1">
        <f t="array" ref="D606">IF(OR(C606="红单",C606="空派"),_xlfn.IFS(E606="未开售","新品首批发货",F606&lt;E606,"新品首批发货",F606-E606&lt;=60,"新品期补货空运",F606-E606&gt;60,"老品应急空运"),"海运，不进行分析")</f>
        <v>新品期补货空运</v>
      </c>
      <c r="E606" s="2">
        <v>46038</v>
      </c>
      <c r="F606" s="2">
        <f>_xlfn.XLOOKUP(J606,数据!E:E,数据!C:C)</f>
        <v>46050</v>
      </c>
      <c r="G606" s="4">
        <v>75</v>
      </c>
      <c r="H606" s="4">
        <f t="shared" si="29"/>
        <v>9</v>
      </c>
      <c r="I606" s="4">
        <f>_xlfn.XLOOKUP(J606,数据!E:E,数据!S:S)*(H606/_xlfn.XLOOKUP(J606,数据!E:E,数据!X:X))</f>
        <v>767.903225806452</v>
      </c>
      <c r="J606" t="s">
        <v>653</v>
      </c>
      <c r="K606" t="s">
        <v>59</v>
      </c>
      <c r="L606" t="s">
        <v>2374</v>
      </c>
      <c r="M606" t="s">
        <v>5931</v>
      </c>
      <c r="N606" t="s">
        <v>2376</v>
      </c>
      <c r="O606" t="s">
        <v>2400</v>
      </c>
      <c r="P606" t="s">
        <v>2378</v>
      </c>
      <c r="Q606" t="s">
        <v>2379</v>
      </c>
      <c r="S606" t="s">
        <v>2511</v>
      </c>
      <c r="T606" s="3" t="s">
        <v>5895</v>
      </c>
      <c r="U606" t="s">
        <v>5932</v>
      </c>
      <c r="V606" t="s">
        <v>5933</v>
      </c>
      <c r="W606" t="s">
        <v>5934</v>
      </c>
      <c r="X606" t="s">
        <v>2385</v>
      </c>
      <c r="Y606" t="s">
        <v>5935</v>
      </c>
      <c r="Z606" t="s">
        <v>2387</v>
      </c>
      <c r="AA606" t="s">
        <v>5895</v>
      </c>
      <c r="AB606" t="s">
        <v>5272</v>
      </c>
      <c r="AC606" t="s">
        <v>5936</v>
      </c>
      <c r="AD606" t="s">
        <v>5857</v>
      </c>
      <c r="AG606" t="s">
        <v>2432</v>
      </c>
      <c r="AH606" t="s">
        <v>5858</v>
      </c>
      <c r="AI606" t="s">
        <v>5693</v>
      </c>
      <c r="AJ606" t="s">
        <v>4493</v>
      </c>
      <c r="AK606" t="s">
        <v>4494</v>
      </c>
      <c r="AL606" t="s">
        <v>4495</v>
      </c>
      <c r="AM606" t="s">
        <v>2940</v>
      </c>
      <c r="AN606" t="s">
        <v>4496</v>
      </c>
      <c r="AO606" t="s">
        <v>4493</v>
      </c>
      <c r="AP606">
        <v>120</v>
      </c>
      <c r="AQ606">
        <v>120</v>
      </c>
      <c r="AR606">
        <v>119</v>
      </c>
      <c r="AS606" t="s">
        <v>5942</v>
      </c>
      <c r="AT606">
        <v>0</v>
      </c>
      <c r="AU606">
        <v>-1</v>
      </c>
      <c r="AV606">
        <v>1</v>
      </c>
    </row>
    <row r="607" spans="1:48">
      <c r="A607" s="1">
        <f>_xlfn.XLOOKUP(J607,数据!E:E,数据!A:A)</f>
        <v>1</v>
      </c>
      <c r="B607" s="1">
        <f>_xlfn.XLOOKUP(J607,数据!E:E,数据!B:B)</f>
        <v>5</v>
      </c>
      <c r="C607" s="1" t="str">
        <f>_xlfn.XLOOKUP(J607,数据!E:E,数据!J:J)</f>
        <v>空派</v>
      </c>
      <c r="D607" s="1" t="str" cm="1">
        <f t="array" ref="D607">IF(OR(C607="红单",C607="空派"),_xlfn.IFS(E607="未开售","新品首批发货",F607&lt;E607,"新品首批发货",F607-E607&lt;=60,"新品期补货空运",F607-E607&gt;60,"老品应急空运"),"海运，不进行分析")</f>
        <v>新品期补货空运</v>
      </c>
      <c r="E607" s="2">
        <v>46033</v>
      </c>
      <c r="F607" s="2">
        <f>_xlfn.XLOOKUP(J607,数据!E:E,数据!C:C)</f>
        <v>46050</v>
      </c>
      <c r="G607" s="4">
        <v>73</v>
      </c>
      <c r="H607" s="4">
        <f t="shared" si="29"/>
        <v>2.19</v>
      </c>
      <c r="I607" s="4">
        <f>_xlfn.XLOOKUP(J607,数据!E:E,数据!S:S)*(H607/_xlfn.XLOOKUP(J607,数据!E:E,数据!X:X))</f>
        <v>186.856451612903</v>
      </c>
      <c r="J607" t="s">
        <v>653</v>
      </c>
      <c r="K607" t="s">
        <v>59</v>
      </c>
      <c r="L607" t="s">
        <v>2374</v>
      </c>
      <c r="M607" t="s">
        <v>5931</v>
      </c>
      <c r="N607" t="s">
        <v>2376</v>
      </c>
      <c r="O607" t="s">
        <v>2400</v>
      </c>
      <c r="P607" t="s">
        <v>2378</v>
      </c>
      <c r="Q607" t="s">
        <v>2379</v>
      </c>
      <c r="S607" t="s">
        <v>2511</v>
      </c>
      <c r="T607" s="3" t="s">
        <v>5895</v>
      </c>
      <c r="U607" t="s">
        <v>5932</v>
      </c>
      <c r="V607" t="s">
        <v>5933</v>
      </c>
      <c r="W607" t="s">
        <v>5934</v>
      </c>
      <c r="X607" t="s">
        <v>2385</v>
      </c>
      <c r="Y607" t="s">
        <v>5935</v>
      </c>
      <c r="Z607" t="s">
        <v>2387</v>
      </c>
      <c r="AA607" t="s">
        <v>5895</v>
      </c>
      <c r="AB607" t="s">
        <v>5272</v>
      </c>
      <c r="AC607" t="s">
        <v>5936</v>
      </c>
      <c r="AD607" t="s">
        <v>5857</v>
      </c>
      <c r="AG607" t="s">
        <v>2432</v>
      </c>
      <c r="AH607" t="s">
        <v>5858</v>
      </c>
      <c r="AI607" t="s">
        <v>5693</v>
      </c>
      <c r="AJ607" t="s">
        <v>4615</v>
      </c>
      <c r="AK607" t="s">
        <v>4616</v>
      </c>
      <c r="AL607" t="s">
        <v>4617</v>
      </c>
      <c r="AM607" t="s">
        <v>2940</v>
      </c>
      <c r="AN607" t="s">
        <v>4618</v>
      </c>
      <c r="AO607" t="s">
        <v>4615</v>
      </c>
      <c r="AP607">
        <v>30</v>
      </c>
      <c r="AQ607">
        <v>30</v>
      </c>
      <c r="AR607">
        <v>30</v>
      </c>
      <c r="AS607" t="s">
        <v>5943</v>
      </c>
      <c r="AT607">
        <v>0</v>
      </c>
      <c r="AU607">
        <v>0</v>
      </c>
      <c r="AV607">
        <v>0</v>
      </c>
    </row>
    <row r="608" spans="1:48">
      <c r="A608" s="1">
        <f>_xlfn.XLOOKUP(J608,数据!E:E,数据!A:A)</f>
        <v>1</v>
      </c>
      <c r="B608" s="1">
        <f>_xlfn.XLOOKUP(J608,数据!E:E,数据!B:B)</f>
        <v>5</v>
      </c>
      <c r="C608" s="1" t="str">
        <f>_xlfn.XLOOKUP(J608,数据!E:E,数据!J:J)</f>
        <v>红单</v>
      </c>
      <c r="D608" s="1" t="str" cm="1">
        <f t="array" ref="D608">IF(OR(C608="红单",C608="空派"),_xlfn.IFS(E608="未开售","新品首批发货",F608&lt;E608,"新品首批发货",F608-E608&lt;=60,"新品期补货空运",F608-E608&gt;60,"老品应急空运"),"海运，不进行分析")</f>
        <v>老品应急空运</v>
      </c>
      <c r="E608" s="2">
        <v>45832</v>
      </c>
      <c r="F608" s="2">
        <f>_xlfn.XLOOKUP(J608,数据!E:E,数据!C:C)</f>
        <v>46048</v>
      </c>
      <c r="G608" s="4">
        <v>95.4</v>
      </c>
      <c r="H608" s="4">
        <f>G608*AP608/1000</f>
        <v>2.862</v>
      </c>
      <c r="I608" s="4">
        <f>_xlfn.XLOOKUP(J608,数据!E:E,数据!S:S)*(H608/_xlfn.XLOOKUP(J608,数据!E:E,数据!X:X))</f>
        <v>253.206835284281</v>
      </c>
      <c r="J608" t="s">
        <v>650</v>
      </c>
      <c r="K608" t="s">
        <v>37</v>
      </c>
      <c r="L608" t="s">
        <v>2374</v>
      </c>
      <c r="M608" t="s">
        <v>5944</v>
      </c>
      <c r="N608" t="s">
        <v>2376</v>
      </c>
      <c r="O608" t="s">
        <v>2400</v>
      </c>
      <c r="P608" t="s">
        <v>2378</v>
      </c>
      <c r="Q608" t="s">
        <v>2379</v>
      </c>
      <c r="R608" t="s">
        <v>650</v>
      </c>
      <c r="S608" t="s">
        <v>2511</v>
      </c>
      <c r="T608" s="3" t="s">
        <v>5945</v>
      </c>
      <c r="U608" t="s">
        <v>5946</v>
      </c>
      <c r="V608" t="s">
        <v>5947</v>
      </c>
      <c r="W608" t="s">
        <v>5948</v>
      </c>
      <c r="X608" t="s">
        <v>2385</v>
      </c>
      <c r="Y608" t="s">
        <v>5949</v>
      </c>
      <c r="Z608" t="s">
        <v>2405</v>
      </c>
      <c r="AA608" t="s">
        <v>5945</v>
      </c>
      <c r="AB608" t="s">
        <v>5576</v>
      </c>
      <c r="AC608" t="s">
        <v>5950</v>
      </c>
      <c r="AD608" t="s">
        <v>5951</v>
      </c>
      <c r="AH608" t="s">
        <v>5858</v>
      </c>
      <c r="AI608" t="s">
        <v>5693</v>
      </c>
      <c r="AJ608" t="s">
        <v>5952</v>
      </c>
      <c r="AK608" t="s">
        <v>5953</v>
      </c>
      <c r="AL608" t="s">
        <v>5954</v>
      </c>
      <c r="AM608" t="s">
        <v>3492</v>
      </c>
      <c r="AN608" t="s">
        <v>5955</v>
      </c>
      <c r="AO608" t="s">
        <v>5952</v>
      </c>
      <c r="AP608">
        <v>30</v>
      </c>
      <c r="AQ608">
        <v>30</v>
      </c>
      <c r="AR608">
        <v>30</v>
      </c>
      <c r="AS608" t="s">
        <v>5956</v>
      </c>
      <c r="AT608">
        <v>0</v>
      </c>
      <c r="AU608">
        <v>0</v>
      </c>
      <c r="AV608">
        <v>0</v>
      </c>
    </row>
    <row r="609" spans="1:48">
      <c r="A609" s="1">
        <f>_xlfn.XLOOKUP(J609,数据!E:E,数据!A:A)</f>
        <v>1</v>
      </c>
      <c r="B609" s="1">
        <f>_xlfn.XLOOKUP(J609,数据!E:E,数据!B:B)</f>
        <v>5</v>
      </c>
      <c r="C609" s="1" t="str">
        <f>_xlfn.XLOOKUP(J609,数据!E:E,数据!J:J)</f>
        <v>红单</v>
      </c>
      <c r="D609" s="1" t="str" cm="1">
        <f t="array" ref="D609">IF(OR(C609="红单",C609="空派"),_xlfn.IFS(E609="未开售","新品首批发货",F609&lt;E609,"新品首批发货",F609-E609&lt;=60,"新品期补货空运",F609-E609&gt;60,"老品应急空运"),"海运，不进行分析")</f>
        <v>老品应急空运</v>
      </c>
      <c r="E609" s="2">
        <v>45737</v>
      </c>
      <c r="F609" s="2">
        <f>_xlfn.XLOOKUP(J609,数据!E:E,数据!C:C)</f>
        <v>46048</v>
      </c>
      <c r="G609" s="4">
        <v>95.5</v>
      </c>
      <c r="H609" s="4">
        <f>G609*AP609/1000</f>
        <v>5.73</v>
      </c>
      <c r="I609" s="4">
        <f>_xlfn.XLOOKUP(J609,数据!E:E,数据!S:S)*(H609/_xlfn.XLOOKUP(J609,数据!E:E,数据!X:X))</f>
        <v>506.944502508361</v>
      </c>
      <c r="J609" t="s">
        <v>650</v>
      </c>
      <c r="K609" t="s">
        <v>37</v>
      </c>
      <c r="L609" t="s">
        <v>2374</v>
      </c>
      <c r="M609" t="s">
        <v>5944</v>
      </c>
      <c r="N609" t="s">
        <v>2376</v>
      </c>
      <c r="O609" t="s">
        <v>2400</v>
      </c>
      <c r="P609" t="s">
        <v>2378</v>
      </c>
      <c r="Q609" t="s">
        <v>2379</v>
      </c>
      <c r="R609" t="s">
        <v>650</v>
      </c>
      <c r="S609" t="s">
        <v>2511</v>
      </c>
      <c r="T609" s="3" t="s">
        <v>5945</v>
      </c>
      <c r="U609" t="s">
        <v>5946</v>
      </c>
      <c r="V609" t="s">
        <v>5947</v>
      </c>
      <c r="W609" t="s">
        <v>5948</v>
      </c>
      <c r="X609" t="s">
        <v>2385</v>
      </c>
      <c r="Y609" t="s">
        <v>5949</v>
      </c>
      <c r="Z609" t="s">
        <v>2405</v>
      </c>
      <c r="AA609" t="s">
        <v>5945</v>
      </c>
      <c r="AB609" t="s">
        <v>5576</v>
      </c>
      <c r="AC609" t="s">
        <v>5950</v>
      </c>
      <c r="AD609" t="s">
        <v>5951</v>
      </c>
      <c r="AH609" t="s">
        <v>5858</v>
      </c>
      <c r="AI609" t="s">
        <v>5693</v>
      </c>
      <c r="AJ609" t="s">
        <v>5957</v>
      </c>
      <c r="AK609" t="s">
        <v>5958</v>
      </c>
      <c r="AL609" t="s">
        <v>5959</v>
      </c>
      <c r="AM609" t="s">
        <v>2800</v>
      </c>
      <c r="AN609" t="s">
        <v>5960</v>
      </c>
      <c r="AO609" t="s">
        <v>5957</v>
      </c>
      <c r="AP609">
        <v>60</v>
      </c>
      <c r="AQ609">
        <v>60</v>
      </c>
      <c r="AR609">
        <v>56</v>
      </c>
      <c r="AS609" t="s">
        <v>5961</v>
      </c>
      <c r="AT609">
        <v>0</v>
      </c>
      <c r="AU609">
        <v>-4</v>
      </c>
      <c r="AV609">
        <v>4</v>
      </c>
    </row>
    <row r="610" spans="1:48">
      <c r="A610" s="1">
        <f>_xlfn.XLOOKUP(J610,数据!E:E,数据!A:A)</f>
        <v>1</v>
      </c>
      <c r="B610" s="1">
        <f>_xlfn.XLOOKUP(J610,数据!E:E,数据!B:B)</f>
        <v>5</v>
      </c>
      <c r="C610" s="1" t="str">
        <f>_xlfn.XLOOKUP(J610,数据!E:E,数据!J:J)</f>
        <v>红单</v>
      </c>
      <c r="D610" s="1" t="str" cm="1">
        <f t="array" ref="D610">IF(OR(C610="红单",C610="空派"),_xlfn.IFS(E610="未开售","新品首批发货",F610&lt;E610,"新品首批发货",F610-E610&lt;=60,"新品期补货空运",F610-E610&gt;60,"老品应急空运"),"海运，不进行分析")</f>
        <v>老品应急空运</v>
      </c>
      <c r="E610" s="2">
        <v>45658</v>
      </c>
      <c r="F610" s="2">
        <f>_xlfn.XLOOKUP(J610,数据!E:E,数据!C:C)</f>
        <v>46048</v>
      </c>
      <c r="G610" s="4">
        <v>96</v>
      </c>
      <c r="H610" s="4">
        <f>G610*AP610/1000</f>
        <v>5.76</v>
      </c>
      <c r="I610" s="4">
        <f>_xlfn.XLOOKUP(J610,数据!E:E,数据!S:S)*(H610/_xlfn.XLOOKUP(J610,数据!E:E,数据!X:X))</f>
        <v>509.598662207358</v>
      </c>
      <c r="J610" t="s">
        <v>650</v>
      </c>
      <c r="K610" t="s">
        <v>37</v>
      </c>
      <c r="L610" t="s">
        <v>2374</v>
      </c>
      <c r="M610" t="s">
        <v>5944</v>
      </c>
      <c r="N610" t="s">
        <v>2376</v>
      </c>
      <c r="O610" t="s">
        <v>2400</v>
      </c>
      <c r="P610" t="s">
        <v>2378</v>
      </c>
      <c r="Q610" t="s">
        <v>2379</v>
      </c>
      <c r="R610" t="s">
        <v>650</v>
      </c>
      <c r="S610" t="s">
        <v>2511</v>
      </c>
      <c r="T610" s="3" t="s">
        <v>5945</v>
      </c>
      <c r="U610" t="s">
        <v>5946</v>
      </c>
      <c r="V610" t="s">
        <v>5947</v>
      </c>
      <c r="W610" t="s">
        <v>5948</v>
      </c>
      <c r="X610" t="s">
        <v>2385</v>
      </c>
      <c r="Y610" t="s">
        <v>5949</v>
      </c>
      <c r="Z610" t="s">
        <v>2405</v>
      </c>
      <c r="AA610" t="s">
        <v>5945</v>
      </c>
      <c r="AB610" t="s">
        <v>5576</v>
      </c>
      <c r="AC610" t="s">
        <v>5950</v>
      </c>
      <c r="AD610" t="s">
        <v>5951</v>
      </c>
      <c r="AH610" t="s">
        <v>5858</v>
      </c>
      <c r="AI610" t="s">
        <v>5693</v>
      </c>
      <c r="AJ610" t="s">
        <v>5962</v>
      </c>
      <c r="AK610" t="s">
        <v>5963</v>
      </c>
      <c r="AL610" t="s">
        <v>5964</v>
      </c>
      <c r="AM610" t="s">
        <v>2800</v>
      </c>
      <c r="AN610" t="s">
        <v>5965</v>
      </c>
      <c r="AO610" t="s">
        <v>5962</v>
      </c>
      <c r="AP610">
        <v>60</v>
      </c>
      <c r="AQ610">
        <v>60</v>
      </c>
      <c r="AR610">
        <v>60</v>
      </c>
      <c r="AS610" t="s">
        <v>5966</v>
      </c>
      <c r="AT610">
        <v>0</v>
      </c>
      <c r="AU610">
        <v>0</v>
      </c>
      <c r="AV610">
        <v>0</v>
      </c>
    </row>
    <row r="611" spans="1:48">
      <c r="A611" s="1">
        <f>_xlfn.XLOOKUP(J611,数据!E:E,数据!A:A)</f>
        <v>1</v>
      </c>
      <c r="B611" s="1">
        <f>_xlfn.XLOOKUP(J611,数据!E:E,数据!B:B)</f>
        <v>5</v>
      </c>
      <c r="C611" s="1" t="str">
        <f>_xlfn.XLOOKUP(J611,数据!E:E,数据!J:J)</f>
        <v>红单</v>
      </c>
      <c r="D611" s="1" t="str" cm="1">
        <f t="array" ref="D611">IF(OR(C611="红单",C611="空派"),_xlfn.IFS(E611="未开售","新品首批发货",F611&lt;E611,"新品首批发货",F611-E611&lt;=60,"新品期补货空运",F611-E611&gt;60,"老品应急空运"),"海运，不进行分析")</f>
        <v>新品期补货空运</v>
      </c>
      <c r="E611" s="2">
        <v>46021</v>
      </c>
      <c r="F611" s="2">
        <f>_xlfn.XLOOKUP(J611,数据!E:E,数据!C:C)</f>
        <v>46048</v>
      </c>
      <c r="G611" s="4">
        <v>230.8</v>
      </c>
      <c r="H611" s="4">
        <f>G611*AP611/1000</f>
        <v>16.156</v>
      </c>
      <c r="I611" s="4">
        <f>_xlfn.XLOOKUP(J611,数据!E:E,数据!S:S)*(H611/_xlfn.XLOOKUP(J611,数据!E:E,数据!X:X))</f>
        <v>1196.95</v>
      </c>
      <c r="J611" t="s">
        <v>648</v>
      </c>
      <c r="K611" t="s">
        <v>56</v>
      </c>
      <c r="L611" t="s">
        <v>2374</v>
      </c>
      <c r="M611" t="s">
        <v>5967</v>
      </c>
      <c r="N611" t="s">
        <v>2376</v>
      </c>
      <c r="O611" t="s">
        <v>2377</v>
      </c>
      <c r="P611" t="s">
        <v>2378</v>
      </c>
      <c r="Q611" t="s">
        <v>2379</v>
      </c>
      <c r="R611" t="s">
        <v>648</v>
      </c>
      <c r="S611" t="s">
        <v>2511</v>
      </c>
      <c r="T611" s="3" t="s">
        <v>5968</v>
      </c>
      <c r="U611" t="s">
        <v>5946</v>
      </c>
      <c r="V611" t="s">
        <v>5969</v>
      </c>
      <c r="W611" t="s">
        <v>5970</v>
      </c>
      <c r="X611" t="s">
        <v>2403</v>
      </c>
      <c r="Y611" t="s">
        <v>5971</v>
      </c>
      <c r="Z611" t="s">
        <v>2405</v>
      </c>
      <c r="AA611" t="s">
        <v>5968</v>
      </c>
      <c r="AB611" t="s">
        <v>5259</v>
      </c>
      <c r="AC611" t="s">
        <v>5972</v>
      </c>
      <c r="AD611" t="s">
        <v>5829</v>
      </c>
      <c r="AH611" t="s">
        <v>5858</v>
      </c>
      <c r="AI611" t="s">
        <v>5693</v>
      </c>
      <c r="AJ611" t="s">
        <v>3083</v>
      </c>
      <c r="AK611" t="s">
        <v>3084</v>
      </c>
      <c r="AL611" t="s">
        <v>3085</v>
      </c>
      <c r="AM611" t="s">
        <v>2396</v>
      </c>
      <c r="AN611" t="s">
        <v>3086</v>
      </c>
      <c r="AO611" t="s">
        <v>3083</v>
      </c>
      <c r="AP611">
        <v>70</v>
      </c>
      <c r="AQ611">
        <v>70</v>
      </c>
      <c r="AR611">
        <v>70</v>
      </c>
      <c r="AS611" t="s">
        <v>5973</v>
      </c>
      <c r="AT611">
        <v>0</v>
      </c>
      <c r="AU611">
        <v>0</v>
      </c>
      <c r="AV611">
        <v>0</v>
      </c>
    </row>
    <row r="612" spans="1:48">
      <c r="A612" s="1">
        <f>_xlfn.XLOOKUP(J612,数据!E:E,数据!A:A)</f>
        <v>1</v>
      </c>
      <c r="B612" s="1">
        <f>_xlfn.XLOOKUP(J612,数据!E:E,数据!B:B)</f>
        <v>4</v>
      </c>
      <c r="C612" s="1" t="str">
        <f>_xlfn.XLOOKUP(J612,数据!E:E,数据!J:J)</f>
        <v>红单</v>
      </c>
      <c r="D612" s="1" t="str" cm="1">
        <f t="array" ref="D612">IF(OR(C612="红单",C612="空派"),_xlfn.IFS(E612="未开售","新品首批发货",F612&lt;E612,"新品首批发货",F612-E612&lt;=60,"新品期补货空运",F612-E612&gt;60,"老品应急空运"),"海运，不进行分析")</f>
        <v>新品期补货空运</v>
      </c>
      <c r="E612" s="2">
        <v>46019</v>
      </c>
      <c r="F612" s="2">
        <f>_xlfn.XLOOKUP(J612,数据!E:E,数据!C:C)</f>
        <v>46046</v>
      </c>
      <c r="G612" s="4">
        <v>144.8</v>
      </c>
      <c r="H612" s="4">
        <f t="shared" ref="H612:H669" si="30">G612*AP612/1000</f>
        <v>2.896</v>
      </c>
      <c r="I612" s="4">
        <f>_xlfn.XLOOKUP(J612,数据!E:E,数据!S:S)*(H612/_xlfn.XLOOKUP(J612,数据!E:E,数据!X:X))</f>
        <v>224.174833796688</v>
      </c>
      <c r="J612" t="s">
        <v>477</v>
      </c>
      <c r="K612" t="s">
        <v>78</v>
      </c>
      <c r="L612" t="s">
        <v>2374</v>
      </c>
      <c r="M612" t="s">
        <v>5974</v>
      </c>
      <c r="N612" t="s">
        <v>2376</v>
      </c>
      <c r="O612" t="s">
        <v>2400</v>
      </c>
      <c r="P612" t="s">
        <v>2378</v>
      </c>
      <c r="Q612" t="s">
        <v>2379</v>
      </c>
      <c r="R612" t="s">
        <v>477</v>
      </c>
      <c r="S612" t="s">
        <v>2511</v>
      </c>
      <c r="T612" s="3" t="s">
        <v>5975</v>
      </c>
      <c r="U612" t="s">
        <v>5976</v>
      </c>
      <c r="V612" t="s">
        <v>5977</v>
      </c>
      <c r="W612" t="s">
        <v>5978</v>
      </c>
      <c r="X612" t="s">
        <v>2385</v>
      </c>
      <c r="Y612" t="s">
        <v>5979</v>
      </c>
      <c r="Z612" t="s">
        <v>2387</v>
      </c>
      <c r="AA612" t="s">
        <v>5975</v>
      </c>
      <c r="AB612" t="s">
        <v>5900</v>
      </c>
      <c r="AC612" t="s">
        <v>5980</v>
      </c>
      <c r="AD612" t="s">
        <v>5981</v>
      </c>
      <c r="AH612" t="s">
        <v>5982</v>
      </c>
      <c r="AI612" t="s">
        <v>5858</v>
      </c>
      <c r="AJ612" t="s">
        <v>5983</v>
      </c>
      <c r="AK612" t="s">
        <v>5984</v>
      </c>
      <c r="AL612" t="s">
        <v>5985</v>
      </c>
      <c r="AM612" t="s">
        <v>5986</v>
      </c>
      <c r="AN612" t="s">
        <v>5987</v>
      </c>
      <c r="AO612" t="s">
        <v>5983</v>
      </c>
      <c r="AP612">
        <v>20</v>
      </c>
      <c r="AQ612">
        <v>20</v>
      </c>
      <c r="AR612">
        <v>20</v>
      </c>
      <c r="AS612" t="s">
        <v>5988</v>
      </c>
      <c r="AT612">
        <v>0</v>
      </c>
      <c r="AU612">
        <v>0</v>
      </c>
      <c r="AV612">
        <v>0</v>
      </c>
    </row>
    <row r="613" spans="1:48">
      <c r="A613" s="1">
        <f>_xlfn.XLOOKUP(J613,数据!E:E,数据!A:A)</f>
        <v>1</v>
      </c>
      <c r="B613" s="1">
        <f>_xlfn.XLOOKUP(J613,数据!E:E,数据!B:B)</f>
        <v>4</v>
      </c>
      <c r="C613" s="1" t="str">
        <f>_xlfn.XLOOKUP(J613,数据!E:E,数据!J:J)</f>
        <v>红单</v>
      </c>
      <c r="D613" s="1" t="str" cm="1">
        <f t="array" ref="D613">IF(OR(C613="红单",C613="空派"),_xlfn.IFS(E613="未开售","新品首批发货",F613&lt;E613,"新品首批发货",F613-E613&lt;=60,"新品期补货空运",F613-E613&gt;60,"老品应急空运"),"海运，不进行分析")</f>
        <v>新品期补货空运</v>
      </c>
      <c r="E613" s="2">
        <v>46015</v>
      </c>
      <c r="F613" s="2">
        <f>_xlfn.XLOOKUP(J613,数据!E:E,数据!C:C)</f>
        <v>46046</v>
      </c>
      <c r="G613" s="4">
        <v>105</v>
      </c>
      <c r="H613" s="4">
        <f t="shared" si="30"/>
        <v>13.65</v>
      </c>
      <c r="I613" s="4">
        <f>_xlfn.XLOOKUP(J613,数据!E:E,数据!S:S)*(H613/_xlfn.XLOOKUP(J613,数据!E:E,数据!X:X))</f>
        <v>1056.62516620331</v>
      </c>
      <c r="J613" t="s">
        <v>477</v>
      </c>
      <c r="K613" t="s">
        <v>78</v>
      </c>
      <c r="L613" t="s">
        <v>2374</v>
      </c>
      <c r="M613" t="s">
        <v>5974</v>
      </c>
      <c r="N613" t="s">
        <v>2376</v>
      </c>
      <c r="O613" t="s">
        <v>2400</v>
      </c>
      <c r="P613" t="s">
        <v>2378</v>
      </c>
      <c r="Q613" t="s">
        <v>2379</v>
      </c>
      <c r="R613" t="s">
        <v>477</v>
      </c>
      <c r="S613" t="s">
        <v>2511</v>
      </c>
      <c r="T613" s="3" t="s">
        <v>5975</v>
      </c>
      <c r="U613" t="s">
        <v>5976</v>
      </c>
      <c r="V613" t="s">
        <v>5977</v>
      </c>
      <c r="W613" t="s">
        <v>5978</v>
      </c>
      <c r="X613" t="s">
        <v>2385</v>
      </c>
      <c r="Y613" t="s">
        <v>5979</v>
      </c>
      <c r="Z613" t="s">
        <v>2387</v>
      </c>
      <c r="AA613" t="s">
        <v>5975</v>
      </c>
      <c r="AB613" t="s">
        <v>5900</v>
      </c>
      <c r="AC613" t="s">
        <v>5980</v>
      </c>
      <c r="AD613" t="s">
        <v>5981</v>
      </c>
      <c r="AH613" t="s">
        <v>5982</v>
      </c>
      <c r="AI613" t="s">
        <v>5858</v>
      </c>
      <c r="AJ613" t="s">
        <v>3135</v>
      </c>
      <c r="AK613" t="s">
        <v>3136</v>
      </c>
      <c r="AL613" t="s">
        <v>3137</v>
      </c>
      <c r="AM613" t="s">
        <v>3138</v>
      </c>
      <c r="AN613" t="s">
        <v>3139</v>
      </c>
      <c r="AO613" t="s">
        <v>3135</v>
      </c>
      <c r="AP613">
        <v>130</v>
      </c>
      <c r="AQ613">
        <v>130</v>
      </c>
      <c r="AR613">
        <v>129</v>
      </c>
      <c r="AS613" t="s">
        <v>5989</v>
      </c>
      <c r="AT613">
        <v>0</v>
      </c>
      <c r="AU613">
        <v>-1</v>
      </c>
      <c r="AV613">
        <v>1</v>
      </c>
    </row>
    <row r="614" spans="1:48">
      <c r="A614" s="1">
        <f>_xlfn.XLOOKUP(J614,数据!E:E,数据!A:A)</f>
        <v>1</v>
      </c>
      <c r="B614" s="1">
        <f>_xlfn.XLOOKUP(J614,数据!E:E,数据!B:B)</f>
        <v>4</v>
      </c>
      <c r="C614" s="1" t="str">
        <f>_xlfn.XLOOKUP(J614,数据!E:E,数据!J:J)</f>
        <v>红单</v>
      </c>
      <c r="D614" s="1" t="str" cm="1">
        <f t="array" ref="D614">IF(OR(C614="红单",C614="空派"),_xlfn.IFS(E614="未开售","新品首批发货",F614&lt;E614,"新品首批发货",F614-E614&lt;=60,"新品期补货空运",F614-E614&gt;60,"老品应急空运"),"海运，不进行分析")</f>
        <v>老品应急空运</v>
      </c>
      <c r="E614" s="2">
        <v>45415</v>
      </c>
      <c r="F614" s="2">
        <f>_xlfn.XLOOKUP(J614,数据!E:E,数据!C:C)</f>
        <v>46045</v>
      </c>
      <c r="G614" s="4">
        <v>400</v>
      </c>
      <c r="H614" s="4">
        <f t="shared" si="30"/>
        <v>18</v>
      </c>
      <c r="I614" s="4">
        <f>_xlfn.XLOOKUP(J614,数据!E:E,数据!S:S)*(H614/_xlfn.XLOOKUP(J614,数据!E:E,数据!X:X))</f>
        <v>1234.78166666667</v>
      </c>
      <c r="J614" t="s">
        <v>474</v>
      </c>
      <c r="K614" t="s">
        <v>59</v>
      </c>
      <c r="L614" t="s">
        <v>2374</v>
      </c>
      <c r="M614" t="s">
        <v>5990</v>
      </c>
      <c r="N614" t="s">
        <v>2376</v>
      </c>
      <c r="O614" t="s">
        <v>2377</v>
      </c>
      <c r="P614" t="s">
        <v>2378</v>
      </c>
      <c r="Q614" t="s">
        <v>2379</v>
      </c>
      <c r="R614" t="s">
        <v>5991</v>
      </c>
      <c r="S614" t="s">
        <v>2511</v>
      </c>
      <c r="T614" s="3" t="s">
        <v>5975</v>
      </c>
      <c r="U614" t="s">
        <v>5992</v>
      </c>
      <c r="V614" t="s">
        <v>5993</v>
      </c>
      <c r="W614" t="s">
        <v>5994</v>
      </c>
      <c r="X614" t="s">
        <v>2403</v>
      </c>
      <c r="Y614" t="s">
        <v>5995</v>
      </c>
      <c r="Z614" t="s">
        <v>2387</v>
      </c>
      <c r="AA614" t="s">
        <v>5975</v>
      </c>
      <c r="AB614" t="s">
        <v>5827</v>
      </c>
      <c r="AC614" t="s">
        <v>5996</v>
      </c>
      <c r="AD614" t="s">
        <v>5997</v>
      </c>
      <c r="AH614" t="s">
        <v>5982</v>
      </c>
      <c r="AI614" t="s">
        <v>5858</v>
      </c>
      <c r="AJ614" t="s">
        <v>5998</v>
      </c>
      <c r="AK614" t="s">
        <v>5999</v>
      </c>
      <c r="AL614" t="s">
        <v>6000</v>
      </c>
      <c r="AM614" t="s">
        <v>6001</v>
      </c>
      <c r="AN614" t="s">
        <v>6002</v>
      </c>
      <c r="AO614" t="s">
        <v>5998</v>
      </c>
      <c r="AP614">
        <v>45</v>
      </c>
      <c r="AQ614">
        <v>45</v>
      </c>
      <c r="AR614">
        <v>45</v>
      </c>
      <c r="AS614" t="s">
        <v>6003</v>
      </c>
      <c r="AT614">
        <v>0</v>
      </c>
      <c r="AU614">
        <v>0</v>
      </c>
      <c r="AV614">
        <v>0</v>
      </c>
    </row>
    <row r="615" spans="1:48">
      <c r="A615" s="1">
        <f>_xlfn.XLOOKUP(J615,数据!E:E,数据!A:A)</f>
        <v>1</v>
      </c>
      <c r="B615" s="1">
        <f>_xlfn.XLOOKUP(J615,数据!E:E,数据!B:B)</f>
        <v>4</v>
      </c>
      <c r="C615" s="1" t="str">
        <f>_xlfn.XLOOKUP(J615,数据!E:E,数据!J:J)</f>
        <v>红单</v>
      </c>
      <c r="D615" s="1" t="str" cm="1">
        <f t="array" ref="D615">IF(OR(C615="红单",C615="空派"),_xlfn.IFS(E615="未开售","新品首批发货",F615&lt;E615,"新品首批发货",F615-E615&lt;=60,"新品期补货空运",F615-E615&gt;60,"老品应急空运"),"海运，不进行分析")</f>
        <v>新品期补货空运</v>
      </c>
      <c r="E615" s="2">
        <v>46023</v>
      </c>
      <c r="F615" s="2">
        <f>_xlfn.XLOOKUP(J615,数据!E:E,数据!C:C)</f>
        <v>46045</v>
      </c>
      <c r="G615" s="4">
        <v>237</v>
      </c>
      <c r="H615" s="4">
        <f t="shared" si="30"/>
        <v>7.11</v>
      </c>
      <c r="I615" s="4">
        <f>_xlfn.XLOOKUP(J615,数据!E:E,数据!S:S)*(H615/_xlfn.XLOOKUP(J615,数据!E:E,数据!X:X))</f>
        <v>574.996666666667</v>
      </c>
      <c r="J615" t="s">
        <v>472</v>
      </c>
      <c r="K615" t="s">
        <v>56</v>
      </c>
      <c r="L615" t="s">
        <v>2374</v>
      </c>
      <c r="M615" t="s">
        <v>6004</v>
      </c>
      <c r="N615" t="s">
        <v>2376</v>
      </c>
      <c r="O615" t="s">
        <v>2377</v>
      </c>
      <c r="P615" t="s">
        <v>2378</v>
      </c>
      <c r="Q615" t="s">
        <v>2379</v>
      </c>
      <c r="R615" t="s">
        <v>6005</v>
      </c>
      <c r="S615" t="s">
        <v>2511</v>
      </c>
      <c r="T615" s="3" t="s">
        <v>5975</v>
      </c>
      <c r="U615" t="s">
        <v>6006</v>
      </c>
      <c r="V615" t="s">
        <v>6007</v>
      </c>
      <c r="W615" t="s">
        <v>6008</v>
      </c>
      <c r="X615" t="s">
        <v>2403</v>
      </c>
      <c r="Y615" t="s">
        <v>6009</v>
      </c>
      <c r="Z615" t="s">
        <v>2387</v>
      </c>
      <c r="AA615" t="s">
        <v>5975</v>
      </c>
      <c r="AB615" t="s">
        <v>6010</v>
      </c>
      <c r="AC615" t="s">
        <v>6011</v>
      </c>
      <c r="AD615" t="s">
        <v>5997</v>
      </c>
      <c r="AH615" t="s">
        <v>5982</v>
      </c>
      <c r="AI615" t="s">
        <v>5858</v>
      </c>
      <c r="AJ615" t="s">
        <v>5322</v>
      </c>
      <c r="AK615" t="s">
        <v>5323</v>
      </c>
      <c r="AL615" t="s">
        <v>5324</v>
      </c>
      <c r="AM615" t="s">
        <v>2396</v>
      </c>
      <c r="AN615" t="s">
        <v>5325</v>
      </c>
      <c r="AO615" t="s">
        <v>5322</v>
      </c>
      <c r="AP615">
        <v>30</v>
      </c>
      <c r="AQ615">
        <v>30</v>
      </c>
      <c r="AR615">
        <v>30</v>
      </c>
      <c r="AS615" t="s">
        <v>6012</v>
      </c>
      <c r="AT615">
        <v>0</v>
      </c>
      <c r="AU615">
        <v>0</v>
      </c>
      <c r="AV615">
        <v>0</v>
      </c>
    </row>
    <row r="616" spans="1:48">
      <c r="A616" s="1">
        <f>_xlfn.XLOOKUP(J616,数据!E:E,数据!A:A)</f>
        <v>1</v>
      </c>
      <c r="B616" s="1">
        <f>_xlfn.XLOOKUP(J616,数据!E:E,数据!B:B)</f>
        <v>4</v>
      </c>
      <c r="C616" s="1" t="str">
        <f>_xlfn.XLOOKUP(J616,数据!E:E,数据!J:J)</f>
        <v>空派</v>
      </c>
      <c r="D616" s="1" t="str" cm="1">
        <f t="array" ref="D616">IF(OR(C616="红单",C616="空派"),_xlfn.IFS(E616="未开售","新品首批发货",F616&lt;E616,"新品首批发货",F616-E616&lt;=60,"新品期补货空运",F616-E616&gt;60,"老品应急空运"),"海运，不进行分析")</f>
        <v>新品期补货空运</v>
      </c>
      <c r="E616" s="2">
        <v>46017</v>
      </c>
      <c r="F616" s="2">
        <f>_xlfn.XLOOKUP(J616,数据!E:E,数据!C:C)</f>
        <v>46046</v>
      </c>
      <c r="G616" s="4">
        <v>115</v>
      </c>
      <c r="H616" s="4">
        <f t="shared" si="30"/>
        <v>5.75</v>
      </c>
      <c r="I616" s="4">
        <f>_xlfn.XLOOKUP(J616,数据!E:E,数据!S:S)*(H616/_xlfn.XLOOKUP(J616,数据!E:E,数据!X:X))</f>
        <v>313.313432835821</v>
      </c>
      <c r="J616" t="s">
        <v>480</v>
      </c>
      <c r="K616" t="s">
        <v>56</v>
      </c>
      <c r="L616" t="s">
        <v>2374</v>
      </c>
      <c r="M616" t="s">
        <v>6013</v>
      </c>
      <c r="N616" t="s">
        <v>2376</v>
      </c>
      <c r="O616" t="s">
        <v>2400</v>
      </c>
      <c r="P616" t="s">
        <v>2378</v>
      </c>
      <c r="Q616" t="s">
        <v>2379</v>
      </c>
      <c r="S616" t="s">
        <v>2511</v>
      </c>
      <c r="T616" s="3" t="s">
        <v>6014</v>
      </c>
      <c r="U616" t="s">
        <v>6015</v>
      </c>
      <c r="V616" t="s">
        <v>6016</v>
      </c>
      <c r="W616" t="s">
        <v>6017</v>
      </c>
      <c r="X616" t="s">
        <v>2403</v>
      </c>
      <c r="Y616" t="s">
        <v>6018</v>
      </c>
      <c r="Z616" t="s">
        <v>2387</v>
      </c>
      <c r="AA616" t="s">
        <v>6014</v>
      </c>
      <c r="AB616" t="s">
        <v>6019</v>
      </c>
      <c r="AC616" t="s">
        <v>6020</v>
      </c>
      <c r="AD616" t="s">
        <v>5226</v>
      </c>
      <c r="AG616" t="s">
        <v>2432</v>
      </c>
      <c r="AH616" t="s">
        <v>5982</v>
      </c>
      <c r="AI616" t="s">
        <v>5858</v>
      </c>
      <c r="AJ616" t="s">
        <v>6021</v>
      </c>
      <c r="AK616" t="s">
        <v>6022</v>
      </c>
      <c r="AL616" t="s">
        <v>6023</v>
      </c>
      <c r="AM616" t="s">
        <v>3703</v>
      </c>
      <c r="AN616" t="s">
        <v>6024</v>
      </c>
      <c r="AO616" t="s">
        <v>6021</v>
      </c>
      <c r="AP616">
        <v>50</v>
      </c>
      <c r="AQ616">
        <v>50</v>
      </c>
      <c r="AR616">
        <v>50</v>
      </c>
      <c r="AS616" t="s">
        <v>6025</v>
      </c>
      <c r="AT616">
        <v>0</v>
      </c>
      <c r="AU616">
        <v>0</v>
      </c>
      <c r="AV616">
        <v>0</v>
      </c>
    </row>
    <row r="617" spans="1:48">
      <c r="A617" s="1">
        <f>_xlfn.XLOOKUP(J617,数据!E:E,数据!A:A)</f>
        <v>1</v>
      </c>
      <c r="B617" s="1">
        <f>_xlfn.XLOOKUP(J617,数据!E:E,数据!B:B)</f>
        <v>4</v>
      </c>
      <c r="C617" s="1" t="str">
        <f>_xlfn.XLOOKUP(J617,数据!E:E,数据!J:J)</f>
        <v>空派</v>
      </c>
      <c r="D617" s="1" t="str" cm="1">
        <f t="array" ref="D617">IF(OR(C617="红单",C617="空派"),_xlfn.IFS(E617="未开售","新品首批发货",F617&lt;E617,"新品首批发货",F617-E617&lt;=60,"新品期补货空运",F617-E617&gt;60,"老品应急空运"),"海运，不进行分析")</f>
        <v>新品期补货空运</v>
      </c>
      <c r="E617" s="2">
        <v>46016</v>
      </c>
      <c r="F617" s="2">
        <f>_xlfn.XLOOKUP(J617,数据!E:E,数据!C:C)</f>
        <v>46046</v>
      </c>
      <c r="G617" s="4">
        <v>161</v>
      </c>
      <c r="H617" s="4">
        <f t="shared" si="30"/>
        <v>9.66</v>
      </c>
      <c r="I617" s="4">
        <f>_xlfn.XLOOKUP(J617,数据!E:E,数据!S:S)*(H617/_xlfn.XLOOKUP(J617,数据!E:E,数据!X:X))</f>
        <v>526.366567164179</v>
      </c>
      <c r="J617" t="s">
        <v>480</v>
      </c>
      <c r="K617" t="s">
        <v>56</v>
      </c>
      <c r="L617" t="s">
        <v>2374</v>
      </c>
      <c r="M617" t="s">
        <v>6013</v>
      </c>
      <c r="N617" t="s">
        <v>2376</v>
      </c>
      <c r="O617" t="s">
        <v>2400</v>
      </c>
      <c r="P617" t="s">
        <v>2378</v>
      </c>
      <c r="Q617" t="s">
        <v>2379</v>
      </c>
      <c r="S617" t="s">
        <v>2511</v>
      </c>
      <c r="T617" s="3" t="s">
        <v>6014</v>
      </c>
      <c r="U617" t="s">
        <v>6015</v>
      </c>
      <c r="V617" t="s">
        <v>6016</v>
      </c>
      <c r="W617" t="s">
        <v>6017</v>
      </c>
      <c r="X617" t="s">
        <v>2403</v>
      </c>
      <c r="Y617" t="s">
        <v>6018</v>
      </c>
      <c r="Z617" t="s">
        <v>2387</v>
      </c>
      <c r="AA617" t="s">
        <v>6014</v>
      </c>
      <c r="AB617" t="s">
        <v>6019</v>
      </c>
      <c r="AC617" t="s">
        <v>6020</v>
      </c>
      <c r="AD617" t="s">
        <v>5226</v>
      </c>
      <c r="AG617" t="s">
        <v>2432</v>
      </c>
      <c r="AH617" t="s">
        <v>5982</v>
      </c>
      <c r="AI617" t="s">
        <v>5858</v>
      </c>
      <c r="AJ617" t="s">
        <v>6026</v>
      </c>
      <c r="AK617" t="s">
        <v>6027</v>
      </c>
      <c r="AL617" t="s">
        <v>6028</v>
      </c>
      <c r="AM617" t="s">
        <v>6029</v>
      </c>
      <c r="AN617" t="s">
        <v>6030</v>
      </c>
      <c r="AO617" t="s">
        <v>6026</v>
      </c>
      <c r="AP617">
        <v>60</v>
      </c>
      <c r="AQ617">
        <v>60</v>
      </c>
      <c r="AR617">
        <v>60</v>
      </c>
      <c r="AS617" t="s">
        <v>6031</v>
      </c>
      <c r="AT617">
        <v>0</v>
      </c>
      <c r="AU617">
        <v>0</v>
      </c>
      <c r="AV617">
        <v>0</v>
      </c>
    </row>
    <row r="618" spans="1:48">
      <c r="A618" s="1">
        <f>_xlfn.XLOOKUP(J618,数据!E:E,数据!A:A)</f>
        <v>1</v>
      </c>
      <c r="B618" s="1">
        <f>_xlfn.XLOOKUP(J618,数据!E:E,数据!B:B)</f>
        <v>4</v>
      </c>
      <c r="C618" s="1" t="str">
        <f>_xlfn.XLOOKUP(J618,数据!E:E,数据!J:J)</f>
        <v>空派</v>
      </c>
      <c r="D618" s="1" t="str" cm="1">
        <f t="array" ref="D618">IF(OR(C618="红单",C618="空派"),_xlfn.IFS(E618="未开售","新品首批发货",F618&lt;E618,"新品首批发货",F618-E618&lt;=60,"新品期补货空运",F618-E618&gt;60,"老品应急空运"),"海运，不进行分析")</f>
        <v>新品期补货空运</v>
      </c>
      <c r="E618" s="2">
        <v>46028</v>
      </c>
      <c r="F618" s="2">
        <f>_xlfn.XLOOKUP(J618,数据!E:E,数据!C:C)</f>
        <v>46046</v>
      </c>
      <c r="G618" s="4">
        <v>188</v>
      </c>
      <c r="H618" s="4">
        <f t="shared" si="30"/>
        <v>12.22</v>
      </c>
      <c r="I618" s="4">
        <f>_xlfn.XLOOKUP(J618,数据!E:E,数据!S:S)*(H618/_xlfn.XLOOKUP(J618,数据!E:E,数据!X:X))</f>
        <v>678.28</v>
      </c>
      <c r="J618" t="s">
        <v>482</v>
      </c>
      <c r="K618" t="s">
        <v>54</v>
      </c>
      <c r="L618" t="s">
        <v>2374</v>
      </c>
      <c r="M618" t="s">
        <v>6032</v>
      </c>
      <c r="N618" t="s">
        <v>2376</v>
      </c>
      <c r="O618" t="s">
        <v>2377</v>
      </c>
      <c r="P618" t="s">
        <v>2378</v>
      </c>
      <c r="Q618" t="s">
        <v>2379</v>
      </c>
      <c r="S618" t="s">
        <v>2511</v>
      </c>
      <c r="T618" s="3" t="s">
        <v>6014</v>
      </c>
      <c r="U618" t="s">
        <v>6033</v>
      </c>
      <c r="V618" t="s">
        <v>6034</v>
      </c>
      <c r="W618" t="s">
        <v>6035</v>
      </c>
      <c r="X618" t="s">
        <v>2403</v>
      </c>
      <c r="Y618" t="s">
        <v>6036</v>
      </c>
      <c r="Z618" t="s">
        <v>2387</v>
      </c>
      <c r="AA618" t="s">
        <v>6014</v>
      </c>
      <c r="AB618" t="s">
        <v>6037</v>
      </c>
      <c r="AC618" t="s">
        <v>6038</v>
      </c>
      <c r="AD618" t="s">
        <v>5226</v>
      </c>
      <c r="AG618" t="s">
        <v>2432</v>
      </c>
      <c r="AH618" t="s">
        <v>5982</v>
      </c>
      <c r="AI618" t="s">
        <v>5858</v>
      </c>
      <c r="AJ618" t="s">
        <v>6039</v>
      </c>
      <c r="AK618" t="s">
        <v>6040</v>
      </c>
      <c r="AL618" t="s">
        <v>6041</v>
      </c>
      <c r="AM618" t="s">
        <v>6041</v>
      </c>
      <c r="AN618" t="s">
        <v>6042</v>
      </c>
      <c r="AO618" t="s">
        <v>6039</v>
      </c>
      <c r="AP618">
        <v>65</v>
      </c>
      <c r="AQ618">
        <v>65</v>
      </c>
      <c r="AR618">
        <v>65</v>
      </c>
      <c r="AS618" t="s">
        <v>6043</v>
      </c>
      <c r="AT618">
        <v>0</v>
      </c>
      <c r="AU618">
        <v>0</v>
      </c>
      <c r="AV618">
        <v>0</v>
      </c>
    </row>
    <row r="619" spans="1:48">
      <c r="A619" s="1">
        <f>_xlfn.XLOOKUP(J619,数据!E:E,数据!A:A)</f>
        <v>1</v>
      </c>
      <c r="B619" s="1">
        <f>_xlfn.XLOOKUP(J619,数据!E:E,数据!B:B)</f>
        <v>4</v>
      </c>
      <c r="C619" s="1" t="str">
        <f>_xlfn.XLOOKUP(J619,数据!E:E,数据!J:J)</f>
        <v>空派</v>
      </c>
      <c r="D619" s="1" t="str" cm="1">
        <f t="array" ref="D619">IF(OR(C619="红单",C619="空派"),_xlfn.IFS(E619="未开售","新品首批发货",F619&lt;E619,"新品首批发货",F619-E619&lt;=60,"新品期补货空运",F619-E619&gt;60,"老品应急空运"),"海运，不进行分析")</f>
        <v>新品期补货空运</v>
      </c>
      <c r="E619" s="2">
        <v>46028</v>
      </c>
      <c r="F619" s="2">
        <f>_xlfn.XLOOKUP(J619,数据!E:E,数据!C:C)</f>
        <v>46046</v>
      </c>
      <c r="G619" s="4">
        <v>162</v>
      </c>
      <c r="H619" s="4">
        <f t="shared" si="30"/>
        <v>2.43</v>
      </c>
      <c r="I619" s="4">
        <f>_xlfn.XLOOKUP(J619,数据!E:E,数据!S:S)*(H619/_xlfn.XLOOKUP(J619,数据!E:E,数据!X:X))</f>
        <v>128.211084695394</v>
      </c>
      <c r="J619" t="s">
        <v>483</v>
      </c>
      <c r="K619" t="s">
        <v>56</v>
      </c>
      <c r="L619" t="s">
        <v>2374</v>
      </c>
      <c r="M619" t="s">
        <v>6044</v>
      </c>
      <c r="N619" t="s">
        <v>2376</v>
      </c>
      <c r="O619" t="s">
        <v>2400</v>
      </c>
      <c r="P619" t="s">
        <v>2378</v>
      </c>
      <c r="Q619" t="s">
        <v>2379</v>
      </c>
      <c r="S619" t="s">
        <v>2511</v>
      </c>
      <c r="T619" s="3" t="s">
        <v>6014</v>
      </c>
      <c r="U619" t="s">
        <v>6015</v>
      </c>
      <c r="V619" t="s">
        <v>6016</v>
      </c>
      <c r="W619" t="s">
        <v>6045</v>
      </c>
      <c r="X619" t="s">
        <v>2403</v>
      </c>
      <c r="Y619" t="s">
        <v>6046</v>
      </c>
      <c r="Z619" t="s">
        <v>2387</v>
      </c>
      <c r="AA619" t="s">
        <v>6014</v>
      </c>
      <c r="AB619" t="s">
        <v>6019</v>
      </c>
      <c r="AC619" t="s">
        <v>6047</v>
      </c>
      <c r="AD619" t="s">
        <v>5226</v>
      </c>
      <c r="AG619" t="s">
        <v>2432</v>
      </c>
      <c r="AH619" t="s">
        <v>5982</v>
      </c>
      <c r="AI619" t="s">
        <v>5858</v>
      </c>
      <c r="AJ619" t="s">
        <v>6048</v>
      </c>
      <c r="AK619" t="s">
        <v>6049</v>
      </c>
      <c r="AL619" t="s">
        <v>6050</v>
      </c>
      <c r="AM619" t="s">
        <v>3091</v>
      </c>
      <c r="AN619" t="s">
        <v>6051</v>
      </c>
      <c r="AO619" t="s">
        <v>6048</v>
      </c>
      <c r="AP619">
        <v>15</v>
      </c>
      <c r="AQ619">
        <v>15</v>
      </c>
      <c r="AR619">
        <v>15</v>
      </c>
      <c r="AS619" t="s">
        <v>6052</v>
      </c>
      <c r="AT619">
        <v>0</v>
      </c>
      <c r="AU619">
        <v>0</v>
      </c>
      <c r="AV619">
        <v>0</v>
      </c>
    </row>
    <row r="620" spans="1:48">
      <c r="A620" s="1">
        <f>_xlfn.XLOOKUP(J620,数据!E:E,数据!A:A)</f>
        <v>1</v>
      </c>
      <c r="B620" s="1">
        <f>_xlfn.XLOOKUP(J620,数据!E:E,数据!B:B)</f>
        <v>4</v>
      </c>
      <c r="C620" s="1" t="str">
        <f>_xlfn.XLOOKUP(J620,数据!E:E,数据!J:J)</f>
        <v>空派</v>
      </c>
      <c r="D620" s="1" t="str" cm="1">
        <f t="array" ref="D620">IF(OR(C620="红单",C620="空派"),_xlfn.IFS(E620="未开售","新品首批发货",F620&lt;E620,"新品首批发货",F620-E620&lt;=60,"新品期补货空运",F620-E620&gt;60,"老品应急空运"),"海运，不进行分析")</f>
        <v>新品期补货空运</v>
      </c>
      <c r="E620" s="2">
        <v>46016</v>
      </c>
      <c r="F620" s="2">
        <f>_xlfn.XLOOKUP(J620,数据!E:E,数据!C:C)</f>
        <v>46046</v>
      </c>
      <c r="G620" s="4">
        <v>161</v>
      </c>
      <c r="H620" s="4">
        <f t="shared" si="30"/>
        <v>13.685</v>
      </c>
      <c r="I620" s="4">
        <f>_xlfn.XLOOKUP(J620,数据!E:E,数据!S:S)*(H620/_xlfn.XLOOKUP(J620,数据!E:E,数据!X:X))</f>
        <v>722.044730064388</v>
      </c>
      <c r="J620" t="s">
        <v>483</v>
      </c>
      <c r="K620" t="s">
        <v>56</v>
      </c>
      <c r="L620" t="s">
        <v>2374</v>
      </c>
      <c r="M620" t="s">
        <v>6044</v>
      </c>
      <c r="N620" t="s">
        <v>2376</v>
      </c>
      <c r="O620" t="s">
        <v>2400</v>
      </c>
      <c r="P620" t="s">
        <v>2378</v>
      </c>
      <c r="Q620" t="s">
        <v>2379</v>
      </c>
      <c r="S620" t="s">
        <v>2511</v>
      </c>
      <c r="T620" s="3" t="s">
        <v>6014</v>
      </c>
      <c r="U620" t="s">
        <v>6015</v>
      </c>
      <c r="V620" t="s">
        <v>6016</v>
      </c>
      <c r="W620" t="s">
        <v>6045</v>
      </c>
      <c r="X620" t="s">
        <v>2403</v>
      </c>
      <c r="Y620" t="s">
        <v>6046</v>
      </c>
      <c r="Z620" t="s">
        <v>2387</v>
      </c>
      <c r="AA620" t="s">
        <v>6014</v>
      </c>
      <c r="AB620" t="s">
        <v>6019</v>
      </c>
      <c r="AC620" t="s">
        <v>6047</v>
      </c>
      <c r="AD620" t="s">
        <v>5226</v>
      </c>
      <c r="AG620" t="s">
        <v>2432</v>
      </c>
      <c r="AH620" t="s">
        <v>5982</v>
      </c>
      <c r="AI620" t="s">
        <v>5858</v>
      </c>
      <c r="AJ620" t="s">
        <v>6026</v>
      </c>
      <c r="AK620" t="s">
        <v>6027</v>
      </c>
      <c r="AL620" t="s">
        <v>6028</v>
      </c>
      <c r="AM620" t="s">
        <v>6029</v>
      </c>
      <c r="AN620" t="s">
        <v>6030</v>
      </c>
      <c r="AO620" t="s">
        <v>6026</v>
      </c>
      <c r="AP620">
        <v>85</v>
      </c>
      <c r="AQ620">
        <v>85</v>
      </c>
      <c r="AR620">
        <v>85</v>
      </c>
      <c r="AS620" t="s">
        <v>6053</v>
      </c>
      <c r="AT620">
        <v>0</v>
      </c>
      <c r="AU620">
        <v>0</v>
      </c>
      <c r="AV620">
        <v>0</v>
      </c>
    </row>
    <row r="621" spans="1:48">
      <c r="A621" s="1">
        <f>_xlfn.XLOOKUP(J621,数据!E:E,数据!A:A)</f>
        <v>1</v>
      </c>
      <c r="B621" s="1">
        <f>_xlfn.XLOOKUP(J621,数据!E:E,数据!B:B)</f>
        <v>4</v>
      </c>
      <c r="C621" s="1" t="str">
        <f>_xlfn.XLOOKUP(J621,数据!E:E,数据!J:J)</f>
        <v>空派</v>
      </c>
      <c r="D621" s="1" t="str" cm="1">
        <f t="array" ref="D621">IF(OR(C621="红单",C621="空派"),_xlfn.IFS(E621="未开售","新品首批发货",F621&lt;E621,"新品首批发货",F621-E621&lt;=60,"新品期补货空运",F621-E621&gt;60,"老品应急空运"),"海运，不进行分析")</f>
        <v>新品期补货空运</v>
      </c>
      <c r="E621" s="2">
        <v>46019</v>
      </c>
      <c r="F621" s="2">
        <f>_xlfn.XLOOKUP(J621,数据!E:E,数据!C:C)</f>
        <v>46046</v>
      </c>
      <c r="G621" s="4">
        <v>163</v>
      </c>
      <c r="H621" s="4">
        <f t="shared" si="30"/>
        <v>4.075</v>
      </c>
      <c r="I621" s="4">
        <f>_xlfn.XLOOKUP(J621,数据!E:E,数据!S:S)*(H621/_xlfn.XLOOKUP(J621,数据!E:E,数据!X:X))</f>
        <v>215.004185240218</v>
      </c>
      <c r="J621" t="s">
        <v>483</v>
      </c>
      <c r="K621" t="s">
        <v>56</v>
      </c>
      <c r="L621" t="s">
        <v>2374</v>
      </c>
      <c r="M621" t="s">
        <v>6044</v>
      </c>
      <c r="N621" t="s">
        <v>2376</v>
      </c>
      <c r="O621" t="s">
        <v>2400</v>
      </c>
      <c r="P621" t="s">
        <v>2378</v>
      </c>
      <c r="Q621" t="s">
        <v>2379</v>
      </c>
      <c r="S621" t="s">
        <v>2511</v>
      </c>
      <c r="T621" s="3" t="s">
        <v>6014</v>
      </c>
      <c r="U621" t="s">
        <v>6015</v>
      </c>
      <c r="V621" t="s">
        <v>6016</v>
      </c>
      <c r="W621" t="s">
        <v>6045</v>
      </c>
      <c r="X621" t="s">
        <v>2403</v>
      </c>
      <c r="Y621" t="s">
        <v>6046</v>
      </c>
      <c r="Z621" t="s">
        <v>2387</v>
      </c>
      <c r="AA621" t="s">
        <v>6014</v>
      </c>
      <c r="AB621" t="s">
        <v>6019</v>
      </c>
      <c r="AC621" t="s">
        <v>6047</v>
      </c>
      <c r="AD621" t="s">
        <v>5226</v>
      </c>
      <c r="AG621" t="s">
        <v>2432</v>
      </c>
      <c r="AH621" t="s">
        <v>5982</v>
      </c>
      <c r="AI621" t="s">
        <v>5858</v>
      </c>
      <c r="AJ621" t="s">
        <v>6054</v>
      </c>
      <c r="AK621" t="s">
        <v>6055</v>
      </c>
      <c r="AL621" t="s">
        <v>6056</v>
      </c>
      <c r="AM621" t="s">
        <v>6029</v>
      </c>
      <c r="AN621" t="s">
        <v>6057</v>
      </c>
      <c r="AO621" t="s">
        <v>6054</v>
      </c>
      <c r="AP621">
        <v>25</v>
      </c>
      <c r="AQ621">
        <v>25</v>
      </c>
      <c r="AR621">
        <v>25</v>
      </c>
      <c r="AS621" t="s">
        <v>6058</v>
      </c>
      <c r="AT621">
        <v>0</v>
      </c>
      <c r="AU621">
        <v>0</v>
      </c>
      <c r="AV621">
        <v>0</v>
      </c>
    </row>
    <row r="622" spans="1:48">
      <c r="A622" s="1">
        <f>_xlfn.XLOOKUP(J622,数据!E:E,数据!A:A)</f>
        <v>1</v>
      </c>
      <c r="B622" s="1">
        <f>_xlfn.XLOOKUP(J622,数据!E:E,数据!B:B)</f>
        <v>4</v>
      </c>
      <c r="C622" s="1" t="str">
        <f>_xlfn.XLOOKUP(J622,数据!E:E,数据!J:J)</f>
        <v>空派</v>
      </c>
      <c r="D622" s="1" t="str" cm="1">
        <f t="array" ref="D622">IF(OR(C622="红单",C622="空派"),_xlfn.IFS(E622="未开售","新品首批发货",F622&lt;E622,"新品首批发货",F622-E622&lt;=60,"新品期补货空运",F622-E622&gt;60,"老品应急空运"),"海运，不进行分析")</f>
        <v>老品应急空运</v>
      </c>
      <c r="E622" s="2">
        <v>44994</v>
      </c>
      <c r="F622" s="2">
        <f>_xlfn.XLOOKUP(J622,数据!E:E,数据!C:C)</f>
        <v>46046</v>
      </c>
      <c r="G622" s="4">
        <v>151</v>
      </c>
      <c r="H622" s="4">
        <f t="shared" si="30"/>
        <v>4.53</v>
      </c>
      <c r="I622" s="4">
        <f>_xlfn.XLOOKUP(J622,数据!E:E,数据!S:S)*(H622/_xlfn.XLOOKUP(J622,数据!E:E,数据!X:X))</f>
        <v>223.728990140617</v>
      </c>
      <c r="J622" t="s">
        <v>485</v>
      </c>
      <c r="K622" t="s">
        <v>56</v>
      </c>
      <c r="L622" t="s">
        <v>2374</v>
      </c>
      <c r="M622" t="s">
        <v>6059</v>
      </c>
      <c r="N622" t="s">
        <v>2376</v>
      </c>
      <c r="O622" t="s">
        <v>2400</v>
      </c>
      <c r="P622" t="s">
        <v>2378</v>
      </c>
      <c r="Q622" t="s">
        <v>2379</v>
      </c>
      <c r="S622" t="s">
        <v>2511</v>
      </c>
      <c r="T622" s="3" t="s">
        <v>6014</v>
      </c>
      <c r="U622" t="s">
        <v>6015</v>
      </c>
      <c r="V622" t="s">
        <v>6016</v>
      </c>
      <c r="W622" t="s">
        <v>6060</v>
      </c>
      <c r="X622" t="s">
        <v>2403</v>
      </c>
      <c r="Y622" t="s">
        <v>6061</v>
      </c>
      <c r="Z622" t="s">
        <v>2387</v>
      </c>
      <c r="AA622" t="s">
        <v>6014</v>
      </c>
      <c r="AB622" t="s">
        <v>6019</v>
      </c>
      <c r="AC622" t="s">
        <v>6062</v>
      </c>
      <c r="AD622" t="s">
        <v>5226</v>
      </c>
      <c r="AG622" t="s">
        <v>2432</v>
      </c>
      <c r="AH622" t="s">
        <v>5982</v>
      </c>
      <c r="AI622" t="s">
        <v>5858</v>
      </c>
      <c r="AJ622" t="s">
        <v>6063</v>
      </c>
      <c r="AK622" t="s">
        <v>6064</v>
      </c>
      <c r="AL622" t="s">
        <v>6065</v>
      </c>
      <c r="AM622" t="s">
        <v>2567</v>
      </c>
      <c r="AN622" t="s">
        <v>6066</v>
      </c>
      <c r="AO622" t="s">
        <v>6063</v>
      </c>
      <c r="AP622">
        <v>30</v>
      </c>
      <c r="AQ622">
        <v>30</v>
      </c>
      <c r="AR622">
        <v>30</v>
      </c>
      <c r="AS622" t="s">
        <v>6067</v>
      </c>
      <c r="AT622">
        <v>0</v>
      </c>
      <c r="AU622">
        <v>0</v>
      </c>
      <c r="AV622">
        <v>0</v>
      </c>
    </row>
    <row r="623" spans="1:48">
      <c r="A623" s="1">
        <f>_xlfn.XLOOKUP(J623,数据!E:E,数据!A:A)</f>
        <v>1</v>
      </c>
      <c r="B623" s="1">
        <f>_xlfn.XLOOKUP(J623,数据!E:E,数据!B:B)</f>
        <v>4</v>
      </c>
      <c r="C623" s="1" t="str">
        <f>_xlfn.XLOOKUP(J623,数据!E:E,数据!J:J)</f>
        <v>空派</v>
      </c>
      <c r="D623" s="1" t="str" cm="1">
        <f t="array" ref="D623">IF(OR(C623="红单",C623="空派"),_xlfn.IFS(E623="未开售","新品首批发货",F623&lt;E623,"新品首批发货",F623-E623&lt;=60,"新品期补货空运",F623-E623&gt;60,"老品应急空运"),"海运，不进行分析")</f>
        <v>新品期补货空运</v>
      </c>
      <c r="E623" s="2">
        <v>46019</v>
      </c>
      <c r="F623" s="2">
        <f>_xlfn.XLOOKUP(J623,数据!E:E,数据!C:C)</f>
        <v>46046</v>
      </c>
      <c r="G623" s="4">
        <v>243</v>
      </c>
      <c r="H623" s="4">
        <f t="shared" si="30"/>
        <v>10.935</v>
      </c>
      <c r="I623" s="4">
        <f>_xlfn.XLOOKUP(J623,数据!E:E,数据!S:S)*(H623/_xlfn.XLOOKUP(J623,数据!E:E,数据!X:X))</f>
        <v>540.061039114272</v>
      </c>
      <c r="J623" t="s">
        <v>485</v>
      </c>
      <c r="K623" t="s">
        <v>56</v>
      </c>
      <c r="L623" t="s">
        <v>2374</v>
      </c>
      <c r="M623" t="s">
        <v>6059</v>
      </c>
      <c r="N623" t="s">
        <v>2376</v>
      </c>
      <c r="O623" t="s">
        <v>2400</v>
      </c>
      <c r="P623" t="s">
        <v>2378</v>
      </c>
      <c r="Q623" t="s">
        <v>2379</v>
      </c>
      <c r="S623" t="s">
        <v>2511</v>
      </c>
      <c r="T623" s="3" t="s">
        <v>6014</v>
      </c>
      <c r="U623" t="s">
        <v>6015</v>
      </c>
      <c r="V623" t="s">
        <v>6016</v>
      </c>
      <c r="W623" t="s">
        <v>6060</v>
      </c>
      <c r="X623" t="s">
        <v>2403</v>
      </c>
      <c r="Y623" t="s">
        <v>6061</v>
      </c>
      <c r="Z623" t="s">
        <v>2387</v>
      </c>
      <c r="AA623" t="s">
        <v>6014</v>
      </c>
      <c r="AB623" t="s">
        <v>6019</v>
      </c>
      <c r="AC623" t="s">
        <v>6062</v>
      </c>
      <c r="AD623" t="s">
        <v>5226</v>
      </c>
      <c r="AG623" t="s">
        <v>2432</v>
      </c>
      <c r="AH623" t="s">
        <v>5982</v>
      </c>
      <c r="AI623" t="s">
        <v>5858</v>
      </c>
      <c r="AJ623" t="s">
        <v>5636</v>
      </c>
      <c r="AK623" t="s">
        <v>5637</v>
      </c>
      <c r="AL623" t="s">
        <v>5638</v>
      </c>
      <c r="AM623" t="s">
        <v>3978</v>
      </c>
      <c r="AN623" t="s">
        <v>5639</v>
      </c>
      <c r="AO623" t="s">
        <v>5636</v>
      </c>
      <c r="AP623">
        <v>45</v>
      </c>
      <c r="AQ623">
        <v>45</v>
      </c>
      <c r="AR623">
        <v>45</v>
      </c>
      <c r="AS623" t="s">
        <v>6068</v>
      </c>
      <c r="AT623">
        <v>0</v>
      </c>
      <c r="AU623">
        <v>0</v>
      </c>
      <c r="AV623">
        <v>0</v>
      </c>
    </row>
    <row r="624" spans="1:48">
      <c r="A624" s="1">
        <f>_xlfn.XLOOKUP(J624,数据!E:E,数据!A:A)</f>
        <v>1</v>
      </c>
      <c r="B624" s="1">
        <f>_xlfn.XLOOKUP(J624,数据!E:E,数据!B:B)</f>
        <v>4</v>
      </c>
      <c r="C624" s="1" t="str">
        <f>_xlfn.XLOOKUP(J624,数据!E:E,数据!J:J)</f>
        <v>空派</v>
      </c>
      <c r="D624" s="1" t="str" cm="1">
        <f t="array" ref="D624">IF(OR(C624="红单",C624="空派"),_xlfn.IFS(E624="未开售","新品首批发货",F624&lt;E624,"新品首批发货",F624-E624&lt;=60,"新品期补货空运",F624-E624&gt;60,"老品应急空运"),"海运，不进行分析")</f>
        <v>新品期补货空运</v>
      </c>
      <c r="E624" s="2">
        <v>46022</v>
      </c>
      <c r="F624" s="2">
        <f>_xlfn.XLOOKUP(J624,数据!E:E,数据!C:C)</f>
        <v>46046</v>
      </c>
      <c r="G624" s="4">
        <v>238</v>
      </c>
      <c r="H624" s="4">
        <f t="shared" si="30"/>
        <v>15.47</v>
      </c>
      <c r="I624" s="4">
        <f>_xlfn.XLOOKUP(J624,数据!E:E,数据!S:S)*(H624/_xlfn.XLOOKUP(J624,数据!E:E,数据!X:X))</f>
        <v>764.036970745111</v>
      </c>
      <c r="J624" t="s">
        <v>485</v>
      </c>
      <c r="K624" t="s">
        <v>56</v>
      </c>
      <c r="L624" t="s">
        <v>2374</v>
      </c>
      <c r="M624" t="s">
        <v>6059</v>
      </c>
      <c r="N624" t="s">
        <v>2376</v>
      </c>
      <c r="O624" t="s">
        <v>2400</v>
      </c>
      <c r="P624" t="s">
        <v>2378</v>
      </c>
      <c r="Q624" t="s">
        <v>2379</v>
      </c>
      <c r="S624" t="s">
        <v>2511</v>
      </c>
      <c r="T624" s="3" t="s">
        <v>6014</v>
      </c>
      <c r="U624" t="s">
        <v>6015</v>
      </c>
      <c r="V624" t="s">
        <v>6016</v>
      </c>
      <c r="W624" t="s">
        <v>6060</v>
      </c>
      <c r="X624" t="s">
        <v>2403</v>
      </c>
      <c r="Y624" t="s">
        <v>6061</v>
      </c>
      <c r="Z624" t="s">
        <v>2387</v>
      </c>
      <c r="AA624" t="s">
        <v>6014</v>
      </c>
      <c r="AB624" t="s">
        <v>6019</v>
      </c>
      <c r="AC624" t="s">
        <v>6062</v>
      </c>
      <c r="AD624" t="s">
        <v>5226</v>
      </c>
      <c r="AG624" t="s">
        <v>2432</v>
      </c>
      <c r="AH624" t="s">
        <v>5982</v>
      </c>
      <c r="AI624" t="s">
        <v>5858</v>
      </c>
      <c r="AJ624" t="s">
        <v>6069</v>
      </c>
      <c r="AK624" t="s">
        <v>6070</v>
      </c>
      <c r="AL624" t="s">
        <v>6071</v>
      </c>
      <c r="AM624" t="s">
        <v>2396</v>
      </c>
      <c r="AN624" t="s">
        <v>6072</v>
      </c>
      <c r="AO624" t="s">
        <v>6069</v>
      </c>
      <c r="AP624">
        <v>65</v>
      </c>
      <c r="AQ624">
        <v>65</v>
      </c>
      <c r="AR624">
        <v>65</v>
      </c>
      <c r="AS624" t="s">
        <v>6073</v>
      </c>
      <c r="AT624">
        <v>0</v>
      </c>
      <c r="AU624">
        <v>0</v>
      </c>
      <c r="AV624">
        <v>0</v>
      </c>
    </row>
    <row r="625" spans="1:48">
      <c r="A625" s="1">
        <f>_xlfn.XLOOKUP(J625,数据!E:E,数据!A:A)</f>
        <v>1</v>
      </c>
      <c r="B625" s="1">
        <f>_xlfn.XLOOKUP(J625,数据!E:E,数据!B:B)</f>
        <v>4</v>
      </c>
      <c r="C625" s="1" t="str">
        <f>_xlfn.XLOOKUP(J625,数据!E:E,数据!J:J)</f>
        <v>红单</v>
      </c>
      <c r="D625" s="1" t="str" cm="1">
        <f t="array" ref="D625">IF(OR(C625="红单",C625="空派"),_xlfn.IFS(E625="未开售","新品首批发货",F625&lt;E625,"新品首批发货",F625-E625&lt;=60,"新品期补货空运",F625-E625&gt;60,"老品应急空运"),"海运，不进行分析")</f>
        <v>老品应急空运</v>
      </c>
      <c r="E625" s="2">
        <v>45875</v>
      </c>
      <c r="F625" s="2">
        <f>_xlfn.XLOOKUP(J625,数据!E:E,数据!C:C)</f>
        <v>46046</v>
      </c>
      <c r="G625" s="4">
        <v>50</v>
      </c>
      <c r="H625" s="4">
        <f t="shared" si="30"/>
        <v>2</v>
      </c>
      <c r="I625" s="4">
        <f>_xlfn.XLOOKUP(J625,数据!E:E,数据!S:S)*(H625/_xlfn.XLOOKUP(J625,数据!E:E,数据!X:X))</f>
        <v>159.434236615995</v>
      </c>
      <c r="J625" t="s">
        <v>475</v>
      </c>
      <c r="K625" t="s">
        <v>224</v>
      </c>
      <c r="L625" t="s">
        <v>2374</v>
      </c>
      <c r="M625" t="s">
        <v>6074</v>
      </c>
      <c r="N625" t="s">
        <v>2376</v>
      </c>
      <c r="O625" t="s">
        <v>2400</v>
      </c>
      <c r="P625" t="s">
        <v>2378</v>
      </c>
      <c r="Q625" t="s">
        <v>2379</v>
      </c>
      <c r="R625" t="s">
        <v>475</v>
      </c>
      <c r="S625" t="s">
        <v>2511</v>
      </c>
      <c r="T625" s="3" t="s">
        <v>6014</v>
      </c>
      <c r="U625" t="s">
        <v>6075</v>
      </c>
      <c r="V625" t="s">
        <v>6076</v>
      </c>
      <c r="W625" t="s">
        <v>6077</v>
      </c>
      <c r="X625" t="s">
        <v>2403</v>
      </c>
      <c r="Y625" t="s">
        <v>6078</v>
      </c>
      <c r="Z625" t="s">
        <v>2405</v>
      </c>
      <c r="AA625" t="s">
        <v>6014</v>
      </c>
      <c r="AB625" t="s">
        <v>6079</v>
      </c>
      <c r="AC625" t="s">
        <v>6080</v>
      </c>
      <c r="AD625" t="s">
        <v>5981</v>
      </c>
      <c r="AH625" t="s">
        <v>5982</v>
      </c>
      <c r="AI625" t="s">
        <v>5858</v>
      </c>
      <c r="AJ625" t="s">
        <v>6081</v>
      </c>
      <c r="AK625" t="s">
        <v>6082</v>
      </c>
      <c r="AL625" t="s">
        <v>6083</v>
      </c>
      <c r="AM625" t="s">
        <v>4926</v>
      </c>
      <c r="AN625" t="s">
        <v>6084</v>
      </c>
      <c r="AO625" t="s">
        <v>6081</v>
      </c>
      <c r="AP625">
        <v>40</v>
      </c>
      <c r="AQ625">
        <v>40</v>
      </c>
      <c r="AR625">
        <v>40</v>
      </c>
      <c r="AS625" t="s">
        <v>6085</v>
      </c>
      <c r="AT625">
        <v>0</v>
      </c>
      <c r="AU625">
        <v>0</v>
      </c>
      <c r="AV625">
        <v>0</v>
      </c>
    </row>
    <row r="626" spans="1:48">
      <c r="A626" s="1">
        <f>_xlfn.XLOOKUP(J626,数据!E:E,数据!A:A)</f>
        <v>1</v>
      </c>
      <c r="B626" s="1">
        <f>_xlfn.XLOOKUP(J626,数据!E:E,数据!B:B)</f>
        <v>4</v>
      </c>
      <c r="C626" s="1" t="str">
        <f>_xlfn.XLOOKUP(J626,数据!E:E,数据!J:J)</f>
        <v>红单</v>
      </c>
      <c r="D626" s="1" t="str" cm="1">
        <f t="array" ref="D626">IF(OR(C626="红单",C626="空派"),_xlfn.IFS(E626="未开售","新品首批发货",F626&lt;E626,"新品首批发货",F626-E626&lt;=60,"新品期补货空运",F626-E626&gt;60,"老品应急空运"),"海运，不进行分析")</f>
        <v>老品应急空运</v>
      </c>
      <c r="E626" s="2">
        <v>44600</v>
      </c>
      <c r="F626" s="2">
        <f>_xlfn.XLOOKUP(J626,数据!E:E,数据!C:C)</f>
        <v>46046</v>
      </c>
      <c r="G626" s="4">
        <v>143</v>
      </c>
      <c r="H626" s="4">
        <f t="shared" si="30"/>
        <v>4.29</v>
      </c>
      <c r="I626" s="4">
        <f>_xlfn.XLOOKUP(J626,数据!E:E,数据!S:S)*(H626/_xlfn.XLOOKUP(J626,数据!E:E,数据!X:X))</f>
        <v>341.986437541309</v>
      </c>
      <c r="J626" t="s">
        <v>475</v>
      </c>
      <c r="K626" t="s">
        <v>224</v>
      </c>
      <c r="L626" t="s">
        <v>2374</v>
      </c>
      <c r="M626" t="s">
        <v>6074</v>
      </c>
      <c r="N626" t="s">
        <v>2376</v>
      </c>
      <c r="O626" t="s">
        <v>2400</v>
      </c>
      <c r="P626" t="s">
        <v>2378</v>
      </c>
      <c r="Q626" t="s">
        <v>2379</v>
      </c>
      <c r="R626" t="s">
        <v>475</v>
      </c>
      <c r="S626" t="s">
        <v>2511</v>
      </c>
      <c r="T626" s="3" t="s">
        <v>6014</v>
      </c>
      <c r="U626" t="s">
        <v>6075</v>
      </c>
      <c r="V626" t="s">
        <v>6076</v>
      </c>
      <c r="W626" t="s">
        <v>6077</v>
      </c>
      <c r="X626" t="s">
        <v>2403</v>
      </c>
      <c r="Y626" t="s">
        <v>6078</v>
      </c>
      <c r="Z626" t="s">
        <v>2405</v>
      </c>
      <c r="AA626" t="s">
        <v>6014</v>
      </c>
      <c r="AB626" t="s">
        <v>6079</v>
      </c>
      <c r="AC626" t="s">
        <v>6080</v>
      </c>
      <c r="AD626" t="s">
        <v>5981</v>
      </c>
      <c r="AH626" t="s">
        <v>5982</v>
      </c>
      <c r="AI626" t="s">
        <v>5858</v>
      </c>
      <c r="AJ626" t="s">
        <v>6086</v>
      </c>
      <c r="AK626" t="s">
        <v>6087</v>
      </c>
      <c r="AL626" t="s">
        <v>6088</v>
      </c>
      <c r="AM626" t="s">
        <v>5923</v>
      </c>
      <c r="AN626" t="s">
        <v>6089</v>
      </c>
      <c r="AO626" t="s">
        <v>6086</v>
      </c>
      <c r="AP626">
        <v>30</v>
      </c>
      <c r="AQ626">
        <v>30</v>
      </c>
      <c r="AR626">
        <v>30</v>
      </c>
      <c r="AS626" t="s">
        <v>6090</v>
      </c>
      <c r="AT626">
        <v>0</v>
      </c>
      <c r="AU626">
        <v>0</v>
      </c>
      <c r="AV626">
        <v>0</v>
      </c>
    </row>
    <row r="627" spans="1:48">
      <c r="A627" s="1">
        <f>_xlfn.XLOOKUP(J627,数据!E:E,数据!A:A)</f>
        <v>1</v>
      </c>
      <c r="B627" s="1">
        <f>_xlfn.XLOOKUP(J627,数据!E:E,数据!B:B)</f>
        <v>4</v>
      </c>
      <c r="C627" s="1" t="str">
        <f>_xlfn.XLOOKUP(J627,数据!E:E,数据!J:J)</f>
        <v>红单</v>
      </c>
      <c r="D627" s="1" t="str" cm="1">
        <f t="array" ref="D627">IF(OR(C627="红单",C627="空派"),_xlfn.IFS(E627="未开售","新品首批发货",F627&lt;E627,"新品首批发货",F627-E627&lt;=60,"新品期补货空运",F627-E627&gt;60,"老品应急空运"),"海运，不进行分析")</f>
        <v>新品期补货空运</v>
      </c>
      <c r="E627" s="2">
        <v>46017</v>
      </c>
      <c r="F627" s="2">
        <f>_xlfn.XLOOKUP(J627,数据!E:E,数据!C:C)</f>
        <v>46046</v>
      </c>
      <c r="G627" s="4">
        <v>221</v>
      </c>
      <c r="H627" s="4">
        <f t="shared" si="30"/>
        <v>8.84</v>
      </c>
      <c r="I627" s="4">
        <f>_xlfn.XLOOKUP(J627,数据!E:E,数据!S:S)*(H627/_xlfn.XLOOKUP(J627,数据!E:E,数据!X:X))</f>
        <v>704.699325842697</v>
      </c>
      <c r="J627" t="s">
        <v>475</v>
      </c>
      <c r="K627" t="s">
        <v>224</v>
      </c>
      <c r="L627" t="s">
        <v>2374</v>
      </c>
      <c r="M627" t="s">
        <v>6074</v>
      </c>
      <c r="N627" t="s">
        <v>2376</v>
      </c>
      <c r="O627" t="s">
        <v>2400</v>
      </c>
      <c r="P627" t="s">
        <v>2378</v>
      </c>
      <c r="Q627" t="s">
        <v>2379</v>
      </c>
      <c r="R627" t="s">
        <v>475</v>
      </c>
      <c r="S627" t="s">
        <v>2511</v>
      </c>
      <c r="T627" s="3" t="s">
        <v>6014</v>
      </c>
      <c r="U627" t="s">
        <v>6075</v>
      </c>
      <c r="V627" t="s">
        <v>6076</v>
      </c>
      <c r="W627" t="s">
        <v>6077</v>
      </c>
      <c r="X627" t="s">
        <v>2403</v>
      </c>
      <c r="Y627" t="s">
        <v>6078</v>
      </c>
      <c r="Z627" t="s">
        <v>2405</v>
      </c>
      <c r="AA627" t="s">
        <v>6014</v>
      </c>
      <c r="AB627" t="s">
        <v>6079</v>
      </c>
      <c r="AC627" t="s">
        <v>6080</v>
      </c>
      <c r="AD627" t="s">
        <v>5981</v>
      </c>
      <c r="AH627" t="s">
        <v>5982</v>
      </c>
      <c r="AI627" t="s">
        <v>5858</v>
      </c>
      <c r="AJ627" t="s">
        <v>6091</v>
      </c>
      <c r="AK627" t="s">
        <v>6092</v>
      </c>
      <c r="AL627" t="s">
        <v>6093</v>
      </c>
      <c r="AM627" t="s">
        <v>6094</v>
      </c>
      <c r="AN627" t="s">
        <v>6095</v>
      </c>
      <c r="AO627" t="s">
        <v>6091</v>
      </c>
      <c r="AP627">
        <v>40</v>
      </c>
      <c r="AQ627">
        <v>40</v>
      </c>
      <c r="AR627">
        <v>40</v>
      </c>
      <c r="AS627" t="s">
        <v>6096</v>
      </c>
      <c r="AT627">
        <v>0</v>
      </c>
      <c r="AU627">
        <v>0</v>
      </c>
      <c r="AV627">
        <v>0</v>
      </c>
    </row>
    <row r="628" spans="1:48">
      <c r="A628" s="1">
        <f>_xlfn.XLOOKUP(J628,数据!E:E,数据!A:A)</f>
        <v>1</v>
      </c>
      <c r="B628" s="1">
        <f>_xlfn.XLOOKUP(J628,数据!E:E,数据!B:B)</f>
        <v>4</v>
      </c>
      <c r="C628" s="1" t="str">
        <f>_xlfn.XLOOKUP(J628,数据!E:E,数据!J:J)</f>
        <v>空派</v>
      </c>
      <c r="D628" s="1" t="str" cm="1">
        <f t="array" ref="D628">IF(OR(C628="红单",C628="空派"),_xlfn.IFS(E628="未开售","新品首批发货",F628&lt;E628,"新品首批发货",F628-E628&lt;=60,"新品期补货空运",F628-E628&gt;60,"老品应急空运"),"海运，不进行分析")</f>
        <v>老品应急空运</v>
      </c>
      <c r="E628" s="2">
        <v>45415</v>
      </c>
      <c r="F628" s="2">
        <f>_xlfn.XLOOKUP(J628,数据!E:E,数据!C:C)</f>
        <v>46046</v>
      </c>
      <c r="G628" s="4">
        <v>400</v>
      </c>
      <c r="H628" s="4">
        <f t="shared" si="30"/>
        <v>22</v>
      </c>
      <c r="I628" s="4">
        <f>_xlfn.XLOOKUP(J628,数据!E:E,数据!S:S)*(H628/_xlfn.XLOOKUP(J628,数据!E:E,数据!X:X))</f>
        <v>1110.385</v>
      </c>
      <c r="J628" t="s">
        <v>488</v>
      </c>
      <c r="K628" t="s">
        <v>59</v>
      </c>
      <c r="L628" t="s">
        <v>2374</v>
      </c>
      <c r="M628" t="s">
        <v>6097</v>
      </c>
      <c r="N628" t="s">
        <v>2376</v>
      </c>
      <c r="O628" t="s">
        <v>2377</v>
      </c>
      <c r="P628" t="s">
        <v>2378</v>
      </c>
      <c r="Q628" t="s">
        <v>2379</v>
      </c>
      <c r="S628" t="s">
        <v>2511</v>
      </c>
      <c r="T628" s="3" t="s">
        <v>6014</v>
      </c>
      <c r="U628" t="s">
        <v>6098</v>
      </c>
      <c r="V628" t="s">
        <v>6099</v>
      </c>
      <c r="W628" t="s">
        <v>6100</v>
      </c>
      <c r="X628" t="s">
        <v>2403</v>
      </c>
      <c r="Y628" t="s">
        <v>6101</v>
      </c>
      <c r="Z628" t="s">
        <v>2387</v>
      </c>
      <c r="AA628" t="s">
        <v>6014</v>
      </c>
      <c r="AB628" t="s">
        <v>6102</v>
      </c>
      <c r="AC628" t="s">
        <v>6103</v>
      </c>
      <c r="AD628" t="s">
        <v>6104</v>
      </c>
      <c r="AG628" t="s">
        <v>2432</v>
      </c>
      <c r="AH628" t="s">
        <v>5982</v>
      </c>
      <c r="AI628" t="s">
        <v>5858</v>
      </c>
      <c r="AJ628" t="s">
        <v>5998</v>
      </c>
      <c r="AK628" t="s">
        <v>5999</v>
      </c>
      <c r="AL628" t="s">
        <v>6000</v>
      </c>
      <c r="AM628" t="s">
        <v>6001</v>
      </c>
      <c r="AN628" t="s">
        <v>6002</v>
      </c>
      <c r="AO628" t="s">
        <v>5998</v>
      </c>
      <c r="AP628">
        <v>55</v>
      </c>
      <c r="AQ628">
        <v>55</v>
      </c>
      <c r="AR628">
        <v>55</v>
      </c>
      <c r="AS628" t="s">
        <v>6105</v>
      </c>
      <c r="AT628">
        <v>0</v>
      </c>
      <c r="AU628">
        <v>0</v>
      </c>
      <c r="AV628">
        <v>0</v>
      </c>
    </row>
    <row r="629" spans="1:48">
      <c r="A629" s="1">
        <f>_xlfn.XLOOKUP(J629,数据!E:E,数据!A:A)</f>
        <v>1</v>
      </c>
      <c r="B629" s="1">
        <f>_xlfn.XLOOKUP(J629,数据!E:E,数据!B:B)</f>
        <v>4</v>
      </c>
      <c r="C629" s="1" t="str">
        <f>_xlfn.XLOOKUP(J629,数据!E:E,数据!J:J)</f>
        <v>空派</v>
      </c>
      <c r="D629" s="1" t="str" cm="1">
        <f t="array" ref="D629">IF(OR(C629="红单",C629="空派"),_xlfn.IFS(E629="未开售","新品首批发货",F629&lt;E629,"新品首批发货",F629-E629&lt;=60,"新品期补货空运",F629-E629&gt;60,"老品应急空运"),"海运，不进行分析")</f>
        <v>新品期补货空运</v>
      </c>
      <c r="E629" s="2">
        <v>46015</v>
      </c>
      <c r="F629" s="2">
        <f>_xlfn.XLOOKUP(J629,数据!E:E,数据!C:C)</f>
        <v>46046</v>
      </c>
      <c r="G629" s="4">
        <v>166</v>
      </c>
      <c r="H629" s="4">
        <f t="shared" si="30"/>
        <v>28.22</v>
      </c>
      <c r="I629" s="4">
        <f>_xlfn.XLOOKUP(J629,数据!E:E,数据!S:S)*(H629/_xlfn.XLOOKUP(J629,数据!E:E,数据!X:X))</f>
        <v>1413.00806935163</v>
      </c>
      <c r="J629" t="s">
        <v>484</v>
      </c>
      <c r="K629" t="s">
        <v>56</v>
      </c>
      <c r="L629" t="s">
        <v>2374</v>
      </c>
      <c r="M629" t="s">
        <v>6106</v>
      </c>
      <c r="N629" t="s">
        <v>2376</v>
      </c>
      <c r="O629" t="s">
        <v>2400</v>
      </c>
      <c r="P629" t="s">
        <v>2378</v>
      </c>
      <c r="Q629" t="s">
        <v>2379</v>
      </c>
      <c r="S629" t="s">
        <v>2511</v>
      </c>
      <c r="T629" s="3" t="s">
        <v>6014</v>
      </c>
      <c r="U629" t="s">
        <v>6015</v>
      </c>
      <c r="V629" t="s">
        <v>6107</v>
      </c>
      <c r="W629" t="s">
        <v>6108</v>
      </c>
      <c r="X629" t="s">
        <v>2385</v>
      </c>
      <c r="Y629" t="s">
        <v>6109</v>
      </c>
      <c r="Z629" t="s">
        <v>2387</v>
      </c>
      <c r="AA629" t="s">
        <v>6014</v>
      </c>
      <c r="AB629" t="s">
        <v>6019</v>
      </c>
      <c r="AC629" t="s">
        <v>6110</v>
      </c>
      <c r="AD629" t="s">
        <v>5227</v>
      </c>
      <c r="AG629" t="s">
        <v>2432</v>
      </c>
      <c r="AH629" t="s">
        <v>5982</v>
      </c>
      <c r="AI629" t="s">
        <v>5858</v>
      </c>
      <c r="AJ629" t="s">
        <v>6111</v>
      </c>
      <c r="AK629" t="s">
        <v>6112</v>
      </c>
      <c r="AL629" t="s">
        <v>6113</v>
      </c>
      <c r="AM629" t="s">
        <v>6029</v>
      </c>
      <c r="AN629" t="s">
        <v>6114</v>
      </c>
      <c r="AO629" t="s">
        <v>6111</v>
      </c>
      <c r="AP629">
        <v>170</v>
      </c>
      <c r="AQ629">
        <v>170</v>
      </c>
      <c r="AR629">
        <v>170</v>
      </c>
      <c r="AS629" t="s">
        <v>6115</v>
      </c>
      <c r="AT629">
        <v>0</v>
      </c>
      <c r="AU629">
        <v>0</v>
      </c>
      <c r="AV629">
        <v>0</v>
      </c>
    </row>
    <row r="630" spans="1:48">
      <c r="A630" s="1">
        <f>_xlfn.XLOOKUP(J630,数据!E:E,数据!A:A)</f>
        <v>1</v>
      </c>
      <c r="B630" s="1">
        <f>_xlfn.XLOOKUP(J630,数据!E:E,数据!B:B)</f>
        <v>4</v>
      </c>
      <c r="C630" s="1" t="str">
        <f>_xlfn.XLOOKUP(J630,数据!E:E,数据!J:J)</f>
        <v>空派</v>
      </c>
      <c r="D630" s="1" t="str" cm="1">
        <f t="array" ref="D630">IF(OR(C630="红单",C630="空派"),_xlfn.IFS(E630="未开售","新品首批发货",F630&lt;E630,"新品首批发货",F630-E630&lt;=60,"新品期补货空运",F630-E630&gt;60,"老品应急空运"),"海运，不进行分析")</f>
        <v>新品期补货空运</v>
      </c>
      <c r="E630" s="2">
        <v>46017</v>
      </c>
      <c r="F630" s="2">
        <f>_xlfn.XLOOKUP(J630,数据!E:E,数据!C:C)</f>
        <v>46046</v>
      </c>
      <c r="G630" s="4">
        <v>164</v>
      </c>
      <c r="H630" s="4">
        <f t="shared" si="30"/>
        <v>9.84</v>
      </c>
      <c r="I630" s="4">
        <f>_xlfn.XLOOKUP(J630,数据!E:E,数据!S:S)*(H630/_xlfn.XLOOKUP(J630,数据!E:E,数据!X:X))</f>
        <v>492.700191439408</v>
      </c>
      <c r="J630" t="s">
        <v>484</v>
      </c>
      <c r="K630" t="s">
        <v>56</v>
      </c>
      <c r="L630" t="s">
        <v>2374</v>
      </c>
      <c r="M630" t="s">
        <v>6106</v>
      </c>
      <c r="N630" t="s">
        <v>2376</v>
      </c>
      <c r="O630" t="s">
        <v>2400</v>
      </c>
      <c r="P630" t="s">
        <v>2378</v>
      </c>
      <c r="Q630" t="s">
        <v>2379</v>
      </c>
      <c r="S630" t="s">
        <v>2511</v>
      </c>
      <c r="T630" s="3" t="s">
        <v>6014</v>
      </c>
      <c r="U630" t="s">
        <v>6015</v>
      </c>
      <c r="V630" t="s">
        <v>6107</v>
      </c>
      <c r="W630" t="s">
        <v>6108</v>
      </c>
      <c r="X630" t="s">
        <v>2385</v>
      </c>
      <c r="Y630" t="s">
        <v>6109</v>
      </c>
      <c r="Z630" t="s">
        <v>2387</v>
      </c>
      <c r="AA630" t="s">
        <v>6014</v>
      </c>
      <c r="AB630" t="s">
        <v>6019</v>
      </c>
      <c r="AC630" t="s">
        <v>6110</v>
      </c>
      <c r="AD630" t="s">
        <v>5227</v>
      </c>
      <c r="AG630" t="s">
        <v>2432</v>
      </c>
      <c r="AH630" t="s">
        <v>5982</v>
      </c>
      <c r="AI630" t="s">
        <v>5858</v>
      </c>
      <c r="AJ630" t="s">
        <v>6116</v>
      </c>
      <c r="AK630" t="s">
        <v>6117</v>
      </c>
      <c r="AL630" t="s">
        <v>6118</v>
      </c>
      <c r="AM630" t="s">
        <v>6029</v>
      </c>
      <c r="AN630" t="s">
        <v>6119</v>
      </c>
      <c r="AO630" t="s">
        <v>6116</v>
      </c>
      <c r="AP630">
        <v>60</v>
      </c>
      <c r="AQ630">
        <v>60</v>
      </c>
      <c r="AR630">
        <v>59</v>
      </c>
      <c r="AS630" t="s">
        <v>6120</v>
      </c>
      <c r="AT630">
        <v>0</v>
      </c>
      <c r="AU630">
        <v>-1</v>
      </c>
      <c r="AV630">
        <v>1</v>
      </c>
    </row>
    <row r="631" spans="1:48">
      <c r="A631" s="1">
        <f>_xlfn.XLOOKUP(J631,数据!E:E,数据!A:A)</f>
        <v>1</v>
      </c>
      <c r="B631" s="1">
        <f>_xlfn.XLOOKUP(J631,数据!E:E,数据!B:B)</f>
        <v>4</v>
      </c>
      <c r="C631" s="1" t="str">
        <f>_xlfn.XLOOKUP(J631,数据!E:E,数据!J:J)</f>
        <v>空派</v>
      </c>
      <c r="D631" s="1" t="str" cm="1">
        <f t="array" ref="D631">IF(OR(C631="红单",C631="空派"),_xlfn.IFS(E631="未开售","新品首批发货",F631&lt;E631,"新品首批发货",F631-E631&lt;=60,"新品期补货空运",F631-E631&gt;60,"老品应急空运"),"海运，不进行分析")</f>
        <v>新品期补货空运</v>
      </c>
      <c r="E631" s="2">
        <v>46017</v>
      </c>
      <c r="F631" s="2">
        <f>_xlfn.XLOOKUP(J631,数据!E:E,数据!C:C)</f>
        <v>46046</v>
      </c>
      <c r="G631" s="4">
        <v>153</v>
      </c>
      <c r="H631" s="4">
        <f t="shared" si="30"/>
        <v>7.65</v>
      </c>
      <c r="I631" s="4">
        <f>_xlfn.XLOOKUP(J631,数据!E:E,数据!S:S)*(H631/_xlfn.XLOOKUP(J631,数据!E:E,数据!X:X))</f>
        <v>383.044356149539</v>
      </c>
      <c r="J631" t="s">
        <v>484</v>
      </c>
      <c r="K631" t="s">
        <v>56</v>
      </c>
      <c r="L631" t="s">
        <v>2374</v>
      </c>
      <c r="M631" t="s">
        <v>6106</v>
      </c>
      <c r="N631" t="s">
        <v>2376</v>
      </c>
      <c r="O631" t="s">
        <v>2400</v>
      </c>
      <c r="P631" t="s">
        <v>2378</v>
      </c>
      <c r="Q631" t="s">
        <v>2379</v>
      </c>
      <c r="S631" t="s">
        <v>2511</v>
      </c>
      <c r="T631" s="3" t="s">
        <v>6014</v>
      </c>
      <c r="U631" t="s">
        <v>6015</v>
      </c>
      <c r="V631" t="s">
        <v>6107</v>
      </c>
      <c r="W631" t="s">
        <v>6108</v>
      </c>
      <c r="X631" t="s">
        <v>2385</v>
      </c>
      <c r="Y631" t="s">
        <v>6109</v>
      </c>
      <c r="Z631" t="s">
        <v>2387</v>
      </c>
      <c r="AA631" t="s">
        <v>6014</v>
      </c>
      <c r="AB631" t="s">
        <v>6019</v>
      </c>
      <c r="AC631" t="s">
        <v>6110</v>
      </c>
      <c r="AD631" t="s">
        <v>5227</v>
      </c>
      <c r="AG631" t="s">
        <v>2432</v>
      </c>
      <c r="AH631" t="s">
        <v>5982</v>
      </c>
      <c r="AI631" t="s">
        <v>5858</v>
      </c>
      <c r="AJ631" t="s">
        <v>6121</v>
      </c>
      <c r="AK631" t="s">
        <v>6122</v>
      </c>
      <c r="AL631" t="s">
        <v>6123</v>
      </c>
      <c r="AM631" t="s">
        <v>6029</v>
      </c>
      <c r="AN631" t="s">
        <v>6124</v>
      </c>
      <c r="AO631" t="s">
        <v>6121</v>
      </c>
      <c r="AP631">
        <v>50</v>
      </c>
      <c r="AQ631">
        <v>50</v>
      </c>
      <c r="AR631">
        <v>49</v>
      </c>
      <c r="AS631" t="s">
        <v>6125</v>
      </c>
      <c r="AT631">
        <v>0</v>
      </c>
      <c r="AU631">
        <v>-1</v>
      </c>
      <c r="AV631">
        <v>1</v>
      </c>
    </row>
    <row r="632" spans="1:48">
      <c r="A632" s="1">
        <f>_xlfn.XLOOKUP(J632,数据!E:E,数据!A:A)</f>
        <v>1</v>
      </c>
      <c r="B632" s="1">
        <f>_xlfn.XLOOKUP(J632,数据!E:E,数据!B:B)</f>
        <v>4</v>
      </c>
      <c r="C632" s="1" t="str">
        <f>_xlfn.XLOOKUP(J632,数据!E:E,数据!J:J)</f>
        <v>空派</v>
      </c>
      <c r="D632" s="1" t="str" cm="1">
        <f t="array" ref="D632">IF(OR(C632="红单",C632="空派"),_xlfn.IFS(E632="未开售","新品首批发货",F632&lt;E632,"新品首批发货",F632-E632&lt;=60,"新品期补货空运",F632-E632&gt;60,"老品应急空运"),"海运，不进行分析")</f>
        <v>新品期补货空运</v>
      </c>
      <c r="E632" s="2">
        <v>46016</v>
      </c>
      <c r="F632" s="2">
        <f>_xlfn.XLOOKUP(J632,数据!E:E,数据!C:C)</f>
        <v>46046</v>
      </c>
      <c r="G632" s="4">
        <v>161</v>
      </c>
      <c r="H632" s="4">
        <f t="shared" si="30"/>
        <v>9.66</v>
      </c>
      <c r="I632" s="4">
        <f>_xlfn.XLOOKUP(J632,数据!E:E,数据!S:S)*(H632/_xlfn.XLOOKUP(J632,数据!E:E,数据!X:X))</f>
        <v>483.687383059418</v>
      </c>
      <c r="J632" t="s">
        <v>484</v>
      </c>
      <c r="K632" t="s">
        <v>56</v>
      </c>
      <c r="L632" t="s">
        <v>2374</v>
      </c>
      <c r="M632" t="s">
        <v>6106</v>
      </c>
      <c r="N632" t="s">
        <v>2376</v>
      </c>
      <c r="O632" t="s">
        <v>2400</v>
      </c>
      <c r="P632" t="s">
        <v>2378</v>
      </c>
      <c r="Q632" t="s">
        <v>2379</v>
      </c>
      <c r="S632" t="s">
        <v>2511</v>
      </c>
      <c r="T632" s="3" t="s">
        <v>6014</v>
      </c>
      <c r="U632" t="s">
        <v>6015</v>
      </c>
      <c r="V632" t="s">
        <v>6107</v>
      </c>
      <c r="W632" t="s">
        <v>6108</v>
      </c>
      <c r="X632" t="s">
        <v>2385</v>
      </c>
      <c r="Y632" t="s">
        <v>6109</v>
      </c>
      <c r="Z632" t="s">
        <v>2387</v>
      </c>
      <c r="AA632" t="s">
        <v>6014</v>
      </c>
      <c r="AB632" t="s">
        <v>6019</v>
      </c>
      <c r="AC632" t="s">
        <v>6110</v>
      </c>
      <c r="AD632" t="s">
        <v>5227</v>
      </c>
      <c r="AG632" t="s">
        <v>2432</v>
      </c>
      <c r="AH632" t="s">
        <v>5982</v>
      </c>
      <c r="AI632" t="s">
        <v>5858</v>
      </c>
      <c r="AJ632" t="s">
        <v>6026</v>
      </c>
      <c r="AK632" t="s">
        <v>6027</v>
      </c>
      <c r="AL632" t="s">
        <v>6028</v>
      </c>
      <c r="AM632" t="s">
        <v>6029</v>
      </c>
      <c r="AN632" t="s">
        <v>6030</v>
      </c>
      <c r="AO632" t="s">
        <v>6026</v>
      </c>
      <c r="AP632">
        <v>60</v>
      </c>
      <c r="AQ632">
        <v>60</v>
      </c>
      <c r="AR632">
        <v>60</v>
      </c>
      <c r="AS632" t="s">
        <v>6126</v>
      </c>
      <c r="AT632">
        <v>0</v>
      </c>
      <c r="AU632">
        <v>0</v>
      </c>
      <c r="AV632">
        <v>0</v>
      </c>
    </row>
    <row r="633" spans="1:48">
      <c r="A633" s="1">
        <f>_xlfn.XLOOKUP(J633,数据!E:E,数据!A:A)</f>
        <v>1</v>
      </c>
      <c r="B633" s="1">
        <f>_xlfn.XLOOKUP(J633,数据!E:E,数据!B:B)</f>
        <v>4</v>
      </c>
      <c r="C633" s="1" t="str">
        <f>_xlfn.XLOOKUP(J633,数据!E:E,数据!J:J)</f>
        <v>红单</v>
      </c>
      <c r="D633" s="1" t="str" cm="1">
        <f t="array" ref="D633">IF(OR(C633="红单",C633="空派"),_xlfn.IFS(E633="未开售","新品首批发货",F633&lt;E633,"新品首批发货",F633-E633&lt;=60,"新品期补货空运",F633-E633&gt;60,"老品应急空运"),"海运，不进行分析")</f>
        <v>新品期补货空运</v>
      </c>
      <c r="E633" s="2">
        <v>45997</v>
      </c>
      <c r="F633" s="2">
        <f>_xlfn.XLOOKUP(J633,数据!E:E,数据!C:C)</f>
        <v>46046</v>
      </c>
      <c r="G633" s="4">
        <v>94</v>
      </c>
      <c r="H633" s="4">
        <f t="shared" si="30"/>
        <v>6.58</v>
      </c>
      <c r="I633" s="4">
        <f>_xlfn.XLOOKUP(J633,数据!E:E,数据!S:S)*(H633/_xlfn.XLOOKUP(J633,数据!E:E,数据!X:X))</f>
        <v>503.351180447218</v>
      </c>
      <c r="J633" t="s">
        <v>478</v>
      </c>
      <c r="K633" t="s">
        <v>31</v>
      </c>
      <c r="L633" t="s">
        <v>2374</v>
      </c>
      <c r="M633" t="s">
        <v>6127</v>
      </c>
      <c r="N633" t="s">
        <v>2376</v>
      </c>
      <c r="O633" t="s">
        <v>2400</v>
      </c>
      <c r="P633" t="s">
        <v>2378</v>
      </c>
      <c r="Q633" t="s">
        <v>2379</v>
      </c>
      <c r="R633" t="s">
        <v>478</v>
      </c>
      <c r="S633" t="s">
        <v>2511</v>
      </c>
      <c r="T633" s="3" t="s">
        <v>6128</v>
      </c>
      <c r="U633" t="s">
        <v>6006</v>
      </c>
      <c r="V633" t="s">
        <v>6129</v>
      </c>
      <c r="W633" t="s">
        <v>6130</v>
      </c>
      <c r="X633" t="s">
        <v>2385</v>
      </c>
      <c r="Y633" t="s">
        <v>6131</v>
      </c>
      <c r="Z633" t="s">
        <v>2405</v>
      </c>
      <c r="AA633" t="s">
        <v>6128</v>
      </c>
      <c r="AB633" t="s">
        <v>5827</v>
      </c>
      <c r="AC633" t="s">
        <v>6132</v>
      </c>
      <c r="AD633" t="s">
        <v>5981</v>
      </c>
      <c r="AH633" t="s">
        <v>5982</v>
      </c>
      <c r="AI633" t="s">
        <v>5858</v>
      </c>
      <c r="AJ633" t="s">
        <v>6133</v>
      </c>
      <c r="AK633" t="s">
        <v>6134</v>
      </c>
      <c r="AL633" t="s">
        <v>6135</v>
      </c>
      <c r="AM633" t="s">
        <v>6136</v>
      </c>
      <c r="AN633" t="s">
        <v>6137</v>
      </c>
      <c r="AO633" t="s">
        <v>6133</v>
      </c>
      <c r="AP633">
        <v>70</v>
      </c>
      <c r="AQ633">
        <v>70</v>
      </c>
      <c r="AR633">
        <v>70</v>
      </c>
      <c r="AS633" t="s">
        <v>6138</v>
      </c>
      <c r="AT633">
        <v>0</v>
      </c>
      <c r="AU633">
        <v>0</v>
      </c>
      <c r="AV633">
        <v>0</v>
      </c>
    </row>
    <row r="634" spans="1:48">
      <c r="A634" s="1">
        <f>_xlfn.XLOOKUP(J634,数据!E:E,数据!A:A)</f>
        <v>1</v>
      </c>
      <c r="B634" s="1">
        <f>_xlfn.XLOOKUP(J634,数据!E:E,数据!B:B)</f>
        <v>4</v>
      </c>
      <c r="C634" s="1" t="str">
        <f>_xlfn.XLOOKUP(J634,数据!E:E,数据!J:J)</f>
        <v>红单</v>
      </c>
      <c r="D634" s="1" t="str" cm="1">
        <f t="array" ref="D634">IF(OR(C634="红单",C634="空派"),_xlfn.IFS(E634="未开售","新品首批发货",F634&lt;E634,"新品首批发货",F634-E634&lt;=60,"新品期补货空运",F634-E634&gt;60,"老品应急空运"),"海运，不进行分析")</f>
        <v>新品期补货空运</v>
      </c>
      <c r="E634" s="2">
        <v>46028</v>
      </c>
      <c r="F634" s="2">
        <f>_xlfn.XLOOKUP(J634,数据!E:E,数据!C:C)</f>
        <v>46046</v>
      </c>
      <c r="G634" s="4">
        <v>143</v>
      </c>
      <c r="H634" s="4">
        <f t="shared" si="30"/>
        <v>11.44</v>
      </c>
      <c r="I634" s="4">
        <f>_xlfn.XLOOKUP(J634,数据!E:E,数据!S:S)*(H634/_xlfn.XLOOKUP(J634,数据!E:E,数据!X:X))</f>
        <v>875.127280291212</v>
      </c>
      <c r="J634" t="s">
        <v>478</v>
      </c>
      <c r="K634" t="s">
        <v>31</v>
      </c>
      <c r="L634" t="s">
        <v>2374</v>
      </c>
      <c r="M634" t="s">
        <v>6127</v>
      </c>
      <c r="N634" t="s">
        <v>2376</v>
      </c>
      <c r="O634" t="s">
        <v>2400</v>
      </c>
      <c r="P634" t="s">
        <v>2378</v>
      </c>
      <c r="Q634" t="s">
        <v>2379</v>
      </c>
      <c r="R634" t="s">
        <v>478</v>
      </c>
      <c r="S634" t="s">
        <v>2511</v>
      </c>
      <c r="T634" s="3" t="s">
        <v>6128</v>
      </c>
      <c r="U634" t="s">
        <v>6006</v>
      </c>
      <c r="V634" t="s">
        <v>6129</v>
      </c>
      <c r="W634" t="s">
        <v>6130</v>
      </c>
      <c r="X634" t="s">
        <v>2385</v>
      </c>
      <c r="Y634" t="s">
        <v>6131</v>
      </c>
      <c r="Z634" t="s">
        <v>2405</v>
      </c>
      <c r="AA634" t="s">
        <v>6128</v>
      </c>
      <c r="AB634" t="s">
        <v>5827</v>
      </c>
      <c r="AC634" t="s">
        <v>6132</v>
      </c>
      <c r="AD634" t="s">
        <v>5981</v>
      </c>
      <c r="AH634" t="s">
        <v>5982</v>
      </c>
      <c r="AI634" t="s">
        <v>5858</v>
      </c>
      <c r="AJ634" t="s">
        <v>3920</v>
      </c>
      <c r="AK634" t="s">
        <v>3921</v>
      </c>
      <c r="AL634" t="s">
        <v>3922</v>
      </c>
      <c r="AM634" t="s">
        <v>2787</v>
      </c>
      <c r="AN634" t="s">
        <v>3923</v>
      </c>
      <c r="AO634" t="s">
        <v>3920</v>
      </c>
      <c r="AP634">
        <v>80</v>
      </c>
      <c r="AQ634">
        <v>80</v>
      </c>
      <c r="AR634">
        <v>80</v>
      </c>
      <c r="AS634" t="s">
        <v>6139</v>
      </c>
      <c r="AT634">
        <v>0</v>
      </c>
      <c r="AU634">
        <v>0</v>
      </c>
      <c r="AV634">
        <v>0</v>
      </c>
    </row>
    <row r="635" spans="1:48">
      <c r="A635" s="1">
        <f>_xlfn.XLOOKUP(J635,数据!E:E,数据!A:A)</f>
        <v>1</v>
      </c>
      <c r="B635" s="1">
        <f>_xlfn.XLOOKUP(J635,数据!E:E,数据!B:B)</f>
        <v>4</v>
      </c>
      <c r="C635" s="1" t="str">
        <f>_xlfn.XLOOKUP(J635,数据!E:E,数据!J:J)</f>
        <v>红单</v>
      </c>
      <c r="D635" s="1" t="str" cm="1">
        <f t="array" ref="D635">IF(OR(C635="红单",C635="空派"),_xlfn.IFS(E635="未开售","新品首批发货",F635&lt;E635,"新品首批发货",F635-E635&lt;=60,"新品期补货空运",F635-E635&gt;60,"老品应急空运"),"海运，不进行分析")</f>
        <v>新品期补货空运</v>
      </c>
      <c r="E635" s="2">
        <v>46030</v>
      </c>
      <c r="F635" s="2">
        <f>_xlfn.XLOOKUP(J635,数据!E:E,数据!C:C)</f>
        <v>46046</v>
      </c>
      <c r="G635" s="4">
        <v>146</v>
      </c>
      <c r="H635" s="4">
        <f t="shared" si="30"/>
        <v>5.84</v>
      </c>
      <c r="I635" s="4">
        <f>_xlfn.XLOOKUP(J635,数据!E:E,数据!S:S)*(H635/_xlfn.XLOOKUP(J635,数据!E:E,数据!X:X))</f>
        <v>446.743296931877</v>
      </c>
      <c r="J635" t="s">
        <v>478</v>
      </c>
      <c r="K635" t="s">
        <v>31</v>
      </c>
      <c r="L635" t="s">
        <v>2374</v>
      </c>
      <c r="M635" t="s">
        <v>6127</v>
      </c>
      <c r="N635" t="s">
        <v>2376</v>
      </c>
      <c r="O635" t="s">
        <v>2400</v>
      </c>
      <c r="P635" t="s">
        <v>2378</v>
      </c>
      <c r="Q635" t="s">
        <v>2379</v>
      </c>
      <c r="R635" t="s">
        <v>478</v>
      </c>
      <c r="S635" t="s">
        <v>2511</v>
      </c>
      <c r="T635" s="3" t="s">
        <v>6128</v>
      </c>
      <c r="U635" t="s">
        <v>6006</v>
      </c>
      <c r="V635" t="s">
        <v>6129</v>
      </c>
      <c r="W635" t="s">
        <v>6130</v>
      </c>
      <c r="X635" t="s">
        <v>2385</v>
      </c>
      <c r="Y635" t="s">
        <v>6131</v>
      </c>
      <c r="Z635" t="s">
        <v>2405</v>
      </c>
      <c r="AA635" t="s">
        <v>6128</v>
      </c>
      <c r="AB635" t="s">
        <v>5827</v>
      </c>
      <c r="AC635" t="s">
        <v>6132</v>
      </c>
      <c r="AD635" t="s">
        <v>5981</v>
      </c>
      <c r="AH635" t="s">
        <v>5982</v>
      </c>
      <c r="AI635" t="s">
        <v>5858</v>
      </c>
      <c r="AJ635" t="s">
        <v>3683</v>
      </c>
      <c r="AK635" t="s">
        <v>3684</v>
      </c>
      <c r="AL635" t="s">
        <v>3685</v>
      </c>
      <c r="AM635" t="s">
        <v>2787</v>
      </c>
      <c r="AN635" t="s">
        <v>3686</v>
      </c>
      <c r="AO635" t="s">
        <v>3683</v>
      </c>
      <c r="AP635">
        <v>40</v>
      </c>
      <c r="AQ635">
        <v>40</v>
      </c>
      <c r="AR635">
        <v>40</v>
      </c>
      <c r="AS635" t="s">
        <v>6085</v>
      </c>
      <c r="AT635">
        <v>0</v>
      </c>
      <c r="AU635">
        <v>0</v>
      </c>
      <c r="AV635">
        <v>0</v>
      </c>
    </row>
    <row r="636" spans="1:48">
      <c r="A636" s="1">
        <f>_xlfn.XLOOKUP(J636,数据!E:E,数据!A:A)</f>
        <v>1</v>
      </c>
      <c r="B636" s="1">
        <f>_xlfn.XLOOKUP(J636,数据!E:E,数据!B:B)</f>
        <v>4</v>
      </c>
      <c r="C636" s="1" t="str">
        <f>_xlfn.XLOOKUP(J636,数据!E:E,数据!J:J)</f>
        <v>红单</v>
      </c>
      <c r="D636" s="1" t="str" cm="1">
        <f t="array" ref="D636">IF(OR(C636="红单",C636="空派"),_xlfn.IFS(E636="未开售","新品首批发货",F636&lt;E636,"新品首批发货",F636-E636&lt;=60,"新品期补货空运",F636-E636&gt;60,"老品应急空运"),"海运，不进行分析")</f>
        <v>新品期补货空运</v>
      </c>
      <c r="E636" s="2">
        <v>46023</v>
      </c>
      <c r="F636" s="2">
        <f>_xlfn.XLOOKUP(J636,数据!E:E,数据!C:C)</f>
        <v>46046</v>
      </c>
      <c r="G636" s="4">
        <v>146</v>
      </c>
      <c r="H636" s="4">
        <f t="shared" si="30"/>
        <v>14.6</v>
      </c>
      <c r="I636" s="4">
        <f>_xlfn.XLOOKUP(J636,数据!E:E,数据!S:S)*(H636/_xlfn.XLOOKUP(J636,数据!E:E,数据!X:X))</f>
        <v>1116.85824232969</v>
      </c>
      <c r="J636" t="s">
        <v>478</v>
      </c>
      <c r="K636" t="s">
        <v>31</v>
      </c>
      <c r="L636" t="s">
        <v>2374</v>
      </c>
      <c r="M636" t="s">
        <v>6127</v>
      </c>
      <c r="N636" t="s">
        <v>2376</v>
      </c>
      <c r="O636" t="s">
        <v>2400</v>
      </c>
      <c r="P636" t="s">
        <v>2378</v>
      </c>
      <c r="Q636" t="s">
        <v>2379</v>
      </c>
      <c r="R636" t="s">
        <v>478</v>
      </c>
      <c r="S636" t="s">
        <v>2511</v>
      </c>
      <c r="T636" s="3" t="s">
        <v>6128</v>
      </c>
      <c r="U636" t="s">
        <v>6006</v>
      </c>
      <c r="V636" t="s">
        <v>6129</v>
      </c>
      <c r="W636" t="s">
        <v>6130</v>
      </c>
      <c r="X636" t="s">
        <v>2385</v>
      </c>
      <c r="Y636" t="s">
        <v>6131</v>
      </c>
      <c r="Z636" t="s">
        <v>2405</v>
      </c>
      <c r="AA636" t="s">
        <v>6128</v>
      </c>
      <c r="AB636" t="s">
        <v>5827</v>
      </c>
      <c r="AC636" t="s">
        <v>6132</v>
      </c>
      <c r="AD636" t="s">
        <v>5981</v>
      </c>
      <c r="AH636" t="s">
        <v>5982</v>
      </c>
      <c r="AI636" t="s">
        <v>5858</v>
      </c>
      <c r="AJ636" t="s">
        <v>6140</v>
      </c>
      <c r="AK636" t="s">
        <v>6141</v>
      </c>
      <c r="AL636" t="s">
        <v>6142</v>
      </c>
      <c r="AM636" t="s">
        <v>4948</v>
      </c>
      <c r="AN636" t="s">
        <v>6143</v>
      </c>
      <c r="AO636" t="s">
        <v>6140</v>
      </c>
      <c r="AP636">
        <v>100</v>
      </c>
      <c r="AQ636">
        <v>100</v>
      </c>
      <c r="AR636">
        <v>99</v>
      </c>
      <c r="AS636" t="s">
        <v>6144</v>
      </c>
      <c r="AT636">
        <v>0</v>
      </c>
      <c r="AU636">
        <v>-1</v>
      </c>
      <c r="AV636">
        <v>1</v>
      </c>
    </row>
    <row r="637" spans="1:48">
      <c r="A637" s="1">
        <f>_xlfn.XLOOKUP(J637,数据!E:E,数据!A:A)</f>
        <v>1</v>
      </c>
      <c r="B637" s="1">
        <f>_xlfn.XLOOKUP(J637,数据!E:E,数据!B:B)</f>
        <v>4</v>
      </c>
      <c r="C637" s="1" t="str">
        <f>_xlfn.XLOOKUP(J637,数据!E:E,数据!J:J)</f>
        <v>红单</v>
      </c>
      <c r="D637" s="1" t="str" cm="1">
        <f t="array" ref="D637">IF(OR(C637="红单",C637="空派"),_xlfn.IFS(E637="未开售","新品首批发货",F637&lt;E637,"新品首批发货",F637-E637&lt;=60,"新品期补货空运",F637-E637&gt;60,"老品应急空运"),"海运，不进行分析")</f>
        <v>新品首批发货</v>
      </c>
      <c r="E637" s="2">
        <v>46057</v>
      </c>
      <c r="F637" s="2">
        <f>_xlfn.XLOOKUP(J637,数据!E:E,数据!C:C)</f>
        <v>46046</v>
      </c>
      <c r="G637" s="4">
        <v>95</v>
      </c>
      <c r="H637" s="4">
        <f t="shared" si="30"/>
        <v>13.3</v>
      </c>
      <c r="I637" s="4">
        <f>_xlfn.XLOOKUP(J637,数据!E:E,数据!S:S)*(H637/_xlfn.XLOOKUP(J637,数据!E:E,数据!X:X))</f>
        <v>999.68</v>
      </c>
      <c r="J637" t="s">
        <v>476</v>
      </c>
      <c r="K637" t="s">
        <v>37</v>
      </c>
      <c r="L637" t="s">
        <v>2374</v>
      </c>
      <c r="M637" t="s">
        <v>6145</v>
      </c>
      <c r="N637" t="s">
        <v>2376</v>
      </c>
      <c r="O637" t="s">
        <v>2400</v>
      </c>
      <c r="P637" t="s">
        <v>2378</v>
      </c>
      <c r="Q637" t="s">
        <v>2379</v>
      </c>
      <c r="R637" t="s">
        <v>476</v>
      </c>
      <c r="S637" t="s">
        <v>2511</v>
      </c>
      <c r="T637" s="3" t="s">
        <v>6146</v>
      </c>
      <c r="U637" t="s">
        <v>6147</v>
      </c>
      <c r="V637" t="s">
        <v>6148</v>
      </c>
      <c r="W637" t="s">
        <v>6149</v>
      </c>
      <c r="X637" t="s">
        <v>2403</v>
      </c>
      <c r="Y637" t="s">
        <v>6150</v>
      </c>
      <c r="Z637" t="s">
        <v>2405</v>
      </c>
      <c r="AA637" t="s">
        <v>6146</v>
      </c>
      <c r="AB637" t="s">
        <v>6151</v>
      </c>
      <c r="AC637" t="s">
        <v>6152</v>
      </c>
      <c r="AD637" t="s">
        <v>5951</v>
      </c>
      <c r="AH637" t="s">
        <v>5982</v>
      </c>
      <c r="AI637" t="s">
        <v>5858</v>
      </c>
      <c r="AJ637" t="s">
        <v>6153</v>
      </c>
      <c r="AK637" t="s">
        <v>6154</v>
      </c>
      <c r="AL637" t="s">
        <v>6155</v>
      </c>
      <c r="AM637" t="s">
        <v>3492</v>
      </c>
      <c r="AN637" t="s">
        <v>6156</v>
      </c>
      <c r="AO637" t="s">
        <v>6153</v>
      </c>
      <c r="AP637">
        <v>140</v>
      </c>
      <c r="AQ637">
        <v>140</v>
      </c>
      <c r="AR637">
        <v>140</v>
      </c>
      <c r="AS637" t="s">
        <v>6157</v>
      </c>
      <c r="AT637">
        <v>0</v>
      </c>
      <c r="AU637">
        <v>0</v>
      </c>
      <c r="AV637">
        <v>0</v>
      </c>
    </row>
    <row r="638" spans="1:48">
      <c r="A638" s="1">
        <f>_xlfn.XLOOKUP(J638,数据!E:E,数据!A:A)</f>
        <v>1</v>
      </c>
      <c r="B638" s="1">
        <f>_xlfn.XLOOKUP(J638,数据!E:E,数据!B:B)</f>
        <v>4</v>
      </c>
      <c r="C638" s="1" t="str">
        <f>_xlfn.XLOOKUP(J638,数据!E:E,数据!J:J)</f>
        <v>红单</v>
      </c>
      <c r="D638" s="1" t="str" cm="1">
        <f t="array" ref="D638">IF(OR(C638="红单",C638="空派"),_xlfn.IFS(E638="未开售","新品首批发货",F638&lt;E638,"新品首批发货",F638-E638&lt;=60,"新品期补货空运",F638-E638&gt;60,"老品应急空运"),"海运，不进行分析")</f>
        <v>新品首批发货</v>
      </c>
      <c r="E638" s="2">
        <v>46056</v>
      </c>
      <c r="F638" s="2">
        <f>_xlfn.XLOOKUP(J638,数据!E:E,数据!C:C)</f>
        <v>46046</v>
      </c>
      <c r="G638" s="4">
        <v>95</v>
      </c>
      <c r="H638" s="4">
        <f t="shared" si="30"/>
        <v>13.3</v>
      </c>
      <c r="I638" s="4">
        <f>_xlfn.XLOOKUP(J638,数据!E:E,数据!S:S)*(H638/_xlfn.XLOOKUP(J638,数据!E:E,数据!X:X))</f>
        <v>999.68</v>
      </c>
      <c r="J638" t="s">
        <v>476</v>
      </c>
      <c r="K638" t="s">
        <v>37</v>
      </c>
      <c r="L638" t="s">
        <v>2374</v>
      </c>
      <c r="M638" t="s">
        <v>6145</v>
      </c>
      <c r="N638" t="s">
        <v>2376</v>
      </c>
      <c r="O638" t="s">
        <v>2400</v>
      </c>
      <c r="P638" t="s">
        <v>2378</v>
      </c>
      <c r="Q638" t="s">
        <v>2379</v>
      </c>
      <c r="R638" t="s">
        <v>476</v>
      </c>
      <c r="S638" t="s">
        <v>2511</v>
      </c>
      <c r="T638" s="3" t="s">
        <v>6146</v>
      </c>
      <c r="U638" t="s">
        <v>6147</v>
      </c>
      <c r="V638" t="s">
        <v>6148</v>
      </c>
      <c r="W638" t="s">
        <v>6149</v>
      </c>
      <c r="X638" t="s">
        <v>2403</v>
      </c>
      <c r="Y638" t="s">
        <v>6150</v>
      </c>
      <c r="Z638" t="s">
        <v>2405</v>
      </c>
      <c r="AA638" t="s">
        <v>6146</v>
      </c>
      <c r="AB638" t="s">
        <v>6151</v>
      </c>
      <c r="AC638" t="s">
        <v>6152</v>
      </c>
      <c r="AD638" t="s">
        <v>5951</v>
      </c>
      <c r="AH638" t="s">
        <v>5982</v>
      </c>
      <c r="AI638" t="s">
        <v>5858</v>
      </c>
      <c r="AJ638" t="s">
        <v>6158</v>
      </c>
      <c r="AK638" t="s">
        <v>6159</v>
      </c>
      <c r="AL638" t="s">
        <v>6160</v>
      </c>
      <c r="AM638" t="s">
        <v>3492</v>
      </c>
      <c r="AN638" t="s">
        <v>6161</v>
      </c>
      <c r="AO638" t="s">
        <v>6158</v>
      </c>
      <c r="AP638">
        <v>140</v>
      </c>
      <c r="AQ638">
        <v>140</v>
      </c>
      <c r="AR638">
        <v>140</v>
      </c>
      <c r="AS638" t="s">
        <v>6162</v>
      </c>
      <c r="AT638">
        <v>0</v>
      </c>
      <c r="AU638">
        <v>0</v>
      </c>
      <c r="AV638">
        <v>0</v>
      </c>
    </row>
    <row r="639" spans="1:48">
      <c r="A639" s="1">
        <f>_xlfn.XLOOKUP(J639,数据!E:E,数据!A:A)</f>
        <v>1</v>
      </c>
      <c r="B639" s="1">
        <f>_xlfn.XLOOKUP(J639,数据!E:E,数据!B:B)</f>
        <v>4</v>
      </c>
      <c r="C639" s="1" t="str">
        <f>_xlfn.XLOOKUP(J639,数据!E:E,数据!J:J)</f>
        <v>红单</v>
      </c>
      <c r="D639" s="1" t="str" cm="1">
        <f t="array" ref="D639">IF(OR(C639="红单",C639="空派"),_xlfn.IFS(E639="未开售","新品首批发货",F639&lt;E639,"新品首批发货",F639-E639&lt;=60,"新品期补货空运",F639-E639&gt;60,"老品应急空运"),"海运，不进行分析")</f>
        <v>新品首批发货</v>
      </c>
      <c r="E639" s="2">
        <v>46058</v>
      </c>
      <c r="F639" s="2">
        <f>_xlfn.XLOOKUP(J639,数据!E:E,数据!C:C)</f>
        <v>46046</v>
      </c>
      <c r="G639" s="4">
        <v>95</v>
      </c>
      <c r="H639" s="4">
        <f t="shared" si="30"/>
        <v>13.3</v>
      </c>
      <c r="I639" s="4">
        <f>_xlfn.XLOOKUP(J639,数据!E:E,数据!S:S)*(H639/_xlfn.XLOOKUP(J639,数据!E:E,数据!X:X))</f>
        <v>999.68</v>
      </c>
      <c r="J639" t="s">
        <v>476</v>
      </c>
      <c r="K639" t="s">
        <v>37</v>
      </c>
      <c r="L639" t="s">
        <v>2374</v>
      </c>
      <c r="M639" t="s">
        <v>6145</v>
      </c>
      <c r="N639" t="s">
        <v>2376</v>
      </c>
      <c r="O639" t="s">
        <v>2400</v>
      </c>
      <c r="P639" t="s">
        <v>2378</v>
      </c>
      <c r="Q639" t="s">
        <v>2379</v>
      </c>
      <c r="R639" t="s">
        <v>476</v>
      </c>
      <c r="S639" t="s">
        <v>2511</v>
      </c>
      <c r="T639" s="3" t="s">
        <v>6146</v>
      </c>
      <c r="U639" t="s">
        <v>6147</v>
      </c>
      <c r="V639" t="s">
        <v>6148</v>
      </c>
      <c r="W639" t="s">
        <v>6149</v>
      </c>
      <c r="X639" t="s">
        <v>2403</v>
      </c>
      <c r="Y639" t="s">
        <v>6150</v>
      </c>
      <c r="Z639" t="s">
        <v>2405</v>
      </c>
      <c r="AA639" t="s">
        <v>6146</v>
      </c>
      <c r="AB639" t="s">
        <v>6151</v>
      </c>
      <c r="AC639" t="s">
        <v>6152</v>
      </c>
      <c r="AD639" t="s">
        <v>5951</v>
      </c>
      <c r="AH639" t="s">
        <v>5982</v>
      </c>
      <c r="AI639" t="s">
        <v>5858</v>
      </c>
      <c r="AJ639" t="s">
        <v>6163</v>
      </c>
      <c r="AK639" t="s">
        <v>6164</v>
      </c>
      <c r="AL639" t="s">
        <v>6165</v>
      </c>
      <c r="AM639" t="s">
        <v>3492</v>
      </c>
      <c r="AN639" t="s">
        <v>6166</v>
      </c>
      <c r="AO639" t="s">
        <v>6163</v>
      </c>
      <c r="AP639">
        <v>140</v>
      </c>
      <c r="AQ639">
        <v>140</v>
      </c>
      <c r="AR639">
        <v>140</v>
      </c>
      <c r="AS639" t="s">
        <v>6167</v>
      </c>
      <c r="AT639">
        <v>0</v>
      </c>
      <c r="AU639">
        <v>0</v>
      </c>
      <c r="AV639">
        <v>0</v>
      </c>
    </row>
    <row r="640" spans="1:48">
      <c r="A640" s="1">
        <f>_xlfn.XLOOKUP(J640,数据!E:E,数据!A:A)</f>
        <v>1</v>
      </c>
      <c r="B640" s="1">
        <f>_xlfn.XLOOKUP(J640,数据!E:E,数据!B:B)</f>
        <v>4</v>
      </c>
      <c r="C640" s="1" t="str">
        <f>_xlfn.XLOOKUP(J640,数据!E:E,数据!J:J)</f>
        <v>红单</v>
      </c>
      <c r="D640" s="1" t="str" cm="1">
        <f t="array" ref="D640">IF(OR(C640="红单",C640="空派"),_xlfn.IFS(E640="未开售","新品首批发货",F640&lt;E640,"新品首批发货",F640-E640&lt;=60,"新品期补货空运",F640-E640&gt;60,"老品应急空运"),"海运，不进行分析")</f>
        <v>新品首批发货</v>
      </c>
      <c r="E640" s="2">
        <v>46060</v>
      </c>
      <c r="F640" s="2">
        <f>_xlfn.XLOOKUP(J640,数据!E:E,数据!C:C)</f>
        <v>46046</v>
      </c>
      <c r="G640" s="4">
        <v>95</v>
      </c>
      <c r="H640" s="4">
        <f t="shared" si="30"/>
        <v>13.3</v>
      </c>
      <c r="I640" s="4">
        <f>_xlfn.XLOOKUP(J640,数据!E:E,数据!S:S)*(H640/_xlfn.XLOOKUP(J640,数据!E:E,数据!X:X))</f>
        <v>999.68</v>
      </c>
      <c r="J640" t="s">
        <v>476</v>
      </c>
      <c r="K640" t="s">
        <v>37</v>
      </c>
      <c r="L640" t="s">
        <v>2374</v>
      </c>
      <c r="M640" t="s">
        <v>6145</v>
      </c>
      <c r="N640" t="s">
        <v>2376</v>
      </c>
      <c r="O640" t="s">
        <v>2400</v>
      </c>
      <c r="P640" t="s">
        <v>2378</v>
      </c>
      <c r="Q640" t="s">
        <v>2379</v>
      </c>
      <c r="R640" t="s">
        <v>476</v>
      </c>
      <c r="S640" t="s">
        <v>2511</v>
      </c>
      <c r="T640" s="3" t="s">
        <v>6146</v>
      </c>
      <c r="U640" t="s">
        <v>6147</v>
      </c>
      <c r="V640" t="s">
        <v>6148</v>
      </c>
      <c r="W640" t="s">
        <v>6149</v>
      </c>
      <c r="X640" t="s">
        <v>2403</v>
      </c>
      <c r="Y640" t="s">
        <v>6150</v>
      </c>
      <c r="Z640" t="s">
        <v>2405</v>
      </c>
      <c r="AA640" t="s">
        <v>6146</v>
      </c>
      <c r="AB640" t="s">
        <v>6151</v>
      </c>
      <c r="AC640" t="s">
        <v>6152</v>
      </c>
      <c r="AD640" t="s">
        <v>5951</v>
      </c>
      <c r="AH640" t="s">
        <v>5982</v>
      </c>
      <c r="AI640" t="s">
        <v>5858</v>
      </c>
      <c r="AJ640" t="s">
        <v>6168</v>
      </c>
      <c r="AK640" t="s">
        <v>6169</v>
      </c>
      <c r="AL640" t="s">
        <v>6170</v>
      </c>
      <c r="AM640" t="s">
        <v>3492</v>
      </c>
      <c r="AN640" t="s">
        <v>6171</v>
      </c>
      <c r="AO640" t="s">
        <v>6168</v>
      </c>
      <c r="AP640">
        <v>140</v>
      </c>
      <c r="AQ640">
        <v>140</v>
      </c>
      <c r="AR640">
        <v>140</v>
      </c>
      <c r="AS640" t="s">
        <v>6172</v>
      </c>
      <c r="AT640">
        <v>0</v>
      </c>
      <c r="AU640">
        <v>0</v>
      </c>
      <c r="AV640">
        <v>0</v>
      </c>
    </row>
    <row r="641" spans="1:48">
      <c r="A641" s="1">
        <f>_xlfn.XLOOKUP(J641,数据!E:E,数据!A:A)</f>
        <v>1</v>
      </c>
      <c r="B641" s="1">
        <f>_xlfn.XLOOKUP(J641,数据!E:E,数据!B:B)</f>
        <v>4</v>
      </c>
      <c r="C641" s="1" t="str">
        <f>_xlfn.XLOOKUP(J641,数据!E:E,数据!J:J)</f>
        <v>红单</v>
      </c>
      <c r="D641" s="1" t="str" cm="1">
        <f t="array" ref="D641">IF(OR(C641="红单",C641="空派"),_xlfn.IFS(E641="未开售","新品首批发货",F641&lt;E641,"新品首批发货",F641-E641&lt;=60,"新品期补货空运",F641-E641&gt;60,"老品应急空运"),"海运，不进行分析")</f>
        <v>新品首批发货</v>
      </c>
      <c r="E641" s="2">
        <v>46060</v>
      </c>
      <c r="F641" s="2">
        <f>_xlfn.XLOOKUP(J641,数据!E:E,数据!C:C)</f>
        <v>46046</v>
      </c>
      <c r="G641" s="4">
        <v>87</v>
      </c>
      <c r="H641" s="4">
        <f t="shared" si="30"/>
        <v>13.05</v>
      </c>
      <c r="I641" s="4">
        <f>_xlfn.XLOOKUP(J641,数据!E:E,数据!S:S)*(H641/_xlfn.XLOOKUP(J641,数据!E:E,数据!X:X))</f>
        <v>1048.8</v>
      </c>
      <c r="J641" t="s">
        <v>479</v>
      </c>
      <c r="K641" t="s">
        <v>37</v>
      </c>
      <c r="L641" t="s">
        <v>2374</v>
      </c>
      <c r="M641" t="s">
        <v>6173</v>
      </c>
      <c r="N641" t="s">
        <v>2376</v>
      </c>
      <c r="O641" t="s">
        <v>2377</v>
      </c>
      <c r="P641" t="s">
        <v>2378</v>
      </c>
      <c r="Q641" t="s">
        <v>2379</v>
      </c>
      <c r="R641" t="s">
        <v>479</v>
      </c>
      <c r="S641" t="s">
        <v>2511</v>
      </c>
      <c r="T641" s="3" t="s">
        <v>6174</v>
      </c>
      <c r="U641" t="s">
        <v>6147</v>
      </c>
      <c r="V641" t="s">
        <v>6175</v>
      </c>
      <c r="W641" t="s">
        <v>6176</v>
      </c>
      <c r="X641" t="s">
        <v>2403</v>
      </c>
      <c r="Y641" t="s">
        <v>6177</v>
      </c>
      <c r="Z641" t="s">
        <v>2405</v>
      </c>
      <c r="AA641" t="s">
        <v>6174</v>
      </c>
      <c r="AB641" t="s">
        <v>6178</v>
      </c>
      <c r="AC641" t="s">
        <v>6179</v>
      </c>
      <c r="AD641" t="s">
        <v>5981</v>
      </c>
      <c r="AH641" t="s">
        <v>5982</v>
      </c>
      <c r="AI641" t="s">
        <v>5858</v>
      </c>
      <c r="AJ641" t="s">
        <v>2413</v>
      </c>
      <c r="AK641" t="s">
        <v>2414</v>
      </c>
      <c r="AL641" t="s">
        <v>2415</v>
      </c>
      <c r="AM641" t="s">
        <v>2415</v>
      </c>
      <c r="AN641" t="s">
        <v>2416</v>
      </c>
      <c r="AO641" t="s">
        <v>2413</v>
      </c>
      <c r="AP641">
        <v>150</v>
      </c>
      <c r="AQ641">
        <v>150</v>
      </c>
      <c r="AR641">
        <v>150</v>
      </c>
      <c r="AS641" t="s">
        <v>6180</v>
      </c>
      <c r="AT641">
        <v>0</v>
      </c>
      <c r="AU641">
        <v>0</v>
      </c>
      <c r="AV641">
        <v>0</v>
      </c>
    </row>
    <row r="642" spans="1:48">
      <c r="A642" s="1">
        <f>_xlfn.XLOOKUP(J642,数据!E:E,数据!A:A)</f>
        <v>1</v>
      </c>
      <c r="B642" s="1">
        <f>_xlfn.XLOOKUP(J642,数据!E:E,数据!B:B)</f>
        <v>4</v>
      </c>
      <c r="C642" s="1" t="str">
        <f>_xlfn.XLOOKUP(J642,数据!E:E,数据!J:J)</f>
        <v>红单</v>
      </c>
      <c r="D642" s="1" t="str" cm="1">
        <f t="array" ref="D642">IF(OR(C642="红单",C642="空派"),_xlfn.IFS(E642="未开售","新品首批发货",F642&lt;E642,"新品首批发货",F642-E642&lt;=60,"新品期补货空运",F642-E642&gt;60,"老品应急空运"),"海运，不进行分析")</f>
        <v>老品应急空运</v>
      </c>
      <c r="E642" s="2">
        <v>45968</v>
      </c>
      <c r="F642" s="2">
        <f>_xlfn.XLOOKUP(J642,数据!E:E,数据!C:C)</f>
        <v>46045</v>
      </c>
      <c r="G642" s="4">
        <v>353</v>
      </c>
      <c r="H642" s="4">
        <f t="shared" si="30"/>
        <v>21.18</v>
      </c>
      <c r="I642" s="4">
        <f>_xlfn.XLOOKUP(J642,数据!E:E,数据!S:S)*(H642/_xlfn.XLOOKUP(J642,数据!E:E,数据!X:X))</f>
        <v>1485.88666666667</v>
      </c>
      <c r="J642" t="s">
        <v>473</v>
      </c>
      <c r="K642" t="s">
        <v>46</v>
      </c>
      <c r="L642" t="s">
        <v>2374</v>
      </c>
      <c r="M642" t="s">
        <v>6181</v>
      </c>
      <c r="N642" t="s">
        <v>2376</v>
      </c>
      <c r="O642" t="s">
        <v>2377</v>
      </c>
      <c r="P642" t="s">
        <v>2378</v>
      </c>
      <c r="Q642" t="s">
        <v>2379</v>
      </c>
      <c r="R642" t="s">
        <v>6182</v>
      </c>
      <c r="S642" t="s">
        <v>2511</v>
      </c>
      <c r="T642" s="3" t="s">
        <v>6183</v>
      </c>
      <c r="U642" t="s">
        <v>6184</v>
      </c>
      <c r="V642" t="s">
        <v>6185</v>
      </c>
      <c r="W642" t="s">
        <v>6186</v>
      </c>
      <c r="X642" t="s">
        <v>2403</v>
      </c>
      <c r="Y642" t="s">
        <v>6187</v>
      </c>
      <c r="Z642" t="s">
        <v>2405</v>
      </c>
      <c r="AA642" t="s">
        <v>6183</v>
      </c>
      <c r="AB642" t="s">
        <v>5836</v>
      </c>
      <c r="AC642" t="s">
        <v>6188</v>
      </c>
      <c r="AD642" t="s">
        <v>5997</v>
      </c>
      <c r="AH642" t="s">
        <v>5982</v>
      </c>
      <c r="AI642" t="s">
        <v>5858</v>
      </c>
      <c r="AJ642" t="s">
        <v>5480</v>
      </c>
      <c r="AK642" t="s">
        <v>5481</v>
      </c>
      <c r="AL642" t="s">
        <v>5482</v>
      </c>
      <c r="AM642" t="s">
        <v>5482</v>
      </c>
      <c r="AN642" t="s">
        <v>5483</v>
      </c>
      <c r="AO642" t="s">
        <v>5480</v>
      </c>
      <c r="AP642">
        <v>60</v>
      </c>
      <c r="AQ642">
        <v>60</v>
      </c>
      <c r="AR642">
        <v>60</v>
      </c>
      <c r="AS642" t="s">
        <v>6189</v>
      </c>
      <c r="AT642">
        <v>0</v>
      </c>
      <c r="AU642">
        <v>0</v>
      </c>
      <c r="AV642">
        <v>0</v>
      </c>
    </row>
    <row r="643" spans="1:48">
      <c r="A643" s="1">
        <f>_xlfn.XLOOKUP(J643,数据!E:E,数据!A:A)</f>
        <v>1</v>
      </c>
      <c r="B643" s="1">
        <f>_xlfn.XLOOKUP(J643,数据!E:E,数据!B:B)</f>
        <v>4</v>
      </c>
      <c r="C643" s="1" t="str">
        <f>_xlfn.XLOOKUP(J643,数据!E:E,数据!J:J)</f>
        <v>空派</v>
      </c>
      <c r="D643" s="1" t="str" cm="1">
        <f t="array" ref="D643">IF(OR(C643="红单",C643="空派"),_xlfn.IFS(E643="未开售","新品首批发货",F643&lt;E643,"新品首批发货",F643-E643&lt;=60,"新品期补货空运",F643-E643&gt;60,"老品应急空运"),"海运，不进行分析")</f>
        <v>老品应急空运</v>
      </c>
      <c r="E643" s="2">
        <v>45968</v>
      </c>
      <c r="F643" s="2">
        <f>_xlfn.XLOOKUP(J643,数据!E:E,数据!C:C)</f>
        <v>46046</v>
      </c>
      <c r="G643" s="4">
        <v>353</v>
      </c>
      <c r="H643" s="4">
        <f t="shared" si="30"/>
        <v>31.77</v>
      </c>
      <c r="I643" s="4">
        <f>_xlfn.XLOOKUP(J643,数据!E:E,数据!S:S)*(H643/_xlfn.XLOOKUP(J643,数据!E:E,数据!X:X))</f>
        <v>1524.63</v>
      </c>
      <c r="J643" t="s">
        <v>487</v>
      </c>
      <c r="K643" t="s">
        <v>46</v>
      </c>
      <c r="L643" t="s">
        <v>2374</v>
      </c>
      <c r="M643" t="s">
        <v>6190</v>
      </c>
      <c r="N643" t="s">
        <v>2376</v>
      </c>
      <c r="O643" t="s">
        <v>2377</v>
      </c>
      <c r="P643" t="s">
        <v>2378</v>
      </c>
      <c r="Q643" t="s">
        <v>2379</v>
      </c>
      <c r="S643" t="s">
        <v>2511</v>
      </c>
      <c r="T643" s="3" t="s">
        <v>6191</v>
      </c>
      <c r="U643" t="s">
        <v>6192</v>
      </c>
      <c r="V643" t="s">
        <v>6193</v>
      </c>
      <c r="W643" t="s">
        <v>6194</v>
      </c>
      <c r="X643" t="s">
        <v>2403</v>
      </c>
      <c r="Y643" t="s">
        <v>6195</v>
      </c>
      <c r="Z643" t="s">
        <v>2405</v>
      </c>
      <c r="AA643" t="s">
        <v>6191</v>
      </c>
      <c r="AB643" t="s">
        <v>5339</v>
      </c>
      <c r="AC643" t="s">
        <v>6196</v>
      </c>
      <c r="AD643" t="s">
        <v>5226</v>
      </c>
      <c r="AG643" t="s">
        <v>2432</v>
      </c>
      <c r="AH643" t="s">
        <v>5858</v>
      </c>
      <c r="AI643" t="s">
        <v>5693</v>
      </c>
      <c r="AJ643" t="s">
        <v>5480</v>
      </c>
      <c r="AK643" t="s">
        <v>5481</v>
      </c>
      <c r="AL643" t="s">
        <v>5482</v>
      </c>
      <c r="AM643" t="s">
        <v>5482</v>
      </c>
      <c r="AN643" t="s">
        <v>5483</v>
      </c>
      <c r="AO643" t="s">
        <v>5480</v>
      </c>
      <c r="AP643">
        <v>90</v>
      </c>
      <c r="AQ643">
        <v>90</v>
      </c>
      <c r="AR643">
        <v>90</v>
      </c>
      <c r="AS643" t="s">
        <v>6197</v>
      </c>
      <c r="AT643">
        <v>0</v>
      </c>
      <c r="AU643">
        <v>0</v>
      </c>
      <c r="AV643">
        <v>0</v>
      </c>
    </row>
    <row r="644" spans="1:48">
      <c r="A644" s="1">
        <f>_xlfn.XLOOKUP(J644,数据!E:E,数据!A:A)</f>
        <v>1</v>
      </c>
      <c r="B644" s="1">
        <f>_xlfn.XLOOKUP(J644,数据!E:E,数据!B:B)</f>
        <v>4</v>
      </c>
      <c r="C644" s="1" t="str">
        <f>_xlfn.XLOOKUP(J644,数据!E:E,数据!J:J)</f>
        <v>空派</v>
      </c>
      <c r="D644" s="1" t="str" cm="1">
        <f t="array" ref="D644">IF(OR(C644="红单",C644="空派"),_xlfn.IFS(E644="未开售","新品首批发货",F644&lt;E644,"新品首批发货",F644-E644&lt;=60,"新品期补货空运",F644-E644&gt;60,"老品应急空运"),"海运，不进行分析")</f>
        <v>新品期补货空运</v>
      </c>
      <c r="E644" s="2">
        <v>46017</v>
      </c>
      <c r="F644" s="2">
        <f>_xlfn.XLOOKUP(J644,数据!E:E,数据!C:C)</f>
        <v>46046</v>
      </c>
      <c r="G644" s="4">
        <v>107</v>
      </c>
      <c r="H644" s="4">
        <f t="shared" si="30"/>
        <v>4.815</v>
      </c>
      <c r="I644" s="4">
        <f>_xlfn.XLOOKUP(J644,数据!E:E,数据!S:S)*(H644/_xlfn.XLOOKUP(J644,数据!E:E,数据!X:X))</f>
        <v>266.627331831349</v>
      </c>
      <c r="J644" t="s">
        <v>486</v>
      </c>
      <c r="K644" t="s">
        <v>51</v>
      </c>
      <c r="L644" t="s">
        <v>2374</v>
      </c>
      <c r="M644" t="s">
        <v>6198</v>
      </c>
      <c r="N644" t="s">
        <v>2376</v>
      </c>
      <c r="O644" t="s">
        <v>2400</v>
      </c>
      <c r="P644" t="s">
        <v>2378</v>
      </c>
      <c r="Q644" t="s">
        <v>2379</v>
      </c>
      <c r="S644" t="s">
        <v>2511</v>
      </c>
      <c r="T644" s="3" t="s">
        <v>6199</v>
      </c>
      <c r="U644" t="s">
        <v>6098</v>
      </c>
      <c r="V644" t="s">
        <v>6200</v>
      </c>
      <c r="W644" t="s">
        <v>6201</v>
      </c>
      <c r="X644" t="s">
        <v>2403</v>
      </c>
      <c r="Y644" t="s">
        <v>6202</v>
      </c>
      <c r="Z644" t="s">
        <v>2405</v>
      </c>
      <c r="AA644" t="s">
        <v>6199</v>
      </c>
      <c r="AB644" t="s">
        <v>6203</v>
      </c>
      <c r="AC644" t="s">
        <v>6204</v>
      </c>
      <c r="AD644" t="s">
        <v>5226</v>
      </c>
      <c r="AG644" t="s">
        <v>2432</v>
      </c>
      <c r="AH644" t="s">
        <v>5858</v>
      </c>
      <c r="AI644" t="s">
        <v>5693</v>
      </c>
      <c r="AJ644" t="s">
        <v>6205</v>
      </c>
      <c r="AK644" t="s">
        <v>6206</v>
      </c>
      <c r="AL644" t="s">
        <v>6207</v>
      </c>
      <c r="AM644" t="s">
        <v>2590</v>
      </c>
      <c r="AN644" t="s">
        <v>6208</v>
      </c>
      <c r="AO644" t="s">
        <v>6205</v>
      </c>
      <c r="AP644">
        <v>45</v>
      </c>
      <c r="AQ644">
        <v>45</v>
      </c>
      <c r="AR644">
        <v>45</v>
      </c>
      <c r="AS644" t="s">
        <v>6209</v>
      </c>
      <c r="AT644">
        <v>0</v>
      </c>
      <c r="AU644">
        <v>0</v>
      </c>
      <c r="AV644">
        <v>0</v>
      </c>
    </row>
    <row r="645" spans="1:48">
      <c r="A645" s="1">
        <f>_xlfn.XLOOKUP(J645,数据!E:E,数据!A:A)</f>
        <v>1</v>
      </c>
      <c r="B645" s="1">
        <f>_xlfn.XLOOKUP(J645,数据!E:E,数据!B:B)</f>
        <v>4</v>
      </c>
      <c r="C645" s="1" t="str">
        <f>_xlfn.XLOOKUP(J645,数据!E:E,数据!J:J)</f>
        <v>空派</v>
      </c>
      <c r="D645" s="1" t="str" cm="1">
        <f t="array" ref="D645">IF(OR(C645="红单",C645="空派"),_xlfn.IFS(E645="未开售","新品首批发货",F645&lt;E645,"新品首批发货",F645-E645&lt;=60,"新品期补货空运",F645-E645&gt;60,"老品应急空运"),"海运，不进行分析")</f>
        <v>新品期补货空运</v>
      </c>
      <c r="E645" s="2">
        <v>46017</v>
      </c>
      <c r="F645" s="2">
        <f>_xlfn.XLOOKUP(J645,数据!E:E,数据!C:C)</f>
        <v>46046</v>
      </c>
      <c r="G645" s="4">
        <v>107</v>
      </c>
      <c r="H645" s="4">
        <f t="shared" si="30"/>
        <v>2.14</v>
      </c>
      <c r="I645" s="4">
        <f>_xlfn.XLOOKUP(J645,数据!E:E,数据!S:S)*(H645/_xlfn.XLOOKUP(J645,数据!E:E,数据!X:X))</f>
        <v>118.501036369488</v>
      </c>
      <c r="J645" t="s">
        <v>486</v>
      </c>
      <c r="K645" t="s">
        <v>51</v>
      </c>
      <c r="L645" t="s">
        <v>2374</v>
      </c>
      <c r="M645" t="s">
        <v>6198</v>
      </c>
      <c r="N645" t="s">
        <v>2376</v>
      </c>
      <c r="O645" t="s">
        <v>2400</v>
      </c>
      <c r="P645" t="s">
        <v>2378</v>
      </c>
      <c r="Q645" t="s">
        <v>2379</v>
      </c>
      <c r="S645" t="s">
        <v>2511</v>
      </c>
      <c r="T645" s="3" t="s">
        <v>6199</v>
      </c>
      <c r="U645" t="s">
        <v>6098</v>
      </c>
      <c r="V645" t="s">
        <v>6200</v>
      </c>
      <c r="W645" t="s">
        <v>6201</v>
      </c>
      <c r="X645" t="s">
        <v>2403</v>
      </c>
      <c r="Y645" t="s">
        <v>6202</v>
      </c>
      <c r="Z645" t="s">
        <v>2405</v>
      </c>
      <c r="AA645" t="s">
        <v>6199</v>
      </c>
      <c r="AB645" t="s">
        <v>6203</v>
      </c>
      <c r="AC645" t="s">
        <v>6204</v>
      </c>
      <c r="AD645" t="s">
        <v>5226</v>
      </c>
      <c r="AG645" t="s">
        <v>2432</v>
      </c>
      <c r="AH645" t="s">
        <v>5858</v>
      </c>
      <c r="AI645" t="s">
        <v>5693</v>
      </c>
      <c r="AJ645" t="s">
        <v>6210</v>
      </c>
      <c r="AK645" t="s">
        <v>6211</v>
      </c>
      <c r="AL645" t="s">
        <v>6212</v>
      </c>
      <c r="AM645" t="s">
        <v>2590</v>
      </c>
      <c r="AN645" t="s">
        <v>6213</v>
      </c>
      <c r="AO645" t="s">
        <v>6210</v>
      </c>
      <c r="AP645">
        <v>20</v>
      </c>
      <c r="AQ645">
        <v>20</v>
      </c>
      <c r="AR645">
        <v>20</v>
      </c>
      <c r="AS645" t="s">
        <v>6214</v>
      </c>
      <c r="AT645">
        <v>0</v>
      </c>
      <c r="AU645">
        <v>0</v>
      </c>
      <c r="AV645">
        <v>0</v>
      </c>
    </row>
    <row r="646" spans="1:48">
      <c r="A646" s="1">
        <f>_xlfn.XLOOKUP(J646,数据!E:E,数据!A:A)</f>
        <v>1</v>
      </c>
      <c r="B646" s="1">
        <f>_xlfn.XLOOKUP(J646,数据!E:E,数据!B:B)</f>
        <v>4</v>
      </c>
      <c r="C646" s="1" t="str">
        <f>_xlfn.XLOOKUP(J646,数据!E:E,数据!J:J)</f>
        <v>空派</v>
      </c>
      <c r="D646" s="1" t="str" cm="1">
        <f t="array" ref="D646">IF(OR(C646="红单",C646="空派"),_xlfn.IFS(E646="未开售","新品首批发货",F646&lt;E646,"新品首批发货",F646-E646&lt;=60,"新品期补货空运",F646-E646&gt;60,"老品应急空运"),"海运，不进行分析")</f>
        <v>新品期补货空运</v>
      </c>
      <c r="E646" s="2">
        <v>46017</v>
      </c>
      <c r="F646" s="2">
        <f>_xlfn.XLOOKUP(J646,数据!E:E,数据!C:C)</f>
        <v>46046</v>
      </c>
      <c r="G646" s="4">
        <v>108</v>
      </c>
      <c r="H646" s="4">
        <f t="shared" si="30"/>
        <v>2.16</v>
      </c>
      <c r="I646" s="4">
        <f>_xlfn.XLOOKUP(J646,数据!E:E,数据!S:S)*(H646/_xlfn.XLOOKUP(J646,数据!E:E,数据!X:X))</f>
        <v>119.608522690698</v>
      </c>
      <c r="J646" t="s">
        <v>486</v>
      </c>
      <c r="K646" t="s">
        <v>51</v>
      </c>
      <c r="L646" t="s">
        <v>2374</v>
      </c>
      <c r="M646" t="s">
        <v>6198</v>
      </c>
      <c r="N646" t="s">
        <v>2376</v>
      </c>
      <c r="O646" t="s">
        <v>2400</v>
      </c>
      <c r="P646" t="s">
        <v>2378</v>
      </c>
      <c r="Q646" t="s">
        <v>2379</v>
      </c>
      <c r="S646" t="s">
        <v>2511</v>
      </c>
      <c r="T646" s="3" t="s">
        <v>6199</v>
      </c>
      <c r="U646" t="s">
        <v>6098</v>
      </c>
      <c r="V646" t="s">
        <v>6200</v>
      </c>
      <c r="W646" t="s">
        <v>6201</v>
      </c>
      <c r="X646" t="s">
        <v>2403</v>
      </c>
      <c r="Y646" t="s">
        <v>6202</v>
      </c>
      <c r="Z646" t="s">
        <v>2405</v>
      </c>
      <c r="AA646" t="s">
        <v>6199</v>
      </c>
      <c r="AB646" t="s">
        <v>6203</v>
      </c>
      <c r="AC646" t="s">
        <v>6204</v>
      </c>
      <c r="AD646" t="s">
        <v>5226</v>
      </c>
      <c r="AG646" t="s">
        <v>2432</v>
      </c>
      <c r="AH646" t="s">
        <v>5858</v>
      </c>
      <c r="AI646" t="s">
        <v>5693</v>
      </c>
      <c r="AJ646" t="s">
        <v>6215</v>
      </c>
      <c r="AK646" t="s">
        <v>6216</v>
      </c>
      <c r="AL646" t="s">
        <v>6217</v>
      </c>
      <c r="AM646" t="s">
        <v>2590</v>
      </c>
      <c r="AN646" t="s">
        <v>6218</v>
      </c>
      <c r="AO646" t="s">
        <v>6215</v>
      </c>
      <c r="AP646">
        <v>20</v>
      </c>
      <c r="AQ646">
        <v>20</v>
      </c>
      <c r="AR646">
        <v>20</v>
      </c>
      <c r="AS646" t="s">
        <v>6214</v>
      </c>
      <c r="AT646">
        <v>0</v>
      </c>
      <c r="AU646">
        <v>0</v>
      </c>
      <c r="AV646">
        <v>0</v>
      </c>
    </row>
    <row r="647" spans="1:48">
      <c r="A647" s="1">
        <f>_xlfn.XLOOKUP(J647,数据!E:E,数据!A:A)</f>
        <v>1</v>
      </c>
      <c r="B647" s="1">
        <f>_xlfn.XLOOKUP(J647,数据!E:E,数据!B:B)</f>
        <v>4</v>
      </c>
      <c r="C647" s="1" t="str">
        <f>_xlfn.XLOOKUP(J647,数据!E:E,数据!J:J)</f>
        <v>空派</v>
      </c>
      <c r="D647" s="1" t="str" cm="1">
        <f t="array" ref="D647">IF(OR(C647="红单",C647="空派"),_xlfn.IFS(E647="未开售","新品首批发货",F647&lt;E647,"新品首批发货",F647-E647&lt;=60,"新品期补货空运",F647-E647&gt;60,"老品应急空运"),"海运，不进行分析")</f>
        <v>新品期补货空运</v>
      </c>
      <c r="E647" s="2">
        <v>46017</v>
      </c>
      <c r="F647" s="2">
        <f>_xlfn.XLOOKUP(J647,数据!E:E,数据!C:C)</f>
        <v>46046</v>
      </c>
      <c r="G647" s="4">
        <v>107</v>
      </c>
      <c r="H647" s="4">
        <f t="shared" si="30"/>
        <v>6.42</v>
      </c>
      <c r="I647" s="4">
        <f>_xlfn.XLOOKUP(J647,数据!E:E,数据!S:S)*(H647/_xlfn.XLOOKUP(J647,数据!E:E,数据!X:X))</f>
        <v>355.503109108465</v>
      </c>
      <c r="J647" t="s">
        <v>486</v>
      </c>
      <c r="K647" t="s">
        <v>51</v>
      </c>
      <c r="L647" t="s">
        <v>2374</v>
      </c>
      <c r="M647" t="s">
        <v>6198</v>
      </c>
      <c r="N647" t="s">
        <v>2376</v>
      </c>
      <c r="O647" t="s">
        <v>2400</v>
      </c>
      <c r="P647" t="s">
        <v>2378</v>
      </c>
      <c r="Q647" t="s">
        <v>2379</v>
      </c>
      <c r="S647" t="s">
        <v>2511</v>
      </c>
      <c r="T647" s="3" t="s">
        <v>6199</v>
      </c>
      <c r="U647" t="s">
        <v>6098</v>
      </c>
      <c r="V647" t="s">
        <v>6200</v>
      </c>
      <c r="W647" t="s">
        <v>6201</v>
      </c>
      <c r="X647" t="s">
        <v>2403</v>
      </c>
      <c r="Y647" t="s">
        <v>6202</v>
      </c>
      <c r="Z647" t="s">
        <v>2405</v>
      </c>
      <c r="AA647" t="s">
        <v>6199</v>
      </c>
      <c r="AB647" t="s">
        <v>6203</v>
      </c>
      <c r="AC647" t="s">
        <v>6204</v>
      </c>
      <c r="AD647" t="s">
        <v>5226</v>
      </c>
      <c r="AG647" t="s">
        <v>2432</v>
      </c>
      <c r="AH647" t="s">
        <v>5858</v>
      </c>
      <c r="AI647" t="s">
        <v>5693</v>
      </c>
      <c r="AJ647" t="s">
        <v>6219</v>
      </c>
      <c r="AK647" t="s">
        <v>6220</v>
      </c>
      <c r="AL647" t="s">
        <v>6221</v>
      </c>
      <c r="AM647" t="s">
        <v>2590</v>
      </c>
      <c r="AN647" t="s">
        <v>6222</v>
      </c>
      <c r="AO647" t="s">
        <v>6219</v>
      </c>
      <c r="AP647">
        <v>60</v>
      </c>
      <c r="AQ647">
        <v>60</v>
      </c>
      <c r="AR647">
        <v>60</v>
      </c>
      <c r="AS647" t="s">
        <v>6223</v>
      </c>
      <c r="AT647">
        <v>0</v>
      </c>
      <c r="AU647">
        <v>0</v>
      </c>
      <c r="AV647">
        <v>0</v>
      </c>
    </row>
    <row r="648" spans="1:48">
      <c r="A648" s="1">
        <f>_xlfn.XLOOKUP(J648,数据!E:E,数据!A:A)</f>
        <v>1</v>
      </c>
      <c r="B648" s="1">
        <f>_xlfn.XLOOKUP(J648,数据!E:E,数据!B:B)</f>
        <v>4</v>
      </c>
      <c r="C648" s="1" t="str">
        <f>_xlfn.XLOOKUP(J648,数据!E:E,数据!J:J)</f>
        <v>空派</v>
      </c>
      <c r="D648" s="1" t="str" cm="1">
        <f t="array" ref="D648">IF(OR(C648="红单",C648="空派"),_xlfn.IFS(E648="未开售","新品首批发货",F648&lt;E648,"新品首批发货",F648-E648&lt;=60,"新品期补货空运",F648-E648&gt;60,"老品应急空运"),"海运，不进行分析")</f>
        <v>老品应急空运</v>
      </c>
      <c r="E648" s="2">
        <v>45946</v>
      </c>
      <c r="F648" s="2">
        <f>_xlfn.XLOOKUP(J648,数据!E:E,数据!C:C)</f>
        <v>46046</v>
      </c>
      <c r="G648" s="4">
        <v>143</v>
      </c>
      <c r="H648" s="4">
        <f t="shared" si="30"/>
        <v>5.005</v>
      </c>
      <c r="I648" s="4">
        <f>_xlfn.XLOOKUP(J648,数据!E:E,数据!S:S)*(H648/_xlfn.XLOOKUP(J648,数据!E:E,数据!X:X))</f>
        <v>267.591267605634</v>
      </c>
      <c r="J648" t="s">
        <v>481</v>
      </c>
      <c r="K648" t="s">
        <v>51</v>
      </c>
      <c r="L648" t="s">
        <v>2374</v>
      </c>
      <c r="M648" t="s">
        <v>6224</v>
      </c>
      <c r="N648" t="s">
        <v>2376</v>
      </c>
      <c r="O648" t="s">
        <v>2400</v>
      </c>
      <c r="P648" t="s">
        <v>2378</v>
      </c>
      <c r="Q648" t="s">
        <v>2379</v>
      </c>
      <c r="S648" t="s">
        <v>2511</v>
      </c>
      <c r="T648" s="3" t="s">
        <v>6225</v>
      </c>
      <c r="U648" t="s">
        <v>6098</v>
      </c>
      <c r="V648" t="s">
        <v>6226</v>
      </c>
      <c r="W648" t="s">
        <v>6227</v>
      </c>
      <c r="X648" t="s">
        <v>2403</v>
      </c>
      <c r="Y648" t="s">
        <v>6228</v>
      </c>
      <c r="Z648" t="s">
        <v>2405</v>
      </c>
      <c r="AA648" t="s">
        <v>6225</v>
      </c>
      <c r="AB648" t="s">
        <v>6019</v>
      </c>
      <c r="AC648" t="s">
        <v>6229</v>
      </c>
      <c r="AD648" t="s">
        <v>5226</v>
      </c>
      <c r="AG648" t="s">
        <v>2432</v>
      </c>
      <c r="AH648" t="s">
        <v>5858</v>
      </c>
      <c r="AI648" t="s">
        <v>5693</v>
      </c>
      <c r="AJ648" t="s">
        <v>6230</v>
      </c>
      <c r="AK648" t="s">
        <v>6231</v>
      </c>
      <c r="AL648" t="s">
        <v>6232</v>
      </c>
      <c r="AM648" t="s">
        <v>5566</v>
      </c>
      <c r="AN648" t="s">
        <v>6233</v>
      </c>
      <c r="AO648" t="s">
        <v>6230</v>
      </c>
      <c r="AP648">
        <v>35</v>
      </c>
      <c r="AQ648">
        <v>35</v>
      </c>
      <c r="AR648">
        <v>35</v>
      </c>
      <c r="AS648" t="s">
        <v>6234</v>
      </c>
      <c r="AT648">
        <v>0</v>
      </c>
      <c r="AU648">
        <v>0</v>
      </c>
      <c r="AV648">
        <v>0</v>
      </c>
    </row>
    <row r="649" spans="1:48">
      <c r="A649" s="1">
        <f>_xlfn.XLOOKUP(J649,数据!E:E,数据!A:A)</f>
        <v>1</v>
      </c>
      <c r="B649" s="1">
        <f>_xlfn.XLOOKUP(J649,数据!E:E,数据!B:B)</f>
        <v>4</v>
      </c>
      <c r="C649" s="1" t="str">
        <f>_xlfn.XLOOKUP(J649,数据!E:E,数据!J:J)</f>
        <v>空派</v>
      </c>
      <c r="D649" s="1" t="str" cm="1">
        <f t="array" ref="D649">IF(OR(C649="红单",C649="空派"),_xlfn.IFS(E649="未开售","新品首批发货",F649&lt;E649,"新品首批发货",F649-E649&lt;=60,"新品期补货空运",F649-E649&gt;60,"老品应急空运"),"海运，不进行分析")</f>
        <v>新品期补货空运</v>
      </c>
      <c r="E649" s="2">
        <v>46017</v>
      </c>
      <c r="F649" s="2">
        <f>_xlfn.XLOOKUP(J649,数据!E:E,数据!C:C)</f>
        <v>46046</v>
      </c>
      <c r="G649" s="4">
        <v>212</v>
      </c>
      <c r="H649" s="4">
        <f t="shared" si="30"/>
        <v>7.42</v>
      </c>
      <c r="I649" s="4">
        <f>_xlfn.XLOOKUP(J649,数据!E:E,数据!S:S)*(H649/_xlfn.XLOOKUP(J649,数据!E:E,数据!X:X))</f>
        <v>396.708732394366</v>
      </c>
      <c r="J649" t="s">
        <v>481</v>
      </c>
      <c r="K649" t="s">
        <v>51</v>
      </c>
      <c r="L649" t="s">
        <v>2374</v>
      </c>
      <c r="M649" t="s">
        <v>6224</v>
      </c>
      <c r="N649" t="s">
        <v>2376</v>
      </c>
      <c r="O649" t="s">
        <v>2400</v>
      </c>
      <c r="P649" t="s">
        <v>2378</v>
      </c>
      <c r="Q649" t="s">
        <v>2379</v>
      </c>
      <c r="S649" t="s">
        <v>2511</v>
      </c>
      <c r="T649" s="3" t="s">
        <v>6225</v>
      </c>
      <c r="U649" t="s">
        <v>6098</v>
      </c>
      <c r="V649" t="s">
        <v>6226</v>
      </c>
      <c r="W649" t="s">
        <v>6227</v>
      </c>
      <c r="X649" t="s">
        <v>2403</v>
      </c>
      <c r="Y649" t="s">
        <v>6228</v>
      </c>
      <c r="Z649" t="s">
        <v>2405</v>
      </c>
      <c r="AA649" t="s">
        <v>6225</v>
      </c>
      <c r="AB649" t="s">
        <v>6019</v>
      </c>
      <c r="AC649" t="s">
        <v>6229</v>
      </c>
      <c r="AD649" t="s">
        <v>5226</v>
      </c>
      <c r="AG649" t="s">
        <v>2432</v>
      </c>
      <c r="AH649" t="s">
        <v>5858</v>
      </c>
      <c r="AI649" t="s">
        <v>5693</v>
      </c>
      <c r="AJ649" t="s">
        <v>6235</v>
      </c>
      <c r="AK649" t="s">
        <v>6236</v>
      </c>
      <c r="AL649" t="s">
        <v>6237</v>
      </c>
      <c r="AM649" t="s">
        <v>6238</v>
      </c>
      <c r="AN649" t="s">
        <v>6239</v>
      </c>
      <c r="AO649" t="s">
        <v>6235</v>
      </c>
      <c r="AP649">
        <v>35</v>
      </c>
      <c r="AQ649">
        <v>35</v>
      </c>
      <c r="AR649">
        <v>35</v>
      </c>
      <c r="AS649" t="s">
        <v>6240</v>
      </c>
      <c r="AT649">
        <v>0</v>
      </c>
      <c r="AU649">
        <v>0</v>
      </c>
      <c r="AV649">
        <v>0</v>
      </c>
    </row>
    <row r="650" spans="1:48">
      <c r="A650" s="1">
        <f>_xlfn.XLOOKUP(J650,数据!E:E,数据!A:A)</f>
        <v>1</v>
      </c>
      <c r="B650" s="1">
        <f>_xlfn.XLOOKUP(J650,数据!E:E,数据!B:B)</f>
        <v>4</v>
      </c>
      <c r="C650" s="1" t="str">
        <f>_xlfn.XLOOKUP(J650,数据!E:E,数据!J:J)</f>
        <v>空派</v>
      </c>
      <c r="D650" s="1" t="str" cm="1">
        <f t="array" ref="D650">IF(OR(C650="红单",C650="空派"),_xlfn.IFS(E650="未开售","新品首批发货",F650&lt;E650,"新品首批发货",F650-E650&lt;=60,"新品期补货空运",F650-E650&gt;60,"老品应急空运"),"海运，不进行分析")</f>
        <v>新品期补货空运</v>
      </c>
      <c r="E650" s="2">
        <v>46003</v>
      </c>
      <c r="F650" s="2">
        <f>_xlfn.XLOOKUP(J650,数据!E:E,数据!C:C)</f>
        <v>46045</v>
      </c>
      <c r="G650" s="4">
        <v>106</v>
      </c>
      <c r="H650" s="4">
        <f t="shared" si="30"/>
        <v>0.424</v>
      </c>
      <c r="I650" s="4">
        <f>_xlfn.XLOOKUP(J650,数据!E:E,数据!S:S)*(H650/_xlfn.XLOOKUP(J650,数据!E:E,数据!X:X))</f>
        <v>20.3385273449435</v>
      </c>
      <c r="J650" t="s">
        <v>469</v>
      </c>
      <c r="K650" t="s">
        <v>31</v>
      </c>
      <c r="L650" t="s">
        <v>2374</v>
      </c>
      <c r="M650" t="s">
        <v>6241</v>
      </c>
      <c r="N650" t="s">
        <v>2376</v>
      </c>
      <c r="O650" t="s">
        <v>2400</v>
      </c>
      <c r="P650" t="s">
        <v>2378</v>
      </c>
      <c r="Q650" t="s">
        <v>2379</v>
      </c>
      <c r="R650" t="s">
        <v>6242</v>
      </c>
      <c r="S650" t="s">
        <v>2511</v>
      </c>
      <c r="T650" s="3" t="s">
        <v>6243</v>
      </c>
      <c r="U650" t="s">
        <v>6244</v>
      </c>
      <c r="V650" t="s">
        <v>6245</v>
      </c>
      <c r="W650" t="s">
        <v>6246</v>
      </c>
      <c r="X650" t="s">
        <v>2403</v>
      </c>
      <c r="Y650" t="s">
        <v>6247</v>
      </c>
      <c r="Z650" t="s">
        <v>2405</v>
      </c>
      <c r="AA650" t="s">
        <v>6243</v>
      </c>
      <c r="AB650" t="s">
        <v>5337</v>
      </c>
      <c r="AC650" t="s">
        <v>6248</v>
      </c>
      <c r="AD650" t="s">
        <v>6249</v>
      </c>
      <c r="AH650" t="s">
        <v>5858</v>
      </c>
      <c r="AI650" t="s">
        <v>5693</v>
      </c>
      <c r="AJ650" t="s">
        <v>6250</v>
      </c>
      <c r="AK650" t="s">
        <v>6251</v>
      </c>
      <c r="AL650" t="s">
        <v>6252</v>
      </c>
      <c r="AM650" t="s">
        <v>6253</v>
      </c>
      <c r="AN650" t="s">
        <v>6254</v>
      </c>
      <c r="AO650" t="s">
        <v>6250</v>
      </c>
      <c r="AP650">
        <v>4</v>
      </c>
      <c r="AQ650">
        <v>4</v>
      </c>
      <c r="AR650">
        <v>4</v>
      </c>
      <c r="AS650" t="s">
        <v>6255</v>
      </c>
      <c r="AT650">
        <v>0</v>
      </c>
      <c r="AU650">
        <v>0</v>
      </c>
      <c r="AV650">
        <v>0</v>
      </c>
    </row>
    <row r="651" spans="1:48">
      <c r="A651" s="1">
        <f>_xlfn.XLOOKUP(J651,数据!E:E,数据!A:A)</f>
        <v>1</v>
      </c>
      <c r="B651" s="1">
        <f>_xlfn.XLOOKUP(J651,数据!E:E,数据!B:B)</f>
        <v>4</v>
      </c>
      <c r="C651" s="1" t="str">
        <f>_xlfn.XLOOKUP(J651,数据!E:E,数据!J:J)</f>
        <v>空派</v>
      </c>
      <c r="D651" s="1" t="str" cm="1">
        <f t="array" ref="D651">IF(OR(C651="红单",C651="空派"),_xlfn.IFS(E651="未开售","新品首批发货",F651&lt;E651,"新品首批发货",F651-E651&lt;=60,"新品期补货空运",F651-E651&gt;60,"老品应急空运"),"海运，不进行分析")</f>
        <v>老品应急空运</v>
      </c>
      <c r="E651" s="2">
        <v>45893</v>
      </c>
      <c r="F651" s="2">
        <f>_xlfn.XLOOKUP(J651,数据!E:E,数据!C:C)</f>
        <v>46045</v>
      </c>
      <c r="G651" s="4">
        <v>433</v>
      </c>
      <c r="H651" s="4">
        <f t="shared" si="30"/>
        <v>2.598</v>
      </c>
      <c r="I651" s="4">
        <f>_xlfn.XLOOKUP(J651,数据!E:E,数据!S:S)*(H651/_xlfn.XLOOKUP(J651,数据!E:E,数据!X:X))</f>
        <v>124.621448212649</v>
      </c>
      <c r="J651" t="s">
        <v>469</v>
      </c>
      <c r="K651" t="s">
        <v>31</v>
      </c>
      <c r="L651" t="s">
        <v>2374</v>
      </c>
      <c r="M651" t="s">
        <v>6241</v>
      </c>
      <c r="N651" t="s">
        <v>2376</v>
      </c>
      <c r="O651" t="s">
        <v>2400</v>
      </c>
      <c r="P651" t="s">
        <v>2378</v>
      </c>
      <c r="Q651" t="s">
        <v>2379</v>
      </c>
      <c r="R651" t="s">
        <v>6242</v>
      </c>
      <c r="S651" t="s">
        <v>2511</v>
      </c>
      <c r="T651" s="3" t="s">
        <v>6243</v>
      </c>
      <c r="U651" t="s">
        <v>6244</v>
      </c>
      <c r="V651" t="s">
        <v>6245</v>
      </c>
      <c r="W651" t="s">
        <v>6246</v>
      </c>
      <c r="X651" t="s">
        <v>2403</v>
      </c>
      <c r="Y651" t="s">
        <v>6247</v>
      </c>
      <c r="Z651" t="s">
        <v>2405</v>
      </c>
      <c r="AA651" t="s">
        <v>6243</v>
      </c>
      <c r="AB651" t="s">
        <v>5337</v>
      </c>
      <c r="AC651" t="s">
        <v>6248</v>
      </c>
      <c r="AD651" t="s">
        <v>6249</v>
      </c>
      <c r="AH651" t="s">
        <v>5858</v>
      </c>
      <c r="AI651" t="s">
        <v>5693</v>
      </c>
      <c r="AJ651" t="s">
        <v>6256</v>
      </c>
      <c r="AK651" t="s">
        <v>6257</v>
      </c>
      <c r="AL651" t="s">
        <v>6258</v>
      </c>
      <c r="AM651" t="s">
        <v>4516</v>
      </c>
      <c r="AN651" t="s">
        <v>6259</v>
      </c>
      <c r="AO651" t="s">
        <v>6256</v>
      </c>
      <c r="AP651">
        <v>6</v>
      </c>
      <c r="AQ651">
        <v>6</v>
      </c>
      <c r="AR651">
        <v>6</v>
      </c>
      <c r="AS651" t="s">
        <v>6260</v>
      </c>
      <c r="AT651">
        <v>0</v>
      </c>
      <c r="AU651">
        <v>0</v>
      </c>
      <c r="AV651">
        <v>0</v>
      </c>
    </row>
    <row r="652" spans="1:48">
      <c r="A652" s="1">
        <f>_xlfn.XLOOKUP(J652,数据!E:E,数据!A:A)</f>
        <v>1</v>
      </c>
      <c r="B652" s="1">
        <f>_xlfn.XLOOKUP(J652,数据!E:E,数据!B:B)</f>
        <v>4</v>
      </c>
      <c r="C652" s="1" t="str">
        <f>_xlfn.XLOOKUP(J652,数据!E:E,数据!J:J)</f>
        <v>空派</v>
      </c>
      <c r="D652" s="1" t="str" cm="1">
        <f t="array" ref="D652">IF(OR(C652="红单",C652="空派"),_xlfn.IFS(E652="未开售","新品首批发货",F652&lt;E652,"新品首批发货",F652-E652&lt;=60,"新品期补货空运",F652-E652&gt;60,"老品应急空运"),"海运，不进行分析")</f>
        <v>老品应急空运</v>
      </c>
      <c r="E652" s="2">
        <v>44703</v>
      </c>
      <c r="F652" s="2">
        <f>_xlfn.XLOOKUP(J652,数据!E:E,数据!C:C)</f>
        <v>46045</v>
      </c>
      <c r="G652" s="4">
        <v>124</v>
      </c>
      <c r="H652" s="4">
        <f t="shared" si="30"/>
        <v>0.496</v>
      </c>
      <c r="I652" s="4">
        <f>_xlfn.XLOOKUP(J652,数据!E:E,数据!S:S)*(H652/_xlfn.XLOOKUP(J652,数据!E:E,数据!X:X))</f>
        <v>23.7922395355943</v>
      </c>
      <c r="J652" t="s">
        <v>469</v>
      </c>
      <c r="K652" t="s">
        <v>31</v>
      </c>
      <c r="L652" t="s">
        <v>2374</v>
      </c>
      <c r="M652" t="s">
        <v>6241</v>
      </c>
      <c r="N652" t="s">
        <v>2376</v>
      </c>
      <c r="O652" t="s">
        <v>2400</v>
      </c>
      <c r="P652" t="s">
        <v>2378</v>
      </c>
      <c r="Q652" t="s">
        <v>2379</v>
      </c>
      <c r="R652" t="s">
        <v>6242</v>
      </c>
      <c r="S652" t="s">
        <v>2511</v>
      </c>
      <c r="T652" s="3" t="s">
        <v>6243</v>
      </c>
      <c r="U652" t="s">
        <v>6244</v>
      </c>
      <c r="V652" t="s">
        <v>6245</v>
      </c>
      <c r="W652" t="s">
        <v>6246</v>
      </c>
      <c r="X652" t="s">
        <v>2403</v>
      </c>
      <c r="Y652" t="s">
        <v>6247</v>
      </c>
      <c r="Z652" t="s">
        <v>2405</v>
      </c>
      <c r="AA652" t="s">
        <v>6243</v>
      </c>
      <c r="AB652" t="s">
        <v>5337</v>
      </c>
      <c r="AC652" t="s">
        <v>6248</v>
      </c>
      <c r="AD652" t="s">
        <v>6249</v>
      </c>
      <c r="AH652" t="s">
        <v>5858</v>
      </c>
      <c r="AI652" t="s">
        <v>5693</v>
      </c>
      <c r="AJ652" t="s">
        <v>6261</v>
      </c>
      <c r="AK652" t="s">
        <v>6262</v>
      </c>
      <c r="AL652" t="s">
        <v>6263</v>
      </c>
      <c r="AM652" t="s">
        <v>6263</v>
      </c>
      <c r="AN652" t="s">
        <v>6264</v>
      </c>
      <c r="AO652" t="s">
        <v>6261</v>
      </c>
      <c r="AP652">
        <v>4</v>
      </c>
      <c r="AQ652">
        <v>4</v>
      </c>
      <c r="AR652">
        <v>4</v>
      </c>
      <c r="AS652" t="s">
        <v>6255</v>
      </c>
      <c r="AT652">
        <v>0</v>
      </c>
      <c r="AU652">
        <v>0</v>
      </c>
      <c r="AV652">
        <v>0</v>
      </c>
    </row>
    <row r="653" spans="1:48">
      <c r="A653" s="1">
        <f>_xlfn.XLOOKUP(J653,数据!E:E,数据!A:A)</f>
        <v>1</v>
      </c>
      <c r="B653" s="1">
        <f>_xlfn.XLOOKUP(J653,数据!E:E,数据!B:B)</f>
        <v>4</v>
      </c>
      <c r="C653" s="1" t="str">
        <f>_xlfn.XLOOKUP(J653,数据!E:E,数据!J:J)</f>
        <v>空派</v>
      </c>
      <c r="D653" s="1" t="str" cm="1">
        <f t="array" ref="D653">IF(OR(C653="红单",C653="空派"),_xlfn.IFS(E653="未开售","新品首批发货",F653&lt;E653,"新品首批发货",F653-E653&lt;=60,"新品期补货空运",F653-E653&gt;60,"老品应急空运"),"海运，不进行分析")</f>
        <v>新品期补货空运</v>
      </c>
      <c r="E653" s="2">
        <v>46029</v>
      </c>
      <c r="F653" s="2">
        <f>_xlfn.XLOOKUP(J653,数据!E:E,数据!C:C)</f>
        <v>46045</v>
      </c>
      <c r="G653" s="4">
        <v>142</v>
      </c>
      <c r="H653" s="4">
        <f t="shared" si="30"/>
        <v>1.704</v>
      </c>
      <c r="I653" s="4">
        <f>_xlfn.XLOOKUP(J653,数据!E:E,数据!S:S)*(H653/_xlfn.XLOOKUP(J653,数据!E:E,数据!X:X))</f>
        <v>81.7378551787351</v>
      </c>
      <c r="J653" t="s">
        <v>469</v>
      </c>
      <c r="K653" t="s">
        <v>31</v>
      </c>
      <c r="L653" t="s">
        <v>2374</v>
      </c>
      <c r="M653" t="s">
        <v>6241</v>
      </c>
      <c r="N653" t="s">
        <v>2376</v>
      </c>
      <c r="O653" t="s">
        <v>2400</v>
      </c>
      <c r="P653" t="s">
        <v>2378</v>
      </c>
      <c r="Q653" t="s">
        <v>2379</v>
      </c>
      <c r="R653" t="s">
        <v>6242</v>
      </c>
      <c r="S653" t="s">
        <v>2511</v>
      </c>
      <c r="T653" s="3" t="s">
        <v>6243</v>
      </c>
      <c r="U653" t="s">
        <v>6244</v>
      </c>
      <c r="V653" t="s">
        <v>6245</v>
      </c>
      <c r="W653" t="s">
        <v>6246</v>
      </c>
      <c r="X653" t="s">
        <v>2403</v>
      </c>
      <c r="Y653" t="s">
        <v>6247</v>
      </c>
      <c r="Z653" t="s">
        <v>2405</v>
      </c>
      <c r="AA653" t="s">
        <v>6243</v>
      </c>
      <c r="AB653" t="s">
        <v>5337</v>
      </c>
      <c r="AC653" t="s">
        <v>6248</v>
      </c>
      <c r="AD653" t="s">
        <v>6249</v>
      </c>
      <c r="AH653" t="s">
        <v>5858</v>
      </c>
      <c r="AI653" t="s">
        <v>5693</v>
      </c>
      <c r="AJ653" t="s">
        <v>4142</v>
      </c>
      <c r="AK653" t="s">
        <v>4143</v>
      </c>
      <c r="AL653" t="s">
        <v>4144</v>
      </c>
      <c r="AM653" t="s">
        <v>2787</v>
      </c>
      <c r="AN653" t="s">
        <v>4145</v>
      </c>
      <c r="AO653" t="s">
        <v>4142</v>
      </c>
      <c r="AP653">
        <v>12</v>
      </c>
      <c r="AQ653">
        <v>12</v>
      </c>
      <c r="AR653">
        <v>12</v>
      </c>
      <c r="AS653" t="s">
        <v>6265</v>
      </c>
      <c r="AT653">
        <v>0</v>
      </c>
      <c r="AU653">
        <v>0</v>
      </c>
      <c r="AV653">
        <v>0</v>
      </c>
    </row>
    <row r="654" spans="1:48">
      <c r="A654" s="1">
        <f>_xlfn.XLOOKUP(J654,数据!E:E,数据!A:A)</f>
        <v>1</v>
      </c>
      <c r="B654" s="1">
        <f>_xlfn.XLOOKUP(J654,数据!E:E,数据!B:B)</f>
        <v>4</v>
      </c>
      <c r="C654" s="1" t="str">
        <f>_xlfn.XLOOKUP(J654,数据!E:E,数据!J:J)</f>
        <v>空派</v>
      </c>
      <c r="D654" s="1" t="str" cm="1">
        <f t="array" ref="D654">IF(OR(C654="红单",C654="空派"),_xlfn.IFS(E654="未开售","新品首批发货",F654&lt;E654,"新品首批发货",F654-E654&lt;=60,"新品期补货空运",F654-E654&gt;60,"老品应急空运"),"海运，不进行分析")</f>
        <v>新品期补货空运</v>
      </c>
      <c r="E654" s="2">
        <v>46028</v>
      </c>
      <c r="F654" s="2">
        <f>_xlfn.XLOOKUP(J654,数据!E:E,数据!C:C)</f>
        <v>46045</v>
      </c>
      <c r="G654" s="4">
        <v>143</v>
      </c>
      <c r="H654" s="4">
        <f t="shared" si="30"/>
        <v>4.29</v>
      </c>
      <c r="I654" s="4">
        <f>_xlfn.XLOOKUP(J654,数据!E:E,数据!S:S)*(H654/_xlfn.XLOOKUP(J654,数据!E:E,数据!X:X))</f>
        <v>205.783684692942</v>
      </c>
      <c r="J654" t="s">
        <v>469</v>
      </c>
      <c r="K654" t="s">
        <v>31</v>
      </c>
      <c r="L654" t="s">
        <v>2374</v>
      </c>
      <c r="M654" t="s">
        <v>6241</v>
      </c>
      <c r="N654" t="s">
        <v>2376</v>
      </c>
      <c r="O654" t="s">
        <v>2400</v>
      </c>
      <c r="P654" t="s">
        <v>2378</v>
      </c>
      <c r="Q654" t="s">
        <v>2379</v>
      </c>
      <c r="R654" t="s">
        <v>6242</v>
      </c>
      <c r="S654" t="s">
        <v>2511</v>
      </c>
      <c r="T654" s="3" t="s">
        <v>6243</v>
      </c>
      <c r="U654" t="s">
        <v>6244</v>
      </c>
      <c r="V654" t="s">
        <v>6245</v>
      </c>
      <c r="W654" t="s">
        <v>6246</v>
      </c>
      <c r="X654" t="s">
        <v>2403</v>
      </c>
      <c r="Y654" t="s">
        <v>6247</v>
      </c>
      <c r="Z654" t="s">
        <v>2405</v>
      </c>
      <c r="AA654" t="s">
        <v>6243</v>
      </c>
      <c r="AB654" t="s">
        <v>5337</v>
      </c>
      <c r="AC654" t="s">
        <v>6248</v>
      </c>
      <c r="AD654" t="s">
        <v>6249</v>
      </c>
      <c r="AH654" t="s">
        <v>5858</v>
      </c>
      <c r="AI654" t="s">
        <v>5693</v>
      </c>
      <c r="AJ654" t="s">
        <v>3920</v>
      </c>
      <c r="AK654" t="s">
        <v>3921</v>
      </c>
      <c r="AL654" t="s">
        <v>3922</v>
      </c>
      <c r="AM654" t="s">
        <v>2787</v>
      </c>
      <c r="AN654" t="s">
        <v>3923</v>
      </c>
      <c r="AO654" t="s">
        <v>3920</v>
      </c>
      <c r="AP654">
        <v>30</v>
      </c>
      <c r="AQ654">
        <v>30</v>
      </c>
      <c r="AR654">
        <v>30</v>
      </c>
      <c r="AS654" t="s">
        <v>6266</v>
      </c>
      <c r="AT654">
        <v>0</v>
      </c>
      <c r="AU654">
        <v>0</v>
      </c>
      <c r="AV654">
        <v>0</v>
      </c>
    </row>
    <row r="655" spans="1:48">
      <c r="A655" s="1">
        <f>_xlfn.XLOOKUP(J655,数据!E:E,数据!A:A)</f>
        <v>1</v>
      </c>
      <c r="B655" s="1">
        <f>_xlfn.XLOOKUP(J655,数据!E:E,数据!B:B)</f>
        <v>4</v>
      </c>
      <c r="C655" s="1" t="str">
        <f>_xlfn.XLOOKUP(J655,数据!E:E,数据!J:J)</f>
        <v>空派</v>
      </c>
      <c r="D655" s="1" t="str" cm="1">
        <f t="array" ref="D655">IF(OR(C655="红单",C655="空派"),_xlfn.IFS(E655="未开售","新品首批发货",F655&lt;E655,"新品首批发货",F655-E655&lt;=60,"新品期补货空运",F655-E655&gt;60,"老品应急空运"),"海运，不进行分析")</f>
        <v>新品期补货空运</v>
      </c>
      <c r="E655" s="2">
        <v>46030</v>
      </c>
      <c r="F655" s="2">
        <f>_xlfn.XLOOKUP(J655,数据!E:E,数据!C:C)</f>
        <v>46045</v>
      </c>
      <c r="G655" s="4">
        <v>146</v>
      </c>
      <c r="H655" s="4">
        <f t="shared" si="30"/>
        <v>4.38</v>
      </c>
      <c r="I655" s="4">
        <f>_xlfn.XLOOKUP(J655,数据!E:E,数据!S:S)*(H655/_xlfn.XLOOKUP(J655,数据!E:E,数据!X:X))</f>
        <v>210.100824931256</v>
      </c>
      <c r="J655" t="s">
        <v>469</v>
      </c>
      <c r="K655" t="s">
        <v>31</v>
      </c>
      <c r="L655" t="s">
        <v>2374</v>
      </c>
      <c r="M655" t="s">
        <v>6241</v>
      </c>
      <c r="N655" t="s">
        <v>2376</v>
      </c>
      <c r="O655" t="s">
        <v>2400</v>
      </c>
      <c r="P655" t="s">
        <v>2378</v>
      </c>
      <c r="Q655" t="s">
        <v>2379</v>
      </c>
      <c r="R655" t="s">
        <v>6242</v>
      </c>
      <c r="S655" t="s">
        <v>2511</v>
      </c>
      <c r="T655" s="3" t="s">
        <v>6243</v>
      </c>
      <c r="U655" t="s">
        <v>6244</v>
      </c>
      <c r="V655" t="s">
        <v>6245</v>
      </c>
      <c r="W655" t="s">
        <v>6246</v>
      </c>
      <c r="X655" t="s">
        <v>2403</v>
      </c>
      <c r="Y655" t="s">
        <v>6247</v>
      </c>
      <c r="Z655" t="s">
        <v>2405</v>
      </c>
      <c r="AA655" t="s">
        <v>6243</v>
      </c>
      <c r="AB655" t="s">
        <v>5337</v>
      </c>
      <c r="AC655" t="s">
        <v>6248</v>
      </c>
      <c r="AD655" t="s">
        <v>6249</v>
      </c>
      <c r="AH655" t="s">
        <v>5858</v>
      </c>
      <c r="AI655" t="s">
        <v>5693</v>
      </c>
      <c r="AJ655" t="s">
        <v>3683</v>
      </c>
      <c r="AK655" t="s">
        <v>3684</v>
      </c>
      <c r="AL655" t="s">
        <v>3685</v>
      </c>
      <c r="AM655" t="s">
        <v>2787</v>
      </c>
      <c r="AN655" t="s">
        <v>3686</v>
      </c>
      <c r="AO655" t="s">
        <v>3683</v>
      </c>
      <c r="AP655">
        <v>30</v>
      </c>
      <c r="AQ655">
        <v>30</v>
      </c>
      <c r="AR655">
        <v>30</v>
      </c>
      <c r="AS655" t="s">
        <v>6266</v>
      </c>
      <c r="AT655">
        <v>0</v>
      </c>
      <c r="AU655">
        <v>0</v>
      </c>
      <c r="AV655">
        <v>0</v>
      </c>
    </row>
    <row r="656" spans="1:48">
      <c r="A656" s="1">
        <f>_xlfn.XLOOKUP(J656,数据!E:E,数据!A:A)</f>
        <v>1</v>
      </c>
      <c r="B656" s="1">
        <f>_xlfn.XLOOKUP(J656,数据!E:E,数据!B:B)</f>
        <v>4</v>
      </c>
      <c r="C656" s="1" t="str">
        <f>_xlfn.XLOOKUP(J656,数据!E:E,数据!J:J)</f>
        <v>空派</v>
      </c>
      <c r="D656" s="1" t="str" cm="1">
        <f t="array" ref="D656">IF(OR(C656="红单",C656="空派"),_xlfn.IFS(E656="未开售","新品首批发货",F656&lt;E656,"新品首批发货",F656-E656&lt;=60,"新品期补货空运",F656-E656&gt;60,"老品应急空运"),"海运，不进行分析")</f>
        <v>新品期补货空运</v>
      </c>
      <c r="E656" s="2">
        <v>46028</v>
      </c>
      <c r="F656" s="2">
        <f>_xlfn.XLOOKUP(J656,数据!E:E,数据!C:C)</f>
        <v>46045</v>
      </c>
      <c r="G656" s="4">
        <v>143.3</v>
      </c>
      <c r="H656" s="4">
        <f t="shared" si="30"/>
        <v>2.866</v>
      </c>
      <c r="I656" s="4">
        <f>_xlfn.XLOOKUP(J656,数据!E:E,数据!S:S)*(H656/_xlfn.XLOOKUP(J656,数据!E:E,数据!X:X))</f>
        <v>137.476932477849</v>
      </c>
      <c r="J656" t="s">
        <v>469</v>
      </c>
      <c r="K656" t="s">
        <v>31</v>
      </c>
      <c r="L656" t="s">
        <v>2374</v>
      </c>
      <c r="M656" t="s">
        <v>6241</v>
      </c>
      <c r="N656" t="s">
        <v>2376</v>
      </c>
      <c r="O656" t="s">
        <v>2400</v>
      </c>
      <c r="P656" t="s">
        <v>2378</v>
      </c>
      <c r="Q656" t="s">
        <v>2379</v>
      </c>
      <c r="R656" t="s">
        <v>6242</v>
      </c>
      <c r="S656" t="s">
        <v>2511</v>
      </c>
      <c r="T656" s="3" t="s">
        <v>6243</v>
      </c>
      <c r="U656" t="s">
        <v>6244</v>
      </c>
      <c r="V656" t="s">
        <v>6245</v>
      </c>
      <c r="W656" t="s">
        <v>6246</v>
      </c>
      <c r="X656" t="s">
        <v>2403</v>
      </c>
      <c r="Y656" t="s">
        <v>6247</v>
      </c>
      <c r="Z656" t="s">
        <v>2405</v>
      </c>
      <c r="AA656" t="s">
        <v>6243</v>
      </c>
      <c r="AB656" t="s">
        <v>5337</v>
      </c>
      <c r="AC656" t="s">
        <v>6248</v>
      </c>
      <c r="AD656" t="s">
        <v>6249</v>
      </c>
      <c r="AH656" t="s">
        <v>5858</v>
      </c>
      <c r="AI656" t="s">
        <v>5693</v>
      </c>
      <c r="AJ656" t="s">
        <v>4319</v>
      </c>
      <c r="AK656" t="s">
        <v>4320</v>
      </c>
      <c r="AL656" t="s">
        <v>4321</v>
      </c>
      <c r="AM656" t="s">
        <v>2787</v>
      </c>
      <c r="AN656" t="s">
        <v>4322</v>
      </c>
      <c r="AO656" t="s">
        <v>4319</v>
      </c>
      <c r="AP656">
        <v>20</v>
      </c>
      <c r="AQ656">
        <v>20</v>
      </c>
      <c r="AR656">
        <v>20</v>
      </c>
      <c r="AS656" t="s">
        <v>6267</v>
      </c>
      <c r="AT656">
        <v>0</v>
      </c>
      <c r="AU656">
        <v>0</v>
      </c>
      <c r="AV656">
        <v>0</v>
      </c>
    </row>
    <row r="657" spans="1:48">
      <c r="A657" s="1">
        <f>_xlfn.XLOOKUP(J657,数据!E:E,数据!A:A)</f>
        <v>1</v>
      </c>
      <c r="B657" s="1">
        <f>_xlfn.XLOOKUP(J657,数据!E:E,数据!B:B)</f>
        <v>4</v>
      </c>
      <c r="C657" s="1" t="str">
        <f>_xlfn.XLOOKUP(J657,数据!E:E,数据!J:J)</f>
        <v>空派</v>
      </c>
      <c r="D657" s="1" t="str" cm="1">
        <f t="array" ref="D657">IF(OR(C657="红单",C657="空派"),_xlfn.IFS(E657="未开售","新品首批发货",F657&lt;E657,"新品首批发货",F657-E657&lt;=60,"新品期补货空运",F657-E657&gt;60,"老品应急空运"),"海运，不进行分析")</f>
        <v>新品期补货空运</v>
      </c>
      <c r="E657" s="2">
        <v>46017</v>
      </c>
      <c r="F657" s="2">
        <f>_xlfn.XLOOKUP(J657,数据!E:E,数据!C:C)</f>
        <v>46045</v>
      </c>
      <c r="G657" s="4">
        <v>144</v>
      </c>
      <c r="H657" s="4">
        <f t="shared" si="30"/>
        <v>2.88</v>
      </c>
      <c r="I657" s="4">
        <f>_xlfn.XLOOKUP(J657,数据!E:E,数据!S:S)*(H657/_xlfn.XLOOKUP(J657,数据!E:E,数据!X:X))</f>
        <v>138.148487626031</v>
      </c>
      <c r="J657" t="s">
        <v>469</v>
      </c>
      <c r="K657" t="s">
        <v>31</v>
      </c>
      <c r="L657" t="s">
        <v>2374</v>
      </c>
      <c r="M657" t="s">
        <v>6241</v>
      </c>
      <c r="N657" t="s">
        <v>2376</v>
      </c>
      <c r="O657" t="s">
        <v>2400</v>
      </c>
      <c r="P657" t="s">
        <v>2378</v>
      </c>
      <c r="Q657" t="s">
        <v>2379</v>
      </c>
      <c r="R657" t="s">
        <v>6242</v>
      </c>
      <c r="S657" t="s">
        <v>2511</v>
      </c>
      <c r="T657" s="3" t="s">
        <v>6243</v>
      </c>
      <c r="U657" t="s">
        <v>6244</v>
      </c>
      <c r="V657" t="s">
        <v>6245</v>
      </c>
      <c r="W657" t="s">
        <v>6246</v>
      </c>
      <c r="X657" t="s">
        <v>2403</v>
      </c>
      <c r="Y657" t="s">
        <v>6247</v>
      </c>
      <c r="Z657" t="s">
        <v>2405</v>
      </c>
      <c r="AA657" t="s">
        <v>6243</v>
      </c>
      <c r="AB657" t="s">
        <v>5337</v>
      </c>
      <c r="AC657" t="s">
        <v>6248</v>
      </c>
      <c r="AD657" t="s">
        <v>6249</v>
      </c>
      <c r="AH657" t="s">
        <v>5858</v>
      </c>
      <c r="AI657" t="s">
        <v>5693</v>
      </c>
      <c r="AJ657" t="s">
        <v>5007</v>
      </c>
      <c r="AK657" t="s">
        <v>5008</v>
      </c>
      <c r="AL657" t="s">
        <v>5009</v>
      </c>
      <c r="AM657" t="s">
        <v>2989</v>
      </c>
      <c r="AN657" t="s">
        <v>5010</v>
      </c>
      <c r="AO657" t="s">
        <v>5007</v>
      </c>
      <c r="AP657">
        <v>20</v>
      </c>
      <c r="AQ657">
        <v>20</v>
      </c>
      <c r="AR657">
        <v>20</v>
      </c>
      <c r="AS657" t="s">
        <v>6267</v>
      </c>
      <c r="AT657">
        <v>0</v>
      </c>
      <c r="AU657">
        <v>0</v>
      </c>
      <c r="AV657">
        <v>0</v>
      </c>
    </row>
    <row r="658" spans="1:48">
      <c r="A658" s="1">
        <f>_xlfn.XLOOKUP(J658,数据!E:E,数据!A:A)</f>
        <v>1</v>
      </c>
      <c r="B658" s="1">
        <f>_xlfn.XLOOKUP(J658,数据!E:E,数据!B:B)</f>
        <v>4</v>
      </c>
      <c r="C658" s="1" t="str">
        <f>_xlfn.XLOOKUP(J658,数据!E:E,数据!J:J)</f>
        <v>空派</v>
      </c>
      <c r="D658" s="1" t="str" cm="1">
        <f t="array" ref="D658">IF(OR(C658="红单",C658="空派"),_xlfn.IFS(E658="未开售","新品首批发货",F658&lt;E658,"新品首批发货",F658-E658&lt;=60,"新品期补货空运",F658-E658&gt;60,"老品应急空运"),"海运，不进行分析")</f>
        <v>新品期补货空运</v>
      </c>
      <c r="E658" s="2">
        <v>46003</v>
      </c>
      <c r="F658" s="2">
        <f>_xlfn.XLOOKUP(J658,数据!E:E,数据!C:C)</f>
        <v>46045</v>
      </c>
      <c r="G658" s="4">
        <v>106</v>
      </c>
      <c r="H658" s="4">
        <f t="shared" si="30"/>
        <v>0.424</v>
      </c>
      <c r="I658" s="4">
        <f>_xlfn.XLOOKUP(J658,数据!E:E,数据!S:S)*(H658/_xlfn.XLOOKUP(J658,数据!E:E,数据!X:X))</f>
        <v>20.3385273449435</v>
      </c>
      <c r="J658" t="s">
        <v>471</v>
      </c>
      <c r="K658" t="s">
        <v>31</v>
      </c>
      <c r="L658" t="s">
        <v>2374</v>
      </c>
      <c r="M658" t="s">
        <v>6268</v>
      </c>
      <c r="N658" t="s">
        <v>2376</v>
      </c>
      <c r="O658" t="s">
        <v>2400</v>
      </c>
      <c r="P658" t="s">
        <v>2378</v>
      </c>
      <c r="Q658" t="s">
        <v>2379</v>
      </c>
      <c r="R658" t="s">
        <v>6269</v>
      </c>
      <c r="S658" t="s">
        <v>2511</v>
      </c>
      <c r="T658" s="3" t="s">
        <v>6243</v>
      </c>
      <c r="U658" t="s">
        <v>6244</v>
      </c>
      <c r="V658" t="s">
        <v>6270</v>
      </c>
      <c r="W658" t="s">
        <v>6271</v>
      </c>
      <c r="X658" t="s">
        <v>2403</v>
      </c>
      <c r="Y658" t="s">
        <v>6272</v>
      </c>
      <c r="Z658" t="s">
        <v>2405</v>
      </c>
      <c r="AA658" t="s">
        <v>6243</v>
      </c>
      <c r="AB658" t="s">
        <v>5337</v>
      </c>
      <c r="AC658" t="s">
        <v>6273</v>
      </c>
      <c r="AD658" t="s">
        <v>5693</v>
      </c>
      <c r="AH658" t="s">
        <v>5858</v>
      </c>
      <c r="AI658" t="s">
        <v>5693</v>
      </c>
      <c r="AJ658" t="s">
        <v>6250</v>
      </c>
      <c r="AK658" t="s">
        <v>6251</v>
      </c>
      <c r="AL658" t="s">
        <v>6252</v>
      </c>
      <c r="AM658" t="s">
        <v>6253</v>
      </c>
      <c r="AN658" t="s">
        <v>6254</v>
      </c>
      <c r="AO658" t="s">
        <v>6250</v>
      </c>
      <c r="AP658">
        <v>4</v>
      </c>
      <c r="AQ658">
        <v>4</v>
      </c>
      <c r="AR658">
        <v>4</v>
      </c>
      <c r="AS658" t="s">
        <v>6274</v>
      </c>
      <c r="AT658">
        <v>0</v>
      </c>
      <c r="AU658">
        <v>0</v>
      </c>
      <c r="AV658">
        <v>0</v>
      </c>
    </row>
    <row r="659" spans="1:48">
      <c r="A659" s="1">
        <f>_xlfn.XLOOKUP(J659,数据!E:E,数据!A:A)</f>
        <v>1</v>
      </c>
      <c r="B659" s="1">
        <f>_xlfn.XLOOKUP(J659,数据!E:E,数据!B:B)</f>
        <v>4</v>
      </c>
      <c r="C659" s="1" t="str">
        <f>_xlfn.XLOOKUP(J659,数据!E:E,数据!J:J)</f>
        <v>空派</v>
      </c>
      <c r="D659" s="1" t="str" cm="1">
        <f t="array" ref="D659">IF(OR(C659="红单",C659="空派"),_xlfn.IFS(E659="未开售","新品首批发货",F659&lt;E659,"新品首批发货",F659-E659&lt;=60,"新品期补货空运",F659-E659&gt;60,"老品应急空运"),"海运，不进行分析")</f>
        <v>老品应急空运</v>
      </c>
      <c r="E659" s="2">
        <v>45893</v>
      </c>
      <c r="F659" s="2">
        <f>_xlfn.XLOOKUP(J659,数据!E:E,数据!C:C)</f>
        <v>46045</v>
      </c>
      <c r="G659" s="4">
        <v>433</v>
      </c>
      <c r="H659" s="4">
        <f t="shared" si="30"/>
        <v>2.598</v>
      </c>
      <c r="I659" s="4">
        <f>_xlfn.XLOOKUP(J659,数据!E:E,数据!S:S)*(H659/_xlfn.XLOOKUP(J659,数据!E:E,数据!X:X))</f>
        <v>124.621448212649</v>
      </c>
      <c r="J659" t="s">
        <v>471</v>
      </c>
      <c r="K659" t="s">
        <v>31</v>
      </c>
      <c r="L659" t="s">
        <v>2374</v>
      </c>
      <c r="M659" t="s">
        <v>6268</v>
      </c>
      <c r="N659" t="s">
        <v>2376</v>
      </c>
      <c r="O659" t="s">
        <v>2400</v>
      </c>
      <c r="P659" t="s">
        <v>2378</v>
      </c>
      <c r="Q659" t="s">
        <v>2379</v>
      </c>
      <c r="R659" t="s">
        <v>6269</v>
      </c>
      <c r="S659" t="s">
        <v>2511</v>
      </c>
      <c r="T659" s="3" t="s">
        <v>6243</v>
      </c>
      <c r="U659" t="s">
        <v>6244</v>
      </c>
      <c r="V659" t="s">
        <v>6270</v>
      </c>
      <c r="W659" t="s">
        <v>6271</v>
      </c>
      <c r="X659" t="s">
        <v>2403</v>
      </c>
      <c r="Y659" t="s">
        <v>6272</v>
      </c>
      <c r="Z659" t="s">
        <v>2405</v>
      </c>
      <c r="AA659" t="s">
        <v>6243</v>
      </c>
      <c r="AB659" t="s">
        <v>5337</v>
      </c>
      <c r="AC659" t="s">
        <v>6273</v>
      </c>
      <c r="AD659" t="s">
        <v>5693</v>
      </c>
      <c r="AH659" t="s">
        <v>5858</v>
      </c>
      <c r="AI659" t="s">
        <v>5693</v>
      </c>
      <c r="AJ659" t="s">
        <v>6256</v>
      </c>
      <c r="AK659" t="s">
        <v>6257</v>
      </c>
      <c r="AL659" t="s">
        <v>6258</v>
      </c>
      <c r="AM659" t="s">
        <v>4516</v>
      </c>
      <c r="AN659" t="s">
        <v>6259</v>
      </c>
      <c r="AO659" t="s">
        <v>6256</v>
      </c>
      <c r="AP659">
        <v>6</v>
      </c>
      <c r="AQ659">
        <v>6</v>
      </c>
      <c r="AR659">
        <v>6</v>
      </c>
      <c r="AS659" t="s">
        <v>6275</v>
      </c>
      <c r="AT659">
        <v>0</v>
      </c>
      <c r="AU659">
        <v>0</v>
      </c>
      <c r="AV659">
        <v>0</v>
      </c>
    </row>
    <row r="660" spans="1:48">
      <c r="A660" s="1">
        <f>_xlfn.XLOOKUP(J660,数据!E:E,数据!A:A)</f>
        <v>1</v>
      </c>
      <c r="B660" s="1">
        <f>_xlfn.XLOOKUP(J660,数据!E:E,数据!B:B)</f>
        <v>4</v>
      </c>
      <c r="C660" s="1" t="str">
        <f>_xlfn.XLOOKUP(J660,数据!E:E,数据!J:J)</f>
        <v>空派</v>
      </c>
      <c r="D660" s="1" t="str" cm="1">
        <f t="array" ref="D660">IF(OR(C660="红单",C660="空派"),_xlfn.IFS(E660="未开售","新品首批发货",F660&lt;E660,"新品首批发货",F660-E660&lt;=60,"新品期补货空运",F660-E660&gt;60,"老品应急空运"),"海运，不进行分析")</f>
        <v>老品应急空运</v>
      </c>
      <c r="E660" s="2">
        <v>44703</v>
      </c>
      <c r="F660" s="2">
        <f>_xlfn.XLOOKUP(J660,数据!E:E,数据!C:C)</f>
        <v>46045</v>
      </c>
      <c r="G660" s="4">
        <v>124</v>
      </c>
      <c r="H660" s="4">
        <f t="shared" si="30"/>
        <v>0.496</v>
      </c>
      <c r="I660" s="4">
        <f>_xlfn.XLOOKUP(J660,数据!E:E,数据!S:S)*(H660/_xlfn.XLOOKUP(J660,数据!E:E,数据!X:X))</f>
        <v>23.7922395355943</v>
      </c>
      <c r="J660" t="s">
        <v>471</v>
      </c>
      <c r="K660" t="s">
        <v>31</v>
      </c>
      <c r="L660" t="s">
        <v>2374</v>
      </c>
      <c r="M660" t="s">
        <v>6268</v>
      </c>
      <c r="N660" t="s">
        <v>2376</v>
      </c>
      <c r="O660" t="s">
        <v>2400</v>
      </c>
      <c r="P660" t="s">
        <v>2378</v>
      </c>
      <c r="Q660" t="s">
        <v>2379</v>
      </c>
      <c r="R660" t="s">
        <v>6269</v>
      </c>
      <c r="S660" t="s">
        <v>2511</v>
      </c>
      <c r="T660" s="3" t="s">
        <v>6243</v>
      </c>
      <c r="U660" t="s">
        <v>6244</v>
      </c>
      <c r="V660" t="s">
        <v>6270</v>
      </c>
      <c r="W660" t="s">
        <v>6271</v>
      </c>
      <c r="X660" t="s">
        <v>2403</v>
      </c>
      <c r="Y660" t="s">
        <v>6272</v>
      </c>
      <c r="Z660" t="s">
        <v>2405</v>
      </c>
      <c r="AA660" t="s">
        <v>6243</v>
      </c>
      <c r="AB660" t="s">
        <v>5337</v>
      </c>
      <c r="AC660" t="s">
        <v>6273</v>
      </c>
      <c r="AD660" t="s">
        <v>5693</v>
      </c>
      <c r="AH660" t="s">
        <v>5858</v>
      </c>
      <c r="AI660" t="s">
        <v>5693</v>
      </c>
      <c r="AJ660" t="s">
        <v>6261</v>
      </c>
      <c r="AK660" t="s">
        <v>6262</v>
      </c>
      <c r="AL660" t="s">
        <v>6263</v>
      </c>
      <c r="AM660" t="s">
        <v>6263</v>
      </c>
      <c r="AN660" t="s">
        <v>6264</v>
      </c>
      <c r="AO660" t="s">
        <v>6261</v>
      </c>
      <c r="AP660">
        <v>4</v>
      </c>
      <c r="AQ660">
        <v>4</v>
      </c>
      <c r="AR660">
        <v>4</v>
      </c>
      <c r="AS660" t="s">
        <v>6274</v>
      </c>
      <c r="AT660">
        <v>0</v>
      </c>
      <c r="AU660">
        <v>0</v>
      </c>
      <c r="AV660">
        <v>0</v>
      </c>
    </row>
    <row r="661" spans="1:48">
      <c r="A661" s="1">
        <f>_xlfn.XLOOKUP(J661,数据!E:E,数据!A:A)</f>
        <v>1</v>
      </c>
      <c r="B661" s="1">
        <f>_xlfn.XLOOKUP(J661,数据!E:E,数据!B:B)</f>
        <v>4</v>
      </c>
      <c r="C661" s="1" t="str">
        <f>_xlfn.XLOOKUP(J661,数据!E:E,数据!J:J)</f>
        <v>空派</v>
      </c>
      <c r="D661" s="1" t="str" cm="1">
        <f t="array" ref="D661">IF(OR(C661="红单",C661="空派"),_xlfn.IFS(E661="未开售","新品首批发货",F661&lt;E661,"新品首批发货",F661-E661&lt;=60,"新品期补货空运",F661-E661&gt;60,"老品应急空运"),"海运，不进行分析")</f>
        <v>新品期补货空运</v>
      </c>
      <c r="E661" s="2">
        <v>46029</v>
      </c>
      <c r="F661" s="2">
        <f>_xlfn.XLOOKUP(J661,数据!E:E,数据!C:C)</f>
        <v>46045</v>
      </c>
      <c r="G661" s="4">
        <v>142</v>
      </c>
      <c r="H661" s="4">
        <f t="shared" si="30"/>
        <v>1.704</v>
      </c>
      <c r="I661" s="4">
        <f>_xlfn.XLOOKUP(J661,数据!E:E,数据!S:S)*(H661/_xlfn.XLOOKUP(J661,数据!E:E,数据!X:X))</f>
        <v>81.7378551787351</v>
      </c>
      <c r="J661" t="s">
        <v>471</v>
      </c>
      <c r="K661" t="s">
        <v>31</v>
      </c>
      <c r="L661" t="s">
        <v>2374</v>
      </c>
      <c r="M661" t="s">
        <v>6268</v>
      </c>
      <c r="N661" t="s">
        <v>2376</v>
      </c>
      <c r="O661" t="s">
        <v>2400</v>
      </c>
      <c r="P661" t="s">
        <v>2378</v>
      </c>
      <c r="Q661" t="s">
        <v>2379</v>
      </c>
      <c r="R661" t="s">
        <v>6269</v>
      </c>
      <c r="S661" t="s">
        <v>2511</v>
      </c>
      <c r="T661" s="3" t="s">
        <v>6243</v>
      </c>
      <c r="U661" t="s">
        <v>6244</v>
      </c>
      <c r="V661" t="s">
        <v>6270</v>
      </c>
      <c r="W661" t="s">
        <v>6271</v>
      </c>
      <c r="X661" t="s">
        <v>2403</v>
      </c>
      <c r="Y661" t="s">
        <v>6272</v>
      </c>
      <c r="Z661" t="s">
        <v>2405</v>
      </c>
      <c r="AA661" t="s">
        <v>6243</v>
      </c>
      <c r="AB661" t="s">
        <v>5337</v>
      </c>
      <c r="AC661" t="s">
        <v>6273</v>
      </c>
      <c r="AD661" t="s">
        <v>5693</v>
      </c>
      <c r="AH661" t="s">
        <v>5858</v>
      </c>
      <c r="AI661" t="s">
        <v>5693</v>
      </c>
      <c r="AJ661" t="s">
        <v>4142</v>
      </c>
      <c r="AK661" t="s">
        <v>4143</v>
      </c>
      <c r="AL661" t="s">
        <v>4144</v>
      </c>
      <c r="AM661" t="s">
        <v>2787</v>
      </c>
      <c r="AN661" t="s">
        <v>4145</v>
      </c>
      <c r="AO661" t="s">
        <v>4142</v>
      </c>
      <c r="AP661">
        <v>12</v>
      </c>
      <c r="AQ661">
        <v>12</v>
      </c>
      <c r="AR661">
        <v>14</v>
      </c>
      <c r="AS661" t="s">
        <v>6276</v>
      </c>
      <c r="AT661">
        <v>0</v>
      </c>
      <c r="AU661">
        <v>2</v>
      </c>
      <c r="AV661">
        <v>-2</v>
      </c>
    </row>
    <row r="662" spans="1:48">
      <c r="A662" s="1">
        <f>_xlfn.XLOOKUP(J662,数据!E:E,数据!A:A)</f>
        <v>1</v>
      </c>
      <c r="B662" s="1">
        <f>_xlfn.XLOOKUP(J662,数据!E:E,数据!B:B)</f>
        <v>4</v>
      </c>
      <c r="C662" s="1" t="str">
        <f>_xlfn.XLOOKUP(J662,数据!E:E,数据!J:J)</f>
        <v>空派</v>
      </c>
      <c r="D662" s="1" t="str" cm="1">
        <f t="array" ref="D662">IF(OR(C662="红单",C662="空派"),_xlfn.IFS(E662="未开售","新品首批发货",F662&lt;E662,"新品首批发货",F662-E662&lt;=60,"新品期补货空运",F662-E662&gt;60,"老品应急空运"),"海运，不进行分析")</f>
        <v>新品期补货空运</v>
      </c>
      <c r="E662" s="2">
        <v>46028</v>
      </c>
      <c r="F662" s="2">
        <f>_xlfn.XLOOKUP(J662,数据!E:E,数据!C:C)</f>
        <v>46045</v>
      </c>
      <c r="G662" s="4">
        <v>143</v>
      </c>
      <c r="H662" s="4">
        <f t="shared" si="30"/>
        <v>4.29</v>
      </c>
      <c r="I662" s="4">
        <f>_xlfn.XLOOKUP(J662,数据!E:E,数据!S:S)*(H662/_xlfn.XLOOKUP(J662,数据!E:E,数据!X:X))</f>
        <v>205.783684692942</v>
      </c>
      <c r="J662" t="s">
        <v>471</v>
      </c>
      <c r="K662" t="s">
        <v>31</v>
      </c>
      <c r="L662" t="s">
        <v>2374</v>
      </c>
      <c r="M662" t="s">
        <v>6268</v>
      </c>
      <c r="N662" t="s">
        <v>2376</v>
      </c>
      <c r="O662" t="s">
        <v>2400</v>
      </c>
      <c r="P662" t="s">
        <v>2378</v>
      </c>
      <c r="Q662" t="s">
        <v>2379</v>
      </c>
      <c r="R662" t="s">
        <v>6269</v>
      </c>
      <c r="S662" t="s">
        <v>2511</v>
      </c>
      <c r="T662" s="3" t="s">
        <v>6243</v>
      </c>
      <c r="U662" t="s">
        <v>6244</v>
      </c>
      <c r="V662" t="s">
        <v>6270</v>
      </c>
      <c r="W662" t="s">
        <v>6271</v>
      </c>
      <c r="X662" t="s">
        <v>2403</v>
      </c>
      <c r="Y662" t="s">
        <v>6272</v>
      </c>
      <c r="Z662" t="s">
        <v>2405</v>
      </c>
      <c r="AA662" t="s">
        <v>6243</v>
      </c>
      <c r="AB662" t="s">
        <v>5337</v>
      </c>
      <c r="AC662" t="s">
        <v>6273</v>
      </c>
      <c r="AD662" t="s">
        <v>5693</v>
      </c>
      <c r="AH662" t="s">
        <v>5858</v>
      </c>
      <c r="AI662" t="s">
        <v>5693</v>
      </c>
      <c r="AJ662" t="s">
        <v>3920</v>
      </c>
      <c r="AK662" t="s">
        <v>3921</v>
      </c>
      <c r="AL662" t="s">
        <v>3922</v>
      </c>
      <c r="AM662" t="s">
        <v>2787</v>
      </c>
      <c r="AN662" t="s">
        <v>3923</v>
      </c>
      <c r="AO662" t="s">
        <v>3920</v>
      </c>
      <c r="AP662">
        <v>30</v>
      </c>
      <c r="AQ662">
        <v>30</v>
      </c>
      <c r="AR662">
        <v>30</v>
      </c>
      <c r="AS662" t="s">
        <v>6277</v>
      </c>
      <c r="AT662">
        <v>0</v>
      </c>
      <c r="AU662">
        <v>0</v>
      </c>
      <c r="AV662">
        <v>0</v>
      </c>
    </row>
    <row r="663" spans="1:48">
      <c r="A663" s="1">
        <f>_xlfn.XLOOKUP(J663,数据!E:E,数据!A:A)</f>
        <v>1</v>
      </c>
      <c r="B663" s="1">
        <f>_xlfn.XLOOKUP(J663,数据!E:E,数据!B:B)</f>
        <v>4</v>
      </c>
      <c r="C663" s="1" t="str">
        <f>_xlfn.XLOOKUP(J663,数据!E:E,数据!J:J)</f>
        <v>空派</v>
      </c>
      <c r="D663" s="1" t="str" cm="1">
        <f t="array" ref="D663">IF(OR(C663="红单",C663="空派"),_xlfn.IFS(E663="未开售","新品首批发货",F663&lt;E663,"新品首批发货",F663-E663&lt;=60,"新品期补货空运",F663-E663&gt;60,"老品应急空运"),"海运，不进行分析")</f>
        <v>新品期补货空运</v>
      </c>
      <c r="E663" s="2">
        <v>46030</v>
      </c>
      <c r="F663" s="2">
        <f>_xlfn.XLOOKUP(J663,数据!E:E,数据!C:C)</f>
        <v>46045</v>
      </c>
      <c r="G663" s="4">
        <v>146</v>
      </c>
      <c r="H663" s="4">
        <f t="shared" si="30"/>
        <v>4.38</v>
      </c>
      <c r="I663" s="4">
        <f>_xlfn.XLOOKUP(J663,数据!E:E,数据!S:S)*(H663/_xlfn.XLOOKUP(J663,数据!E:E,数据!X:X))</f>
        <v>210.100824931256</v>
      </c>
      <c r="J663" t="s">
        <v>471</v>
      </c>
      <c r="K663" t="s">
        <v>31</v>
      </c>
      <c r="L663" t="s">
        <v>2374</v>
      </c>
      <c r="M663" t="s">
        <v>6268</v>
      </c>
      <c r="N663" t="s">
        <v>2376</v>
      </c>
      <c r="O663" t="s">
        <v>2400</v>
      </c>
      <c r="P663" t="s">
        <v>2378</v>
      </c>
      <c r="Q663" t="s">
        <v>2379</v>
      </c>
      <c r="R663" t="s">
        <v>6269</v>
      </c>
      <c r="S663" t="s">
        <v>2511</v>
      </c>
      <c r="T663" s="3" t="s">
        <v>6243</v>
      </c>
      <c r="U663" t="s">
        <v>6244</v>
      </c>
      <c r="V663" t="s">
        <v>6270</v>
      </c>
      <c r="W663" t="s">
        <v>6271</v>
      </c>
      <c r="X663" t="s">
        <v>2403</v>
      </c>
      <c r="Y663" t="s">
        <v>6272</v>
      </c>
      <c r="Z663" t="s">
        <v>2405</v>
      </c>
      <c r="AA663" t="s">
        <v>6243</v>
      </c>
      <c r="AB663" t="s">
        <v>5337</v>
      </c>
      <c r="AC663" t="s">
        <v>6273</v>
      </c>
      <c r="AD663" t="s">
        <v>5693</v>
      </c>
      <c r="AH663" t="s">
        <v>5858</v>
      </c>
      <c r="AI663" t="s">
        <v>5693</v>
      </c>
      <c r="AJ663" t="s">
        <v>3683</v>
      </c>
      <c r="AK663" t="s">
        <v>3684</v>
      </c>
      <c r="AL663" t="s">
        <v>3685</v>
      </c>
      <c r="AM663" t="s">
        <v>2787</v>
      </c>
      <c r="AN663" t="s">
        <v>3686</v>
      </c>
      <c r="AO663" t="s">
        <v>3683</v>
      </c>
      <c r="AP663">
        <v>30</v>
      </c>
      <c r="AQ663">
        <v>30</v>
      </c>
      <c r="AR663">
        <v>30</v>
      </c>
      <c r="AS663" t="s">
        <v>6278</v>
      </c>
      <c r="AT663">
        <v>0</v>
      </c>
      <c r="AU663">
        <v>0</v>
      </c>
      <c r="AV663">
        <v>0</v>
      </c>
    </row>
    <row r="664" spans="1:48">
      <c r="A664" s="1">
        <f>_xlfn.XLOOKUP(J664,数据!E:E,数据!A:A)</f>
        <v>1</v>
      </c>
      <c r="B664" s="1">
        <f>_xlfn.XLOOKUP(J664,数据!E:E,数据!B:B)</f>
        <v>4</v>
      </c>
      <c r="C664" s="1" t="str">
        <f>_xlfn.XLOOKUP(J664,数据!E:E,数据!J:J)</f>
        <v>空派</v>
      </c>
      <c r="D664" s="1" t="str" cm="1">
        <f t="array" ref="D664">IF(OR(C664="红单",C664="空派"),_xlfn.IFS(E664="未开售","新品首批发货",F664&lt;E664,"新品首批发货",F664-E664&lt;=60,"新品期补货空运",F664-E664&gt;60,"老品应急空运"),"海运，不进行分析")</f>
        <v>新品期补货空运</v>
      </c>
      <c r="E664" s="2">
        <v>46028</v>
      </c>
      <c r="F664" s="2">
        <f>_xlfn.XLOOKUP(J664,数据!E:E,数据!C:C)</f>
        <v>46045</v>
      </c>
      <c r="G664" s="4">
        <v>143.3</v>
      </c>
      <c r="H664" s="4">
        <f t="shared" si="30"/>
        <v>2.866</v>
      </c>
      <c r="I664" s="4">
        <f>_xlfn.XLOOKUP(J664,数据!E:E,数据!S:S)*(H664/_xlfn.XLOOKUP(J664,数据!E:E,数据!X:X))</f>
        <v>137.476932477849</v>
      </c>
      <c r="J664" t="s">
        <v>471</v>
      </c>
      <c r="K664" t="s">
        <v>31</v>
      </c>
      <c r="L664" t="s">
        <v>2374</v>
      </c>
      <c r="M664" t="s">
        <v>6268</v>
      </c>
      <c r="N664" t="s">
        <v>2376</v>
      </c>
      <c r="O664" t="s">
        <v>2400</v>
      </c>
      <c r="P664" t="s">
        <v>2378</v>
      </c>
      <c r="Q664" t="s">
        <v>2379</v>
      </c>
      <c r="R664" t="s">
        <v>6269</v>
      </c>
      <c r="S664" t="s">
        <v>2511</v>
      </c>
      <c r="T664" s="3" t="s">
        <v>6243</v>
      </c>
      <c r="U664" t="s">
        <v>6244</v>
      </c>
      <c r="V664" t="s">
        <v>6270</v>
      </c>
      <c r="W664" t="s">
        <v>6271</v>
      </c>
      <c r="X664" t="s">
        <v>2403</v>
      </c>
      <c r="Y664" t="s">
        <v>6272</v>
      </c>
      <c r="Z664" t="s">
        <v>2405</v>
      </c>
      <c r="AA664" t="s">
        <v>6243</v>
      </c>
      <c r="AB664" t="s">
        <v>5337</v>
      </c>
      <c r="AC664" t="s">
        <v>6273</v>
      </c>
      <c r="AD664" t="s">
        <v>5693</v>
      </c>
      <c r="AH664" t="s">
        <v>5858</v>
      </c>
      <c r="AI664" t="s">
        <v>5693</v>
      </c>
      <c r="AJ664" t="s">
        <v>4319</v>
      </c>
      <c r="AK664" t="s">
        <v>4320</v>
      </c>
      <c r="AL664" t="s">
        <v>4321</v>
      </c>
      <c r="AM664" t="s">
        <v>2787</v>
      </c>
      <c r="AN664" t="s">
        <v>4322</v>
      </c>
      <c r="AO664" t="s">
        <v>4319</v>
      </c>
      <c r="AP664">
        <v>20</v>
      </c>
      <c r="AQ664">
        <v>20</v>
      </c>
      <c r="AR664">
        <v>20</v>
      </c>
      <c r="AS664" t="s">
        <v>6279</v>
      </c>
      <c r="AT664">
        <v>0</v>
      </c>
      <c r="AU664">
        <v>0</v>
      </c>
      <c r="AV664">
        <v>0</v>
      </c>
    </row>
    <row r="665" spans="1:48">
      <c r="A665" s="1">
        <f>_xlfn.XLOOKUP(J665,数据!E:E,数据!A:A)</f>
        <v>1</v>
      </c>
      <c r="B665" s="1">
        <f>_xlfn.XLOOKUP(J665,数据!E:E,数据!B:B)</f>
        <v>4</v>
      </c>
      <c r="C665" s="1" t="str">
        <f>_xlfn.XLOOKUP(J665,数据!E:E,数据!J:J)</f>
        <v>空派</v>
      </c>
      <c r="D665" s="1" t="str" cm="1">
        <f t="array" ref="D665">IF(OR(C665="红单",C665="空派"),_xlfn.IFS(E665="未开售","新品首批发货",F665&lt;E665,"新品首批发货",F665-E665&lt;=60,"新品期补货空运",F665-E665&gt;60,"老品应急空运"),"海运，不进行分析")</f>
        <v>新品期补货空运</v>
      </c>
      <c r="E665" s="2">
        <v>46017</v>
      </c>
      <c r="F665" s="2">
        <f>_xlfn.XLOOKUP(J665,数据!E:E,数据!C:C)</f>
        <v>46045</v>
      </c>
      <c r="G665" s="4">
        <v>144</v>
      </c>
      <c r="H665" s="4">
        <f t="shared" si="30"/>
        <v>2.88</v>
      </c>
      <c r="I665" s="4">
        <f>_xlfn.XLOOKUP(J665,数据!E:E,数据!S:S)*(H665/_xlfn.XLOOKUP(J665,数据!E:E,数据!X:X))</f>
        <v>138.148487626031</v>
      </c>
      <c r="J665" t="s">
        <v>471</v>
      </c>
      <c r="K665" t="s">
        <v>31</v>
      </c>
      <c r="L665" t="s">
        <v>2374</v>
      </c>
      <c r="M665" t="s">
        <v>6268</v>
      </c>
      <c r="N665" t="s">
        <v>2376</v>
      </c>
      <c r="O665" t="s">
        <v>2400</v>
      </c>
      <c r="P665" t="s">
        <v>2378</v>
      </c>
      <c r="Q665" t="s">
        <v>2379</v>
      </c>
      <c r="R665" t="s">
        <v>6269</v>
      </c>
      <c r="S665" t="s">
        <v>2511</v>
      </c>
      <c r="T665" s="3" t="s">
        <v>6243</v>
      </c>
      <c r="U665" t="s">
        <v>6244</v>
      </c>
      <c r="V665" t="s">
        <v>6270</v>
      </c>
      <c r="W665" t="s">
        <v>6271</v>
      </c>
      <c r="X665" t="s">
        <v>2403</v>
      </c>
      <c r="Y665" t="s">
        <v>6272</v>
      </c>
      <c r="Z665" t="s">
        <v>2405</v>
      </c>
      <c r="AA665" t="s">
        <v>6243</v>
      </c>
      <c r="AB665" t="s">
        <v>5337</v>
      </c>
      <c r="AC665" t="s">
        <v>6273</v>
      </c>
      <c r="AD665" t="s">
        <v>5693</v>
      </c>
      <c r="AH665" t="s">
        <v>5858</v>
      </c>
      <c r="AI665" t="s">
        <v>5693</v>
      </c>
      <c r="AJ665" t="s">
        <v>5007</v>
      </c>
      <c r="AK665" t="s">
        <v>5008</v>
      </c>
      <c r="AL665" t="s">
        <v>5009</v>
      </c>
      <c r="AM665" t="s">
        <v>2989</v>
      </c>
      <c r="AN665" t="s">
        <v>5010</v>
      </c>
      <c r="AO665" t="s">
        <v>5007</v>
      </c>
      <c r="AP665">
        <v>20</v>
      </c>
      <c r="AQ665">
        <v>20</v>
      </c>
      <c r="AR665">
        <v>20</v>
      </c>
      <c r="AS665" t="s">
        <v>6280</v>
      </c>
      <c r="AT665">
        <v>0</v>
      </c>
      <c r="AU665">
        <v>0</v>
      </c>
      <c r="AV665">
        <v>0</v>
      </c>
    </row>
    <row r="666" spans="1:48">
      <c r="A666" s="1">
        <f>_xlfn.XLOOKUP(J666,数据!E:E,数据!A:A)</f>
        <v>1</v>
      </c>
      <c r="B666" s="1">
        <f>_xlfn.XLOOKUP(J666,数据!E:E,数据!B:B)</f>
        <v>4</v>
      </c>
      <c r="C666" s="1" t="str">
        <f>_xlfn.XLOOKUP(J666,数据!E:E,数据!J:J)</f>
        <v>空派</v>
      </c>
      <c r="D666" s="1" t="str" cm="1">
        <f t="array" ref="D666">IF(OR(C666="红单",C666="空派"),_xlfn.IFS(E666="未开售","新品首批发货",F666&lt;E666,"新品首批发货",F666-E666&lt;=60,"新品期补货空运",F666-E666&gt;60,"老品应急空运"),"海运，不进行分析")</f>
        <v>新品期补货空运</v>
      </c>
      <c r="E666" s="2">
        <v>46003</v>
      </c>
      <c r="F666" s="2">
        <f>_xlfn.XLOOKUP(J666,数据!E:E,数据!C:C)</f>
        <v>46045</v>
      </c>
      <c r="G666" s="4">
        <v>106</v>
      </c>
      <c r="H666" s="4">
        <f t="shared" si="30"/>
        <v>0.424</v>
      </c>
      <c r="I666" s="4">
        <f>_xlfn.XLOOKUP(J666,数据!E:E,数据!S:S)*(H666/_xlfn.XLOOKUP(J666,数据!E:E,数据!X:X))</f>
        <v>20.3385273449435</v>
      </c>
      <c r="J666" t="s">
        <v>468</v>
      </c>
      <c r="K666" t="s">
        <v>31</v>
      </c>
      <c r="L666" t="s">
        <v>2374</v>
      </c>
      <c r="M666" t="s">
        <v>6281</v>
      </c>
      <c r="N666" t="s">
        <v>2376</v>
      </c>
      <c r="O666" t="s">
        <v>2400</v>
      </c>
      <c r="P666" t="s">
        <v>2378</v>
      </c>
      <c r="Q666" t="s">
        <v>2379</v>
      </c>
      <c r="R666" t="s">
        <v>6282</v>
      </c>
      <c r="S666" t="s">
        <v>2511</v>
      </c>
      <c r="T666" s="3" t="s">
        <v>6243</v>
      </c>
      <c r="U666" t="s">
        <v>6244</v>
      </c>
      <c r="V666" t="s">
        <v>6283</v>
      </c>
      <c r="W666" t="s">
        <v>6284</v>
      </c>
      <c r="X666" t="s">
        <v>2403</v>
      </c>
      <c r="Y666" t="s">
        <v>6285</v>
      </c>
      <c r="Z666" t="s">
        <v>2405</v>
      </c>
      <c r="AA666" t="s">
        <v>6243</v>
      </c>
      <c r="AB666" t="s">
        <v>5337</v>
      </c>
      <c r="AC666" t="s">
        <v>6286</v>
      </c>
      <c r="AD666" t="s">
        <v>5951</v>
      </c>
      <c r="AH666" t="s">
        <v>5858</v>
      </c>
      <c r="AI666" t="s">
        <v>5693</v>
      </c>
      <c r="AJ666" t="s">
        <v>6250</v>
      </c>
      <c r="AK666" t="s">
        <v>6251</v>
      </c>
      <c r="AL666" t="s">
        <v>6252</v>
      </c>
      <c r="AM666" t="s">
        <v>6253</v>
      </c>
      <c r="AN666" t="s">
        <v>6254</v>
      </c>
      <c r="AO666" t="s">
        <v>6250</v>
      </c>
      <c r="AP666">
        <v>4</v>
      </c>
      <c r="AQ666">
        <v>4</v>
      </c>
      <c r="AR666">
        <v>4</v>
      </c>
      <c r="AS666" t="s">
        <v>6287</v>
      </c>
      <c r="AT666">
        <v>0</v>
      </c>
      <c r="AU666">
        <v>0</v>
      </c>
      <c r="AV666">
        <v>0</v>
      </c>
    </row>
    <row r="667" spans="1:48">
      <c r="A667" s="1">
        <f>_xlfn.XLOOKUP(J667,数据!E:E,数据!A:A)</f>
        <v>1</v>
      </c>
      <c r="B667" s="1">
        <f>_xlfn.XLOOKUP(J667,数据!E:E,数据!B:B)</f>
        <v>4</v>
      </c>
      <c r="C667" s="1" t="str">
        <f>_xlfn.XLOOKUP(J667,数据!E:E,数据!J:J)</f>
        <v>空派</v>
      </c>
      <c r="D667" s="1" t="str" cm="1">
        <f t="array" ref="D667">IF(OR(C667="红单",C667="空派"),_xlfn.IFS(E667="未开售","新品首批发货",F667&lt;E667,"新品首批发货",F667-E667&lt;=60,"新品期补货空运",F667-E667&gt;60,"老品应急空运"),"海运，不进行分析")</f>
        <v>老品应急空运</v>
      </c>
      <c r="E667" s="2">
        <v>45893</v>
      </c>
      <c r="F667" s="2">
        <f>_xlfn.XLOOKUP(J667,数据!E:E,数据!C:C)</f>
        <v>46045</v>
      </c>
      <c r="G667" s="4">
        <v>433</v>
      </c>
      <c r="H667" s="4">
        <f t="shared" si="30"/>
        <v>2.598</v>
      </c>
      <c r="I667" s="4">
        <f>_xlfn.XLOOKUP(J667,数据!E:E,数据!S:S)*(H667/_xlfn.XLOOKUP(J667,数据!E:E,数据!X:X))</f>
        <v>124.621448212649</v>
      </c>
      <c r="J667" t="s">
        <v>468</v>
      </c>
      <c r="K667" t="s">
        <v>31</v>
      </c>
      <c r="L667" t="s">
        <v>2374</v>
      </c>
      <c r="M667" t="s">
        <v>6281</v>
      </c>
      <c r="N667" t="s">
        <v>2376</v>
      </c>
      <c r="O667" t="s">
        <v>2400</v>
      </c>
      <c r="P667" t="s">
        <v>2378</v>
      </c>
      <c r="Q667" t="s">
        <v>2379</v>
      </c>
      <c r="R667" t="s">
        <v>6282</v>
      </c>
      <c r="S667" t="s">
        <v>2511</v>
      </c>
      <c r="T667" s="3" t="s">
        <v>6243</v>
      </c>
      <c r="U667" t="s">
        <v>6244</v>
      </c>
      <c r="V667" t="s">
        <v>6283</v>
      </c>
      <c r="W667" t="s">
        <v>6284</v>
      </c>
      <c r="X667" t="s">
        <v>2403</v>
      </c>
      <c r="Y667" t="s">
        <v>6285</v>
      </c>
      <c r="Z667" t="s">
        <v>2405</v>
      </c>
      <c r="AA667" t="s">
        <v>6243</v>
      </c>
      <c r="AB667" t="s">
        <v>5337</v>
      </c>
      <c r="AC667" t="s">
        <v>6286</v>
      </c>
      <c r="AD667" t="s">
        <v>5951</v>
      </c>
      <c r="AH667" t="s">
        <v>5858</v>
      </c>
      <c r="AI667" t="s">
        <v>5693</v>
      </c>
      <c r="AJ667" t="s">
        <v>6256</v>
      </c>
      <c r="AK667" t="s">
        <v>6257</v>
      </c>
      <c r="AL667" t="s">
        <v>6258</v>
      </c>
      <c r="AM667" t="s">
        <v>4516</v>
      </c>
      <c r="AN667" t="s">
        <v>6259</v>
      </c>
      <c r="AO667" t="s">
        <v>6256</v>
      </c>
      <c r="AP667">
        <v>6</v>
      </c>
      <c r="AQ667">
        <v>6</v>
      </c>
      <c r="AR667">
        <v>6</v>
      </c>
      <c r="AS667" t="s">
        <v>6288</v>
      </c>
      <c r="AT667">
        <v>0</v>
      </c>
      <c r="AU667">
        <v>0</v>
      </c>
      <c r="AV667">
        <v>0</v>
      </c>
    </row>
    <row r="668" spans="1:48">
      <c r="A668" s="1">
        <f>_xlfn.XLOOKUP(J668,数据!E:E,数据!A:A)</f>
        <v>1</v>
      </c>
      <c r="B668" s="1">
        <f>_xlfn.XLOOKUP(J668,数据!E:E,数据!B:B)</f>
        <v>4</v>
      </c>
      <c r="C668" s="1" t="str">
        <f>_xlfn.XLOOKUP(J668,数据!E:E,数据!J:J)</f>
        <v>空派</v>
      </c>
      <c r="D668" s="1" t="str" cm="1">
        <f t="array" ref="D668">IF(OR(C668="红单",C668="空派"),_xlfn.IFS(E668="未开售","新品首批发货",F668&lt;E668,"新品首批发货",F668-E668&lt;=60,"新品期补货空运",F668-E668&gt;60,"老品应急空运"),"海运，不进行分析")</f>
        <v>老品应急空运</v>
      </c>
      <c r="E668" s="2">
        <v>44703</v>
      </c>
      <c r="F668" s="2">
        <f>_xlfn.XLOOKUP(J668,数据!E:E,数据!C:C)</f>
        <v>46045</v>
      </c>
      <c r="G668" s="4">
        <v>124</v>
      </c>
      <c r="H668" s="4">
        <f t="shared" si="30"/>
        <v>0.496</v>
      </c>
      <c r="I668" s="4">
        <f>_xlfn.XLOOKUP(J668,数据!E:E,数据!S:S)*(H668/_xlfn.XLOOKUP(J668,数据!E:E,数据!X:X))</f>
        <v>23.7922395355943</v>
      </c>
      <c r="J668" t="s">
        <v>468</v>
      </c>
      <c r="K668" t="s">
        <v>31</v>
      </c>
      <c r="L668" t="s">
        <v>2374</v>
      </c>
      <c r="M668" t="s">
        <v>6281</v>
      </c>
      <c r="N668" t="s">
        <v>2376</v>
      </c>
      <c r="O668" t="s">
        <v>2400</v>
      </c>
      <c r="P668" t="s">
        <v>2378</v>
      </c>
      <c r="Q668" t="s">
        <v>2379</v>
      </c>
      <c r="R668" t="s">
        <v>6282</v>
      </c>
      <c r="S668" t="s">
        <v>2511</v>
      </c>
      <c r="T668" s="3" t="s">
        <v>6243</v>
      </c>
      <c r="U668" t="s">
        <v>6244</v>
      </c>
      <c r="V668" t="s">
        <v>6283</v>
      </c>
      <c r="W668" t="s">
        <v>6284</v>
      </c>
      <c r="X668" t="s">
        <v>2403</v>
      </c>
      <c r="Y668" t="s">
        <v>6285</v>
      </c>
      <c r="Z668" t="s">
        <v>2405</v>
      </c>
      <c r="AA668" t="s">
        <v>6243</v>
      </c>
      <c r="AB668" t="s">
        <v>5337</v>
      </c>
      <c r="AC668" t="s">
        <v>6286</v>
      </c>
      <c r="AD668" t="s">
        <v>5951</v>
      </c>
      <c r="AH668" t="s">
        <v>5858</v>
      </c>
      <c r="AI668" t="s">
        <v>5693</v>
      </c>
      <c r="AJ668" t="s">
        <v>6261</v>
      </c>
      <c r="AK668" t="s">
        <v>6262</v>
      </c>
      <c r="AL668" t="s">
        <v>6263</v>
      </c>
      <c r="AM668" t="s">
        <v>6263</v>
      </c>
      <c r="AN668" t="s">
        <v>6264</v>
      </c>
      <c r="AO668" t="s">
        <v>6261</v>
      </c>
      <c r="AP668">
        <v>4</v>
      </c>
      <c r="AQ668">
        <v>4</v>
      </c>
      <c r="AR668">
        <v>4</v>
      </c>
      <c r="AS668" t="s">
        <v>6287</v>
      </c>
      <c r="AT668">
        <v>0</v>
      </c>
      <c r="AU668">
        <v>0</v>
      </c>
      <c r="AV668">
        <v>0</v>
      </c>
    </row>
    <row r="669" spans="1:48">
      <c r="A669" s="1">
        <f>_xlfn.XLOOKUP(J669,数据!E:E,数据!A:A)</f>
        <v>1</v>
      </c>
      <c r="B669" s="1">
        <f>_xlfn.XLOOKUP(J669,数据!E:E,数据!B:B)</f>
        <v>4</v>
      </c>
      <c r="C669" s="1" t="str">
        <f>_xlfn.XLOOKUP(J669,数据!E:E,数据!J:J)</f>
        <v>空派</v>
      </c>
      <c r="D669" s="1" t="str" cm="1">
        <f t="array" ref="D669">IF(OR(C669="红单",C669="空派"),_xlfn.IFS(E669="未开售","新品首批发货",F669&lt;E669,"新品首批发货",F669-E669&lt;=60,"新品期补货空运",F669-E669&gt;60,"老品应急空运"),"海运，不进行分析")</f>
        <v>新品期补货空运</v>
      </c>
      <c r="E669" s="2">
        <v>46029</v>
      </c>
      <c r="F669" s="2">
        <f>_xlfn.XLOOKUP(J669,数据!E:E,数据!C:C)</f>
        <v>46045</v>
      </c>
      <c r="G669" s="4">
        <v>142</v>
      </c>
      <c r="H669" s="4">
        <f t="shared" si="30"/>
        <v>1.704</v>
      </c>
      <c r="I669" s="4">
        <f>_xlfn.XLOOKUP(J669,数据!E:E,数据!S:S)*(H669/_xlfn.XLOOKUP(J669,数据!E:E,数据!X:X))</f>
        <v>81.7378551787351</v>
      </c>
      <c r="J669" t="s">
        <v>468</v>
      </c>
      <c r="K669" t="s">
        <v>31</v>
      </c>
      <c r="L669" t="s">
        <v>2374</v>
      </c>
      <c r="M669" t="s">
        <v>6281</v>
      </c>
      <c r="N669" t="s">
        <v>2376</v>
      </c>
      <c r="O669" t="s">
        <v>2400</v>
      </c>
      <c r="P669" t="s">
        <v>2378</v>
      </c>
      <c r="Q669" t="s">
        <v>2379</v>
      </c>
      <c r="R669" t="s">
        <v>6282</v>
      </c>
      <c r="S669" t="s">
        <v>2511</v>
      </c>
      <c r="T669" s="3" t="s">
        <v>6243</v>
      </c>
      <c r="U669" t="s">
        <v>6244</v>
      </c>
      <c r="V669" t="s">
        <v>6283</v>
      </c>
      <c r="W669" t="s">
        <v>6284</v>
      </c>
      <c r="X669" t="s">
        <v>2403</v>
      </c>
      <c r="Y669" t="s">
        <v>6285</v>
      </c>
      <c r="Z669" t="s">
        <v>2405</v>
      </c>
      <c r="AA669" t="s">
        <v>6243</v>
      </c>
      <c r="AB669" t="s">
        <v>5337</v>
      </c>
      <c r="AC669" t="s">
        <v>6286</v>
      </c>
      <c r="AD669" t="s">
        <v>5951</v>
      </c>
      <c r="AH669" t="s">
        <v>5858</v>
      </c>
      <c r="AI669" t="s">
        <v>5693</v>
      </c>
      <c r="AJ669" t="s">
        <v>4142</v>
      </c>
      <c r="AK669" t="s">
        <v>4143</v>
      </c>
      <c r="AL669" t="s">
        <v>4144</v>
      </c>
      <c r="AM669" t="s">
        <v>2787</v>
      </c>
      <c r="AN669" t="s">
        <v>4145</v>
      </c>
      <c r="AO669" t="s">
        <v>4142</v>
      </c>
      <c r="AP669">
        <v>12</v>
      </c>
      <c r="AQ669">
        <v>12</v>
      </c>
      <c r="AR669">
        <v>12</v>
      </c>
      <c r="AS669" t="s">
        <v>6289</v>
      </c>
      <c r="AT669">
        <v>0</v>
      </c>
      <c r="AU669">
        <v>0</v>
      </c>
      <c r="AV669">
        <v>0</v>
      </c>
    </row>
    <row r="670" spans="1:48">
      <c r="A670" s="1">
        <f>_xlfn.XLOOKUP(J670,数据!E:E,数据!A:A)</f>
        <v>1</v>
      </c>
      <c r="B670" s="1">
        <f>_xlfn.XLOOKUP(J670,数据!E:E,数据!B:B)</f>
        <v>4</v>
      </c>
      <c r="C670" s="1" t="str">
        <f>_xlfn.XLOOKUP(J670,数据!E:E,数据!J:J)</f>
        <v>空派</v>
      </c>
      <c r="D670" s="1" t="str" cm="1">
        <f t="array" ref="D670">IF(OR(C670="红单",C670="空派"),_xlfn.IFS(E670="未开售","新品首批发货",F670&lt;E670,"新品首批发货",F670-E670&lt;=60,"新品期补货空运",F670-E670&gt;60,"老品应急空运"),"海运，不进行分析")</f>
        <v>新品期补货空运</v>
      </c>
      <c r="E670" s="2">
        <v>46028</v>
      </c>
      <c r="F670" s="2">
        <f>_xlfn.XLOOKUP(J670,数据!E:E,数据!C:C)</f>
        <v>46045</v>
      </c>
      <c r="G670" s="4">
        <v>143</v>
      </c>
      <c r="H670" s="4">
        <f t="shared" ref="H670:H693" si="31">G670*AP670/1000</f>
        <v>4.29</v>
      </c>
      <c r="I670" s="4">
        <f>_xlfn.XLOOKUP(J670,数据!E:E,数据!S:S)*(H670/_xlfn.XLOOKUP(J670,数据!E:E,数据!X:X))</f>
        <v>205.783684692942</v>
      </c>
      <c r="J670" t="s">
        <v>468</v>
      </c>
      <c r="K670" t="s">
        <v>31</v>
      </c>
      <c r="L670" t="s">
        <v>2374</v>
      </c>
      <c r="M670" t="s">
        <v>6281</v>
      </c>
      <c r="N670" t="s">
        <v>2376</v>
      </c>
      <c r="O670" t="s">
        <v>2400</v>
      </c>
      <c r="P670" t="s">
        <v>2378</v>
      </c>
      <c r="Q670" t="s">
        <v>2379</v>
      </c>
      <c r="R670" t="s">
        <v>6282</v>
      </c>
      <c r="S670" t="s">
        <v>2511</v>
      </c>
      <c r="T670" s="3" t="s">
        <v>6243</v>
      </c>
      <c r="U670" t="s">
        <v>6244</v>
      </c>
      <c r="V670" t="s">
        <v>6283</v>
      </c>
      <c r="W670" t="s">
        <v>6284</v>
      </c>
      <c r="X670" t="s">
        <v>2403</v>
      </c>
      <c r="Y670" t="s">
        <v>6285</v>
      </c>
      <c r="Z670" t="s">
        <v>2405</v>
      </c>
      <c r="AA670" t="s">
        <v>6243</v>
      </c>
      <c r="AB670" t="s">
        <v>5337</v>
      </c>
      <c r="AC670" t="s">
        <v>6286</v>
      </c>
      <c r="AD670" t="s">
        <v>5951</v>
      </c>
      <c r="AH670" t="s">
        <v>5858</v>
      </c>
      <c r="AI670" t="s">
        <v>5693</v>
      </c>
      <c r="AJ670" t="s">
        <v>3920</v>
      </c>
      <c r="AK670" t="s">
        <v>3921</v>
      </c>
      <c r="AL670" t="s">
        <v>3922</v>
      </c>
      <c r="AM670" t="s">
        <v>2787</v>
      </c>
      <c r="AN670" t="s">
        <v>3923</v>
      </c>
      <c r="AO670" t="s">
        <v>3920</v>
      </c>
      <c r="AP670">
        <v>30</v>
      </c>
      <c r="AQ670">
        <v>30</v>
      </c>
      <c r="AR670">
        <v>30</v>
      </c>
      <c r="AS670" t="s">
        <v>6290</v>
      </c>
      <c r="AT670">
        <v>0</v>
      </c>
      <c r="AU670">
        <v>0</v>
      </c>
      <c r="AV670">
        <v>0</v>
      </c>
    </row>
    <row r="671" spans="1:48">
      <c r="A671" s="1">
        <f>_xlfn.XLOOKUP(J671,数据!E:E,数据!A:A)</f>
        <v>1</v>
      </c>
      <c r="B671" s="1">
        <f>_xlfn.XLOOKUP(J671,数据!E:E,数据!B:B)</f>
        <v>4</v>
      </c>
      <c r="C671" s="1" t="str">
        <f>_xlfn.XLOOKUP(J671,数据!E:E,数据!J:J)</f>
        <v>空派</v>
      </c>
      <c r="D671" s="1" t="str" cm="1">
        <f t="array" ref="D671">IF(OR(C671="红单",C671="空派"),_xlfn.IFS(E671="未开售","新品首批发货",F671&lt;E671,"新品首批发货",F671-E671&lt;=60,"新品期补货空运",F671-E671&gt;60,"老品应急空运"),"海运，不进行分析")</f>
        <v>新品期补货空运</v>
      </c>
      <c r="E671" s="2">
        <v>46030</v>
      </c>
      <c r="F671" s="2">
        <f>_xlfn.XLOOKUP(J671,数据!E:E,数据!C:C)</f>
        <v>46045</v>
      </c>
      <c r="G671" s="4">
        <v>146</v>
      </c>
      <c r="H671" s="4">
        <f t="shared" si="31"/>
        <v>4.38</v>
      </c>
      <c r="I671" s="4">
        <f>_xlfn.XLOOKUP(J671,数据!E:E,数据!S:S)*(H671/_xlfn.XLOOKUP(J671,数据!E:E,数据!X:X))</f>
        <v>210.100824931256</v>
      </c>
      <c r="J671" t="s">
        <v>468</v>
      </c>
      <c r="K671" t="s">
        <v>31</v>
      </c>
      <c r="L671" t="s">
        <v>2374</v>
      </c>
      <c r="M671" t="s">
        <v>6281</v>
      </c>
      <c r="N671" t="s">
        <v>2376</v>
      </c>
      <c r="O671" t="s">
        <v>2400</v>
      </c>
      <c r="P671" t="s">
        <v>2378</v>
      </c>
      <c r="Q671" t="s">
        <v>2379</v>
      </c>
      <c r="R671" t="s">
        <v>6282</v>
      </c>
      <c r="S671" t="s">
        <v>2511</v>
      </c>
      <c r="T671" s="3" t="s">
        <v>6243</v>
      </c>
      <c r="U671" t="s">
        <v>6244</v>
      </c>
      <c r="V671" t="s">
        <v>6283</v>
      </c>
      <c r="W671" t="s">
        <v>6284</v>
      </c>
      <c r="X671" t="s">
        <v>2403</v>
      </c>
      <c r="Y671" t="s">
        <v>6285</v>
      </c>
      <c r="Z671" t="s">
        <v>2405</v>
      </c>
      <c r="AA671" t="s">
        <v>6243</v>
      </c>
      <c r="AB671" t="s">
        <v>5337</v>
      </c>
      <c r="AC671" t="s">
        <v>6286</v>
      </c>
      <c r="AD671" t="s">
        <v>5951</v>
      </c>
      <c r="AH671" t="s">
        <v>5858</v>
      </c>
      <c r="AI671" t="s">
        <v>5693</v>
      </c>
      <c r="AJ671" t="s">
        <v>3683</v>
      </c>
      <c r="AK671" t="s">
        <v>3684</v>
      </c>
      <c r="AL671" t="s">
        <v>3685</v>
      </c>
      <c r="AM671" t="s">
        <v>2787</v>
      </c>
      <c r="AN671" t="s">
        <v>3686</v>
      </c>
      <c r="AO671" t="s">
        <v>3683</v>
      </c>
      <c r="AP671">
        <v>30</v>
      </c>
      <c r="AQ671">
        <v>30</v>
      </c>
      <c r="AR671">
        <v>30</v>
      </c>
      <c r="AS671" t="s">
        <v>6291</v>
      </c>
      <c r="AT671">
        <v>0</v>
      </c>
      <c r="AU671">
        <v>0</v>
      </c>
      <c r="AV671">
        <v>0</v>
      </c>
    </row>
    <row r="672" spans="1:48">
      <c r="A672" s="1">
        <f>_xlfn.XLOOKUP(J672,数据!E:E,数据!A:A)</f>
        <v>1</v>
      </c>
      <c r="B672" s="1">
        <f>_xlfn.XLOOKUP(J672,数据!E:E,数据!B:B)</f>
        <v>4</v>
      </c>
      <c r="C672" s="1" t="str">
        <f>_xlfn.XLOOKUP(J672,数据!E:E,数据!J:J)</f>
        <v>空派</v>
      </c>
      <c r="D672" s="1" t="str" cm="1">
        <f t="array" ref="D672">IF(OR(C672="红单",C672="空派"),_xlfn.IFS(E672="未开售","新品首批发货",F672&lt;E672,"新品首批发货",F672-E672&lt;=60,"新品期补货空运",F672-E672&gt;60,"老品应急空运"),"海运，不进行分析")</f>
        <v>新品期补货空运</v>
      </c>
      <c r="E672" s="2">
        <v>46028</v>
      </c>
      <c r="F672" s="2">
        <f>_xlfn.XLOOKUP(J672,数据!E:E,数据!C:C)</f>
        <v>46045</v>
      </c>
      <c r="G672" s="4">
        <v>143.3</v>
      </c>
      <c r="H672" s="4">
        <f t="shared" si="31"/>
        <v>2.866</v>
      </c>
      <c r="I672" s="4">
        <f>_xlfn.XLOOKUP(J672,数据!E:E,数据!S:S)*(H672/_xlfn.XLOOKUP(J672,数据!E:E,数据!X:X))</f>
        <v>137.476932477849</v>
      </c>
      <c r="J672" t="s">
        <v>468</v>
      </c>
      <c r="K672" t="s">
        <v>31</v>
      </c>
      <c r="L672" t="s">
        <v>2374</v>
      </c>
      <c r="M672" t="s">
        <v>6281</v>
      </c>
      <c r="N672" t="s">
        <v>2376</v>
      </c>
      <c r="O672" t="s">
        <v>2400</v>
      </c>
      <c r="P672" t="s">
        <v>2378</v>
      </c>
      <c r="Q672" t="s">
        <v>2379</v>
      </c>
      <c r="R672" t="s">
        <v>6282</v>
      </c>
      <c r="S672" t="s">
        <v>2511</v>
      </c>
      <c r="T672" s="3" t="s">
        <v>6243</v>
      </c>
      <c r="U672" t="s">
        <v>6244</v>
      </c>
      <c r="V672" t="s">
        <v>6283</v>
      </c>
      <c r="W672" t="s">
        <v>6284</v>
      </c>
      <c r="X672" t="s">
        <v>2403</v>
      </c>
      <c r="Y672" t="s">
        <v>6285</v>
      </c>
      <c r="Z672" t="s">
        <v>2405</v>
      </c>
      <c r="AA672" t="s">
        <v>6243</v>
      </c>
      <c r="AB672" t="s">
        <v>5337</v>
      </c>
      <c r="AC672" t="s">
        <v>6286</v>
      </c>
      <c r="AD672" t="s">
        <v>5951</v>
      </c>
      <c r="AH672" t="s">
        <v>5858</v>
      </c>
      <c r="AI672" t="s">
        <v>5693</v>
      </c>
      <c r="AJ672" t="s">
        <v>4319</v>
      </c>
      <c r="AK672" t="s">
        <v>4320</v>
      </c>
      <c r="AL672" t="s">
        <v>4321</v>
      </c>
      <c r="AM672" t="s">
        <v>2787</v>
      </c>
      <c r="AN672" t="s">
        <v>4322</v>
      </c>
      <c r="AO672" t="s">
        <v>4319</v>
      </c>
      <c r="AP672">
        <v>20</v>
      </c>
      <c r="AQ672">
        <v>20</v>
      </c>
      <c r="AR672">
        <v>20</v>
      </c>
      <c r="AS672" t="s">
        <v>6292</v>
      </c>
      <c r="AT672">
        <v>0</v>
      </c>
      <c r="AU672">
        <v>0</v>
      </c>
      <c r="AV672">
        <v>0</v>
      </c>
    </row>
    <row r="673" spans="1:48">
      <c r="A673" s="1">
        <f>_xlfn.XLOOKUP(J673,数据!E:E,数据!A:A)</f>
        <v>1</v>
      </c>
      <c r="B673" s="1">
        <f>_xlfn.XLOOKUP(J673,数据!E:E,数据!B:B)</f>
        <v>4</v>
      </c>
      <c r="C673" s="1" t="str">
        <f>_xlfn.XLOOKUP(J673,数据!E:E,数据!J:J)</f>
        <v>空派</v>
      </c>
      <c r="D673" s="1" t="str" cm="1">
        <f t="array" ref="D673">IF(OR(C673="红单",C673="空派"),_xlfn.IFS(E673="未开售","新品首批发货",F673&lt;E673,"新品首批发货",F673-E673&lt;=60,"新品期补货空运",F673-E673&gt;60,"老品应急空运"),"海运，不进行分析")</f>
        <v>新品期补货空运</v>
      </c>
      <c r="E673" s="2">
        <v>46017</v>
      </c>
      <c r="F673" s="2">
        <f>_xlfn.XLOOKUP(J673,数据!E:E,数据!C:C)</f>
        <v>46045</v>
      </c>
      <c r="G673" s="4">
        <v>144</v>
      </c>
      <c r="H673" s="4">
        <f t="shared" si="31"/>
        <v>2.88</v>
      </c>
      <c r="I673" s="4">
        <f>_xlfn.XLOOKUP(J673,数据!E:E,数据!S:S)*(H673/_xlfn.XLOOKUP(J673,数据!E:E,数据!X:X))</f>
        <v>138.148487626031</v>
      </c>
      <c r="J673" t="s">
        <v>468</v>
      </c>
      <c r="K673" t="s">
        <v>31</v>
      </c>
      <c r="L673" t="s">
        <v>2374</v>
      </c>
      <c r="M673" t="s">
        <v>6281</v>
      </c>
      <c r="N673" t="s">
        <v>2376</v>
      </c>
      <c r="O673" t="s">
        <v>2400</v>
      </c>
      <c r="P673" t="s">
        <v>2378</v>
      </c>
      <c r="Q673" t="s">
        <v>2379</v>
      </c>
      <c r="R673" t="s">
        <v>6282</v>
      </c>
      <c r="S673" t="s">
        <v>2511</v>
      </c>
      <c r="T673" s="3" t="s">
        <v>6243</v>
      </c>
      <c r="U673" t="s">
        <v>6244</v>
      </c>
      <c r="V673" t="s">
        <v>6283</v>
      </c>
      <c r="W673" t="s">
        <v>6284</v>
      </c>
      <c r="X673" t="s">
        <v>2403</v>
      </c>
      <c r="Y673" t="s">
        <v>6285</v>
      </c>
      <c r="Z673" t="s">
        <v>2405</v>
      </c>
      <c r="AA673" t="s">
        <v>6243</v>
      </c>
      <c r="AB673" t="s">
        <v>5337</v>
      </c>
      <c r="AC673" t="s">
        <v>6286</v>
      </c>
      <c r="AD673" t="s">
        <v>5951</v>
      </c>
      <c r="AH673" t="s">
        <v>5858</v>
      </c>
      <c r="AI673" t="s">
        <v>5693</v>
      </c>
      <c r="AJ673" t="s">
        <v>5007</v>
      </c>
      <c r="AK673" t="s">
        <v>5008</v>
      </c>
      <c r="AL673" t="s">
        <v>5009</v>
      </c>
      <c r="AM673" t="s">
        <v>2989</v>
      </c>
      <c r="AN673" t="s">
        <v>5010</v>
      </c>
      <c r="AO673" t="s">
        <v>5007</v>
      </c>
      <c r="AP673">
        <v>20</v>
      </c>
      <c r="AQ673">
        <v>20</v>
      </c>
      <c r="AR673">
        <v>20</v>
      </c>
      <c r="AS673" t="s">
        <v>6292</v>
      </c>
      <c r="AT673">
        <v>0</v>
      </c>
      <c r="AU673">
        <v>0</v>
      </c>
      <c r="AV673">
        <v>0</v>
      </c>
    </row>
    <row r="674" spans="1:48">
      <c r="A674" s="1">
        <f>_xlfn.XLOOKUP(J674,数据!E:E,数据!A:A)</f>
        <v>1</v>
      </c>
      <c r="B674" s="1">
        <f>_xlfn.XLOOKUP(J674,数据!E:E,数据!B:B)</f>
        <v>4</v>
      </c>
      <c r="C674" s="1" t="str">
        <f>_xlfn.XLOOKUP(J674,数据!E:E,数据!J:J)</f>
        <v>空派</v>
      </c>
      <c r="D674" s="1" t="str" cm="1">
        <f t="array" ref="D674">IF(OR(C674="红单",C674="空派"),_xlfn.IFS(E674="未开售","新品首批发货",F674&lt;E674,"新品首批发货",F674-E674&lt;=60,"新品期补货空运",F674-E674&gt;60,"老品应急空运"),"海运，不进行分析")</f>
        <v>新品期补货空运</v>
      </c>
      <c r="E674" s="2">
        <v>46003</v>
      </c>
      <c r="F674" s="2">
        <f>_xlfn.XLOOKUP(J674,数据!E:E,数据!C:C)</f>
        <v>46045</v>
      </c>
      <c r="G674" s="4">
        <v>106</v>
      </c>
      <c r="H674" s="4">
        <f t="shared" si="31"/>
        <v>0.424</v>
      </c>
      <c r="I674" s="4">
        <f>_xlfn.XLOOKUP(J674,数据!E:E,数据!S:S)*(H674/_xlfn.XLOOKUP(J674,数据!E:E,数据!X:X))</f>
        <v>20.3385273449435</v>
      </c>
      <c r="J674" t="s">
        <v>470</v>
      </c>
      <c r="K674" t="s">
        <v>31</v>
      </c>
      <c r="L674" t="s">
        <v>2374</v>
      </c>
      <c r="M674" t="s">
        <v>6293</v>
      </c>
      <c r="N674" t="s">
        <v>2376</v>
      </c>
      <c r="O674" t="s">
        <v>2400</v>
      </c>
      <c r="P674" t="s">
        <v>2378</v>
      </c>
      <c r="Q674" t="s">
        <v>2379</v>
      </c>
      <c r="R674" t="s">
        <v>6294</v>
      </c>
      <c r="S674" t="s">
        <v>2511</v>
      </c>
      <c r="T674" s="3" t="s">
        <v>6243</v>
      </c>
      <c r="U674" t="s">
        <v>6244</v>
      </c>
      <c r="V674" t="s">
        <v>2384</v>
      </c>
      <c r="W674" t="s">
        <v>6295</v>
      </c>
      <c r="X674" t="s">
        <v>2403</v>
      </c>
      <c r="Y674" t="s">
        <v>6296</v>
      </c>
      <c r="Z674" t="s">
        <v>2405</v>
      </c>
      <c r="AA674" t="s">
        <v>6243</v>
      </c>
      <c r="AB674" t="s">
        <v>5337</v>
      </c>
      <c r="AC674" t="s">
        <v>6297</v>
      </c>
      <c r="AD674" t="s">
        <v>5092</v>
      </c>
      <c r="AH674" t="s">
        <v>5858</v>
      </c>
      <c r="AI674" t="s">
        <v>5693</v>
      </c>
      <c r="AJ674" t="s">
        <v>6250</v>
      </c>
      <c r="AK674" t="s">
        <v>6251</v>
      </c>
      <c r="AL674" t="s">
        <v>6252</v>
      </c>
      <c r="AM674" t="s">
        <v>6253</v>
      </c>
      <c r="AN674" t="s">
        <v>6254</v>
      </c>
      <c r="AO674" t="s">
        <v>6250</v>
      </c>
      <c r="AP674">
        <v>4</v>
      </c>
      <c r="AQ674">
        <v>4</v>
      </c>
      <c r="AR674">
        <v>4</v>
      </c>
      <c r="AS674" t="s">
        <v>6298</v>
      </c>
      <c r="AT674">
        <v>0</v>
      </c>
      <c r="AU674">
        <v>0</v>
      </c>
      <c r="AV674">
        <v>0</v>
      </c>
    </row>
    <row r="675" spans="1:48">
      <c r="A675" s="1">
        <f>_xlfn.XLOOKUP(J675,数据!E:E,数据!A:A)</f>
        <v>1</v>
      </c>
      <c r="B675" s="1">
        <f>_xlfn.XLOOKUP(J675,数据!E:E,数据!B:B)</f>
        <v>4</v>
      </c>
      <c r="C675" s="1" t="str">
        <f>_xlfn.XLOOKUP(J675,数据!E:E,数据!J:J)</f>
        <v>空派</v>
      </c>
      <c r="D675" s="1" t="str" cm="1">
        <f t="array" ref="D675">IF(OR(C675="红单",C675="空派"),_xlfn.IFS(E675="未开售","新品首批发货",F675&lt;E675,"新品首批发货",F675-E675&lt;=60,"新品期补货空运",F675-E675&gt;60,"老品应急空运"),"海运，不进行分析")</f>
        <v>老品应急空运</v>
      </c>
      <c r="E675" s="2">
        <v>45893</v>
      </c>
      <c r="F675" s="2">
        <f>_xlfn.XLOOKUP(J675,数据!E:E,数据!C:C)</f>
        <v>46045</v>
      </c>
      <c r="G675" s="4">
        <v>433</v>
      </c>
      <c r="H675" s="4">
        <f t="shared" si="31"/>
        <v>2.598</v>
      </c>
      <c r="I675" s="4">
        <f>_xlfn.XLOOKUP(J675,数据!E:E,数据!S:S)*(H675/_xlfn.XLOOKUP(J675,数据!E:E,数据!X:X))</f>
        <v>124.621448212649</v>
      </c>
      <c r="J675" t="s">
        <v>470</v>
      </c>
      <c r="K675" t="s">
        <v>31</v>
      </c>
      <c r="L675" t="s">
        <v>2374</v>
      </c>
      <c r="M675" t="s">
        <v>6293</v>
      </c>
      <c r="N675" t="s">
        <v>2376</v>
      </c>
      <c r="O675" t="s">
        <v>2400</v>
      </c>
      <c r="P675" t="s">
        <v>2378</v>
      </c>
      <c r="Q675" t="s">
        <v>2379</v>
      </c>
      <c r="R675" t="s">
        <v>6294</v>
      </c>
      <c r="S675" t="s">
        <v>2511</v>
      </c>
      <c r="T675" s="3" t="s">
        <v>6243</v>
      </c>
      <c r="U675" t="s">
        <v>6244</v>
      </c>
      <c r="V675" t="s">
        <v>2384</v>
      </c>
      <c r="W675" t="s">
        <v>6295</v>
      </c>
      <c r="X675" t="s">
        <v>2403</v>
      </c>
      <c r="Y675" t="s">
        <v>6296</v>
      </c>
      <c r="Z675" t="s">
        <v>2405</v>
      </c>
      <c r="AA675" t="s">
        <v>6243</v>
      </c>
      <c r="AB675" t="s">
        <v>5337</v>
      </c>
      <c r="AC675" t="s">
        <v>6297</v>
      </c>
      <c r="AD675" t="s">
        <v>5092</v>
      </c>
      <c r="AH675" t="s">
        <v>5858</v>
      </c>
      <c r="AI675" t="s">
        <v>5693</v>
      </c>
      <c r="AJ675" t="s">
        <v>6256</v>
      </c>
      <c r="AK675" t="s">
        <v>6257</v>
      </c>
      <c r="AL675" t="s">
        <v>6258</v>
      </c>
      <c r="AM675" t="s">
        <v>4516</v>
      </c>
      <c r="AN675" t="s">
        <v>6259</v>
      </c>
      <c r="AO675" t="s">
        <v>6256</v>
      </c>
      <c r="AP675">
        <v>6</v>
      </c>
      <c r="AQ675">
        <v>6</v>
      </c>
      <c r="AR675">
        <v>6</v>
      </c>
      <c r="AS675" t="s">
        <v>6299</v>
      </c>
      <c r="AT675">
        <v>0</v>
      </c>
      <c r="AU675">
        <v>0</v>
      </c>
      <c r="AV675">
        <v>0</v>
      </c>
    </row>
    <row r="676" spans="1:48">
      <c r="A676" s="1">
        <f>_xlfn.XLOOKUP(J676,数据!E:E,数据!A:A)</f>
        <v>1</v>
      </c>
      <c r="B676" s="1">
        <f>_xlfn.XLOOKUP(J676,数据!E:E,数据!B:B)</f>
        <v>4</v>
      </c>
      <c r="C676" s="1" t="str">
        <f>_xlfn.XLOOKUP(J676,数据!E:E,数据!J:J)</f>
        <v>空派</v>
      </c>
      <c r="D676" s="1" t="str" cm="1">
        <f t="array" ref="D676">IF(OR(C676="红单",C676="空派"),_xlfn.IFS(E676="未开售","新品首批发货",F676&lt;E676,"新品首批发货",F676-E676&lt;=60,"新品期补货空运",F676-E676&gt;60,"老品应急空运"),"海运，不进行分析")</f>
        <v>老品应急空运</v>
      </c>
      <c r="E676" s="2">
        <v>44703</v>
      </c>
      <c r="F676" s="2">
        <f>_xlfn.XLOOKUP(J676,数据!E:E,数据!C:C)</f>
        <v>46045</v>
      </c>
      <c r="G676" s="4">
        <v>124</v>
      </c>
      <c r="H676" s="4">
        <f t="shared" si="31"/>
        <v>0.496</v>
      </c>
      <c r="I676" s="4">
        <f>_xlfn.XLOOKUP(J676,数据!E:E,数据!S:S)*(H676/_xlfn.XLOOKUP(J676,数据!E:E,数据!X:X))</f>
        <v>23.7922395355943</v>
      </c>
      <c r="J676" t="s">
        <v>470</v>
      </c>
      <c r="K676" t="s">
        <v>31</v>
      </c>
      <c r="L676" t="s">
        <v>2374</v>
      </c>
      <c r="M676" t="s">
        <v>6293</v>
      </c>
      <c r="N676" t="s">
        <v>2376</v>
      </c>
      <c r="O676" t="s">
        <v>2400</v>
      </c>
      <c r="P676" t="s">
        <v>2378</v>
      </c>
      <c r="Q676" t="s">
        <v>2379</v>
      </c>
      <c r="R676" t="s">
        <v>6294</v>
      </c>
      <c r="S676" t="s">
        <v>2511</v>
      </c>
      <c r="T676" s="3" t="s">
        <v>6243</v>
      </c>
      <c r="U676" t="s">
        <v>6244</v>
      </c>
      <c r="V676" t="s">
        <v>2384</v>
      </c>
      <c r="W676" t="s">
        <v>6295</v>
      </c>
      <c r="X676" t="s">
        <v>2403</v>
      </c>
      <c r="Y676" t="s">
        <v>6296</v>
      </c>
      <c r="Z676" t="s">
        <v>2405</v>
      </c>
      <c r="AA676" t="s">
        <v>6243</v>
      </c>
      <c r="AB676" t="s">
        <v>5337</v>
      </c>
      <c r="AC676" t="s">
        <v>6297</v>
      </c>
      <c r="AD676" t="s">
        <v>5092</v>
      </c>
      <c r="AH676" t="s">
        <v>5858</v>
      </c>
      <c r="AI676" t="s">
        <v>5693</v>
      </c>
      <c r="AJ676" t="s">
        <v>6261</v>
      </c>
      <c r="AK676" t="s">
        <v>6262</v>
      </c>
      <c r="AL676" t="s">
        <v>6263</v>
      </c>
      <c r="AM676" t="s">
        <v>6263</v>
      </c>
      <c r="AN676" t="s">
        <v>6264</v>
      </c>
      <c r="AO676" t="s">
        <v>6261</v>
      </c>
      <c r="AP676">
        <v>4</v>
      </c>
      <c r="AQ676">
        <v>4</v>
      </c>
      <c r="AR676">
        <v>4</v>
      </c>
      <c r="AS676" t="s">
        <v>6298</v>
      </c>
      <c r="AT676">
        <v>0</v>
      </c>
      <c r="AU676">
        <v>0</v>
      </c>
      <c r="AV676">
        <v>0</v>
      </c>
    </row>
    <row r="677" spans="1:48">
      <c r="A677" s="1">
        <f>_xlfn.XLOOKUP(J677,数据!E:E,数据!A:A)</f>
        <v>1</v>
      </c>
      <c r="B677" s="1">
        <f>_xlfn.XLOOKUP(J677,数据!E:E,数据!B:B)</f>
        <v>4</v>
      </c>
      <c r="C677" s="1" t="str">
        <f>_xlfn.XLOOKUP(J677,数据!E:E,数据!J:J)</f>
        <v>空派</v>
      </c>
      <c r="D677" s="1" t="str" cm="1">
        <f t="array" ref="D677">IF(OR(C677="红单",C677="空派"),_xlfn.IFS(E677="未开售","新品首批发货",F677&lt;E677,"新品首批发货",F677-E677&lt;=60,"新品期补货空运",F677-E677&gt;60,"老品应急空运"),"海运，不进行分析")</f>
        <v>新品期补货空运</v>
      </c>
      <c r="E677" s="2">
        <v>46029</v>
      </c>
      <c r="F677" s="2">
        <f>_xlfn.XLOOKUP(J677,数据!E:E,数据!C:C)</f>
        <v>46045</v>
      </c>
      <c r="G677" s="4">
        <v>142</v>
      </c>
      <c r="H677" s="4">
        <f t="shared" si="31"/>
        <v>1.704</v>
      </c>
      <c r="I677" s="4">
        <f>_xlfn.XLOOKUP(J677,数据!E:E,数据!S:S)*(H677/_xlfn.XLOOKUP(J677,数据!E:E,数据!X:X))</f>
        <v>81.7378551787351</v>
      </c>
      <c r="J677" t="s">
        <v>470</v>
      </c>
      <c r="K677" t="s">
        <v>31</v>
      </c>
      <c r="L677" t="s">
        <v>2374</v>
      </c>
      <c r="M677" t="s">
        <v>6293</v>
      </c>
      <c r="N677" t="s">
        <v>2376</v>
      </c>
      <c r="O677" t="s">
        <v>2400</v>
      </c>
      <c r="P677" t="s">
        <v>2378</v>
      </c>
      <c r="Q677" t="s">
        <v>2379</v>
      </c>
      <c r="R677" t="s">
        <v>6294</v>
      </c>
      <c r="S677" t="s">
        <v>2511</v>
      </c>
      <c r="T677" s="3" t="s">
        <v>6243</v>
      </c>
      <c r="U677" t="s">
        <v>6244</v>
      </c>
      <c r="V677" t="s">
        <v>2384</v>
      </c>
      <c r="W677" t="s">
        <v>6295</v>
      </c>
      <c r="X677" t="s">
        <v>2403</v>
      </c>
      <c r="Y677" t="s">
        <v>6296</v>
      </c>
      <c r="Z677" t="s">
        <v>2405</v>
      </c>
      <c r="AA677" t="s">
        <v>6243</v>
      </c>
      <c r="AB677" t="s">
        <v>5337</v>
      </c>
      <c r="AC677" t="s">
        <v>6297</v>
      </c>
      <c r="AD677" t="s">
        <v>5092</v>
      </c>
      <c r="AH677" t="s">
        <v>5858</v>
      </c>
      <c r="AI677" t="s">
        <v>5693</v>
      </c>
      <c r="AJ677" t="s">
        <v>4142</v>
      </c>
      <c r="AK677" t="s">
        <v>4143</v>
      </c>
      <c r="AL677" t="s">
        <v>4144</v>
      </c>
      <c r="AM677" t="s">
        <v>2787</v>
      </c>
      <c r="AN677" t="s">
        <v>4145</v>
      </c>
      <c r="AO677" t="s">
        <v>4142</v>
      </c>
      <c r="AP677">
        <v>12</v>
      </c>
      <c r="AQ677">
        <v>12</v>
      </c>
      <c r="AR677">
        <v>12</v>
      </c>
      <c r="AS677" t="s">
        <v>6300</v>
      </c>
      <c r="AT677">
        <v>0</v>
      </c>
      <c r="AU677">
        <v>0</v>
      </c>
      <c r="AV677">
        <v>0</v>
      </c>
    </row>
    <row r="678" spans="1:48">
      <c r="A678" s="1">
        <f>_xlfn.XLOOKUP(J678,数据!E:E,数据!A:A)</f>
        <v>1</v>
      </c>
      <c r="B678" s="1">
        <f>_xlfn.XLOOKUP(J678,数据!E:E,数据!B:B)</f>
        <v>4</v>
      </c>
      <c r="C678" s="1" t="str">
        <f>_xlfn.XLOOKUP(J678,数据!E:E,数据!J:J)</f>
        <v>空派</v>
      </c>
      <c r="D678" s="1" t="str" cm="1">
        <f t="array" ref="D678">IF(OR(C678="红单",C678="空派"),_xlfn.IFS(E678="未开售","新品首批发货",F678&lt;E678,"新品首批发货",F678-E678&lt;=60,"新品期补货空运",F678-E678&gt;60,"老品应急空运"),"海运，不进行分析")</f>
        <v>新品期补货空运</v>
      </c>
      <c r="E678" s="2">
        <v>46028</v>
      </c>
      <c r="F678" s="2">
        <f>_xlfn.XLOOKUP(J678,数据!E:E,数据!C:C)</f>
        <v>46045</v>
      </c>
      <c r="G678" s="4">
        <v>143</v>
      </c>
      <c r="H678" s="4">
        <f t="shared" si="31"/>
        <v>4.29</v>
      </c>
      <c r="I678" s="4">
        <f>_xlfn.XLOOKUP(J678,数据!E:E,数据!S:S)*(H678/_xlfn.XLOOKUP(J678,数据!E:E,数据!X:X))</f>
        <v>205.783684692942</v>
      </c>
      <c r="J678" t="s">
        <v>470</v>
      </c>
      <c r="K678" t="s">
        <v>31</v>
      </c>
      <c r="L678" t="s">
        <v>2374</v>
      </c>
      <c r="M678" t="s">
        <v>6293</v>
      </c>
      <c r="N678" t="s">
        <v>2376</v>
      </c>
      <c r="O678" t="s">
        <v>2400</v>
      </c>
      <c r="P678" t="s">
        <v>2378</v>
      </c>
      <c r="Q678" t="s">
        <v>2379</v>
      </c>
      <c r="R678" t="s">
        <v>6294</v>
      </c>
      <c r="S678" t="s">
        <v>2511</v>
      </c>
      <c r="T678" s="3" t="s">
        <v>6243</v>
      </c>
      <c r="U678" t="s">
        <v>6244</v>
      </c>
      <c r="V678" t="s">
        <v>2384</v>
      </c>
      <c r="W678" t="s">
        <v>6295</v>
      </c>
      <c r="X678" t="s">
        <v>2403</v>
      </c>
      <c r="Y678" t="s">
        <v>6296</v>
      </c>
      <c r="Z678" t="s">
        <v>2405</v>
      </c>
      <c r="AA678" t="s">
        <v>6243</v>
      </c>
      <c r="AB678" t="s">
        <v>5337</v>
      </c>
      <c r="AC678" t="s">
        <v>6297</v>
      </c>
      <c r="AD678" t="s">
        <v>5092</v>
      </c>
      <c r="AH678" t="s">
        <v>5858</v>
      </c>
      <c r="AI678" t="s">
        <v>5693</v>
      </c>
      <c r="AJ678" t="s">
        <v>3920</v>
      </c>
      <c r="AK678" t="s">
        <v>3921</v>
      </c>
      <c r="AL678" t="s">
        <v>3922</v>
      </c>
      <c r="AM678" t="s">
        <v>2787</v>
      </c>
      <c r="AN678" t="s">
        <v>3923</v>
      </c>
      <c r="AO678" t="s">
        <v>3920</v>
      </c>
      <c r="AP678">
        <v>30</v>
      </c>
      <c r="AQ678">
        <v>30</v>
      </c>
      <c r="AR678">
        <v>31</v>
      </c>
      <c r="AS678" t="s">
        <v>6301</v>
      </c>
      <c r="AT678">
        <v>0</v>
      </c>
      <c r="AU678">
        <v>1</v>
      </c>
      <c r="AV678">
        <v>-1</v>
      </c>
    </row>
    <row r="679" spans="1:48">
      <c r="A679" s="1">
        <f>_xlfn.XLOOKUP(J679,数据!E:E,数据!A:A)</f>
        <v>1</v>
      </c>
      <c r="B679" s="1">
        <f>_xlfn.XLOOKUP(J679,数据!E:E,数据!B:B)</f>
        <v>4</v>
      </c>
      <c r="C679" s="1" t="str">
        <f>_xlfn.XLOOKUP(J679,数据!E:E,数据!J:J)</f>
        <v>空派</v>
      </c>
      <c r="D679" s="1" t="str" cm="1">
        <f t="array" ref="D679">IF(OR(C679="红单",C679="空派"),_xlfn.IFS(E679="未开售","新品首批发货",F679&lt;E679,"新品首批发货",F679-E679&lt;=60,"新品期补货空运",F679-E679&gt;60,"老品应急空运"),"海运，不进行分析")</f>
        <v>新品期补货空运</v>
      </c>
      <c r="E679" s="2">
        <v>46030</v>
      </c>
      <c r="F679" s="2">
        <f>_xlfn.XLOOKUP(J679,数据!E:E,数据!C:C)</f>
        <v>46045</v>
      </c>
      <c r="G679" s="4">
        <v>146</v>
      </c>
      <c r="H679" s="4">
        <f t="shared" si="31"/>
        <v>4.38</v>
      </c>
      <c r="I679" s="4">
        <f>_xlfn.XLOOKUP(J679,数据!E:E,数据!S:S)*(H679/_xlfn.XLOOKUP(J679,数据!E:E,数据!X:X))</f>
        <v>210.100824931256</v>
      </c>
      <c r="J679" t="s">
        <v>470</v>
      </c>
      <c r="K679" t="s">
        <v>31</v>
      </c>
      <c r="L679" t="s">
        <v>2374</v>
      </c>
      <c r="M679" t="s">
        <v>6293</v>
      </c>
      <c r="N679" t="s">
        <v>2376</v>
      </c>
      <c r="O679" t="s">
        <v>2400</v>
      </c>
      <c r="P679" t="s">
        <v>2378</v>
      </c>
      <c r="Q679" t="s">
        <v>2379</v>
      </c>
      <c r="R679" t="s">
        <v>6294</v>
      </c>
      <c r="S679" t="s">
        <v>2511</v>
      </c>
      <c r="T679" s="3" t="s">
        <v>6243</v>
      </c>
      <c r="U679" t="s">
        <v>6244</v>
      </c>
      <c r="V679" t="s">
        <v>2384</v>
      </c>
      <c r="W679" t="s">
        <v>6295</v>
      </c>
      <c r="X679" t="s">
        <v>2403</v>
      </c>
      <c r="Y679" t="s">
        <v>6296</v>
      </c>
      <c r="Z679" t="s">
        <v>2405</v>
      </c>
      <c r="AA679" t="s">
        <v>6243</v>
      </c>
      <c r="AB679" t="s">
        <v>5337</v>
      </c>
      <c r="AC679" t="s">
        <v>6297</v>
      </c>
      <c r="AD679" t="s">
        <v>5092</v>
      </c>
      <c r="AH679" t="s">
        <v>5858</v>
      </c>
      <c r="AI679" t="s">
        <v>5693</v>
      </c>
      <c r="AJ679" t="s">
        <v>3683</v>
      </c>
      <c r="AK679" t="s">
        <v>3684</v>
      </c>
      <c r="AL679" t="s">
        <v>3685</v>
      </c>
      <c r="AM679" t="s">
        <v>2787</v>
      </c>
      <c r="AN679" t="s">
        <v>3686</v>
      </c>
      <c r="AO679" t="s">
        <v>3683</v>
      </c>
      <c r="AP679">
        <v>30</v>
      </c>
      <c r="AQ679">
        <v>30</v>
      </c>
      <c r="AR679">
        <v>30</v>
      </c>
      <c r="AS679" t="s">
        <v>6302</v>
      </c>
      <c r="AT679">
        <v>0</v>
      </c>
      <c r="AU679">
        <v>0</v>
      </c>
      <c r="AV679">
        <v>0</v>
      </c>
    </row>
    <row r="680" spans="1:48">
      <c r="A680" s="1">
        <f>_xlfn.XLOOKUP(J680,数据!E:E,数据!A:A)</f>
        <v>1</v>
      </c>
      <c r="B680" s="1">
        <f>_xlfn.XLOOKUP(J680,数据!E:E,数据!B:B)</f>
        <v>4</v>
      </c>
      <c r="C680" s="1" t="str">
        <f>_xlfn.XLOOKUP(J680,数据!E:E,数据!J:J)</f>
        <v>空派</v>
      </c>
      <c r="D680" s="1" t="str" cm="1">
        <f t="array" ref="D680">IF(OR(C680="红单",C680="空派"),_xlfn.IFS(E680="未开售","新品首批发货",F680&lt;E680,"新品首批发货",F680-E680&lt;=60,"新品期补货空运",F680-E680&gt;60,"老品应急空运"),"海运，不进行分析")</f>
        <v>新品期补货空运</v>
      </c>
      <c r="E680" s="2">
        <v>46028</v>
      </c>
      <c r="F680" s="2">
        <f>_xlfn.XLOOKUP(J680,数据!E:E,数据!C:C)</f>
        <v>46045</v>
      </c>
      <c r="G680" s="4">
        <v>143.3</v>
      </c>
      <c r="H680" s="4">
        <f t="shared" si="31"/>
        <v>2.866</v>
      </c>
      <c r="I680" s="4">
        <f>_xlfn.XLOOKUP(J680,数据!E:E,数据!S:S)*(H680/_xlfn.XLOOKUP(J680,数据!E:E,数据!X:X))</f>
        <v>137.476932477849</v>
      </c>
      <c r="J680" t="s">
        <v>470</v>
      </c>
      <c r="K680" t="s">
        <v>31</v>
      </c>
      <c r="L680" t="s">
        <v>2374</v>
      </c>
      <c r="M680" t="s">
        <v>6293</v>
      </c>
      <c r="N680" t="s">
        <v>2376</v>
      </c>
      <c r="O680" t="s">
        <v>2400</v>
      </c>
      <c r="P680" t="s">
        <v>2378</v>
      </c>
      <c r="Q680" t="s">
        <v>2379</v>
      </c>
      <c r="R680" t="s">
        <v>6294</v>
      </c>
      <c r="S680" t="s">
        <v>2511</v>
      </c>
      <c r="T680" s="3" t="s">
        <v>6243</v>
      </c>
      <c r="U680" t="s">
        <v>6244</v>
      </c>
      <c r="V680" t="s">
        <v>2384</v>
      </c>
      <c r="W680" t="s">
        <v>6295</v>
      </c>
      <c r="X680" t="s">
        <v>2403</v>
      </c>
      <c r="Y680" t="s">
        <v>6296</v>
      </c>
      <c r="Z680" t="s">
        <v>2405</v>
      </c>
      <c r="AA680" t="s">
        <v>6243</v>
      </c>
      <c r="AB680" t="s">
        <v>5337</v>
      </c>
      <c r="AC680" t="s">
        <v>6297</v>
      </c>
      <c r="AD680" t="s">
        <v>5092</v>
      </c>
      <c r="AH680" t="s">
        <v>5858</v>
      </c>
      <c r="AI680" t="s">
        <v>5693</v>
      </c>
      <c r="AJ680" t="s">
        <v>4319</v>
      </c>
      <c r="AK680" t="s">
        <v>4320</v>
      </c>
      <c r="AL680" t="s">
        <v>4321</v>
      </c>
      <c r="AM680" t="s">
        <v>2787</v>
      </c>
      <c r="AN680" t="s">
        <v>4322</v>
      </c>
      <c r="AO680" t="s">
        <v>4319</v>
      </c>
      <c r="AP680">
        <v>20</v>
      </c>
      <c r="AQ680">
        <v>20</v>
      </c>
      <c r="AR680">
        <v>20</v>
      </c>
      <c r="AS680" t="s">
        <v>6303</v>
      </c>
      <c r="AT680">
        <v>0</v>
      </c>
      <c r="AU680">
        <v>0</v>
      </c>
      <c r="AV680">
        <v>0</v>
      </c>
    </row>
    <row r="681" spans="1:48">
      <c r="A681" s="1">
        <f>_xlfn.XLOOKUP(J681,数据!E:E,数据!A:A)</f>
        <v>1</v>
      </c>
      <c r="B681" s="1">
        <f>_xlfn.XLOOKUP(J681,数据!E:E,数据!B:B)</f>
        <v>4</v>
      </c>
      <c r="C681" s="1" t="str">
        <f>_xlfn.XLOOKUP(J681,数据!E:E,数据!J:J)</f>
        <v>空派</v>
      </c>
      <c r="D681" s="1" t="str" cm="1">
        <f t="array" ref="D681">IF(OR(C681="红单",C681="空派"),_xlfn.IFS(E681="未开售","新品首批发货",F681&lt;E681,"新品首批发货",F681-E681&lt;=60,"新品期补货空运",F681-E681&gt;60,"老品应急空运"),"海运，不进行分析")</f>
        <v>新品期补货空运</v>
      </c>
      <c r="E681" s="2">
        <v>46017</v>
      </c>
      <c r="F681" s="2">
        <f>_xlfn.XLOOKUP(J681,数据!E:E,数据!C:C)</f>
        <v>46045</v>
      </c>
      <c r="G681" s="4">
        <v>144</v>
      </c>
      <c r="H681" s="4">
        <f t="shared" si="31"/>
        <v>2.88</v>
      </c>
      <c r="I681" s="4">
        <f>_xlfn.XLOOKUP(J681,数据!E:E,数据!S:S)*(H681/_xlfn.XLOOKUP(J681,数据!E:E,数据!X:X))</f>
        <v>138.148487626031</v>
      </c>
      <c r="J681" t="s">
        <v>470</v>
      </c>
      <c r="K681" t="s">
        <v>31</v>
      </c>
      <c r="L681" t="s">
        <v>2374</v>
      </c>
      <c r="M681" t="s">
        <v>6293</v>
      </c>
      <c r="N681" t="s">
        <v>2376</v>
      </c>
      <c r="O681" t="s">
        <v>2400</v>
      </c>
      <c r="P681" t="s">
        <v>2378</v>
      </c>
      <c r="Q681" t="s">
        <v>2379</v>
      </c>
      <c r="R681" t="s">
        <v>6294</v>
      </c>
      <c r="S681" t="s">
        <v>2511</v>
      </c>
      <c r="T681" s="3" t="s">
        <v>6243</v>
      </c>
      <c r="U681" t="s">
        <v>6244</v>
      </c>
      <c r="V681" t="s">
        <v>2384</v>
      </c>
      <c r="W681" t="s">
        <v>6295</v>
      </c>
      <c r="X681" t="s">
        <v>2403</v>
      </c>
      <c r="Y681" t="s">
        <v>6296</v>
      </c>
      <c r="Z681" t="s">
        <v>2405</v>
      </c>
      <c r="AA681" t="s">
        <v>6243</v>
      </c>
      <c r="AB681" t="s">
        <v>5337</v>
      </c>
      <c r="AC681" t="s">
        <v>6297</v>
      </c>
      <c r="AD681" t="s">
        <v>5092</v>
      </c>
      <c r="AH681" t="s">
        <v>5858</v>
      </c>
      <c r="AI681" t="s">
        <v>5693</v>
      </c>
      <c r="AJ681" t="s">
        <v>5007</v>
      </c>
      <c r="AK681" t="s">
        <v>5008</v>
      </c>
      <c r="AL681" t="s">
        <v>5009</v>
      </c>
      <c r="AM681" t="s">
        <v>2989</v>
      </c>
      <c r="AN681" t="s">
        <v>5010</v>
      </c>
      <c r="AO681" t="s">
        <v>5007</v>
      </c>
      <c r="AP681">
        <v>20</v>
      </c>
      <c r="AQ681">
        <v>20</v>
      </c>
      <c r="AR681">
        <v>20</v>
      </c>
      <c r="AS681" t="s">
        <v>6303</v>
      </c>
      <c r="AT681">
        <v>0</v>
      </c>
      <c r="AU681">
        <v>0</v>
      </c>
      <c r="AV681">
        <v>0</v>
      </c>
    </row>
    <row r="682" spans="1:48">
      <c r="A682" s="1">
        <f>_xlfn.XLOOKUP(J682,数据!E:E,数据!A:A)</f>
        <v>1</v>
      </c>
      <c r="B682" s="1">
        <f>_xlfn.XLOOKUP(J682,数据!E:E,数据!B:B)</f>
        <v>4</v>
      </c>
      <c r="C682" s="1" t="str">
        <f>_xlfn.XLOOKUP(J682,数据!E:E,数据!J:J)</f>
        <v>空派</v>
      </c>
      <c r="D682" s="1" t="str" cm="1">
        <f t="array" ref="D682">IF(OR(C682="红单",C682="空派"),_xlfn.IFS(E682="未开售","新品首批发货",F682&lt;E682,"新品首批发货",F682-E682&lt;=60,"新品期补货空运",F682-E682&gt;60,"老品应急空运"),"海运，不进行分析")</f>
        <v>新品期补货空运</v>
      </c>
      <c r="E682" s="2">
        <v>46003</v>
      </c>
      <c r="F682" s="2">
        <f>_xlfn.XLOOKUP(J682,数据!E:E,数据!C:C)</f>
        <v>46045</v>
      </c>
      <c r="G682" s="4">
        <v>106</v>
      </c>
      <c r="H682" s="4">
        <f t="shared" si="31"/>
        <v>0.424</v>
      </c>
      <c r="I682" s="4">
        <f>_xlfn.XLOOKUP(J682,数据!E:E,数据!S:S)*(H682/_xlfn.XLOOKUP(J682,数据!E:E,数据!X:X))</f>
        <v>20.3385273449435</v>
      </c>
      <c r="J682" t="s">
        <v>467</v>
      </c>
      <c r="K682" t="s">
        <v>31</v>
      </c>
      <c r="L682" t="s">
        <v>2374</v>
      </c>
      <c r="M682" t="s">
        <v>6304</v>
      </c>
      <c r="N682" t="s">
        <v>2376</v>
      </c>
      <c r="O682" t="s">
        <v>2400</v>
      </c>
      <c r="P682" t="s">
        <v>2378</v>
      </c>
      <c r="Q682" t="s">
        <v>2379</v>
      </c>
      <c r="R682" t="s">
        <v>6305</v>
      </c>
      <c r="S682" t="s">
        <v>2511</v>
      </c>
      <c r="T682" s="3" t="s">
        <v>6243</v>
      </c>
      <c r="U682" t="s">
        <v>6244</v>
      </c>
      <c r="V682" t="s">
        <v>6306</v>
      </c>
      <c r="W682" t="s">
        <v>6307</v>
      </c>
      <c r="X682" t="s">
        <v>2403</v>
      </c>
      <c r="Y682" t="s">
        <v>6308</v>
      </c>
      <c r="Z682" t="s">
        <v>2405</v>
      </c>
      <c r="AA682" t="s">
        <v>6243</v>
      </c>
      <c r="AB682" t="s">
        <v>5337</v>
      </c>
      <c r="AC682" t="s">
        <v>6309</v>
      </c>
      <c r="AD682" t="s">
        <v>6104</v>
      </c>
      <c r="AH682" t="s">
        <v>5858</v>
      </c>
      <c r="AI682" t="s">
        <v>5693</v>
      </c>
      <c r="AJ682" t="s">
        <v>6250</v>
      </c>
      <c r="AK682" t="s">
        <v>6251</v>
      </c>
      <c r="AL682" t="s">
        <v>6252</v>
      </c>
      <c r="AM682" t="s">
        <v>6253</v>
      </c>
      <c r="AN682" t="s">
        <v>6254</v>
      </c>
      <c r="AO682" t="s">
        <v>6250</v>
      </c>
      <c r="AP682">
        <v>4</v>
      </c>
      <c r="AQ682">
        <v>4</v>
      </c>
      <c r="AR682">
        <v>4</v>
      </c>
      <c r="AS682" t="s">
        <v>6310</v>
      </c>
      <c r="AT682">
        <v>0</v>
      </c>
      <c r="AU682">
        <v>0</v>
      </c>
      <c r="AV682">
        <v>0</v>
      </c>
    </row>
    <row r="683" spans="1:48">
      <c r="A683" s="1">
        <f>_xlfn.XLOOKUP(J683,数据!E:E,数据!A:A)</f>
        <v>1</v>
      </c>
      <c r="B683" s="1">
        <f>_xlfn.XLOOKUP(J683,数据!E:E,数据!B:B)</f>
        <v>4</v>
      </c>
      <c r="C683" s="1" t="str">
        <f>_xlfn.XLOOKUP(J683,数据!E:E,数据!J:J)</f>
        <v>空派</v>
      </c>
      <c r="D683" s="1" t="str" cm="1">
        <f t="array" ref="D683">IF(OR(C683="红单",C683="空派"),_xlfn.IFS(E683="未开售","新品首批发货",F683&lt;E683,"新品首批发货",F683-E683&lt;=60,"新品期补货空运",F683-E683&gt;60,"老品应急空运"),"海运，不进行分析")</f>
        <v>老品应急空运</v>
      </c>
      <c r="E683" s="2">
        <v>45893</v>
      </c>
      <c r="F683" s="2">
        <f>_xlfn.XLOOKUP(J683,数据!E:E,数据!C:C)</f>
        <v>46045</v>
      </c>
      <c r="G683" s="4">
        <v>433</v>
      </c>
      <c r="H683" s="4">
        <f t="shared" si="31"/>
        <v>2.598</v>
      </c>
      <c r="I683" s="4">
        <f>_xlfn.XLOOKUP(J683,数据!E:E,数据!S:S)*(H683/_xlfn.XLOOKUP(J683,数据!E:E,数据!X:X))</f>
        <v>124.621448212649</v>
      </c>
      <c r="J683" t="s">
        <v>467</v>
      </c>
      <c r="K683" t="s">
        <v>31</v>
      </c>
      <c r="L683" t="s">
        <v>2374</v>
      </c>
      <c r="M683" t="s">
        <v>6304</v>
      </c>
      <c r="N683" t="s">
        <v>2376</v>
      </c>
      <c r="O683" t="s">
        <v>2400</v>
      </c>
      <c r="P683" t="s">
        <v>2378</v>
      </c>
      <c r="Q683" t="s">
        <v>2379</v>
      </c>
      <c r="R683" t="s">
        <v>6305</v>
      </c>
      <c r="S683" t="s">
        <v>2511</v>
      </c>
      <c r="T683" s="3" t="s">
        <v>6243</v>
      </c>
      <c r="U683" t="s">
        <v>6244</v>
      </c>
      <c r="V683" t="s">
        <v>6306</v>
      </c>
      <c r="W683" t="s">
        <v>6307</v>
      </c>
      <c r="X683" t="s">
        <v>2403</v>
      </c>
      <c r="Y683" t="s">
        <v>6308</v>
      </c>
      <c r="Z683" t="s">
        <v>2405</v>
      </c>
      <c r="AA683" t="s">
        <v>6243</v>
      </c>
      <c r="AB683" t="s">
        <v>5337</v>
      </c>
      <c r="AC683" t="s">
        <v>6309</v>
      </c>
      <c r="AD683" t="s">
        <v>6104</v>
      </c>
      <c r="AH683" t="s">
        <v>5858</v>
      </c>
      <c r="AI683" t="s">
        <v>5693</v>
      </c>
      <c r="AJ683" t="s">
        <v>6256</v>
      </c>
      <c r="AK683" t="s">
        <v>6257</v>
      </c>
      <c r="AL683" t="s">
        <v>6258</v>
      </c>
      <c r="AM683" t="s">
        <v>4516</v>
      </c>
      <c r="AN683" t="s">
        <v>6259</v>
      </c>
      <c r="AO683" t="s">
        <v>6256</v>
      </c>
      <c r="AP683">
        <v>6</v>
      </c>
      <c r="AQ683">
        <v>6</v>
      </c>
      <c r="AR683">
        <v>6</v>
      </c>
      <c r="AS683" t="s">
        <v>6311</v>
      </c>
      <c r="AT683">
        <v>0</v>
      </c>
      <c r="AU683">
        <v>0</v>
      </c>
      <c r="AV683">
        <v>0</v>
      </c>
    </row>
    <row r="684" spans="1:48">
      <c r="A684" s="1">
        <f>_xlfn.XLOOKUP(J684,数据!E:E,数据!A:A)</f>
        <v>1</v>
      </c>
      <c r="B684" s="1">
        <f>_xlfn.XLOOKUP(J684,数据!E:E,数据!B:B)</f>
        <v>4</v>
      </c>
      <c r="C684" s="1" t="str">
        <f>_xlfn.XLOOKUP(J684,数据!E:E,数据!J:J)</f>
        <v>空派</v>
      </c>
      <c r="D684" s="1" t="str" cm="1">
        <f t="array" ref="D684">IF(OR(C684="红单",C684="空派"),_xlfn.IFS(E684="未开售","新品首批发货",F684&lt;E684,"新品首批发货",F684-E684&lt;=60,"新品期补货空运",F684-E684&gt;60,"老品应急空运"),"海运，不进行分析")</f>
        <v>老品应急空运</v>
      </c>
      <c r="E684" s="2">
        <v>44703</v>
      </c>
      <c r="F684" s="2">
        <f>_xlfn.XLOOKUP(J684,数据!E:E,数据!C:C)</f>
        <v>46045</v>
      </c>
      <c r="G684" s="4">
        <v>124</v>
      </c>
      <c r="H684" s="4">
        <f t="shared" si="31"/>
        <v>0.496</v>
      </c>
      <c r="I684" s="4">
        <f>_xlfn.XLOOKUP(J684,数据!E:E,数据!S:S)*(H684/_xlfn.XLOOKUP(J684,数据!E:E,数据!X:X))</f>
        <v>23.7922395355943</v>
      </c>
      <c r="J684" t="s">
        <v>467</v>
      </c>
      <c r="K684" t="s">
        <v>31</v>
      </c>
      <c r="L684" t="s">
        <v>2374</v>
      </c>
      <c r="M684" t="s">
        <v>6304</v>
      </c>
      <c r="N684" t="s">
        <v>2376</v>
      </c>
      <c r="O684" t="s">
        <v>2400</v>
      </c>
      <c r="P684" t="s">
        <v>2378</v>
      </c>
      <c r="Q684" t="s">
        <v>2379</v>
      </c>
      <c r="R684" t="s">
        <v>6305</v>
      </c>
      <c r="S684" t="s">
        <v>2511</v>
      </c>
      <c r="T684" s="3" t="s">
        <v>6243</v>
      </c>
      <c r="U684" t="s">
        <v>6244</v>
      </c>
      <c r="V684" t="s">
        <v>6306</v>
      </c>
      <c r="W684" t="s">
        <v>6307</v>
      </c>
      <c r="X684" t="s">
        <v>2403</v>
      </c>
      <c r="Y684" t="s">
        <v>6308</v>
      </c>
      <c r="Z684" t="s">
        <v>2405</v>
      </c>
      <c r="AA684" t="s">
        <v>6243</v>
      </c>
      <c r="AB684" t="s">
        <v>5337</v>
      </c>
      <c r="AC684" t="s">
        <v>6309</v>
      </c>
      <c r="AD684" t="s">
        <v>6104</v>
      </c>
      <c r="AH684" t="s">
        <v>5858</v>
      </c>
      <c r="AI684" t="s">
        <v>5693</v>
      </c>
      <c r="AJ684" t="s">
        <v>6261</v>
      </c>
      <c r="AK684" t="s">
        <v>6262</v>
      </c>
      <c r="AL684" t="s">
        <v>6263</v>
      </c>
      <c r="AM684" t="s">
        <v>6263</v>
      </c>
      <c r="AN684" t="s">
        <v>6264</v>
      </c>
      <c r="AO684" t="s">
        <v>6261</v>
      </c>
      <c r="AP684">
        <v>4</v>
      </c>
      <c r="AQ684">
        <v>4</v>
      </c>
      <c r="AR684">
        <v>4</v>
      </c>
      <c r="AS684" t="s">
        <v>6312</v>
      </c>
      <c r="AT684">
        <v>0</v>
      </c>
      <c r="AU684">
        <v>0</v>
      </c>
      <c r="AV684">
        <v>0</v>
      </c>
    </row>
    <row r="685" spans="1:48">
      <c r="A685" s="1">
        <f>_xlfn.XLOOKUP(J685,数据!E:E,数据!A:A)</f>
        <v>1</v>
      </c>
      <c r="B685" s="1">
        <f>_xlfn.XLOOKUP(J685,数据!E:E,数据!B:B)</f>
        <v>4</v>
      </c>
      <c r="C685" s="1" t="str">
        <f>_xlfn.XLOOKUP(J685,数据!E:E,数据!J:J)</f>
        <v>空派</v>
      </c>
      <c r="D685" s="1" t="str" cm="1">
        <f t="array" ref="D685">IF(OR(C685="红单",C685="空派"),_xlfn.IFS(E685="未开售","新品首批发货",F685&lt;E685,"新品首批发货",F685-E685&lt;=60,"新品期补货空运",F685-E685&gt;60,"老品应急空运"),"海运，不进行分析")</f>
        <v>新品期补货空运</v>
      </c>
      <c r="E685" s="2">
        <v>46029</v>
      </c>
      <c r="F685" s="2">
        <f>_xlfn.XLOOKUP(J685,数据!E:E,数据!C:C)</f>
        <v>46045</v>
      </c>
      <c r="G685" s="4">
        <v>142</v>
      </c>
      <c r="H685" s="4">
        <f t="shared" si="31"/>
        <v>1.704</v>
      </c>
      <c r="I685" s="4">
        <f>_xlfn.XLOOKUP(J685,数据!E:E,数据!S:S)*(H685/_xlfn.XLOOKUP(J685,数据!E:E,数据!X:X))</f>
        <v>81.7378551787351</v>
      </c>
      <c r="J685" t="s">
        <v>467</v>
      </c>
      <c r="K685" t="s">
        <v>31</v>
      </c>
      <c r="L685" t="s">
        <v>2374</v>
      </c>
      <c r="M685" t="s">
        <v>6304</v>
      </c>
      <c r="N685" t="s">
        <v>2376</v>
      </c>
      <c r="O685" t="s">
        <v>2400</v>
      </c>
      <c r="P685" t="s">
        <v>2378</v>
      </c>
      <c r="Q685" t="s">
        <v>2379</v>
      </c>
      <c r="R685" t="s">
        <v>6305</v>
      </c>
      <c r="S685" t="s">
        <v>2511</v>
      </c>
      <c r="T685" s="3" t="s">
        <v>6243</v>
      </c>
      <c r="U685" t="s">
        <v>6244</v>
      </c>
      <c r="V685" t="s">
        <v>6306</v>
      </c>
      <c r="W685" t="s">
        <v>6307</v>
      </c>
      <c r="X685" t="s">
        <v>2403</v>
      </c>
      <c r="Y685" t="s">
        <v>6308</v>
      </c>
      <c r="Z685" t="s">
        <v>2405</v>
      </c>
      <c r="AA685" t="s">
        <v>6243</v>
      </c>
      <c r="AB685" t="s">
        <v>5337</v>
      </c>
      <c r="AC685" t="s">
        <v>6309</v>
      </c>
      <c r="AD685" t="s">
        <v>6104</v>
      </c>
      <c r="AH685" t="s">
        <v>5858</v>
      </c>
      <c r="AI685" t="s">
        <v>5693</v>
      </c>
      <c r="AJ685" t="s">
        <v>4142</v>
      </c>
      <c r="AK685" t="s">
        <v>4143</v>
      </c>
      <c r="AL685" t="s">
        <v>4144</v>
      </c>
      <c r="AM685" t="s">
        <v>2787</v>
      </c>
      <c r="AN685" t="s">
        <v>4145</v>
      </c>
      <c r="AO685" t="s">
        <v>4142</v>
      </c>
      <c r="AP685">
        <v>12</v>
      </c>
      <c r="AQ685">
        <v>12</v>
      </c>
      <c r="AR685">
        <v>12</v>
      </c>
      <c r="AS685" t="s">
        <v>6313</v>
      </c>
      <c r="AT685">
        <v>0</v>
      </c>
      <c r="AU685">
        <v>0</v>
      </c>
      <c r="AV685">
        <v>0</v>
      </c>
    </row>
    <row r="686" spans="1:48">
      <c r="A686" s="1">
        <f>_xlfn.XLOOKUP(J686,数据!E:E,数据!A:A)</f>
        <v>1</v>
      </c>
      <c r="B686" s="1">
        <f>_xlfn.XLOOKUP(J686,数据!E:E,数据!B:B)</f>
        <v>4</v>
      </c>
      <c r="C686" s="1" t="str">
        <f>_xlfn.XLOOKUP(J686,数据!E:E,数据!J:J)</f>
        <v>空派</v>
      </c>
      <c r="D686" s="1" t="str" cm="1">
        <f t="array" ref="D686">IF(OR(C686="红单",C686="空派"),_xlfn.IFS(E686="未开售","新品首批发货",F686&lt;E686,"新品首批发货",F686-E686&lt;=60,"新品期补货空运",F686-E686&gt;60,"老品应急空运"),"海运，不进行分析")</f>
        <v>新品期补货空运</v>
      </c>
      <c r="E686" s="2">
        <v>46028</v>
      </c>
      <c r="F686" s="2">
        <f>_xlfn.XLOOKUP(J686,数据!E:E,数据!C:C)</f>
        <v>46045</v>
      </c>
      <c r="G686" s="4">
        <v>143</v>
      </c>
      <c r="H686" s="4">
        <f t="shared" si="31"/>
        <v>4.29</v>
      </c>
      <c r="I686" s="4">
        <f>_xlfn.XLOOKUP(J686,数据!E:E,数据!S:S)*(H686/_xlfn.XLOOKUP(J686,数据!E:E,数据!X:X))</f>
        <v>205.783684692942</v>
      </c>
      <c r="J686" t="s">
        <v>467</v>
      </c>
      <c r="K686" t="s">
        <v>31</v>
      </c>
      <c r="L686" t="s">
        <v>2374</v>
      </c>
      <c r="M686" t="s">
        <v>6304</v>
      </c>
      <c r="N686" t="s">
        <v>2376</v>
      </c>
      <c r="O686" t="s">
        <v>2400</v>
      </c>
      <c r="P686" t="s">
        <v>2378</v>
      </c>
      <c r="Q686" t="s">
        <v>2379</v>
      </c>
      <c r="R686" t="s">
        <v>6305</v>
      </c>
      <c r="S686" t="s">
        <v>2511</v>
      </c>
      <c r="T686" s="3" t="s">
        <v>6243</v>
      </c>
      <c r="U686" t="s">
        <v>6244</v>
      </c>
      <c r="V686" t="s">
        <v>6306</v>
      </c>
      <c r="W686" t="s">
        <v>6307</v>
      </c>
      <c r="X686" t="s">
        <v>2403</v>
      </c>
      <c r="Y686" t="s">
        <v>6308</v>
      </c>
      <c r="Z686" t="s">
        <v>2405</v>
      </c>
      <c r="AA686" t="s">
        <v>6243</v>
      </c>
      <c r="AB686" t="s">
        <v>5337</v>
      </c>
      <c r="AC686" t="s">
        <v>6309</v>
      </c>
      <c r="AD686" t="s">
        <v>6104</v>
      </c>
      <c r="AH686" t="s">
        <v>5858</v>
      </c>
      <c r="AI686" t="s">
        <v>5693</v>
      </c>
      <c r="AJ686" t="s">
        <v>3920</v>
      </c>
      <c r="AK686" t="s">
        <v>3921</v>
      </c>
      <c r="AL686" t="s">
        <v>3922</v>
      </c>
      <c r="AM686" t="s">
        <v>2787</v>
      </c>
      <c r="AN686" t="s">
        <v>3923</v>
      </c>
      <c r="AO686" t="s">
        <v>3920</v>
      </c>
      <c r="AP686">
        <v>30</v>
      </c>
      <c r="AQ686">
        <v>30</v>
      </c>
      <c r="AR686">
        <v>30</v>
      </c>
      <c r="AS686" t="s">
        <v>6314</v>
      </c>
      <c r="AT686">
        <v>0</v>
      </c>
      <c r="AU686">
        <v>0</v>
      </c>
      <c r="AV686">
        <v>0</v>
      </c>
    </row>
    <row r="687" spans="1:48">
      <c r="A687" s="1">
        <f>_xlfn.XLOOKUP(J687,数据!E:E,数据!A:A)</f>
        <v>1</v>
      </c>
      <c r="B687" s="1">
        <f>_xlfn.XLOOKUP(J687,数据!E:E,数据!B:B)</f>
        <v>4</v>
      </c>
      <c r="C687" s="1" t="str">
        <f>_xlfn.XLOOKUP(J687,数据!E:E,数据!J:J)</f>
        <v>空派</v>
      </c>
      <c r="D687" s="1" t="str" cm="1">
        <f t="array" ref="D687">IF(OR(C687="红单",C687="空派"),_xlfn.IFS(E687="未开售","新品首批发货",F687&lt;E687,"新品首批发货",F687-E687&lt;=60,"新品期补货空运",F687-E687&gt;60,"老品应急空运"),"海运，不进行分析")</f>
        <v>新品期补货空运</v>
      </c>
      <c r="E687" s="2">
        <v>46030</v>
      </c>
      <c r="F687" s="2">
        <f>_xlfn.XLOOKUP(J687,数据!E:E,数据!C:C)</f>
        <v>46045</v>
      </c>
      <c r="G687" s="4">
        <v>146</v>
      </c>
      <c r="H687" s="4">
        <f t="shared" si="31"/>
        <v>4.38</v>
      </c>
      <c r="I687" s="4">
        <f>_xlfn.XLOOKUP(J687,数据!E:E,数据!S:S)*(H687/_xlfn.XLOOKUP(J687,数据!E:E,数据!X:X))</f>
        <v>210.100824931256</v>
      </c>
      <c r="J687" t="s">
        <v>467</v>
      </c>
      <c r="K687" t="s">
        <v>31</v>
      </c>
      <c r="L687" t="s">
        <v>2374</v>
      </c>
      <c r="M687" t="s">
        <v>6304</v>
      </c>
      <c r="N687" t="s">
        <v>2376</v>
      </c>
      <c r="O687" t="s">
        <v>2400</v>
      </c>
      <c r="P687" t="s">
        <v>2378</v>
      </c>
      <c r="Q687" t="s">
        <v>2379</v>
      </c>
      <c r="R687" t="s">
        <v>6305</v>
      </c>
      <c r="S687" t="s">
        <v>2511</v>
      </c>
      <c r="T687" s="3" t="s">
        <v>6243</v>
      </c>
      <c r="U687" t="s">
        <v>6244</v>
      </c>
      <c r="V687" t="s">
        <v>6306</v>
      </c>
      <c r="W687" t="s">
        <v>6307</v>
      </c>
      <c r="X687" t="s">
        <v>2403</v>
      </c>
      <c r="Y687" t="s">
        <v>6308</v>
      </c>
      <c r="Z687" t="s">
        <v>2405</v>
      </c>
      <c r="AA687" t="s">
        <v>6243</v>
      </c>
      <c r="AB687" t="s">
        <v>5337</v>
      </c>
      <c r="AC687" t="s">
        <v>6309</v>
      </c>
      <c r="AD687" t="s">
        <v>6104</v>
      </c>
      <c r="AH687" t="s">
        <v>5858</v>
      </c>
      <c r="AI687" t="s">
        <v>5693</v>
      </c>
      <c r="AJ687" t="s">
        <v>3683</v>
      </c>
      <c r="AK687" t="s">
        <v>3684</v>
      </c>
      <c r="AL687" t="s">
        <v>3685</v>
      </c>
      <c r="AM687" t="s">
        <v>2787</v>
      </c>
      <c r="AN687" t="s">
        <v>3686</v>
      </c>
      <c r="AO687" t="s">
        <v>3683</v>
      </c>
      <c r="AP687">
        <v>30</v>
      </c>
      <c r="AQ687">
        <v>30</v>
      </c>
      <c r="AR687">
        <v>30</v>
      </c>
      <c r="AS687" t="s">
        <v>6314</v>
      </c>
      <c r="AT687">
        <v>0</v>
      </c>
      <c r="AU687">
        <v>0</v>
      </c>
      <c r="AV687">
        <v>0</v>
      </c>
    </row>
    <row r="688" spans="1:48">
      <c r="A688" s="1">
        <f>_xlfn.XLOOKUP(J688,数据!E:E,数据!A:A)</f>
        <v>1</v>
      </c>
      <c r="B688" s="1">
        <f>_xlfn.XLOOKUP(J688,数据!E:E,数据!B:B)</f>
        <v>4</v>
      </c>
      <c r="C688" s="1" t="str">
        <f>_xlfn.XLOOKUP(J688,数据!E:E,数据!J:J)</f>
        <v>空派</v>
      </c>
      <c r="D688" s="1" t="str" cm="1">
        <f t="array" ref="D688">IF(OR(C688="红单",C688="空派"),_xlfn.IFS(E688="未开售","新品首批发货",F688&lt;E688,"新品首批发货",F688-E688&lt;=60,"新品期补货空运",F688-E688&gt;60,"老品应急空运"),"海运，不进行分析")</f>
        <v>新品期补货空运</v>
      </c>
      <c r="E688" s="2">
        <v>46028</v>
      </c>
      <c r="F688" s="2">
        <f>_xlfn.XLOOKUP(J688,数据!E:E,数据!C:C)</f>
        <v>46045</v>
      </c>
      <c r="G688" s="4">
        <v>143.3</v>
      </c>
      <c r="H688" s="4">
        <f t="shared" si="31"/>
        <v>2.866</v>
      </c>
      <c r="I688" s="4">
        <f>_xlfn.XLOOKUP(J688,数据!E:E,数据!S:S)*(H688/_xlfn.XLOOKUP(J688,数据!E:E,数据!X:X))</f>
        <v>137.476932477849</v>
      </c>
      <c r="J688" t="s">
        <v>467</v>
      </c>
      <c r="K688" t="s">
        <v>31</v>
      </c>
      <c r="L688" t="s">
        <v>2374</v>
      </c>
      <c r="M688" t="s">
        <v>6304</v>
      </c>
      <c r="N688" t="s">
        <v>2376</v>
      </c>
      <c r="O688" t="s">
        <v>2400</v>
      </c>
      <c r="P688" t="s">
        <v>2378</v>
      </c>
      <c r="Q688" t="s">
        <v>2379</v>
      </c>
      <c r="R688" t="s">
        <v>6305</v>
      </c>
      <c r="S688" t="s">
        <v>2511</v>
      </c>
      <c r="T688" s="3" t="s">
        <v>6243</v>
      </c>
      <c r="U688" t="s">
        <v>6244</v>
      </c>
      <c r="V688" t="s">
        <v>6306</v>
      </c>
      <c r="W688" t="s">
        <v>6307</v>
      </c>
      <c r="X688" t="s">
        <v>2403</v>
      </c>
      <c r="Y688" t="s">
        <v>6308</v>
      </c>
      <c r="Z688" t="s">
        <v>2405</v>
      </c>
      <c r="AA688" t="s">
        <v>6243</v>
      </c>
      <c r="AB688" t="s">
        <v>5337</v>
      </c>
      <c r="AC688" t="s">
        <v>6309</v>
      </c>
      <c r="AD688" t="s">
        <v>6104</v>
      </c>
      <c r="AH688" t="s">
        <v>5858</v>
      </c>
      <c r="AI688" t="s">
        <v>5693</v>
      </c>
      <c r="AJ688" t="s">
        <v>4319</v>
      </c>
      <c r="AK688" t="s">
        <v>4320</v>
      </c>
      <c r="AL688" t="s">
        <v>4321</v>
      </c>
      <c r="AM688" t="s">
        <v>2787</v>
      </c>
      <c r="AN688" t="s">
        <v>4322</v>
      </c>
      <c r="AO688" t="s">
        <v>4319</v>
      </c>
      <c r="AP688">
        <v>20</v>
      </c>
      <c r="AQ688">
        <v>20</v>
      </c>
      <c r="AR688">
        <v>20</v>
      </c>
      <c r="AS688" t="s">
        <v>6315</v>
      </c>
      <c r="AT688">
        <v>0</v>
      </c>
      <c r="AU688">
        <v>0</v>
      </c>
      <c r="AV688">
        <v>0</v>
      </c>
    </row>
    <row r="689" spans="1:48">
      <c r="A689" s="1">
        <f>_xlfn.XLOOKUP(J689,数据!E:E,数据!A:A)</f>
        <v>1</v>
      </c>
      <c r="B689" s="1">
        <f>_xlfn.XLOOKUP(J689,数据!E:E,数据!B:B)</f>
        <v>4</v>
      </c>
      <c r="C689" s="1" t="str">
        <f>_xlfn.XLOOKUP(J689,数据!E:E,数据!J:J)</f>
        <v>空派</v>
      </c>
      <c r="D689" s="1" t="str" cm="1">
        <f t="array" ref="D689">IF(OR(C689="红单",C689="空派"),_xlfn.IFS(E689="未开售","新品首批发货",F689&lt;E689,"新品首批发货",F689-E689&lt;=60,"新品期补货空运",F689-E689&gt;60,"老品应急空运"),"海运，不进行分析")</f>
        <v>新品期补货空运</v>
      </c>
      <c r="E689" s="2">
        <v>46017</v>
      </c>
      <c r="F689" s="2">
        <f>_xlfn.XLOOKUP(J689,数据!E:E,数据!C:C)</f>
        <v>46045</v>
      </c>
      <c r="G689" s="4">
        <v>144</v>
      </c>
      <c r="H689" s="4">
        <f t="shared" si="31"/>
        <v>2.88</v>
      </c>
      <c r="I689" s="4">
        <f>_xlfn.XLOOKUP(J689,数据!E:E,数据!S:S)*(H689/_xlfn.XLOOKUP(J689,数据!E:E,数据!X:X))</f>
        <v>138.148487626031</v>
      </c>
      <c r="J689" t="s">
        <v>467</v>
      </c>
      <c r="K689" t="s">
        <v>31</v>
      </c>
      <c r="L689" t="s">
        <v>2374</v>
      </c>
      <c r="M689" t="s">
        <v>6304</v>
      </c>
      <c r="N689" t="s">
        <v>2376</v>
      </c>
      <c r="O689" t="s">
        <v>2400</v>
      </c>
      <c r="P689" t="s">
        <v>2378</v>
      </c>
      <c r="Q689" t="s">
        <v>2379</v>
      </c>
      <c r="R689" t="s">
        <v>6305</v>
      </c>
      <c r="S689" t="s">
        <v>2511</v>
      </c>
      <c r="T689" s="3" t="s">
        <v>6243</v>
      </c>
      <c r="U689" t="s">
        <v>6244</v>
      </c>
      <c r="V689" t="s">
        <v>6306</v>
      </c>
      <c r="W689" t="s">
        <v>6307</v>
      </c>
      <c r="X689" t="s">
        <v>2403</v>
      </c>
      <c r="Y689" t="s">
        <v>6308</v>
      </c>
      <c r="Z689" t="s">
        <v>2405</v>
      </c>
      <c r="AA689" t="s">
        <v>6243</v>
      </c>
      <c r="AB689" t="s">
        <v>5337</v>
      </c>
      <c r="AC689" t="s">
        <v>6309</v>
      </c>
      <c r="AD689" t="s">
        <v>6104</v>
      </c>
      <c r="AH689" t="s">
        <v>5858</v>
      </c>
      <c r="AI689" t="s">
        <v>5693</v>
      </c>
      <c r="AJ689" t="s">
        <v>5007</v>
      </c>
      <c r="AK689" t="s">
        <v>5008</v>
      </c>
      <c r="AL689" t="s">
        <v>5009</v>
      </c>
      <c r="AM689" t="s">
        <v>2989</v>
      </c>
      <c r="AN689" t="s">
        <v>5010</v>
      </c>
      <c r="AO689" t="s">
        <v>5007</v>
      </c>
      <c r="AP689">
        <v>20</v>
      </c>
      <c r="AQ689">
        <v>20</v>
      </c>
      <c r="AR689">
        <v>20</v>
      </c>
      <c r="AS689" t="s">
        <v>6316</v>
      </c>
      <c r="AT689">
        <v>0</v>
      </c>
      <c r="AU689">
        <v>0</v>
      </c>
      <c r="AV689">
        <v>0</v>
      </c>
    </row>
    <row r="690" spans="1:48">
      <c r="A690" s="1">
        <f>_xlfn.XLOOKUP(J690,数据!E:E,数据!A:A)</f>
        <v>1</v>
      </c>
      <c r="B690" s="1">
        <f>_xlfn.XLOOKUP(J690,数据!E:E,数据!B:B)</f>
        <v>4</v>
      </c>
      <c r="C690" s="1" t="str">
        <f>_xlfn.XLOOKUP(J690,数据!E:E,数据!J:J)</f>
        <v>红单</v>
      </c>
      <c r="D690" s="1" t="str" cm="1">
        <f t="array" ref="D690">IF(OR(C690="红单",C690="空派"),_xlfn.IFS(E690="未开售","新品首批发货",F690&lt;E690,"新品首批发货",F690-E690&lt;=60,"新品期补货空运",F690-E690&gt;60,"老品应急空运"),"海运，不进行分析")</f>
        <v>新品期补货空运</v>
      </c>
      <c r="E690" s="2">
        <v>46028</v>
      </c>
      <c r="F690" s="2">
        <f>_xlfn.XLOOKUP(J690,数据!E:E,数据!C:C)</f>
        <v>46045</v>
      </c>
      <c r="G690" s="4">
        <v>104</v>
      </c>
      <c r="H690" s="4">
        <f t="shared" si="31"/>
        <v>8.32</v>
      </c>
      <c r="I690" s="4">
        <f>_xlfn.XLOOKUP(J690,数据!E:E,数据!S:S)*(H690/_xlfn.XLOOKUP(J690,数据!E:E,数据!X:X))</f>
        <v>661.88</v>
      </c>
      <c r="J690" t="s">
        <v>463</v>
      </c>
      <c r="K690" t="s">
        <v>224</v>
      </c>
      <c r="L690" t="s">
        <v>2374</v>
      </c>
      <c r="M690" t="s">
        <v>6317</v>
      </c>
      <c r="N690" t="s">
        <v>2376</v>
      </c>
      <c r="O690" t="s">
        <v>2400</v>
      </c>
      <c r="P690" t="s">
        <v>2378</v>
      </c>
      <c r="Q690" t="s">
        <v>2379</v>
      </c>
      <c r="R690" t="s">
        <v>6318</v>
      </c>
      <c r="S690" t="s">
        <v>2511</v>
      </c>
      <c r="T690" s="3" t="s">
        <v>6319</v>
      </c>
      <c r="U690" t="s">
        <v>6075</v>
      </c>
      <c r="V690" t="s">
        <v>6320</v>
      </c>
      <c r="W690" t="s">
        <v>6321</v>
      </c>
      <c r="X690" t="s">
        <v>2403</v>
      </c>
      <c r="Y690" t="s">
        <v>6322</v>
      </c>
      <c r="Z690" t="s">
        <v>2405</v>
      </c>
      <c r="AA690" t="s">
        <v>6319</v>
      </c>
      <c r="AB690" t="s">
        <v>6323</v>
      </c>
      <c r="AC690" t="s">
        <v>6324</v>
      </c>
      <c r="AD690" t="s">
        <v>5997</v>
      </c>
      <c r="AH690" t="s">
        <v>5982</v>
      </c>
      <c r="AI690" t="s">
        <v>5858</v>
      </c>
      <c r="AJ690" t="s">
        <v>5621</v>
      </c>
      <c r="AK690" t="s">
        <v>5622</v>
      </c>
      <c r="AL690" t="s">
        <v>5623</v>
      </c>
      <c r="AM690" t="s">
        <v>5623</v>
      </c>
      <c r="AN690" t="s">
        <v>5624</v>
      </c>
      <c r="AO690" t="s">
        <v>5621</v>
      </c>
      <c r="AP690">
        <v>80</v>
      </c>
      <c r="AQ690">
        <v>80</v>
      </c>
      <c r="AR690">
        <v>80</v>
      </c>
      <c r="AS690" t="s">
        <v>6325</v>
      </c>
      <c r="AT690">
        <v>0</v>
      </c>
      <c r="AU690">
        <v>0</v>
      </c>
      <c r="AV690">
        <v>0</v>
      </c>
    </row>
    <row r="691" spans="1:48">
      <c r="A691" s="1">
        <f>_xlfn.XLOOKUP(J691,数据!E:E,数据!A:A)</f>
        <v>1</v>
      </c>
      <c r="B691" s="1">
        <f>_xlfn.XLOOKUP(J691,数据!E:E,数据!B:B)</f>
        <v>4</v>
      </c>
      <c r="C691" s="1" t="str">
        <f>_xlfn.XLOOKUP(J691,数据!E:E,数据!J:J)</f>
        <v>红单</v>
      </c>
      <c r="D691" s="1" t="str" cm="1">
        <f t="array" ref="D691">IF(OR(C691="红单",C691="空派"),_xlfn.IFS(E691="未开售","新品首批发货",F691&lt;E691,"新品首批发货",F691-E691&lt;=60,"新品期补货空运",F691-E691&gt;60,"老品应急空运"),"海运，不进行分析")</f>
        <v>新品期补货空运</v>
      </c>
      <c r="E691" s="2">
        <v>46028</v>
      </c>
      <c r="F691" s="2">
        <f>_xlfn.XLOOKUP(J691,数据!E:E,数据!C:C)</f>
        <v>46045</v>
      </c>
      <c r="G691" s="4">
        <v>104</v>
      </c>
      <c r="H691" s="4">
        <f t="shared" si="31"/>
        <v>12.48</v>
      </c>
      <c r="I691" s="4">
        <f>_xlfn.XLOOKUP(J691,数据!E:E,数据!S:S)*(H691/_xlfn.XLOOKUP(J691,数据!E:E,数据!X:X))</f>
        <v>992.82</v>
      </c>
      <c r="J691" t="s">
        <v>463</v>
      </c>
      <c r="K691" t="s">
        <v>224</v>
      </c>
      <c r="L691" t="s">
        <v>2374</v>
      </c>
      <c r="M691" t="s">
        <v>6317</v>
      </c>
      <c r="N691" t="s">
        <v>2376</v>
      </c>
      <c r="O691" t="s">
        <v>2400</v>
      </c>
      <c r="P691" t="s">
        <v>2378</v>
      </c>
      <c r="Q691" t="s">
        <v>2379</v>
      </c>
      <c r="R691" t="s">
        <v>6318</v>
      </c>
      <c r="S691" t="s">
        <v>2511</v>
      </c>
      <c r="T691" s="3" t="s">
        <v>6319</v>
      </c>
      <c r="U691" t="s">
        <v>6075</v>
      </c>
      <c r="V691" t="s">
        <v>6320</v>
      </c>
      <c r="W691" t="s">
        <v>6321</v>
      </c>
      <c r="X691" t="s">
        <v>2403</v>
      </c>
      <c r="Y691" t="s">
        <v>6322</v>
      </c>
      <c r="Z691" t="s">
        <v>2405</v>
      </c>
      <c r="AA691" t="s">
        <v>6319</v>
      </c>
      <c r="AB691" t="s">
        <v>6323</v>
      </c>
      <c r="AC691" t="s">
        <v>6324</v>
      </c>
      <c r="AD691" t="s">
        <v>5997</v>
      </c>
      <c r="AH691" t="s">
        <v>5982</v>
      </c>
      <c r="AI691" t="s">
        <v>5858</v>
      </c>
      <c r="AJ691" t="s">
        <v>5610</v>
      </c>
      <c r="AK691" t="s">
        <v>5611</v>
      </c>
      <c r="AL691" t="s">
        <v>5612</v>
      </c>
      <c r="AM691" t="s">
        <v>5613</v>
      </c>
      <c r="AN691" t="s">
        <v>5614</v>
      </c>
      <c r="AO691" t="s">
        <v>5610</v>
      </c>
      <c r="AP691">
        <v>120</v>
      </c>
      <c r="AQ691">
        <v>120</v>
      </c>
      <c r="AR691">
        <v>120</v>
      </c>
      <c r="AS691" t="s">
        <v>6326</v>
      </c>
      <c r="AT691">
        <v>0</v>
      </c>
      <c r="AU691">
        <v>0</v>
      </c>
      <c r="AV691">
        <v>0</v>
      </c>
    </row>
    <row r="692" spans="1:48">
      <c r="A692" s="1">
        <f>_xlfn.XLOOKUP(J692,数据!E:E,数据!A:A)</f>
        <v>1</v>
      </c>
      <c r="B692" s="1">
        <f>_xlfn.XLOOKUP(J692,数据!E:E,数据!B:B)</f>
        <v>4</v>
      </c>
      <c r="C692" s="1" t="str">
        <f>_xlfn.XLOOKUP(J692,数据!E:E,数据!J:J)</f>
        <v>红单</v>
      </c>
      <c r="D692" s="1" t="str" cm="1">
        <f t="array" ref="D692">IF(OR(C692="红单",C692="空派"),_xlfn.IFS(E692="未开售","新品首批发货",F692&lt;E692,"新品首批发货",F692-E692&lt;=60,"新品期补货空运",F692-E692&gt;60,"老品应急空运"),"海运，不进行分析")</f>
        <v>新品期补货空运</v>
      </c>
      <c r="E692" s="2">
        <v>46028</v>
      </c>
      <c r="F692" s="2">
        <f>_xlfn.XLOOKUP(J692,数据!E:E,数据!C:C)</f>
        <v>46045</v>
      </c>
      <c r="G692" s="4">
        <v>124</v>
      </c>
      <c r="H692" s="4">
        <f t="shared" si="31"/>
        <v>12.4</v>
      </c>
      <c r="I692" s="4">
        <f>_xlfn.XLOOKUP(J692,数据!E:E,数据!S:S)*(H692/_xlfn.XLOOKUP(J692,数据!E:E,数据!X:X))</f>
        <v>972.477777777778</v>
      </c>
      <c r="J692" t="s">
        <v>462</v>
      </c>
      <c r="K692" t="s">
        <v>39</v>
      </c>
      <c r="L692" t="s">
        <v>2374</v>
      </c>
      <c r="M692" t="s">
        <v>6327</v>
      </c>
      <c r="N692" t="s">
        <v>2376</v>
      </c>
      <c r="O692" t="s">
        <v>2400</v>
      </c>
      <c r="P692" t="s">
        <v>2378</v>
      </c>
      <c r="Q692" t="s">
        <v>2379</v>
      </c>
      <c r="R692" t="s">
        <v>6328</v>
      </c>
      <c r="S692" t="s">
        <v>2511</v>
      </c>
      <c r="T692" s="3" t="s">
        <v>6329</v>
      </c>
      <c r="U692" t="s">
        <v>6330</v>
      </c>
      <c r="V692" t="s">
        <v>6331</v>
      </c>
      <c r="W692" t="s">
        <v>6332</v>
      </c>
      <c r="X692" t="s">
        <v>2403</v>
      </c>
      <c r="Y692" t="s">
        <v>6333</v>
      </c>
      <c r="Z692" t="s">
        <v>2387</v>
      </c>
      <c r="AA692" t="s">
        <v>6329</v>
      </c>
      <c r="AB692" t="s">
        <v>6010</v>
      </c>
      <c r="AC692" t="s">
        <v>6334</v>
      </c>
      <c r="AD692" t="s">
        <v>5997</v>
      </c>
      <c r="AH692" t="s">
        <v>5982</v>
      </c>
      <c r="AI692" t="s">
        <v>5858</v>
      </c>
      <c r="AJ692" t="s">
        <v>6335</v>
      </c>
      <c r="AK692" t="s">
        <v>6336</v>
      </c>
      <c r="AL692" t="s">
        <v>6337</v>
      </c>
      <c r="AM692" t="s">
        <v>6338</v>
      </c>
      <c r="AN692" t="s">
        <v>6339</v>
      </c>
      <c r="AO692" t="s">
        <v>6335</v>
      </c>
      <c r="AP692">
        <v>100</v>
      </c>
      <c r="AQ692">
        <v>100</v>
      </c>
      <c r="AR692">
        <v>100</v>
      </c>
      <c r="AS692" t="s">
        <v>6340</v>
      </c>
      <c r="AT692">
        <v>0</v>
      </c>
      <c r="AU692">
        <v>0</v>
      </c>
      <c r="AV692">
        <v>0</v>
      </c>
    </row>
    <row r="693" spans="1:48">
      <c r="A693" s="1">
        <f>_xlfn.XLOOKUP(J693,数据!E:E,数据!A:A)</f>
        <v>1</v>
      </c>
      <c r="B693" s="1">
        <f>_xlfn.XLOOKUP(J693,数据!E:E,数据!B:B)</f>
        <v>4</v>
      </c>
      <c r="C693" s="1" t="str">
        <f>_xlfn.XLOOKUP(J693,数据!E:E,数据!J:J)</f>
        <v>红单</v>
      </c>
      <c r="D693" s="1" t="str" cm="1">
        <f t="array" ref="D693">IF(OR(C693="红单",C693="空派"),_xlfn.IFS(E693="未开售","新品首批发货",F693&lt;E693,"新品首批发货",F693-E693&lt;=60,"新品期补货空运",F693-E693&gt;60,"老品应急空运"),"海运，不进行分析")</f>
        <v>新品期补货空运</v>
      </c>
      <c r="E693" s="2">
        <v>46028</v>
      </c>
      <c r="F693" s="2">
        <f>_xlfn.XLOOKUP(J693,数据!E:E,数据!C:C)</f>
        <v>46045</v>
      </c>
      <c r="G693" s="4">
        <v>124</v>
      </c>
      <c r="H693" s="4">
        <f t="shared" si="31"/>
        <v>9.92</v>
      </c>
      <c r="I693" s="4">
        <f>_xlfn.XLOOKUP(J693,数据!E:E,数据!S:S)*(H693/_xlfn.XLOOKUP(J693,数据!E:E,数据!X:X))</f>
        <v>777.982222222222</v>
      </c>
      <c r="J693" t="s">
        <v>462</v>
      </c>
      <c r="K693" t="s">
        <v>39</v>
      </c>
      <c r="L693" t="s">
        <v>2374</v>
      </c>
      <c r="M693" t="s">
        <v>6327</v>
      </c>
      <c r="N693" t="s">
        <v>2376</v>
      </c>
      <c r="O693" t="s">
        <v>2400</v>
      </c>
      <c r="P693" t="s">
        <v>2378</v>
      </c>
      <c r="Q693" t="s">
        <v>2379</v>
      </c>
      <c r="R693" t="s">
        <v>6328</v>
      </c>
      <c r="S693" t="s">
        <v>2511</v>
      </c>
      <c r="T693" s="3" t="s">
        <v>6329</v>
      </c>
      <c r="U693" t="s">
        <v>6330</v>
      </c>
      <c r="V693" t="s">
        <v>6331</v>
      </c>
      <c r="W693" t="s">
        <v>6332</v>
      </c>
      <c r="X693" t="s">
        <v>2403</v>
      </c>
      <c r="Y693" t="s">
        <v>6333</v>
      </c>
      <c r="Z693" t="s">
        <v>2387</v>
      </c>
      <c r="AA693" t="s">
        <v>6329</v>
      </c>
      <c r="AB693" t="s">
        <v>6010</v>
      </c>
      <c r="AC693" t="s">
        <v>6334</v>
      </c>
      <c r="AD693" t="s">
        <v>5997</v>
      </c>
      <c r="AH693" t="s">
        <v>5982</v>
      </c>
      <c r="AI693" t="s">
        <v>5858</v>
      </c>
      <c r="AJ693" t="s">
        <v>6341</v>
      </c>
      <c r="AK693" t="s">
        <v>6342</v>
      </c>
      <c r="AL693" t="s">
        <v>6343</v>
      </c>
      <c r="AM693" t="s">
        <v>6338</v>
      </c>
      <c r="AN693" t="s">
        <v>6344</v>
      </c>
      <c r="AO693" t="s">
        <v>6341</v>
      </c>
      <c r="AP693">
        <v>80</v>
      </c>
      <c r="AQ693">
        <v>80</v>
      </c>
      <c r="AR693">
        <v>80</v>
      </c>
      <c r="AS693" t="s">
        <v>6325</v>
      </c>
      <c r="AT693">
        <v>0</v>
      </c>
      <c r="AU693">
        <v>0</v>
      </c>
      <c r="AV693">
        <v>0</v>
      </c>
    </row>
    <row r="694" spans="1:48">
      <c r="A694" s="1">
        <f>_xlfn.XLOOKUP(J694,数据!E:E,数据!A:A)</f>
        <v>1</v>
      </c>
      <c r="B694" s="1">
        <f>_xlfn.XLOOKUP(J694,数据!E:E,数据!B:B)</f>
        <v>4</v>
      </c>
      <c r="C694" s="1" t="str">
        <f>_xlfn.XLOOKUP(J694,数据!E:E,数据!J:J)</f>
        <v>空派</v>
      </c>
      <c r="D694" s="1" t="str" cm="1">
        <f t="array" ref="D694">IF(OR(C694="红单",C694="空派"),_xlfn.IFS(E694="未开售","新品首批发货",F694&lt;E694,"新品首批发货",F694-E694&lt;=60,"新品期补货空运",F694-E694&gt;60,"老品应急空运"),"海运，不进行分析")</f>
        <v>新品首批发货</v>
      </c>
      <c r="E694" s="2">
        <v>46060</v>
      </c>
      <c r="F694" s="2">
        <f>_xlfn.XLOOKUP(J694,数据!E:E,数据!C:C)</f>
        <v>46044</v>
      </c>
      <c r="G694" s="4">
        <v>137</v>
      </c>
      <c r="H694" s="4">
        <f>G694*AP694/1000</f>
        <v>13.7</v>
      </c>
      <c r="I694" s="4">
        <f>_xlfn.XLOOKUP(J694,数据!E:E,数据!S:S)*(H694/_xlfn.XLOOKUP(J694,数据!E:E,数据!X:X))</f>
        <v>759.2</v>
      </c>
      <c r="J694" t="s">
        <v>461</v>
      </c>
      <c r="K694" t="s">
        <v>59</v>
      </c>
      <c r="L694" t="s">
        <v>2374</v>
      </c>
      <c r="M694" t="s">
        <v>6345</v>
      </c>
      <c r="N694" t="s">
        <v>2376</v>
      </c>
      <c r="O694" t="s">
        <v>2377</v>
      </c>
      <c r="P694" t="s">
        <v>2378</v>
      </c>
      <c r="Q694" t="s">
        <v>2379</v>
      </c>
      <c r="S694" t="s">
        <v>2511</v>
      </c>
      <c r="T694" s="3" t="s">
        <v>6346</v>
      </c>
      <c r="U694" t="s">
        <v>6347</v>
      </c>
      <c r="V694" t="s">
        <v>6348</v>
      </c>
      <c r="W694" t="s">
        <v>6349</v>
      </c>
      <c r="X694" t="s">
        <v>2403</v>
      </c>
      <c r="Y694" t="s">
        <v>6350</v>
      </c>
      <c r="Z694" t="s">
        <v>2387</v>
      </c>
      <c r="AA694" t="s">
        <v>6346</v>
      </c>
      <c r="AB694" t="s">
        <v>6351</v>
      </c>
      <c r="AC694" t="s">
        <v>6352</v>
      </c>
      <c r="AD694" t="s">
        <v>6353</v>
      </c>
      <c r="AG694" t="s">
        <v>2432</v>
      </c>
      <c r="AH694" t="s">
        <v>5982</v>
      </c>
      <c r="AI694" t="s">
        <v>5858</v>
      </c>
      <c r="AJ694" t="s">
        <v>6354</v>
      </c>
      <c r="AK694" t="s">
        <v>6355</v>
      </c>
      <c r="AL694" t="s">
        <v>6356</v>
      </c>
      <c r="AM694" t="s">
        <v>6356</v>
      </c>
      <c r="AN694" t="s">
        <v>6357</v>
      </c>
      <c r="AO694" t="s">
        <v>6354</v>
      </c>
      <c r="AP694">
        <v>100</v>
      </c>
      <c r="AQ694">
        <v>100</v>
      </c>
      <c r="AR694">
        <v>100</v>
      </c>
      <c r="AS694" t="s">
        <v>6358</v>
      </c>
      <c r="AT694">
        <v>0</v>
      </c>
      <c r="AU694">
        <v>0</v>
      </c>
      <c r="AV694">
        <v>0</v>
      </c>
    </row>
    <row r="695" spans="1:48">
      <c r="A695" s="1">
        <f>_xlfn.XLOOKUP(J695,数据!E:E,数据!A:A)</f>
        <v>1</v>
      </c>
      <c r="B695" s="1">
        <f>_xlfn.XLOOKUP(J695,数据!E:E,数据!B:B)</f>
        <v>4</v>
      </c>
      <c r="C695" s="1" t="str">
        <f>_xlfn.XLOOKUP(J695,数据!E:E,数据!J:J)</f>
        <v>空派</v>
      </c>
      <c r="D695" s="1" t="str" cm="1">
        <f t="array" ref="D695">IF(OR(C695="红单",C695="空派"),_xlfn.IFS(E695="未开售","新品首批发货",F695&lt;E695,"新品首批发货",F695-E695&lt;=60,"新品期补货空运",F695-E695&gt;60,"老品应急空运"),"海运，不进行分析")</f>
        <v>老品应急空运</v>
      </c>
      <c r="E695" s="2">
        <v>45007</v>
      </c>
      <c r="F695" s="2">
        <f>_xlfn.XLOOKUP(J695,数据!E:E,数据!C:C)</f>
        <v>46044</v>
      </c>
      <c r="G695" s="4">
        <v>120</v>
      </c>
      <c r="H695" s="4">
        <f>G695*AP695/1000</f>
        <v>4.8</v>
      </c>
      <c r="I695" s="4">
        <f>_xlfn.XLOOKUP(J695,数据!E:E,数据!S:S)*(H695/_xlfn.XLOOKUP(J695,数据!E:E,数据!X:X))</f>
        <v>295.776</v>
      </c>
      <c r="J695" t="s">
        <v>459</v>
      </c>
      <c r="K695" t="s">
        <v>54</v>
      </c>
      <c r="L695" t="s">
        <v>2374</v>
      </c>
      <c r="M695" t="s">
        <v>6359</v>
      </c>
      <c r="N695" t="s">
        <v>2376</v>
      </c>
      <c r="O695" t="s">
        <v>2400</v>
      </c>
      <c r="P695" t="s">
        <v>2378</v>
      </c>
      <c r="Q695" t="s">
        <v>2379</v>
      </c>
      <c r="S695" t="s">
        <v>2511</v>
      </c>
      <c r="T695" s="3" t="s">
        <v>6346</v>
      </c>
      <c r="U695" t="s">
        <v>6360</v>
      </c>
      <c r="V695" t="s">
        <v>6361</v>
      </c>
      <c r="W695" t="s">
        <v>6362</v>
      </c>
      <c r="X695" t="s">
        <v>2385</v>
      </c>
      <c r="Y695" t="s">
        <v>6363</v>
      </c>
      <c r="Z695" t="s">
        <v>2387</v>
      </c>
      <c r="AA695" t="s">
        <v>6346</v>
      </c>
      <c r="AB695" t="s">
        <v>6364</v>
      </c>
      <c r="AC695" t="s">
        <v>6365</v>
      </c>
      <c r="AD695" t="s">
        <v>6353</v>
      </c>
      <c r="AG695" t="s">
        <v>2432</v>
      </c>
      <c r="AH695" t="s">
        <v>5982</v>
      </c>
      <c r="AI695" t="s">
        <v>5858</v>
      </c>
      <c r="AJ695" t="s">
        <v>6366</v>
      </c>
      <c r="AK695" t="s">
        <v>6367</v>
      </c>
      <c r="AL695" t="s">
        <v>6368</v>
      </c>
      <c r="AM695" t="s">
        <v>6368</v>
      </c>
      <c r="AN695" t="s">
        <v>6369</v>
      </c>
      <c r="AO695" t="s">
        <v>6366</v>
      </c>
      <c r="AP695">
        <v>40</v>
      </c>
      <c r="AQ695">
        <v>40</v>
      </c>
      <c r="AR695">
        <v>39</v>
      </c>
      <c r="AS695" t="s">
        <v>6370</v>
      </c>
      <c r="AT695">
        <v>0</v>
      </c>
      <c r="AU695">
        <v>-1</v>
      </c>
      <c r="AV695">
        <v>1</v>
      </c>
    </row>
    <row r="696" spans="1:48">
      <c r="A696" s="1">
        <f>_xlfn.XLOOKUP(J696,数据!E:E,数据!A:A)</f>
        <v>1</v>
      </c>
      <c r="B696" s="1">
        <f>_xlfn.XLOOKUP(J696,数据!E:E,数据!B:B)</f>
        <v>4</v>
      </c>
      <c r="C696" s="1" t="str">
        <f>_xlfn.XLOOKUP(J696,数据!E:E,数据!J:J)</f>
        <v>空派</v>
      </c>
      <c r="D696" s="1" t="str" cm="1">
        <f t="array" ref="D696">IF(OR(C696="红单",C696="空派"),_xlfn.IFS(E696="未开售","新品首批发货",F696&lt;E696,"新品首批发货",F696-E696&lt;=60,"新品期补货空运",F696-E696&gt;60,"老品应急空运"),"海运，不进行分析")</f>
        <v>新品首批发货</v>
      </c>
      <c r="E696" s="2">
        <v>46058</v>
      </c>
      <c r="F696" s="2">
        <f>_xlfn.XLOOKUP(J696,数据!E:E,数据!C:C)</f>
        <v>46044</v>
      </c>
      <c r="G696" s="4">
        <v>90</v>
      </c>
      <c r="H696" s="4">
        <f>G696*AP696/1000</f>
        <v>7.2</v>
      </c>
      <c r="I696" s="4">
        <f>_xlfn.XLOOKUP(J696,数据!E:E,数据!S:S)*(H696/_xlfn.XLOOKUP(J696,数据!E:E,数据!X:X))</f>
        <v>443.664</v>
      </c>
      <c r="J696" t="s">
        <v>459</v>
      </c>
      <c r="K696" t="s">
        <v>54</v>
      </c>
      <c r="L696" t="s">
        <v>2374</v>
      </c>
      <c r="M696" t="s">
        <v>6359</v>
      </c>
      <c r="N696" t="s">
        <v>2376</v>
      </c>
      <c r="O696" t="s">
        <v>2400</v>
      </c>
      <c r="P696" t="s">
        <v>2378</v>
      </c>
      <c r="Q696" t="s">
        <v>2379</v>
      </c>
      <c r="S696" t="s">
        <v>2511</v>
      </c>
      <c r="T696" s="3" t="s">
        <v>6346</v>
      </c>
      <c r="U696" t="s">
        <v>6360</v>
      </c>
      <c r="V696" t="s">
        <v>6361</v>
      </c>
      <c r="W696" t="s">
        <v>6362</v>
      </c>
      <c r="X696" t="s">
        <v>2385</v>
      </c>
      <c r="Y696" t="s">
        <v>6363</v>
      </c>
      <c r="Z696" t="s">
        <v>2387</v>
      </c>
      <c r="AA696" t="s">
        <v>6346</v>
      </c>
      <c r="AB696" t="s">
        <v>6364</v>
      </c>
      <c r="AC696" t="s">
        <v>6365</v>
      </c>
      <c r="AD696" t="s">
        <v>6353</v>
      </c>
      <c r="AG696" t="s">
        <v>2432</v>
      </c>
      <c r="AH696" t="s">
        <v>5982</v>
      </c>
      <c r="AI696" t="s">
        <v>5858</v>
      </c>
      <c r="AJ696" t="s">
        <v>4349</v>
      </c>
      <c r="AK696" t="s">
        <v>4350</v>
      </c>
      <c r="AL696" t="s">
        <v>4351</v>
      </c>
      <c r="AM696" t="s">
        <v>3546</v>
      </c>
      <c r="AN696" t="s">
        <v>4352</v>
      </c>
      <c r="AO696" t="s">
        <v>4349</v>
      </c>
      <c r="AP696">
        <v>80</v>
      </c>
      <c r="AQ696">
        <v>80</v>
      </c>
      <c r="AR696">
        <v>78</v>
      </c>
      <c r="AS696" t="s">
        <v>6371</v>
      </c>
      <c r="AT696">
        <v>0</v>
      </c>
      <c r="AU696">
        <v>-2</v>
      </c>
      <c r="AV696">
        <v>2</v>
      </c>
    </row>
    <row r="697" spans="1:48">
      <c r="A697" s="1">
        <f>_xlfn.XLOOKUP(J697,数据!E:E,数据!A:A)</f>
        <v>1</v>
      </c>
      <c r="B697" s="1">
        <f>_xlfn.XLOOKUP(J697,数据!E:E,数据!B:B)</f>
        <v>4</v>
      </c>
      <c r="C697" s="1" t="str">
        <f>_xlfn.XLOOKUP(J697,数据!E:E,数据!J:J)</f>
        <v>空派</v>
      </c>
      <c r="D697" s="1" t="str" cm="1">
        <f t="array" ref="D697">IF(OR(C697="红单",C697="空派"),_xlfn.IFS(E697="未开售","新品首批发货",F697&lt;E697,"新品首批发货",F697-E697&lt;=60,"新品期补货空运",F697-E697&gt;60,"老品应急空运"),"海运，不进行分析")</f>
        <v>新品首批发货</v>
      </c>
      <c r="E697" s="2">
        <v>46060</v>
      </c>
      <c r="F697" s="2">
        <f>_xlfn.XLOOKUP(J697,数据!E:E,数据!C:C)</f>
        <v>46044</v>
      </c>
      <c r="G697" s="4">
        <v>98</v>
      </c>
      <c r="H697" s="4">
        <f>G697*AP697/1000</f>
        <v>7.84</v>
      </c>
      <c r="I697" s="4">
        <f>_xlfn.XLOOKUP(J697,数据!E:E,数据!S:S)*(H697/_xlfn.XLOOKUP(J697,数据!E:E,数据!X:X))</f>
        <v>442.905302325581</v>
      </c>
      <c r="J697" t="s">
        <v>457</v>
      </c>
      <c r="K697" t="s">
        <v>51</v>
      </c>
      <c r="L697" t="s">
        <v>2374</v>
      </c>
      <c r="M697" t="s">
        <v>6372</v>
      </c>
      <c r="N697" t="s">
        <v>2376</v>
      </c>
      <c r="O697" t="s">
        <v>2400</v>
      </c>
      <c r="P697" t="s">
        <v>2378</v>
      </c>
      <c r="Q697" t="s">
        <v>2379</v>
      </c>
      <c r="S697" t="s">
        <v>2511</v>
      </c>
      <c r="T697" s="3" t="s">
        <v>6346</v>
      </c>
      <c r="U697" t="s">
        <v>6373</v>
      </c>
      <c r="V697" t="s">
        <v>6374</v>
      </c>
      <c r="W697" t="s">
        <v>6375</v>
      </c>
      <c r="X697" t="s">
        <v>2403</v>
      </c>
      <c r="Y697" t="s">
        <v>6376</v>
      </c>
      <c r="Z697" t="s">
        <v>2405</v>
      </c>
      <c r="AA697" t="s">
        <v>6346</v>
      </c>
      <c r="AB697" t="s">
        <v>6377</v>
      </c>
      <c r="AC697" t="s">
        <v>6378</v>
      </c>
      <c r="AD697" t="s">
        <v>6353</v>
      </c>
      <c r="AG697" t="s">
        <v>2432</v>
      </c>
      <c r="AH697" t="s">
        <v>5982</v>
      </c>
      <c r="AI697" t="s">
        <v>5858</v>
      </c>
      <c r="AJ697" t="s">
        <v>6379</v>
      </c>
      <c r="AK697" t="s">
        <v>6380</v>
      </c>
      <c r="AL697" t="s">
        <v>6381</v>
      </c>
      <c r="AM697" t="s">
        <v>6381</v>
      </c>
      <c r="AN697" t="s">
        <v>6382</v>
      </c>
      <c r="AO697" t="s">
        <v>6379</v>
      </c>
      <c r="AP697">
        <v>80</v>
      </c>
      <c r="AQ697">
        <v>80</v>
      </c>
      <c r="AR697">
        <v>79</v>
      </c>
      <c r="AS697" t="s">
        <v>6383</v>
      </c>
      <c r="AT697">
        <v>0</v>
      </c>
      <c r="AU697">
        <v>-1</v>
      </c>
      <c r="AV697">
        <v>1</v>
      </c>
    </row>
    <row r="698" spans="1:48">
      <c r="A698" s="1">
        <f>_xlfn.XLOOKUP(J698,数据!E:E,数据!A:A)</f>
        <v>1</v>
      </c>
      <c r="B698" s="1">
        <f>_xlfn.XLOOKUP(J698,数据!E:E,数据!B:B)</f>
        <v>4</v>
      </c>
      <c r="C698" s="1" t="str">
        <f>_xlfn.XLOOKUP(J698,数据!E:E,数据!J:J)</f>
        <v>空派</v>
      </c>
      <c r="D698" s="1" t="str" cm="1">
        <f t="array" ref="D698">IF(OR(C698="红单",C698="空派"),_xlfn.IFS(E698="未开售","新品首批发货",F698&lt;E698,"新品首批发货",F698-E698&lt;=60,"新品期补货空运",F698-E698&gt;60,"老品应急空运"),"海运，不进行分析")</f>
        <v>新品首批发货</v>
      </c>
      <c r="E698" s="2">
        <v>46061</v>
      </c>
      <c r="F698" s="2">
        <f>_xlfn.XLOOKUP(J698,数据!E:E,数据!C:C)</f>
        <v>46044</v>
      </c>
      <c r="G698" s="4">
        <v>156</v>
      </c>
      <c r="H698" s="4">
        <f>G698*AP698/1000</f>
        <v>9.36</v>
      </c>
      <c r="I698" s="4">
        <f>_xlfn.XLOOKUP(J698,数据!E:E,数据!S:S)*(H698/_xlfn.XLOOKUP(J698,数据!E:E,数据!X:X))</f>
        <v>528.774697674419</v>
      </c>
      <c r="J698" t="s">
        <v>457</v>
      </c>
      <c r="K698" t="s">
        <v>51</v>
      </c>
      <c r="L698" t="s">
        <v>2374</v>
      </c>
      <c r="M698" t="s">
        <v>6372</v>
      </c>
      <c r="N698" t="s">
        <v>2376</v>
      </c>
      <c r="O698" t="s">
        <v>2400</v>
      </c>
      <c r="P698" t="s">
        <v>2378</v>
      </c>
      <c r="Q698" t="s">
        <v>2379</v>
      </c>
      <c r="S698" t="s">
        <v>2511</v>
      </c>
      <c r="T698" s="3" t="s">
        <v>6346</v>
      </c>
      <c r="U698" t="s">
        <v>6373</v>
      </c>
      <c r="V698" t="s">
        <v>6374</v>
      </c>
      <c r="W698" t="s">
        <v>6375</v>
      </c>
      <c r="X698" t="s">
        <v>2403</v>
      </c>
      <c r="Y698" t="s">
        <v>6376</v>
      </c>
      <c r="Z698" t="s">
        <v>2405</v>
      </c>
      <c r="AA698" t="s">
        <v>6346</v>
      </c>
      <c r="AB698" t="s">
        <v>6377</v>
      </c>
      <c r="AC698" t="s">
        <v>6378</v>
      </c>
      <c r="AD698" t="s">
        <v>6353</v>
      </c>
      <c r="AG698" t="s">
        <v>2432</v>
      </c>
      <c r="AH698" t="s">
        <v>5982</v>
      </c>
      <c r="AI698" t="s">
        <v>5858</v>
      </c>
      <c r="AJ698" t="s">
        <v>4631</v>
      </c>
      <c r="AK698" t="s">
        <v>4632</v>
      </c>
      <c r="AL698" t="s">
        <v>4633</v>
      </c>
      <c r="AM698" t="s">
        <v>4633</v>
      </c>
      <c r="AN698" t="s">
        <v>4634</v>
      </c>
      <c r="AO698" t="s">
        <v>4631</v>
      </c>
      <c r="AP698">
        <v>60</v>
      </c>
      <c r="AQ698">
        <v>60</v>
      </c>
      <c r="AR698">
        <v>60</v>
      </c>
      <c r="AS698" t="s">
        <v>6384</v>
      </c>
      <c r="AT698">
        <v>0</v>
      </c>
      <c r="AU698">
        <v>0</v>
      </c>
      <c r="AV698">
        <v>0</v>
      </c>
    </row>
    <row r="699" spans="1:48">
      <c r="A699" s="1">
        <f>_xlfn.XLOOKUP(J699,数据!E:E,数据!A:A)</f>
        <v>1</v>
      </c>
      <c r="B699" s="1">
        <f>_xlfn.XLOOKUP(J699,数据!E:E,数据!B:B)</f>
        <v>4</v>
      </c>
      <c r="C699" s="1" t="str">
        <f>_xlfn.XLOOKUP(J699,数据!E:E,数据!J:J)</f>
        <v>空派</v>
      </c>
      <c r="D699" s="1" t="str" cm="1">
        <f t="array" ref="D699">IF(OR(C699="红单",C699="空派"),_xlfn.IFS(E699="未开售","新品首批发货",F699&lt;E699,"新品首批发货",F699-E699&lt;=60,"新品期补货空运",F699-E699&gt;60,"老品应急空运"),"海运，不进行分析")</f>
        <v>新品首批发货</v>
      </c>
      <c r="E699" s="2">
        <v>46058</v>
      </c>
      <c r="F699" s="2">
        <f>_xlfn.XLOOKUP(J699,数据!E:E,数据!C:C)</f>
        <v>46044</v>
      </c>
      <c r="G699" s="4">
        <v>71</v>
      </c>
      <c r="H699" s="4">
        <f>G699*AP699/1000</f>
        <v>3.55</v>
      </c>
      <c r="I699" s="4">
        <f>_xlfn.XLOOKUP(J699,数据!E:E,数据!S:S)*(H699/_xlfn.XLOOKUP(J699,数据!E:E,数据!X:X))</f>
        <v>232.09991416309</v>
      </c>
      <c r="J699" t="s">
        <v>460</v>
      </c>
      <c r="K699" t="s">
        <v>46</v>
      </c>
      <c r="L699" t="s">
        <v>2374</v>
      </c>
      <c r="M699" t="s">
        <v>6385</v>
      </c>
      <c r="N699" t="s">
        <v>2376</v>
      </c>
      <c r="O699" t="s">
        <v>2400</v>
      </c>
      <c r="P699" t="s">
        <v>2378</v>
      </c>
      <c r="Q699" t="s">
        <v>2379</v>
      </c>
      <c r="S699" t="s">
        <v>2511</v>
      </c>
      <c r="T699" s="3" t="s">
        <v>6346</v>
      </c>
      <c r="U699" t="s">
        <v>6347</v>
      </c>
      <c r="V699" t="s">
        <v>6386</v>
      </c>
      <c r="W699" t="s">
        <v>6387</v>
      </c>
      <c r="X699" t="s">
        <v>2403</v>
      </c>
      <c r="Y699" t="s">
        <v>6388</v>
      </c>
      <c r="Z699" t="s">
        <v>2387</v>
      </c>
      <c r="AA699" t="s">
        <v>6346</v>
      </c>
      <c r="AB699" t="s">
        <v>6389</v>
      </c>
      <c r="AC699" t="s">
        <v>6390</v>
      </c>
      <c r="AD699" t="s">
        <v>6353</v>
      </c>
      <c r="AG699" t="s">
        <v>2432</v>
      </c>
      <c r="AH699" t="s">
        <v>5982</v>
      </c>
      <c r="AI699" t="s">
        <v>5858</v>
      </c>
      <c r="AJ699" t="s">
        <v>3442</v>
      </c>
      <c r="AK699" t="s">
        <v>3443</v>
      </c>
      <c r="AL699" t="s">
        <v>3444</v>
      </c>
      <c r="AM699" t="s">
        <v>3445</v>
      </c>
      <c r="AN699" t="s">
        <v>3446</v>
      </c>
      <c r="AO699" t="s">
        <v>3442</v>
      </c>
      <c r="AP699">
        <v>50</v>
      </c>
      <c r="AQ699">
        <v>50</v>
      </c>
      <c r="AR699">
        <v>50</v>
      </c>
      <c r="AS699" t="s">
        <v>6391</v>
      </c>
      <c r="AT699">
        <v>0</v>
      </c>
      <c r="AU699">
        <v>0</v>
      </c>
      <c r="AV699">
        <v>0</v>
      </c>
    </row>
    <row r="700" spans="1:48">
      <c r="A700" s="1">
        <f>_xlfn.XLOOKUP(J700,数据!E:E,数据!A:A)</f>
        <v>1</v>
      </c>
      <c r="B700" s="1">
        <f>_xlfn.XLOOKUP(J700,数据!E:E,数据!B:B)</f>
        <v>4</v>
      </c>
      <c r="C700" s="1" t="str">
        <f>_xlfn.XLOOKUP(J700,数据!E:E,数据!J:J)</f>
        <v>空派</v>
      </c>
      <c r="D700" s="1" t="str" cm="1">
        <f t="array" ref="D700">IF(OR(C700="红单",C700="空派"),_xlfn.IFS(E700="未开售","新品首批发货",F700&lt;E700,"新品首批发货",F700-E700&lt;=60,"新品期补货空运",F700-E700&gt;60,"老品应急空运"),"海运，不进行分析")</f>
        <v>新品首批发货</v>
      </c>
      <c r="E700" s="2">
        <v>46058</v>
      </c>
      <c r="F700" s="2">
        <f>_xlfn.XLOOKUP(J700,数据!E:E,数据!C:C)</f>
        <v>46044</v>
      </c>
      <c r="G700" s="4">
        <v>90</v>
      </c>
      <c r="H700" s="4">
        <f>G700*AP700/1000</f>
        <v>8.1</v>
      </c>
      <c r="I700" s="4">
        <f>_xlfn.XLOOKUP(J700,数据!E:E,数据!S:S)*(H700/_xlfn.XLOOKUP(J700,数据!E:E,数据!X:X))</f>
        <v>529.58008583691</v>
      </c>
      <c r="J700" t="s">
        <v>460</v>
      </c>
      <c r="K700" t="s">
        <v>46</v>
      </c>
      <c r="L700" t="s">
        <v>2374</v>
      </c>
      <c r="M700" t="s">
        <v>6385</v>
      </c>
      <c r="N700" t="s">
        <v>2376</v>
      </c>
      <c r="O700" t="s">
        <v>2400</v>
      </c>
      <c r="P700" t="s">
        <v>2378</v>
      </c>
      <c r="Q700" t="s">
        <v>2379</v>
      </c>
      <c r="S700" t="s">
        <v>2511</v>
      </c>
      <c r="T700" s="3" t="s">
        <v>6346</v>
      </c>
      <c r="U700" t="s">
        <v>6347</v>
      </c>
      <c r="V700" t="s">
        <v>6386</v>
      </c>
      <c r="W700" t="s">
        <v>6387</v>
      </c>
      <c r="X700" t="s">
        <v>2403</v>
      </c>
      <c r="Y700" t="s">
        <v>6388</v>
      </c>
      <c r="Z700" t="s">
        <v>2387</v>
      </c>
      <c r="AA700" t="s">
        <v>6346</v>
      </c>
      <c r="AB700" t="s">
        <v>6389</v>
      </c>
      <c r="AC700" t="s">
        <v>6390</v>
      </c>
      <c r="AD700" t="s">
        <v>6353</v>
      </c>
      <c r="AG700" t="s">
        <v>2432</v>
      </c>
      <c r="AH700" t="s">
        <v>5982</v>
      </c>
      <c r="AI700" t="s">
        <v>5858</v>
      </c>
      <c r="AJ700" t="s">
        <v>3448</v>
      </c>
      <c r="AK700" t="s">
        <v>3449</v>
      </c>
      <c r="AL700" t="s">
        <v>3450</v>
      </c>
      <c r="AM700" t="s">
        <v>3450</v>
      </c>
      <c r="AN700" t="s">
        <v>3451</v>
      </c>
      <c r="AO700" t="s">
        <v>3448</v>
      </c>
      <c r="AP700">
        <v>90</v>
      </c>
      <c r="AQ700">
        <v>90</v>
      </c>
      <c r="AR700">
        <v>90</v>
      </c>
      <c r="AS700" t="s">
        <v>6392</v>
      </c>
      <c r="AT700">
        <v>0</v>
      </c>
      <c r="AU700">
        <v>0</v>
      </c>
      <c r="AV700">
        <v>0</v>
      </c>
    </row>
    <row r="701" spans="1:48">
      <c r="A701" s="1">
        <f>_xlfn.XLOOKUP(J701,数据!E:E,数据!A:A)</f>
        <v>1</v>
      </c>
      <c r="B701" s="1">
        <f>_xlfn.XLOOKUP(J701,数据!E:E,数据!B:B)</f>
        <v>4</v>
      </c>
      <c r="C701" s="1" t="str">
        <f>_xlfn.XLOOKUP(J701,数据!E:E,数据!J:J)</f>
        <v>空派</v>
      </c>
      <c r="D701" s="1" t="str" cm="1">
        <f t="array" ref="D701">IF(OR(C701="红单",C701="空派"),_xlfn.IFS(E701="未开售","新品首批发货",F701&lt;E701,"新品首批发货",F701-E701&lt;=60,"新品期补货空运",F701-E701&gt;60,"老品应急空运"),"海运，不进行分析")</f>
        <v>老品应急空运</v>
      </c>
      <c r="E701" s="2">
        <v>45148</v>
      </c>
      <c r="F701" s="2">
        <f>_xlfn.XLOOKUP(J701,数据!E:E,数据!C:C)</f>
        <v>46044</v>
      </c>
      <c r="G701" s="4">
        <v>299</v>
      </c>
      <c r="H701" s="4">
        <f>G701*AP701/1000</f>
        <v>8.97</v>
      </c>
      <c r="I701" s="4">
        <f>_xlfn.XLOOKUP(J701,数据!E:E,数据!S:S)*(H701/_xlfn.XLOOKUP(J701,数据!E:E,数据!X:X))</f>
        <v>449.202277580071</v>
      </c>
      <c r="J701" t="s">
        <v>458</v>
      </c>
      <c r="K701" t="s">
        <v>37</v>
      </c>
      <c r="L701" t="s">
        <v>2374</v>
      </c>
      <c r="M701" t="s">
        <v>6393</v>
      </c>
      <c r="N701" t="s">
        <v>2376</v>
      </c>
      <c r="O701" t="s">
        <v>2400</v>
      </c>
      <c r="P701" t="s">
        <v>2378</v>
      </c>
      <c r="Q701" t="s">
        <v>2379</v>
      </c>
      <c r="S701" t="s">
        <v>2511</v>
      </c>
      <c r="T701" s="3" t="s">
        <v>6346</v>
      </c>
      <c r="U701" t="s">
        <v>6347</v>
      </c>
      <c r="V701" t="s">
        <v>6394</v>
      </c>
      <c r="W701" t="s">
        <v>6395</v>
      </c>
      <c r="X701" t="s">
        <v>2403</v>
      </c>
      <c r="Y701" t="s">
        <v>6396</v>
      </c>
      <c r="Z701" t="s">
        <v>2387</v>
      </c>
      <c r="AA701" t="s">
        <v>6346</v>
      </c>
      <c r="AB701" t="s">
        <v>6397</v>
      </c>
      <c r="AC701" t="s">
        <v>6398</v>
      </c>
      <c r="AD701" t="s">
        <v>6104</v>
      </c>
      <c r="AG701" t="s">
        <v>2432</v>
      </c>
      <c r="AH701" t="s">
        <v>5982</v>
      </c>
      <c r="AI701" t="s">
        <v>5858</v>
      </c>
      <c r="AJ701" t="s">
        <v>5182</v>
      </c>
      <c r="AK701" t="s">
        <v>5183</v>
      </c>
      <c r="AL701" t="s">
        <v>5184</v>
      </c>
      <c r="AM701" t="s">
        <v>5185</v>
      </c>
      <c r="AN701" t="s">
        <v>5186</v>
      </c>
      <c r="AO701" t="s">
        <v>5182</v>
      </c>
      <c r="AP701">
        <v>30</v>
      </c>
      <c r="AQ701">
        <v>30</v>
      </c>
      <c r="AR701">
        <v>30</v>
      </c>
      <c r="AS701" t="s">
        <v>6399</v>
      </c>
      <c r="AT701">
        <v>0</v>
      </c>
      <c r="AU701">
        <v>0</v>
      </c>
      <c r="AV701">
        <v>0</v>
      </c>
    </row>
    <row r="702" spans="1:48">
      <c r="A702" s="1">
        <f>_xlfn.XLOOKUP(J702,数据!E:E,数据!A:A)</f>
        <v>1</v>
      </c>
      <c r="B702" s="1">
        <f>_xlfn.XLOOKUP(J702,数据!E:E,数据!B:B)</f>
        <v>4</v>
      </c>
      <c r="C702" s="1" t="str">
        <f>_xlfn.XLOOKUP(J702,数据!E:E,数据!J:J)</f>
        <v>空派</v>
      </c>
      <c r="D702" s="1" t="str" cm="1">
        <f t="array" ref="D702">IF(OR(C702="红单",C702="空派"),_xlfn.IFS(E702="未开售","新品首批发货",F702&lt;E702,"新品首批发货",F702-E702&lt;=60,"新品期补货空运",F702-E702&gt;60,"老品应急空运"),"海运，不进行分析")</f>
        <v>老品应急空运</v>
      </c>
      <c r="E702" s="2">
        <v>45300</v>
      </c>
      <c r="F702" s="2">
        <f>_xlfn.XLOOKUP(J702,数据!E:E,数据!C:C)</f>
        <v>46044</v>
      </c>
      <c r="G702" s="4">
        <v>508</v>
      </c>
      <c r="H702" s="4">
        <f>G702*AP702/1000</f>
        <v>5.08</v>
      </c>
      <c r="I702" s="4">
        <f>_xlfn.XLOOKUP(J702,数据!E:E,数据!S:S)*(H702/_xlfn.XLOOKUP(J702,数据!E:E,数据!X:X))</f>
        <v>254.397722419929</v>
      </c>
      <c r="J702" t="s">
        <v>458</v>
      </c>
      <c r="K702" t="s">
        <v>37</v>
      </c>
      <c r="L702" t="s">
        <v>2374</v>
      </c>
      <c r="M702" t="s">
        <v>6393</v>
      </c>
      <c r="N702" t="s">
        <v>2376</v>
      </c>
      <c r="O702" t="s">
        <v>2400</v>
      </c>
      <c r="P702" t="s">
        <v>2378</v>
      </c>
      <c r="Q702" t="s">
        <v>2379</v>
      </c>
      <c r="S702" t="s">
        <v>2511</v>
      </c>
      <c r="T702" s="3" t="s">
        <v>6346</v>
      </c>
      <c r="U702" t="s">
        <v>6347</v>
      </c>
      <c r="V702" t="s">
        <v>6394</v>
      </c>
      <c r="W702" t="s">
        <v>6395</v>
      </c>
      <c r="X702" t="s">
        <v>2403</v>
      </c>
      <c r="Y702" t="s">
        <v>6396</v>
      </c>
      <c r="Z702" t="s">
        <v>2387</v>
      </c>
      <c r="AA702" t="s">
        <v>6346</v>
      </c>
      <c r="AB702" t="s">
        <v>6397</v>
      </c>
      <c r="AC702" t="s">
        <v>6398</v>
      </c>
      <c r="AD702" t="s">
        <v>6104</v>
      </c>
      <c r="AG702" t="s">
        <v>2432</v>
      </c>
      <c r="AH702" t="s">
        <v>5982</v>
      </c>
      <c r="AI702" t="s">
        <v>5858</v>
      </c>
      <c r="AJ702" t="s">
        <v>6400</v>
      </c>
      <c r="AK702" t="s">
        <v>6401</v>
      </c>
      <c r="AL702" t="s">
        <v>6402</v>
      </c>
      <c r="AM702" t="s">
        <v>6403</v>
      </c>
      <c r="AN702" t="s">
        <v>6404</v>
      </c>
      <c r="AO702" t="s">
        <v>6400</v>
      </c>
      <c r="AP702">
        <v>10</v>
      </c>
      <c r="AQ702">
        <v>10</v>
      </c>
      <c r="AR702">
        <v>10</v>
      </c>
      <c r="AS702" t="s">
        <v>6405</v>
      </c>
      <c r="AT702">
        <v>0</v>
      </c>
      <c r="AU702">
        <v>0</v>
      </c>
      <c r="AV702">
        <v>0</v>
      </c>
    </row>
    <row r="703" spans="1:48">
      <c r="A703" s="1">
        <f>_xlfn.XLOOKUP(J703,数据!E:E,数据!A:A)</f>
        <v>1</v>
      </c>
      <c r="B703" s="1">
        <f>_xlfn.XLOOKUP(J703,数据!E:E,数据!B:B)</f>
        <v>4</v>
      </c>
      <c r="C703" s="1" t="str">
        <f>_xlfn.XLOOKUP(J703,数据!E:E,数据!J:J)</f>
        <v>红单</v>
      </c>
      <c r="D703" s="1" t="str" cm="1">
        <f t="array" ref="D703">IF(OR(C703="红单",C703="空派"),_xlfn.IFS(E703="未开售","新品首批发货",F703&lt;E703,"新品首批发货",F703-E703&lt;=60,"新品期补货空运",F703-E703&gt;60,"老品应急空运"),"海运，不进行分析")</f>
        <v>老品应急空运</v>
      </c>
      <c r="E703" s="2">
        <v>44795</v>
      </c>
      <c r="F703" s="2">
        <f>_xlfn.XLOOKUP(J703,数据!E:E,数据!C:C)</f>
        <v>46043</v>
      </c>
      <c r="G703" s="4">
        <v>157</v>
      </c>
      <c r="H703" s="4">
        <f>G703*AP703/1000</f>
        <v>6.28</v>
      </c>
      <c r="I703" s="4">
        <f>_xlfn.XLOOKUP(J703,数据!E:E,数据!S:S)*(H703/_xlfn.XLOOKUP(J703,数据!E:E,数据!X:X))</f>
        <v>549.673070866142</v>
      </c>
      <c r="J703" t="s">
        <v>423</v>
      </c>
      <c r="K703" t="s">
        <v>224</v>
      </c>
      <c r="L703" t="s">
        <v>2374</v>
      </c>
      <c r="M703" t="s">
        <v>6406</v>
      </c>
      <c r="N703" t="s">
        <v>2376</v>
      </c>
      <c r="O703" t="s">
        <v>2400</v>
      </c>
      <c r="P703" t="s">
        <v>2378</v>
      </c>
      <c r="Q703" t="s">
        <v>2379</v>
      </c>
      <c r="R703" t="s">
        <v>6407</v>
      </c>
      <c r="S703" t="s">
        <v>2511</v>
      </c>
      <c r="T703" s="3" t="s">
        <v>6408</v>
      </c>
      <c r="U703" t="s">
        <v>6409</v>
      </c>
      <c r="V703" t="s">
        <v>6410</v>
      </c>
      <c r="W703" t="s">
        <v>6411</v>
      </c>
      <c r="X703" t="s">
        <v>2403</v>
      </c>
      <c r="Y703" t="s">
        <v>6412</v>
      </c>
      <c r="Z703" t="s">
        <v>2405</v>
      </c>
      <c r="AA703" t="s">
        <v>6408</v>
      </c>
      <c r="AB703" t="s">
        <v>6413</v>
      </c>
      <c r="AC703" t="s">
        <v>6414</v>
      </c>
      <c r="AD703" t="s">
        <v>5858</v>
      </c>
      <c r="AH703" t="s">
        <v>5982</v>
      </c>
      <c r="AI703" t="s">
        <v>5858</v>
      </c>
      <c r="AJ703" t="s">
        <v>6415</v>
      </c>
      <c r="AK703" t="s">
        <v>6416</v>
      </c>
      <c r="AL703" t="s">
        <v>6417</v>
      </c>
      <c r="AM703" t="s">
        <v>6417</v>
      </c>
      <c r="AN703" t="s">
        <v>6418</v>
      </c>
      <c r="AO703" t="s">
        <v>6415</v>
      </c>
      <c r="AP703">
        <v>40</v>
      </c>
      <c r="AQ703">
        <v>40</v>
      </c>
      <c r="AR703">
        <v>32</v>
      </c>
      <c r="AS703" t="s">
        <v>6419</v>
      </c>
      <c r="AT703">
        <v>0</v>
      </c>
      <c r="AU703">
        <v>-8</v>
      </c>
      <c r="AV703">
        <v>8</v>
      </c>
    </row>
    <row r="704" spans="1:48">
      <c r="A704" s="1">
        <f>_xlfn.XLOOKUP(J704,数据!E:E,数据!A:A)</f>
        <v>1</v>
      </c>
      <c r="B704" s="1">
        <f>_xlfn.XLOOKUP(J704,数据!E:E,数据!B:B)</f>
        <v>4</v>
      </c>
      <c r="C704" s="1" t="str">
        <f>_xlfn.XLOOKUP(J704,数据!E:E,数据!J:J)</f>
        <v>红单</v>
      </c>
      <c r="D704" s="1" t="str" cm="1">
        <f t="array" ref="D704">IF(OR(C704="红单",C704="空派"),_xlfn.IFS(E704="未开售","新品首批发货",F704&lt;E704,"新品首批发货",F704-E704&lt;=60,"新品期补货空运",F704-E704&gt;60,"老品应急空运"),"海运，不进行分析")</f>
        <v>老品应急空运</v>
      </c>
      <c r="E704" s="2">
        <v>44662</v>
      </c>
      <c r="F704" s="2">
        <f>_xlfn.XLOOKUP(J704,数据!E:E,数据!C:C)</f>
        <v>46043</v>
      </c>
      <c r="G704" s="4">
        <v>142</v>
      </c>
      <c r="H704" s="4">
        <f>G704*AP704/1000</f>
        <v>5.68</v>
      </c>
      <c r="I704" s="4">
        <f>_xlfn.XLOOKUP(J704,数据!E:E,数据!S:S)*(H704/_xlfn.XLOOKUP(J704,数据!E:E,数据!X:X))</f>
        <v>497.156535433071</v>
      </c>
      <c r="J704" t="s">
        <v>423</v>
      </c>
      <c r="K704" t="s">
        <v>224</v>
      </c>
      <c r="L704" t="s">
        <v>2374</v>
      </c>
      <c r="M704" t="s">
        <v>6406</v>
      </c>
      <c r="N704" t="s">
        <v>2376</v>
      </c>
      <c r="O704" t="s">
        <v>2400</v>
      </c>
      <c r="P704" t="s">
        <v>2378</v>
      </c>
      <c r="Q704" t="s">
        <v>2379</v>
      </c>
      <c r="R704" t="s">
        <v>6407</v>
      </c>
      <c r="S704" t="s">
        <v>2511</v>
      </c>
      <c r="T704" s="3" t="s">
        <v>6408</v>
      </c>
      <c r="U704" t="s">
        <v>6409</v>
      </c>
      <c r="V704" t="s">
        <v>6410</v>
      </c>
      <c r="W704" t="s">
        <v>6411</v>
      </c>
      <c r="X704" t="s">
        <v>2403</v>
      </c>
      <c r="Y704" t="s">
        <v>6412</v>
      </c>
      <c r="Z704" t="s">
        <v>2405</v>
      </c>
      <c r="AA704" t="s">
        <v>6408</v>
      </c>
      <c r="AB704" t="s">
        <v>6413</v>
      </c>
      <c r="AC704" t="s">
        <v>6414</v>
      </c>
      <c r="AD704" t="s">
        <v>5858</v>
      </c>
      <c r="AH704" t="s">
        <v>5982</v>
      </c>
      <c r="AI704" t="s">
        <v>5858</v>
      </c>
      <c r="AJ704" t="s">
        <v>5920</v>
      </c>
      <c r="AK704" t="s">
        <v>5921</v>
      </c>
      <c r="AL704" t="s">
        <v>5922</v>
      </c>
      <c r="AM704" t="s">
        <v>5923</v>
      </c>
      <c r="AN704" t="s">
        <v>5924</v>
      </c>
      <c r="AO704" t="s">
        <v>5920</v>
      </c>
      <c r="AP704">
        <v>40</v>
      </c>
      <c r="AQ704">
        <v>40</v>
      </c>
      <c r="AR704">
        <v>29</v>
      </c>
      <c r="AS704" t="s">
        <v>6420</v>
      </c>
      <c r="AT704">
        <v>0</v>
      </c>
      <c r="AU704">
        <v>-11</v>
      </c>
      <c r="AV704">
        <v>11</v>
      </c>
    </row>
    <row r="705" spans="1:48">
      <c r="A705" s="1">
        <f>_xlfn.XLOOKUP(J705,数据!E:E,数据!A:A)</f>
        <v>1</v>
      </c>
      <c r="B705" s="1">
        <f>_xlfn.XLOOKUP(J705,数据!E:E,数据!B:B)</f>
        <v>4</v>
      </c>
      <c r="C705" s="1" t="str">
        <f>_xlfn.XLOOKUP(J705,数据!E:E,数据!J:J)</f>
        <v>红单</v>
      </c>
      <c r="D705" s="1" t="str" cm="1">
        <f t="array" ref="D705">IF(OR(C705="红单",C705="空派"),_xlfn.IFS(E705="未开售","新品首批发货",F705&lt;E705,"新品首批发货",F705-E705&lt;=60,"新品期补货空运",F705-E705&gt;60,"老品应急空运"),"海运，不进行分析")</f>
        <v>老品应急空运</v>
      </c>
      <c r="E705" s="2">
        <v>45877</v>
      </c>
      <c r="F705" s="2">
        <f>_xlfn.XLOOKUP(J705,数据!E:E,数据!C:C)</f>
        <v>46043</v>
      </c>
      <c r="G705" s="4">
        <v>102.2</v>
      </c>
      <c r="H705" s="4">
        <f>G705*AP705/1000</f>
        <v>5.11</v>
      </c>
      <c r="I705" s="4">
        <f>_xlfn.XLOOKUP(J705,数据!E:E,数据!S:S)*(H705/_xlfn.XLOOKUP(J705,数据!E:E,数据!X:X))</f>
        <v>447.265826771654</v>
      </c>
      <c r="J705" t="s">
        <v>423</v>
      </c>
      <c r="K705" t="s">
        <v>224</v>
      </c>
      <c r="L705" t="s">
        <v>2374</v>
      </c>
      <c r="M705" t="s">
        <v>6406</v>
      </c>
      <c r="N705" t="s">
        <v>2376</v>
      </c>
      <c r="O705" t="s">
        <v>2400</v>
      </c>
      <c r="P705" t="s">
        <v>2378</v>
      </c>
      <c r="Q705" t="s">
        <v>2379</v>
      </c>
      <c r="R705" t="s">
        <v>6407</v>
      </c>
      <c r="S705" t="s">
        <v>2511</v>
      </c>
      <c r="T705" s="3" t="s">
        <v>6408</v>
      </c>
      <c r="U705" t="s">
        <v>6409</v>
      </c>
      <c r="V705" t="s">
        <v>6410</v>
      </c>
      <c r="W705" t="s">
        <v>6411</v>
      </c>
      <c r="X705" t="s">
        <v>2403</v>
      </c>
      <c r="Y705" t="s">
        <v>6412</v>
      </c>
      <c r="Z705" t="s">
        <v>2405</v>
      </c>
      <c r="AA705" t="s">
        <v>6408</v>
      </c>
      <c r="AB705" t="s">
        <v>6413</v>
      </c>
      <c r="AC705" t="s">
        <v>6414</v>
      </c>
      <c r="AD705" t="s">
        <v>5858</v>
      </c>
      <c r="AH705" t="s">
        <v>5982</v>
      </c>
      <c r="AI705" t="s">
        <v>5858</v>
      </c>
      <c r="AJ705" t="s">
        <v>6421</v>
      </c>
      <c r="AK705" t="s">
        <v>6422</v>
      </c>
      <c r="AL705" t="s">
        <v>6423</v>
      </c>
      <c r="AM705" t="s">
        <v>5613</v>
      </c>
      <c r="AN705" t="s">
        <v>6424</v>
      </c>
      <c r="AO705" t="s">
        <v>6421</v>
      </c>
      <c r="AP705">
        <v>50</v>
      </c>
      <c r="AQ705">
        <v>50</v>
      </c>
      <c r="AR705">
        <v>10</v>
      </c>
      <c r="AS705" t="s">
        <v>6425</v>
      </c>
      <c r="AT705">
        <v>0</v>
      </c>
      <c r="AU705">
        <v>-40</v>
      </c>
      <c r="AV705">
        <v>40</v>
      </c>
    </row>
    <row r="706" spans="1:48">
      <c r="A706" s="1">
        <f>_xlfn.XLOOKUP(J706,数据!E:E,数据!A:A)</f>
        <v>1</v>
      </c>
      <c r="B706" s="1">
        <f>_xlfn.XLOOKUP(J706,数据!E:E,数据!B:B)</f>
        <v>4</v>
      </c>
      <c r="C706" s="1" t="str">
        <f>_xlfn.XLOOKUP(J706,数据!E:E,数据!J:J)</f>
        <v>红单</v>
      </c>
      <c r="D706" s="1" t="str" cm="1">
        <f t="array" ref="D706">IF(OR(C706="红单",C706="空派"),_xlfn.IFS(E706="未开售","新品首批发货",F706&lt;E706,"新品首批发货",F706-E706&lt;=60,"新品期补货空运",F706-E706&gt;60,"老品应急空运"),"海运，不进行分析")</f>
        <v>老品应急空运</v>
      </c>
      <c r="E706" s="2">
        <v>45929</v>
      </c>
      <c r="F706" s="2">
        <f>_xlfn.XLOOKUP(J706,数据!E:E,数据!C:C)</f>
        <v>46043</v>
      </c>
      <c r="G706" s="4">
        <v>99</v>
      </c>
      <c r="H706" s="4">
        <f>G706*AP706/1000</f>
        <v>1.98</v>
      </c>
      <c r="I706" s="4">
        <f>_xlfn.XLOOKUP(J706,数据!E:E,数据!S:S)*(H706/_xlfn.XLOOKUP(J706,数据!E:E,数据!X:X))</f>
        <v>173.304566929134</v>
      </c>
      <c r="J706" t="s">
        <v>423</v>
      </c>
      <c r="K706" t="s">
        <v>224</v>
      </c>
      <c r="L706" t="s">
        <v>2374</v>
      </c>
      <c r="M706" t="s">
        <v>6406</v>
      </c>
      <c r="N706" t="s">
        <v>2376</v>
      </c>
      <c r="O706" t="s">
        <v>2400</v>
      </c>
      <c r="P706" t="s">
        <v>2378</v>
      </c>
      <c r="Q706" t="s">
        <v>2379</v>
      </c>
      <c r="R706" t="s">
        <v>6407</v>
      </c>
      <c r="S706" t="s">
        <v>2511</v>
      </c>
      <c r="T706" s="3" t="s">
        <v>6408</v>
      </c>
      <c r="U706" t="s">
        <v>6409</v>
      </c>
      <c r="V706" t="s">
        <v>6410</v>
      </c>
      <c r="W706" t="s">
        <v>6411</v>
      </c>
      <c r="X706" t="s">
        <v>2403</v>
      </c>
      <c r="Y706" t="s">
        <v>6412</v>
      </c>
      <c r="Z706" t="s">
        <v>2405</v>
      </c>
      <c r="AA706" t="s">
        <v>6408</v>
      </c>
      <c r="AB706" t="s">
        <v>6413</v>
      </c>
      <c r="AC706" t="s">
        <v>6414</v>
      </c>
      <c r="AD706" t="s">
        <v>5858</v>
      </c>
      <c r="AH706" t="s">
        <v>5982</v>
      </c>
      <c r="AI706" t="s">
        <v>5858</v>
      </c>
      <c r="AJ706" t="s">
        <v>5616</v>
      </c>
      <c r="AK706" t="s">
        <v>5617</v>
      </c>
      <c r="AL706" t="s">
        <v>5618</v>
      </c>
      <c r="AM706" t="s">
        <v>5613</v>
      </c>
      <c r="AN706" t="s">
        <v>5619</v>
      </c>
      <c r="AO706" t="s">
        <v>5616</v>
      </c>
      <c r="AP706">
        <v>20</v>
      </c>
      <c r="AQ706">
        <v>20</v>
      </c>
      <c r="AR706">
        <v>6</v>
      </c>
      <c r="AS706" t="s">
        <v>6426</v>
      </c>
      <c r="AT706">
        <v>0</v>
      </c>
      <c r="AU706">
        <v>-14</v>
      </c>
      <c r="AV706">
        <v>14</v>
      </c>
    </row>
    <row r="707" spans="1:48">
      <c r="A707" s="1">
        <f>_xlfn.XLOOKUP(J707,数据!E:E,数据!A:A)</f>
        <v>1</v>
      </c>
      <c r="B707" s="1">
        <f>_xlfn.XLOOKUP(J707,数据!E:E,数据!B:B)</f>
        <v>4</v>
      </c>
      <c r="C707" s="1" t="str">
        <f>_xlfn.XLOOKUP(J707,数据!E:E,数据!J:J)</f>
        <v>空派</v>
      </c>
      <c r="D707" s="1" t="str" cm="1">
        <f t="array" ref="D707">IF(OR(C707="红单",C707="空派"),_xlfn.IFS(E707="未开售","新品首批发货",F707&lt;E707,"新品首批发货",F707-E707&lt;=60,"新品期补货空运",F707-E707&gt;60,"老品应急空运"),"海运，不进行分析")</f>
        <v>新品首批发货</v>
      </c>
      <c r="E707" s="2">
        <v>46060</v>
      </c>
      <c r="F707" s="2">
        <f>_xlfn.XLOOKUP(J707,数据!E:E,数据!C:C)</f>
        <v>46041</v>
      </c>
      <c r="G707" s="4">
        <v>119</v>
      </c>
      <c r="H707" s="4">
        <f t="shared" ref="H707:H721" si="32">G707*AP707/1000</f>
        <v>11.9</v>
      </c>
      <c r="I707" s="4">
        <f>_xlfn.XLOOKUP(J707,数据!E:E,数据!S:S)*(H707/_xlfn.XLOOKUP(J707,数据!E:E,数据!X:X))</f>
        <v>739.2</v>
      </c>
      <c r="J707" t="s">
        <v>420</v>
      </c>
      <c r="K707" t="s">
        <v>31</v>
      </c>
      <c r="L707" t="s">
        <v>2374</v>
      </c>
      <c r="M707" t="s">
        <v>6427</v>
      </c>
      <c r="N707" t="s">
        <v>2376</v>
      </c>
      <c r="O707" t="s">
        <v>2377</v>
      </c>
      <c r="P707" t="s">
        <v>2378</v>
      </c>
      <c r="Q707" t="s">
        <v>2379</v>
      </c>
      <c r="S707" t="s">
        <v>2511</v>
      </c>
      <c r="T707" s="3" t="s">
        <v>6428</v>
      </c>
      <c r="U707" t="s">
        <v>6429</v>
      </c>
      <c r="V707" t="s">
        <v>6430</v>
      </c>
      <c r="W707" t="s">
        <v>6431</v>
      </c>
      <c r="X707" t="s">
        <v>2403</v>
      </c>
      <c r="Y707" t="s">
        <v>6432</v>
      </c>
      <c r="Z707" t="s">
        <v>2405</v>
      </c>
      <c r="AA707" t="s">
        <v>6428</v>
      </c>
      <c r="AB707" t="s">
        <v>6433</v>
      </c>
      <c r="AC707" t="s">
        <v>6434</v>
      </c>
      <c r="AD707" t="s">
        <v>5858</v>
      </c>
      <c r="AG707" t="s">
        <v>2432</v>
      </c>
      <c r="AH707" t="s">
        <v>5982</v>
      </c>
      <c r="AI707" t="s">
        <v>5858</v>
      </c>
      <c r="AJ707" t="s">
        <v>4191</v>
      </c>
      <c r="AK707" t="s">
        <v>4192</v>
      </c>
      <c r="AL707" t="s">
        <v>4193</v>
      </c>
      <c r="AM707" t="s">
        <v>3113</v>
      </c>
      <c r="AN707" t="s">
        <v>4194</v>
      </c>
      <c r="AO707" t="s">
        <v>4191</v>
      </c>
      <c r="AP707">
        <v>100</v>
      </c>
      <c r="AQ707">
        <v>100</v>
      </c>
      <c r="AR707">
        <v>100</v>
      </c>
      <c r="AS707" t="s">
        <v>6435</v>
      </c>
      <c r="AT707">
        <v>0</v>
      </c>
      <c r="AU707">
        <v>0</v>
      </c>
      <c r="AV707">
        <v>0</v>
      </c>
    </row>
    <row r="708" spans="1:48">
      <c r="A708" s="1">
        <f>_xlfn.XLOOKUP(J708,数据!E:E,数据!A:A)</f>
        <v>1</v>
      </c>
      <c r="B708" s="1">
        <f>_xlfn.XLOOKUP(J708,数据!E:E,数据!B:B)</f>
        <v>4</v>
      </c>
      <c r="C708" s="1" t="str">
        <f>_xlfn.XLOOKUP(J708,数据!E:E,数据!J:J)</f>
        <v>空派</v>
      </c>
      <c r="D708" s="1" t="str" cm="1">
        <f t="array" ref="D708">IF(OR(C708="红单",C708="空派"),_xlfn.IFS(E708="未开售","新品首批发货",F708&lt;E708,"新品首批发货",F708-E708&lt;=60,"新品期补货空运",F708-E708&gt;60,"老品应急空运"),"海运，不进行分析")</f>
        <v>新品首批发货</v>
      </c>
      <c r="E708" s="2">
        <v>46059</v>
      </c>
      <c r="F708" s="2">
        <f>_xlfn.XLOOKUP(J708,数据!E:E,数据!C:C)</f>
        <v>46041</v>
      </c>
      <c r="G708" s="4">
        <v>192</v>
      </c>
      <c r="H708" s="4">
        <f t="shared" si="32"/>
        <v>19.2</v>
      </c>
      <c r="I708" s="4">
        <f>_xlfn.XLOOKUP(J708,数据!E:E,数据!S:S)*(H708/_xlfn.XLOOKUP(J708,数据!E:E,数据!X:X))</f>
        <v>1160.7</v>
      </c>
      <c r="J708" t="s">
        <v>418</v>
      </c>
      <c r="K708" t="s">
        <v>59</v>
      </c>
      <c r="L708" t="s">
        <v>2374</v>
      </c>
      <c r="M708" t="s">
        <v>6436</v>
      </c>
      <c r="N708" t="s">
        <v>2376</v>
      </c>
      <c r="O708" t="s">
        <v>2377</v>
      </c>
      <c r="P708" t="s">
        <v>2378</v>
      </c>
      <c r="Q708" t="s">
        <v>2379</v>
      </c>
      <c r="S708" t="s">
        <v>2511</v>
      </c>
      <c r="T708" s="3" t="s">
        <v>6437</v>
      </c>
      <c r="U708" t="s">
        <v>6438</v>
      </c>
      <c r="V708" t="s">
        <v>6439</v>
      </c>
      <c r="W708" t="s">
        <v>6440</v>
      </c>
      <c r="X708" t="s">
        <v>2403</v>
      </c>
      <c r="Y708" t="s">
        <v>6441</v>
      </c>
      <c r="Z708" t="s">
        <v>2387</v>
      </c>
      <c r="AA708" t="s">
        <v>6437</v>
      </c>
      <c r="AB708" t="s">
        <v>5827</v>
      </c>
      <c r="AC708" t="s">
        <v>6442</v>
      </c>
      <c r="AD708" t="s">
        <v>5858</v>
      </c>
      <c r="AG708" t="s">
        <v>2432</v>
      </c>
      <c r="AH708" t="s">
        <v>5982</v>
      </c>
      <c r="AI708" t="s">
        <v>5858</v>
      </c>
      <c r="AJ708" t="s">
        <v>6443</v>
      </c>
      <c r="AK708" t="s">
        <v>6444</v>
      </c>
      <c r="AL708" t="s">
        <v>6445</v>
      </c>
      <c r="AM708" t="s">
        <v>6445</v>
      </c>
      <c r="AN708" t="s">
        <v>6446</v>
      </c>
      <c r="AO708" t="s">
        <v>6443</v>
      </c>
      <c r="AP708">
        <v>100</v>
      </c>
      <c r="AQ708">
        <v>100</v>
      </c>
      <c r="AR708">
        <v>100</v>
      </c>
      <c r="AS708" t="s">
        <v>6447</v>
      </c>
      <c r="AT708">
        <v>0</v>
      </c>
      <c r="AU708">
        <v>0</v>
      </c>
      <c r="AV708">
        <v>0</v>
      </c>
    </row>
    <row r="709" spans="1:48">
      <c r="A709" s="1">
        <f>_xlfn.XLOOKUP(J709,数据!E:E,数据!A:A)</f>
        <v>1</v>
      </c>
      <c r="B709" s="1">
        <f>_xlfn.XLOOKUP(J709,数据!E:E,数据!B:B)</f>
        <v>4</v>
      </c>
      <c r="C709" s="1" t="str">
        <f>_xlfn.XLOOKUP(J709,数据!E:E,数据!J:J)</f>
        <v>空派</v>
      </c>
      <c r="D709" s="1" t="str" cm="1">
        <f t="array" ref="D709">IF(OR(C709="红单",C709="空派"),_xlfn.IFS(E709="未开售","新品首批发货",F709&lt;E709,"新品首批发货",F709-E709&lt;=60,"新品期补货空运",F709-E709&gt;60,"老品应急空运"),"海运，不进行分析")</f>
        <v>新品期补货空运</v>
      </c>
      <c r="E709" s="2">
        <v>46017</v>
      </c>
      <c r="F709" s="2">
        <f>_xlfn.XLOOKUP(J709,数据!E:E,数据!C:C)</f>
        <v>46041</v>
      </c>
      <c r="G709" s="4">
        <v>474.2</v>
      </c>
      <c r="H709" s="4">
        <f t="shared" si="32"/>
        <v>35.565</v>
      </c>
      <c r="I709" s="4">
        <f>_xlfn.XLOOKUP(J709,数据!E:E,数据!S:S)*(H709/_xlfn.XLOOKUP(J709,数据!E:E,数据!X:X))</f>
        <v>1863.525</v>
      </c>
      <c r="J709" t="s">
        <v>419</v>
      </c>
      <c r="K709" t="s">
        <v>39</v>
      </c>
      <c r="L709" t="s">
        <v>2374</v>
      </c>
      <c r="M709" t="s">
        <v>6448</v>
      </c>
      <c r="N709" t="s">
        <v>2376</v>
      </c>
      <c r="O709" t="s">
        <v>2377</v>
      </c>
      <c r="P709" t="s">
        <v>2378</v>
      </c>
      <c r="Q709" t="s">
        <v>2379</v>
      </c>
      <c r="S709" t="s">
        <v>2511</v>
      </c>
      <c r="T709" s="3" t="s">
        <v>6449</v>
      </c>
      <c r="U709" t="s">
        <v>6450</v>
      </c>
      <c r="V709" t="s">
        <v>6451</v>
      </c>
      <c r="W709" t="s">
        <v>6452</v>
      </c>
      <c r="X709" t="s">
        <v>2403</v>
      </c>
      <c r="Y709" t="s">
        <v>6453</v>
      </c>
      <c r="Z709" t="s">
        <v>2387</v>
      </c>
      <c r="AA709" t="s">
        <v>6449</v>
      </c>
      <c r="AB709" t="s">
        <v>6454</v>
      </c>
      <c r="AC709" t="s">
        <v>6455</v>
      </c>
      <c r="AD709" t="s">
        <v>5858</v>
      </c>
      <c r="AG709" t="s">
        <v>2432</v>
      </c>
      <c r="AH709" t="s">
        <v>5982</v>
      </c>
      <c r="AI709" t="s">
        <v>5858</v>
      </c>
      <c r="AJ709" t="s">
        <v>6456</v>
      </c>
      <c r="AK709" t="s">
        <v>6457</v>
      </c>
      <c r="AL709" t="s">
        <v>6458</v>
      </c>
      <c r="AM709" t="s">
        <v>4050</v>
      </c>
      <c r="AN709" t="s">
        <v>6459</v>
      </c>
      <c r="AO709" t="s">
        <v>6456</v>
      </c>
      <c r="AP709">
        <v>75</v>
      </c>
      <c r="AQ709">
        <v>75</v>
      </c>
      <c r="AR709">
        <v>74</v>
      </c>
      <c r="AS709" t="s">
        <v>6460</v>
      </c>
      <c r="AT709">
        <v>0</v>
      </c>
      <c r="AU709">
        <v>-1</v>
      </c>
      <c r="AV709">
        <v>1</v>
      </c>
    </row>
    <row r="710" spans="1:48">
      <c r="A710" s="1">
        <f>_xlfn.XLOOKUP(J710,数据!E:E,数据!A:A)</f>
        <v>1</v>
      </c>
      <c r="B710" s="1">
        <f>_xlfn.XLOOKUP(J710,数据!E:E,数据!B:B)</f>
        <v>4</v>
      </c>
      <c r="C710" s="1" t="str">
        <f>_xlfn.XLOOKUP(J710,数据!E:E,数据!J:J)</f>
        <v>红单</v>
      </c>
      <c r="D710" s="1" t="str" cm="1">
        <f t="array" ref="D710">IF(OR(C710="红单",C710="空派"),_xlfn.IFS(E710="未开售","新品首批发货",F710&lt;E710,"新品首批发货",F710-E710&lt;=60,"新品期补货空运",F710-E710&gt;60,"老品应急空运"),"海运，不进行分析")</f>
        <v>新品期补货空运</v>
      </c>
      <c r="E710" s="2">
        <v>46030</v>
      </c>
      <c r="F710" s="2">
        <f>_xlfn.XLOOKUP(J710,数据!E:E,数据!C:C)</f>
        <v>46041</v>
      </c>
      <c r="G710" s="4">
        <v>176</v>
      </c>
      <c r="H710" s="4">
        <f t="shared" si="32"/>
        <v>20.24</v>
      </c>
      <c r="I710" s="4">
        <f>_xlfn.XLOOKUP(J710,数据!E:E,数据!S:S)*(H710/_xlfn.XLOOKUP(J710,数据!E:E,数据!X:X))</f>
        <v>1428.28</v>
      </c>
      <c r="J710" t="s">
        <v>415</v>
      </c>
      <c r="K710" t="s">
        <v>224</v>
      </c>
      <c r="L710" t="s">
        <v>2374</v>
      </c>
      <c r="M710" t="s">
        <v>6461</v>
      </c>
      <c r="N710" t="s">
        <v>2376</v>
      </c>
      <c r="O710" t="s">
        <v>2377</v>
      </c>
      <c r="P710" t="s">
        <v>2378</v>
      </c>
      <c r="Q710" t="s">
        <v>2379</v>
      </c>
      <c r="R710" t="s">
        <v>6462</v>
      </c>
      <c r="S710" t="s">
        <v>2511</v>
      </c>
      <c r="T710" s="3" t="s">
        <v>6463</v>
      </c>
      <c r="U710" t="s">
        <v>6464</v>
      </c>
      <c r="V710" t="s">
        <v>6410</v>
      </c>
      <c r="W710" t="s">
        <v>6465</v>
      </c>
      <c r="X710" t="s">
        <v>2403</v>
      </c>
      <c r="Y710" t="s">
        <v>6466</v>
      </c>
      <c r="Z710" t="s">
        <v>2405</v>
      </c>
      <c r="AA710" t="s">
        <v>6463</v>
      </c>
      <c r="AB710" t="s">
        <v>6467</v>
      </c>
      <c r="AC710" t="s">
        <v>6468</v>
      </c>
      <c r="AD710" t="s">
        <v>5981</v>
      </c>
      <c r="AH710" t="s">
        <v>5982</v>
      </c>
      <c r="AI710" t="s">
        <v>5858</v>
      </c>
      <c r="AJ710" t="s">
        <v>6469</v>
      </c>
      <c r="AK710" t="s">
        <v>6470</v>
      </c>
      <c r="AL710" t="s">
        <v>6471</v>
      </c>
      <c r="AM710" t="s">
        <v>6471</v>
      </c>
      <c r="AN710" t="s">
        <v>6472</v>
      </c>
      <c r="AO710" t="s">
        <v>6469</v>
      </c>
      <c r="AP710">
        <v>115</v>
      </c>
      <c r="AQ710">
        <v>115</v>
      </c>
      <c r="AR710">
        <v>115</v>
      </c>
      <c r="AS710" t="s">
        <v>6473</v>
      </c>
      <c r="AT710">
        <v>0</v>
      </c>
      <c r="AU710">
        <v>0</v>
      </c>
      <c r="AV710">
        <v>0</v>
      </c>
    </row>
    <row r="711" spans="1:48">
      <c r="A711" s="1">
        <f>_xlfn.XLOOKUP(J711,数据!E:E,数据!A:A)</f>
        <v>1</v>
      </c>
      <c r="B711" s="1">
        <f>_xlfn.XLOOKUP(J711,数据!E:E,数据!B:B)</f>
        <v>4</v>
      </c>
      <c r="C711" s="1" t="str">
        <f>_xlfn.XLOOKUP(J711,数据!E:E,数据!J:J)</f>
        <v>红单</v>
      </c>
      <c r="D711" s="1" t="str" cm="1">
        <f t="array" ref="D711">IF(OR(C711="红单",C711="空派"),_xlfn.IFS(E711="未开售","新品首批发货",F711&lt;E711,"新品首批发货",F711-E711&lt;=60,"新品期补货空运",F711-E711&gt;60,"老品应急空运"),"海运，不进行分析")</f>
        <v>新品首批发货</v>
      </c>
      <c r="E711" s="2">
        <v>46054</v>
      </c>
      <c r="F711" s="2">
        <f>_xlfn.XLOOKUP(J711,数据!E:E,数据!C:C)</f>
        <v>46042</v>
      </c>
      <c r="G711" s="4">
        <v>132</v>
      </c>
      <c r="H711" s="4">
        <f t="shared" si="32"/>
        <v>21.12</v>
      </c>
      <c r="I711" s="4">
        <f>_xlfn.XLOOKUP(J711,数据!E:E,数据!S:S)*(H711/_xlfn.XLOOKUP(J711,数据!E:E,数据!X:X))</f>
        <v>1655.58601398601</v>
      </c>
      <c r="J711" t="s">
        <v>422</v>
      </c>
      <c r="K711" t="s">
        <v>39</v>
      </c>
      <c r="L711" t="s">
        <v>2374</v>
      </c>
      <c r="M711" t="s">
        <v>6474</v>
      </c>
      <c r="N711" t="s">
        <v>2376</v>
      </c>
      <c r="O711" t="s">
        <v>2400</v>
      </c>
      <c r="P711" t="s">
        <v>2378</v>
      </c>
      <c r="Q711" t="s">
        <v>2379</v>
      </c>
      <c r="R711" t="s">
        <v>422</v>
      </c>
      <c r="S711" t="s">
        <v>2511</v>
      </c>
      <c r="T711" s="3" t="s">
        <v>6475</v>
      </c>
      <c r="U711" t="s">
        <v>6476</v>
      </c>
      <c r="V711" t="s">
        <v>6477</v>
      </c>
      <c r="W711" t="s">
        <v>6478</v>
      </c>
      <c r="X711" t="s">
        <v>2403</v>
      </c>
      <c r="Y711" t="s">
        <v>6479</v>
      </c>
      <c r="Z711" t="s">
        <v>2387</v>
      </c>
      <c r="AA711" t="s">
        <v>6475</v>
      </c>
      <c r="AB711" t="s">
        <v>6480</v>
      </c>
      <c r="AC711" t="s">
        <v>6481</v>
      </c>
      <c r="AD711" t="s">
        <v>6482</v>
      </c>
      <c r="AH711" t="s">
        <v>6483</v>
      </c>
      <c r="AI711" t="s">
        <v>5982</v>
      </c>
      <c r="AJ711" t="s">
        <v>3245</v>
      </c>
      <c r="AK711" t="s">
        <v>3246</v>
      </c>
      <c r="AL711" t="s">
        <v>3247</v>
      </c>
      <c r="AM711" t="s">
        <v>3248</v>
      </c>
      <c r="AN711" t="s">
        <v>3249</v>
      </c>
      <c r="AO711" t="s">
        <v>3245</v>
      </c>
      <c r="AP711">
        <v>160</v>
      </c>
      <c r="AQ711">
        <v>160</v>
      </c>
      <c r="AR711">
        <v>158</v>
      </c>
      <c r="AS711" t="s">
        <v>6484</v>
      </c>
      <c r="AT711">
        <v>0</v>
      </c>
      <c r="AU711">
        <v>-2</v>
      </c>
      <c r="AV711">
        <v>2</v>
      </c>
    </row>
    <row r="712" spans="1:48">
      <c r="A712" s="1">
        <f>_xlfn.XLOOKUP(J712,数据!E:E,数据!A:A)</f>
        <v>1</v>
      </c>
      <c r="B712" s="1">
        <f>_xlfn.XLOOKUP(J712,数据!E:E,数据!B:B)</f>
        <v>4</v>
      </c>
      <c r="C712" s="1" t="str">
        <f>_xlfn.XLOOKUP(J712,数据!E:E,数据!J:J)</f>
        <v>红单</v>
      </c>
      <c r="D712" s="1" t="str" cm="1">
        <f t="array" ref="D712">IF(OR(C712="红单",C712="空派"),_xlfn.IFS(E712="未开售","新品首批发货",F712&lt;E712,"新品首批发货",F712-E712&lt;=60,"新品期补货空运",F712-E712&gt;60,"老品应急空运"),"海运，不进行分析")</f>
        <v>老品应急空运</v>
      </c>
      <c r="E712" s="2">
        <v>44958</v>
      </c>
      <c r="F712" s="2">
        <f>_xlfn.XLOOKUP(J712,数据!E:E,数据!C:C)</f>
        <v>46042</v>
      </c>
      <c r="G712" s="4">
        <v>165</v>
      </c>
      <c r="H712" s="4">
        <f t="shared" si="32"/>
        <v>2.475</v>
      </c>
      <c r="I712" s="4">
        <f>_xlfn.XLOOKUP(J712,数据!E:E,数据!S:S)*(H712/_xlfn.XLOOKUP(J712,数据!E:E,数据!X:X))</f>
        <v>194.013986013986</v>
      </c>
      <c r="J712" t="s">
        <v>422</v>
      </c>
      <c r="K712" t="s">
        <v>39</v>
      </c>
      <c r="L712" t="s">
        <v>2374</v>
      </c>
      <c r="M712" t="s">
        <v>6474</v>
      </c>
      <c r="N712" t="s">
        <v>2376</v>
      </c>
      <c r="O712" t="s">
        <v>2400</v>
      </c>
      <c r="P712" t="s">
        <v>2378</v>
      </c>
      <c r="Q712" t="s">
        <v>2379</v>
      </c>
      <c r="R712" t="s">
        <v>422</v>
      </c>
      <c r="S712" t="s">
        <v>2511</v>
      </c>
      <c r="T712" s="3" t="s">
        <v>6475</v>
      </c>
      <c r="U712" t="s">
        <v>6476</v>
      </c>
      <c r="V712" t="s">
        <v>6477</v>
      </c>
      <c r="W712" t="s">
        <v>6478</v>
      </c>
      <c r="X712" t="s">
        <v>2403</v>
      </c>
      <c r="Y712" t="s">
        <v>6479</v>
      </c>
      <c r="Z712" t="s">
        <v>2387</v>
      </c>
      <c r="AA712" t="s">
        <v>6475</v>
      </c>
      <c r="AB712" t="s">
        <v>6480</v>
      </c>
      <c r="AC712" t="s">
        <v>6481</v>
      </c>
      <c r="AD712" t="s">
        <v>6482</v>
      </c>
      <c r="AH712" t="s">
        <v>6483</v>
      </c>
      <c r="AI712" t="s">
        <v>5982</v>
      </c>
      <c r="AJ712" t="s">
        <v>6485</v>
      </c>
      <c r="AK712" t="s">
        <v>6486</v>
      </c>
      <c r="AL712" t="s">
        <v>6487</v>
      </c>
      <c r="AM712" t="s">
        <v>6488</v>
      </c>
      <c r="AN712" t="s">
        <v>6489</v>
      </c>
      <c r="AO712" t="s">
        <v>6485</v>
      </c>
      <c r="AP712">
        <v>15</v>
      </c>
      <c r="AQ712">
        <v>15</v>
      </c>
      <c r="AR712">
        <v>15</v>
      </c>
      <c r="AS712" t="s">
        <v>6490</v>
      </c>
      <c r="AT712">
        <v>0</v>
      </c>
      <c r="AU712">
        <v>0</v>
      </c>
      <c r="AV712">
        <v>0</v>
      </c>
    </row>
    <row r="713" spans="1:48">
      <c r="A713" s="1">
        <f>_xlfn.XLOOKUP(J713,数据!E:E,数据!A:A)</f>
        <v>1</v>
      </c>
      <c r="B713" s="1">
        <f>_xlfn.XLOOKUP(J713,数据!E:E,数据!B:B)</f>
        <v>4</v>
      </c>
      <c r="C713" s="1" t="str">
        <f>_xlfn.XLOOKUP(J713,数据!E:E,数据!J:J)</f>
        <v>空派</v>
      </c>
      <c r="D713" s="1" t="str" cm="1">
        <f t="array" ref="D713">IF(OR(C713="红单",C713="空派"),_xlfn.IFS(E713="未开售","新品首批发货",F713&lt;E713,"新品首批发货",F713-E713&lt;=60,"新品期补货空运",F713-E713&gt;60,"老品应急空运"),"海运，不进行分析")</f>
        <v>老品应急空运</v>
      </c>
      <c r="E713" s="2">
        <v>45340</v>
      </c>
      <c r="F713" s="2">
        <f>_xlfn.XLOOKUP(J713,数据!E:E,数据!C:C)</f>
        <v>46041</v>
      </c>
      <c r="G713" s="4">
        <v>440</v>
      </c>
      <c r="H713" s="4">
        <f t="shared" si="32"/>
        <v>14.96</v>
      </c>
      <c r="I713" s="4">
        <f>_xlfn.XLOOKUP(J713,数据!E:E,数据!S:S)*(H713/_xlfn.XLOOKUP(J713,数据!E:E,数据!X:X))</f>
        <v>692.034</v>
      </c>
      <c r="J713" t="s">
        <v>417</v>
      </c>
      <c r="K713" t="s">
        <v>78</v>
      </c>
      <c r="L713" t="s">
        <v>2374</v>
      </c>
      <c r="M713" t="s">
        <v>6491</v>
      </c>
      <c r="N713" t="s">
        <v>2376</v>
      </c>
      <c r="O713" t="s">
        <v>2377</v>
      </c>
      <c r="P713" t="s">
        <v>2378</v>
      </c>
      <c r="Q713" t="s">
        <v>2379</v>
      </c>
      <c r="S713" t="s">
        <v>2511</v>
      </c>
      <c r="T713" s="3" t="s">
        <v>6492</v>
      </c>
      <c r="U713" t="s">
        <v>6493</v>
      </c>
      <c r="V713" t="s">
        <v>6494</v>
      </c>
      <c r="W713" t="s">
        <v>6495</v>
      </c>
      <c r="X713" t="s">
        <v>2403</v>
      </c>
      <c r="Y713" t="s">
        <v>6496</v>
      </c>
      <c r="Z713" t="s">
        <v>2387</v>
      </c>
      <c r="AA713" t="s">
        <v>6492</v>
      </c>
      <c r="AB713" t="s">
        <v>6497</v>
      </c>
      <c r="AC713" t="s">
        <v>6498</v>
      </c>
      <c r="AD713" t="s">
        <v>6353</v>
      </c>
      <c r="AG713" t="s">
        <v>2432</v>
      </c>
      <c r="AH713" t="s">
        <v>5982</v>
      </c>
      <c r="AI713" t="s">
        <v>5858</v>
      </c>
      <c r="AJ713" t="s">
        <v>6499</v>
      </c>
      <c r="AK713" t="s">
        <v>6500</v>
      </c>
      <c r="AL713" t="s">
        <v>6501</v>
      </c>
      <c r="AM713" t="s">
        <v>6502</v>
      </c>
      <c r="AN713" t="s">
        <v>6503</v>
      </c>
      <c r="AO713" t="s">
        <v>6499</v>
      </c>
      <c r="AP713">
        <v>34</v>
      </c>
      <c r="AQ713">
        <v>34</v>
      </c>
      <c r="AR713">
        <v>34</v>
      </c>
      <c r="AS713" t="s">
        <v>6504</v>
      </c>
      <c r="AT713">
        <v>0</v>
      </c>
      <c r="AU713">
        <v>0</v>
      </c>
      <c r="AV713">
        <v>0</v>
      </c>
    </row>
    <row r="714" spans="1:48">
      <c r="A714" s="1">
        <f>_xlfn.XLOOKUP(J714,数据!E:E,数据!A:A)</f>
        <v>1</v>
      </c>
      <c r="B714" s="1">
        <f>_xlfn.XLOOKUP(J714,数据!E:E,数据!B:B)</f>
        <v>4</v>
      </c>
      <c r="C714" s="1" t="str">
        <f>_xlfn.XLOOKUP(J714,数据!E:E,数据!J:J)</f>
        <v>红单</v>
      </c>
      <c r="D714" s="1" t="str" cm="1">
        <f t="array" ref="D714">IF(OR(C714="红单",C714="空派"),_xlfn.IFS(E714="未开售","新品首批发货",F714&lt;E714,"新品首批发货",F714-E714&lt;=60,"新品期补货空运",F714-E714&gt;60,"老品应急空运"),"海运，不进行分析")</f>
        <v>老品应急空运</v>
      </c>
      <c r="E714" s="2">
        <v>45820</v>
      </c>
      <c r="F714" s="2">
        <f>_xlfn.XLOOKUP(J714,数据!E:E,数据!C:C)</f>
        <v>46042</v>
      </c>
      <c r="G714" s="4">
        <v>95.8</v>
      </c>
      <c r="H714" s="4">
        <f t="shared" si="32"/>
        <v>2.874</v>
      </c>
      <c r="I714" s="4">
        <f>_xlfn.XLOOKUP(J714,数据!E:E,数据!S:S)*(H714/_xlfn.XLOOKUP(J714,数据!E:E,数据!X:X))</f>
        <v>236.151912543672</v>
      </c>
      <c r="J714" t="s">
        <v>421</v>
      </c>
      <c r="K714" t="s">
        <v>37</v>
      </c>
      <c r="L714" t="s">
        <v>2374</v>
      </c>
      <c r="M714" t="s">
        <v>6505</v>
      </c>
      <c r="N714" t="s">
        <v>2376</v>
      </c>
      <c r="O714" t="s">
        <v>2400</v>
      </c>
      <c r="P714" t="s">
        <v>2378</v>
      </c>
      <c r="Q714" t="s">
        <v>2379</v>
      </c>
      <c r="R714" t="s">
        <v>421</v>
      </c>
      <c r="S714" t="s">
        <v>2511</v>
      </c>
      <c r="T714" s="3" t="s">
        <v>6506</v>
      </c>
      <c r="U714" t="s">
        <v>6476</v>
      </c>
      <c r="V714" t="s">
        <v>6507</v>
      </c>
      <c r="W714" t="s">
        <v>6508</v>
      </c>
      <c r="X714" t="s">
        <v>2403</v>
      </c>
      <c r="Y714" t="s">
        <v>6509</v>
      </c>
      <c r="Z714" t="s">
        <v>2405</v>
      </c>
      <c r="AA714" t="s">
        <v>6506</v>
      </c>
      <c r="AB714" t="s">
        <v>6510</v>
      </c>
      <c r="AC714" t="s">
        <v>6511</v>
      </c>
      <c r="AD714" t="s">
        <v>6482</v>
      </c>
      <c r="AH714" t="s">
        <v>6483</v>
      </c>
      <c r="AI714" t="s">
        <v>5982</v>
      </c>
      <c r="AJ714" t="s">
        <v>6512</v>
      </c>
      <c r="AK714" t="s">
        <v>6513</v>
      </c>
      <c r="AL714" t="s">
        <v>6514</v>
      </c>
      <c r="AM714" t="s">
        <v>2800</v>
      </c>
      <c r="AN714" t="s">
        <v>6515</v>
      </c>
      <c r="AO714" t="s">
        <v>6512</v>
      </c>
      <c r="AP714">
        <v>30</v>
      </c>
      <c r="AQ714">
        <v>30</v>
      </c>
      <c r="AR714">
        <v>28</v>
      </c>
      <c r="AS714" t="s">
        <v>6516</v>
      </c>
      <c r="AT714">
        <v>0</v>
      </c>
      <c r="AU714">
        <v>-2</v>
      </c>
      <c r="AV714">
        <v>2</v>
      </c>
    </row>
    <row r="715" spans="1:48">
      <c r="A715" s="1">
        <f>_xlfn.XLOOKUP(J715,数据!E:E,数据!A:A)</f>
        <v>1</v>
      </c>
      <c r="B715" s="1">
        <f>_xlfn.XLOOKUP(J715,数据!E:E,数据!B:B)</f>
        <v>4</v>
      </c>
      <c r="C715" s="1" t="str">
        <f>_xlfn.XLOOKUP(J715,数据!E:E,数据!J:J)</f>
        <v>红单</v>
      </c>
      <c r="D715" s="1" t="str" cm="1">
        <f t="array" ref="D715">IF(OR(C715="红单",C715="空派"),_xlfn.IFS(E715="未开售","新品首批发货",F715&lt;E715,"新品首批发货",F715-E715&lt;=60,"新品期补货空运",F715-E715&gt;60,"老品应急空运"),"海运，不进行分析")</f>
        <v>老品应急空运</v>
      </c>
      <c r="E715" s="2">
        <v>44940</v>
      </c>
      <c r="F715" s="2">
        <f>_xlfn.XLOOKUP(J715,数据!E:E,数据!C:C)</f>
        <v>46042</v>
      </c>
      <c r="G715" s="4">
        <v>133</v>
      </c>
      <c r="H715" s="4">
        <f t="shared" si="32"/>
        <v>2.66</v>
      </c>
      <c r="I715" s="4">
        <f>_xlfn.XLOOKUP(J715,数据!E:E,数据!S:S)*(H715/_xlfn.XLOOKUP(J715,数据!E:E,数据!X:X))</f>
        <v>218.567880085653</v>
      </c>
      <c r="J715" t="s">
        <v>421</v>
      </c>
      <c r="K715" t="s">
        <v>37</v>
      </c>
      <c r="L715" t="s">
        <v>2374</v>
      </c>
      <c r="M715" t="s">
        <v>6505</v>
      </c>
      <c r="N715" t="s">
        <v>2376</v>
      </c>
      <c r="O715" t="s">
        <v>2400</v>
      </c>
      <c r="P715" t="s">
        <v>2378</v>
      </c>
      <c r="Q715" t="s">
        <v>2379</v>
      </c>
      <c r="R715" t="s">
        <v>421</v>
      </c>
      <c r="S715" t="s">
        <v>2511</v>
      </c>
      <c r="T715" s="3" t="s">
        <v>6506</v>
      </c>
      <c r="U715" t="s">
        <v>6476</v>
      </c>
      <c r="V715" t="s">
        <v>6507</v>
      </c>
      <c r="W715" t="s">
        <v>6508</v>
      </c>
      <c r="X715" t="s">
        <v>2403</v>
      </c>
      <c r="Y715" t="s">
        <v>6509</v>
      </c>
      <c r="Z715" t="s">
        <v>2405</v>
      </c>
      <c r="AA715" t="s">
        <v>6506</v>
      </c>
      <c r="AB715" t="s">
        <v>6510</v>
      </c>
      <c r="AC715" t="s">
        <v>6511</v>
      </c>
      <c r="AD715" t="s">
        <v>6482</v>
      </c>
      <c r="AH715" t="s">
        <v>6483</v>
      </c>
      <c r="AI715" t="s">
        <v>5982</v>
      </c>
      <c r="AJ715" t="s">
        <v>6517</v>
      </c>
      <c r="AK715" t="s">
        <v>6518</v>
      </c>
      <c r="AL715" t="s">
        <v>6519</v>
      </c>
      <c r="AM715" t="s">
        <v>6520</v>
      </c>
      <c r="AN715" t="s">
        <v>6521</v>
      </c>
      <c r="AO715" t="s">
        <v>6517</v>
      </c>
      <c r="AP715">
        <v>20</v>
      </c>
      <c r="AQ715">
        <v>20</v>
      </c>
      <c r="AR715">
        <v>20</v>
      </c>
      <c r="AS715" t="s">
        <v>6522</v>
      </c>
      <c r="AT715">
        <v>0</v>
      </c>
      <c r="AU715">
        <v>0</v>
      </c>
      <c r="AV715">
        <v>0</v>
      </c>
    </row>
    <row r="716" spans="1:48">
      <c r="A716" s="1">
        <f>_xlfn.XLOOKUP(J716,数据!E:E,数据!A:A)</f>
        <v>1</v>
      </c>
      <c r="B716" s="1">
        <f>_xlfn.XLOOKUP(J716,数据!E:E,数据!B:B)</f>
        <v>4</v>
      </c>
      <c r="C716" s="1" t="str">
        <f>_xlfn.XLOOKUP(J716,数据!E:E,数据!J:J)</f>
        <v>红单</v>
      </c>
      <c r="D716" s="1" t="str" cm="1">
        <f t="array" ref="D716">IF(OR(C716="红单",C716="空派"),_xlfn.IFS(E716="未开售","新品首批发货",F716&lt;E716,"新品首批发货",F716-E716&lt;=60,"新品期补货空运",F716-E716&gt;60,"老品应急空运"),"海运，不进行分析")</f>
        <v>老品应急空运</v>
      </c>
      <c r="E716" s="2">
        <v>45918</v>
      </c>
      <c r="F716" s="2">
        <f>_xlfn.XLOOKUP(J716,数据!E:E,数据!C:C)</f>
        <v>46042</v>
      </c>
      <c r="G716" s="4">
        <v>97</v>
      </c>
      <c r="H716" s="4">
        <f t="shared" si="32"/>
        <v>4.85</v>
      </c>
      <c r="I716" s="4">
        <f>_xlfn.XLOOKUP(J716,数据!E:E,数据!S:S)*(H716/_xlfn.XLOOKUP(J716,数据!E:E,数据!X:X))</f>
        <v>398.516623464443</v>
      </c>
      <c r="J716" t="s">
        <v>421</v>
      </c>
      <c r="K716" t="s">
        <v>37</v>
      </c>
      <c r="L716" t="s">
        <v>2374</v>
      </c>
      <c r="M716" t="s">
        <v>6505</v>
      </c>
      <c r="N716" t="s">
        <v>2376</v>
      </c>
      <c r="O716" t="s">
        <v>2400</v>
      </c>
      <c r="P716" t="s">
        <v>2378</v>
      </c>
      <c r="Q716" t="s">
        <v>2379</v>
      </c>
      <c r="R716" t="s">
        <v>421</v>
      </c>
      <c r="S716" t="s">
        <v>2511</v>
      </c>
      <c r="T716" s="3" t="s">
        <v>6506</v>
      </c>
      <c r="U716" t="s">
        <v>6476</v>
      </c>
      <c r="V716" t="s">
        <v>6507</v>
      </c>
      <c r="W716" t="s">
        <v>6508</v>
      </c>
      <c r="X716" t="s">
        <v>2403</v>
      </c>
      <c r="Y716" t="s">
        <v>6509</v>
      </c>
      <c r="Z716" t="s">
        <v>2405</v>
      </c>
      <c r="AA716" t="s">
        <v>6506</v>
      </c>
      <c r="AB716" t="s">
        <v>6510</v>
      </c>
      <c r="AC716" t="s">
        <v>6511</v>
      </c>
      <c r="AD716" t="s">
        <v>6482</v>
      </c>
      <c r="AH716" t="s">
        <v>6483</v>
      </c>
      <c r="AI716" t="s">
        <v>5982</v>
      </c>
      <c r="AJ716" t="s">
        <v>6523</v>
      </c>
      <c r="AK716" t="s">
        <v>6524</v>
      </c>
      <c r="AL716" t="s">
        <v>6525</v>
      </c>
      <c r="AM716" t="s">
        <v>2800</v>
      </c>
      <c r="AN716" t="s">
        <v>6526</v>
      </c>
      <c r="AO716" t="s">
        <v>6523</v>
      </c>
      <c r="AP716">
        <v>50</v>
      </c>
      <c r="AQ716">
        <v>50</v>
      </c>
      <c r="AR716">
        <v>50</v>
      </c>
      <c r="AS716" t="s">
        <v>6527</v>
      </c>
      <c r="AT716">
        <v>0</v>
      </c>
      <c r="AU716">
        <v>0</v>
      </c>
      <c r="AV716">
        <v>0</v>
      </c>
    </row>
    <row r="717" spans="1:48">
      <c r="A717" s="1">
        <f>_xlfn.XLOOKUP(J717,数据!E:E,数据!A:A)</f>
        <v>1</v>
      </c>
      <c r="B717" s="1">
        <f>_xlfn.XLOOKUP(J717,数据!E:E,数据!B:B)</f>
        <v>4</v>
      </c>
      <c r="C717" s="1" t="str">
        <f>_xlfn.XLOOKUP(J717,数据!E:E,数据!J:J)</f>
        <v>红单</v>
      </c>
      <c r="D717" s="1" t="str" cm="1">
        <f t="array" ref="D717">IF(OR(C717="红单",C717="空派"),_xlfn.IFS(E717="未开售","新品首批发货",F717&lt;E717,"新品首批发货",F717-E717&lt;=60,"新品期补货空运",F717-E717&gt;60,"老品应急空运"),"海运，不进行分析")</f>
        <v>老品应急空运</v>
      </c>
      <c r="E717" s="2">
        <v>45737</v>
      </c>
      <c r="F717" s="2">
        <f>_xlfn.XLOOKUP(J717,数据!E:E,数据!C:C)</f>
        <v>46042</v>
      </c>
      <c r="G717" s="4">
        <v>95.5</v>
      </c>
      <c r="H717" s="4">
        <f t="shared" si="32"/>
        <v>4.775</v>
      </c>
      <c r="I717" s="4">
        <f>_xlfn.XLOOKUP(J717,数据!E:E,数据!S:S)*(H717/_xlfn.XLOOKUP(J717,数据!E:E,数据!X:X))</f>
        <v>392.353995266539</v>
      </c>
      <c r="J717" t="s">
        <v>421</v>
      </c>
      <c r="K717" t="s">
        <v>37</v>
      </c>
      <c r="L717" t="s">
        <v>2374</v>
      </c>
      <c r="M717" t="s">
        <v>6505</v>
      </c>
      <c r="N717" t="s">
        <v>2376</v>
      </c>
      <c r="O717" t="s">
        <v>2400</v>
      </c>
      <c r="P717" t="s">
        <v>2378</v>
      </c>
      <c r="Q717" t="s">
        <v>2379</v>
      </c>
      <c r="R717" t="s">
        <v>421</v>
      </c>
      <c r="S717" t="s">
        <v>2511</v>
      </c>
      <c r="T717" s="3" t="s">
        <v>6506</v>
      </c>
      <c r="U717" t="s">
        <v>6476</v>
      </c>
      <c r="V717" t="s">
        <v>6507</v>
      </c>
      <c r="W717" t="s">
        <v>6508</v>
      </c>
      <c r="X717" t="s">
        <v>2403</v>
      </c>
      <c r="Y717" t="s">
        <v>6509</v>
      </c>
      <c r="Z717" t="s">
        <v>2405</v>
      </c>
      <c r="AA717" t="s">
        <v>6506</v>
      </c>
      <c r="AB717" t="s">
        <v>6510</v>
      </c>
      <c r="AC717" t="s">
        <v>6511</v>
      </c>
      <c r="AD717" t="s">
        <v>6482</v>
      </c>
      <c r="AH717" t="s">
        <v>6483</v>
      </c>
      <c r="AI717" t="s">
        <v>5982</v>
      </c>
      <c r="AJ717" t="s">
        <v>5957</v>
      </c>
      <c r="AK717" t="s">
        <v>5958</v>
      </c>
      <c r="AL717" t="s">
        <v>5959</v>
      </c>
      <c r="AM717" t="s">
        <v>2800</v>
      </c>
      <c r="AN717" t="s">
        <v>5960</v>
      </c>
      <c r="AO717" t="s">
        <v>5957</v>
      </c>
      <c r="AP717">
        <v>50</v>
      </c>
      <c r="AQ717">
        <v>50</v>
      </c>
      <c r="AR717">
        <v>50</v>
      </c>
      <c r="AS717" t="s">
        <v>6528</v>
      </c>
      <c r="AT717">
        <v>0</v>
      </c>
      <c r="AU717">
        <v>0</v>
      </c>
      <c r="AV717">
        <v>0</v>
      </c>
    </row>
    <row r="718" spans="1:48">
      <c r="A718" s="1">
        <f>_xlfn.XLOOKUP(J718,数据!E:E,数据!A:A)</f>
        <v>1</v>
      </c>
      <c r="B718" s="1">
        <f>_xlfn.XLOOKUP(J718,数据!E:E,数据!B:B)</f>
        <v>4</v>
      </c>
      <c r="C718" s="1" t="str">
        <f>_xlfn.XLOOKUP(J718,数据!E:E,数据!J:J)</f>
        <v>红单</v>
      </c>
      <c r="D718" s="1" t="str" cm="1">
        <f t="array" ref="D718">IF(OR(C718="红单",C718="空派"),_xlfn.IFS(E718="未开售","新品首批发货",F718&lt;E718,"新品首批发货",F718-E718&lt;=60,"新品期补货空运",F718-E718&gt;60,"老品应急空运"),"海运，不进行分析")</f>
        <v>老品应急空运</v>
      </c>
      <c r="E718" s="2">
        <v>45658</v>
      </c>
      <c r="F718" s="2">
        <f>_xlfn.XLOOKUP(J718,数据!E:E,数据!C:C)</f>
        <v>46042</v>
      </c>
      <c r="G718" s="4">
        <v>96</v>
      </c>
      <c r="H718" s="4">
        <f t="shared" si="32"/>
        <v>2.88</v>
      </c>
      <c r="I718" s="4">
        <f>_xlfn.XLOOKUP(J718,数据!E:E,数据!S:S)*(H718/_xlfn.XLOOKUP(J718,数据!E:E,数据!X:X))</f>
        <v>236.644922799504</v>
      </c>
      <c r="J718" t="s">
        <v>421</v>
      </c>
      <c r="K718" t="s">
        <v>37</v>
      </c>
      <c r="L718" t="s">
        <v>2374</v>
      </c>
      <c r="M718" t="s">
        <v>6505</v>
      </c>
      <c r="N718" t="s">
        <v>2376</v>
      </c>
      <c r="O718" t="s">
        <v>2400</v>
      </c>
      <c r="P718" t="s">
        <v>2378</v>
      </c>
      <c r="Q718" t="s">
        <v>2379</v>
      </c>
      <c r="R718" t="s">
        <v>421</v>
      </c>
      <c r="S718" t="s">
        <v>2511</v>
      </c>
      <c r="T718" s="3" t="s">
        <v>6506</v>
      </c>
      <c r="U718" t="s">
        <v>6476</v>
      </c>
      <c r="V718" t="s">
        <v>6507</v>
      </c>
      <c r="W718" t="s">
        <v>6508</v>
      </c>
      <c r="X718" t="s">
        <v>2403</v>
      </c>
      <c r="Y718" t="s">
        <v>6509</v>
      </c>
      <c r="Z718" t="s">
        <v>2405</v>
      </c>
      <c r="AA718" t="s">
        <v>6506</v>
      </c>
      <c r="AB718" t="s">
        <v>6510</v>
      </c>
      <c r="AC718" t="s">
        <v>6511</v>
      </c>
      <c r="AD718" t="s">
        <v>6482</v>
      </c>
      <c r="AH718" t="s">
        <v>6483</v>
      </c>
      <c r="AI718" t="s">
        <v>5982</v>
      </c>
      <c r="AJ718" t="s">
        <v>5962</v>
      </c>
      <c r="AK718" t="s">
        <v>5963</v>
      </c>
      <c r="AL718" t="s">
        <v>5964</v>
      </c>
      <c r="AM718" t="s">
        <v>2800</v>
      </c>
      <c r="AN718" t="s">
        <v>5965</v>
      </c>
      <c r="AO718" t="s">
        <v>5962</v>
      </c>
      <c r="AP718">
        <v>30</v>
      </c>
      <c r="AQ718">
        <v>30</v>
      </c>
      <c r="AR718">
        <v>15</v>
      </c>
      <c r="AS718" t="s">
        <v>6529</v>
      </c>
      <c r="AT718">
        <v>0</v>
      </c>
      <c r="AU718">
        <v>-15</v>
      </c>
      <c r="AV718">
        <v>15</v>
      </c>
    </row>
    <row r="719" spans="1:48">
      <c r="A719" s="1">
        <f>_xlfn.XLOOKUP(J719,数据!E:E,数据!A:A)</f>
        <v>1</v>
      </c>
      <c r="B719" s="1">
        <f>_xlfn.XLOOKUP(J719,数据!E:E,数据!B:B)</f>
        <v>4</v>
      </c>
      <c r="C719" s="1" t="str">
        <f>_xlfn.XLOOKUP(J719,数据!E:E,数据!J:J)</f>
        <v>红单</v>
      </c>
      <c r="D719" s="1" t="str" cm="1">
        <f t="array" ref="D719">IF(OR(C719="红单",C719="空派"),_xlfn.IFS(E719="未开售","新品首批发货",F719&lt;E719,"新品首批发货",F719-E719&lt;=60,"新品期补货空运",F719-E719&gt;60,"老品应急空运"),"海运，不进行分析")</f>
        <v>老品应急空运</v>
      </c>
      <c r="E719" s="2">
        <v>45708</v>
      </c>
      <c r="F719" s="2">
        <f>_xlfn.XLOOKUP(J719,数据!E:E,数据!C:C)</f>
        <v>46042</v>
      </c>
      <c r="G719" s="4">
        <v>96.5</v>
      </c>
      <c r="H719" s="4">
        <f t="shared" si="32"/>
        <v>1.93</v>
      </c>
      <c r="I719" s="4">
        <f>_xlfn.XLOOKUP(J719,数据!E:E,数据!S:S)*(H719/_xlfn.XLOOKUP(J719,数据!E:E,数据!X:X))</f>
        <v>158.584965626057</v>
      </c>
      <c r="J719" t="s">
        <v>421</v>
      </c>
      <c r="K719" t="s">
        <v>37</v>
      </c>
      <c r="L719" t="s">
        <v>2374</v>
      </c>
      <c r="M719" t="s">
        <v>6505</v>
      </c>
      <c r="N719" t="s">
        <v>2376</v>
      </c>
      <c r="O719" t="s">
        <v>2400</v>
      </c>
      <c r="P719" t="s">
        <v>2378</v>
      </c>
      <c r="Q719" t="s">
        <v>2379</v>
      </c>
      <c r="R719" t="s">
        <v>421</v>
      </c>
      <c r="S719" t="s">
        <v>2511</v>
      </c>
      <c r="T719" s="3" t="s">
        <v>6506</v>
      </c>
      <c r="U719" t="s">
        <v>6476</v>
      </c>
      <c r="V719" t="s">
        <v>6507</v>
      </c>
      <c r="W719" t="s">
        <v>6508</v>
      </c>
      <c r="X719" t="s">
        <v>2403</v>
      </c>
      <c r="Y719" t="s">
        <v>6509</v>
      </c>
      <c r="Z719" t="s">
        <v>2405</v>
      </c>
      <c r="AA719" t="s">
        <v>6506</v>
      </c>
      <c r="AB719" t="s">
        <v>6510</v>
      </c>
      <c r="AC719" t="s">
        <v>6511</v>
      </c>
      <c r="AD719" t="s">
        <v>6482</v>
      </c>
      <c r="AH719" t="s">
        <v>6483</v>
      </c>
      <c r="AI719" t="s">
        <v>5982</v>
      </c>
      <c r="AJ719" t="s">
        <v>6530</v>
      </c>
      <c r="AK719" t="s">
        <v>6531</v>
      </c>
      <c r="AL719" t="s">
        <v>6532</v>
      </c>
      <c r="AM719" t="s">
        <v>2800</v>
      </c>
      <c r="AN719" t="s">
        <v>6533</v>
      </c>
      <c r="AO719" t="s">
        <v>6530</v>
      </c>
      <c r="AP719">
        <v>20</v>
      </c>
      <c r="AQ719">
        <v>20</v>
      </c>
      <c r="AR719">
        <v>20</v>
      </c>
      <c r="AS719" t="s">
        <v>6534</v>
      </c>
      <c r="AT719">
        <v>0</v>
      </c>
      <c r="AU719">
        <v>0</v>
      </c>
      <c r="AV719">
        <v>0</v>
      </c>
    </row>
    <row r="720" spans="1:48">
      <c r="A720" s="1">
        <f>_xlfn.XLOOKUP(J720,数据!E:E,数据!A:A)</f>
        <v>1</v>
      </c>
      <c r="B720" s="1">
        <f>_xlfn.XLOOKUP(J720,数据!E:E,数据!B:B)</f>
        <v>4</v>
      </c>
      <c r="C720" s="1" t="str">
        <f>_xlfn.XLOOKUP(J720,数据!E:E,数据!J:J)</f>
        <v>红单</v>
      </c>
      <c r="D720" s="1" t="str" cm="1">
        <f t="array" ref="D720">IF(OR(C720="红单",C720="空派"),_xlfn.IFS(E720="未开售","新品首批发货",F720&lt;E720,"新品首批发货",F720-E720&lt;=60,"新品期补货空运",F720-E720&gt;60,"老品应急空运"),"海运，不进行分析")</f>
        <v>新品期补货空运</v>
      </c>
      <c r="E720" s="2">
        <v>45984</v>
      </c>
      <c r="F720" s="2">
        <f>_xlfn.XLOOKUP(J720,数据!E:E,数据!C:C)</f>
        <v>46042</v>
      </c>
      <c r="G720" s="4">
        <v>95</v>
      </c>
      <c r="H720" s="4">
        <f t="shared" si="32"/>
        <v>2.85</v>
      </c>
      <c r="I720" s="4">
        <f>_xlfn.XLOOKUP(J720,数据!E:E,数据!S:S)*(H720/_xlfn.XLOOKUP(J720,数据!E:E,数据!X:X))</f>
        <v>234.179871520343</v>
      </c>
      <c r="J720" t="s">
        <v>421</v>
      </c>
      <c r="K720" t="s">
        <v>37</v>
      </c>
      <c r="L720" t="s">
        <v>2374</v>
      </c>
      <c r="M720" t="s">
        <v>6505</v>
      </c>
      <c r="N720" t="s">
        <v>2376</v>
      </c>
      <c r="O720" t="s">
        <v>2400</v>
      </c>
      <c r="P720" t="s">
        <v>2378</v>
      </c>
      <c r="Q720" t="s">
        <v>2379</v>
      </c>
      <c r="R720" t="s">
        <v>421</v>
      </c>
      <c r="S720" t="s">
        <v>2511</v>
      </c>
      <c r="T720" s="3" t="s">
        <v>6506</v>
      </c>
      <c r="U720" t="s">
        <v>6476</v>
      </c>
      <c r="V720" t="s">
        <v>6507</v>
      </c>
      <c r="W720" t="s">
        <v>6508</v>
      </c>
      <c r="X720" t="s">
        <v>2403</v>
      </c>
      <c r="Y720" t="s">
        <v>6509</v>
      </c>
      <c r="Z720" t="s">
        <v>2405</v>
      </c>
      <c r="AA720" t="s">
        <v>6506</v>
      </c>
      <c r="AB720" t="s">
        <v>6510</v>
      </c>
      <c r="AC720" t="s">
        <v>6511</v>
      </c>
      <c r="AD720" t="s">
        <v>6482</v>
      </c>
      <c r="AH720" t="s">
        <v>6483</v>
      </c>
      <c r="AI720" t="s">
        <v>5982</v>
      </c>
      <c r="AJ720" t="s">
        <v>6535</v>
      </c>
      <c r="AK720" t="s">
        <v>6536</v>
      </c>
      <c r="AL720" t="s">
        <v>6537</v>
      </c>
      <c r="AM720" t="s">
        <v>2800</v>
      </c>
      <c r="AN720" t="s">
        <v>6538</v>
      </c>
      <c r="AO720" t="s">
        <v>6535</v>
      </c>
      <c r="AP720">
        <v>30</v>
      </c>
      <c r="AQ720">
        <v>30</v>
      </c>
      <c r="AR720">
        <v>30</v>
      </c>
      <c r="AS720" t="s">
        <v>6539</v>
      </c>
      <c r="AT720">
        <v>0</v>
      </c>
      <c r="AU720">
        <v>0</v>
      </c>
      <c r="AV720">
        <v>0</v>
      </c>
    </row>
    <row r="721" spans="1:48">
      <c r="A721" s="1">
        <f>_xlfn.XLOOKUP(J721,数据!E:E,数据!A:A)</f>
        <v>1</v>
      </c>
      <c r="B721" s="1">
        <f>_xlfn.XLOOKUP(J721,数据!E:E,数据!B:B)</f>
        <v>4</v>
      </c>
      <c r="C721" s="1" t="str">
        <f>_xlfn.XLOOKUP(J721,数据!E:E,数据!J:J)</f>
        <v>红单</v>
      </c>
      <c r="D721" s="1" t="str" cm="1">
        <f t="array" ref="D721">IF(OR(C721="红单",C721="空派"),_xlfn.IFS(E721="未开售","新品首批发货",F721&lt;E721,"新品首批发货",F721-E721&lt;=60,"新品期补货空运",F721-E721&gt;60,"老品应急空运"),"海运，不进行分析")</f>
        <v>新品期补货空运</v>
      </c>
      <c r="E721" s="2">
        <v>45987</v>
      </c>
      <c r="F721" s="2">
        <f>_xlfn.XLOOKUP(J721,数据!E:E,数据!C:C)</f>
        <v>46042</v>
      </c>
      <c r="G721" s="4">
        <v>95</v>
      </c>
      <c r="H721" s="4">
        <f t="shared" si="32"/>
        <v>3.8</v>
      </c>
      <c r="I721" s="4">
        <f>_xlfn.XLOOKUP(J721,数据!E:E,数据!S:S)*(H721/_xlfn.XLOOKUP(J721,数据!E:E,数据!X:X))</f>
        <v>312.23982869379</v>
      </c>
      <c r="J721" t="s">
        <v>421</v>
      </c>
      <c r="K721" t="s">
        <v>37</v>
      </c>
      <c r="L721" t="s">
        <v>2374</v>
      </c>
      <c r="M721" t="s">
        <v>6505</v>
      </c>
      <c r="N721" t="s">
        <v>2376</v>
      </c>
      <c r="O721" t="s">
        <v>2400</v>
      </c>
      <c r="P721" t="s">
        <v>2378</v>
      </c>
      <c r="Q721" t="s">
        <v>2379</v>
      </c>
      <c r="R721" t="s">
        <v>421</v>
      </c>
      <c r="S721" t="s">
        <v>2511</v>
      </c>
      <c r="T721" s="3" t="s">
        <v>6506</v>
      </c>
      <c r="U721" t="s">
        <v>6476</v>
      </c>
      <c r="V721" t="s">
        <v>6507</v>
      </c>
      <c r="W721" t="s">
        <v>6508</v>
      </c>
      <c r="X721" t="s">
        <v>2403</v>
      </c>
      <c r="Y721" t="s">
        <v>6509</v>
      </c>
      <c r="Z721" t="s">
        <v>2405</v>
      </c>
      <c r="AA721" t="s">
        <v>6506</v>
      </c>
      <c r="AB721" t="s">
        <v>6510</v>
      </c>
      <c r="AC721" t="s">
        <v>6511</v>
      </c>
      <c r="AD721" t="s">
        <v>6482</v>
      </c>
      <c r="AH721" t="s">
        <v>6483</v>
      </c>
      <c r="AI721" t="s">
        <v>5982</v>
      </c>
      <c r="AJ721" t="s">
        <v>6540</v>
      </c>
      <c r="AK721" t="s">
        <v>6541</v>
      </c>
      <c r="AL721" t="s">
        <v>6542</v>
      </c>
      <c r="AM721" t="s">
        <v>2800</v>
      </c>
      <c r="AN721" t="s">
        <v>6543</v>
      </c>
      <c r="AO721" t="s">
        <v>6540</v>
      </c>
      <c r="AP721">
        <v>40</v>
      </c>
      <c r="AQ721">
        <v>40</v>
      </c>
      <c r="AR721">
        <v>40</v>
      </c>
      <c r="AS721" t="s">
        <v>6544</v>
      </c>
      <c r="AT721">
        <v>0</v>
      </c>
      <c r="AU721">
        <v>0</v>
      </c>
      <c r="AV721">
        <v>0</v>
      </c>
    </row>
    <row r="722" spans="1:48">
      <c r="A722" s="1">
        <f>_xlfn.XLOOKUP(J722,数据!E:E,数据!A:A)</f>
        <v>1</v>
      </c>
      <c r="B722" s="1">
        <f>_xlfn.XLOOKUP(J722,数据!E:E,数据!B:B)</f>
        <v>3</v>
      </c>
      <c r="C722" s="1" t="str">
        <f>_xlfn.XLOOKUP(J722,数据!E:E,数据!J:J)</f>
        <v>空派</v>
      </c>
      <c r="D722" s="1" t="str" cm="1">
        <f t="array" ref="D722">IF(OR(C722="红单",C722="空派"),_xlfn.IFS(E722="未开售","新品首批发货",F722&lt;E722,"新品首批发货",F722-E722&lt;=60,"新品期补货空运",F722-E722&gt;60,"老品应急空运"),"海运，不进行分析")</f>
        <v>老品应急空运</v>
      </c>
      <c r="E722" s="2">
        <v>44600</v>
      </c>
      <c r="F722" s="2">
        <f>_xlfn.XLOOKUP(J722,数据!E:E,数据!C:C)</f>
        <v>46039</v>
      </c>
      <c r="G722" s="4">
        <v>141</v>
      </c>
      <c r="H722" s="4">
        <f t="shared" ref="H722:H746" si="33">G722*AP722/1000</f>
        <v>9.165</v>
      </c>
      <c r="I722" s="4">
        <f>_xlfn.XLOOKUP(J722,数据!E:E,数据!S:S)*(H722/_xlfn.XLOOKUP(J722,数据!E:E,数据!X:X))</f>
        <v>578.28</v>
      </c>
      <c r="J722" t="s">
        <v>331</v>
      </c>
      <c r="K722" t="s">
        <v>224</v>
      </c>
      <c r="L722" t="s">
        <v>2374</v>
      </c>
      <c r="M722" t="s">
        <v>6545</v>
      </c>
      <c r="N722" t="s">
        <v>2376</v>
      </c>
      <c r="O722" t="s">
        <v>2377</v>
      </c>
      <c r="P722" t="s">
        <v>2378</v>
      </c>
      <c r="Q722" t="s">
        <v>2379</v>
      </c>
      <c r="S722" t="s">
        <v>2511</v>
      </c>
      <c r="T722" s="3" t="s">
        <v>6546</v>
      </c>
      <c r="U722" t="s">
        <v>6547</v>
      </c>
      <c r="V722" t="s">
        <v>6548</v>
      </c>
      <c r="W722" t="s">
        <v>6549</v>
      </c>
      <c r="X722" t="s">
        <v>2403</v>
      </c>
      <c r="Y722" t="s">
        <v>6550</v>
      </c>
      <c r="Z722" t="s">
        <v>2405</v>
      </c>
      <c r="AA722" t="s">
        <v>6546</v>
      </c>
      <c r="AB722" t="s">
        <v>6019</v>
      </c>
      <c r="AC722" t="s">
        <v>6551</v>
      </c>
      <c r="AD722" t="s">
        <v>6552</v>
      </c>
      <c r="AG722" t="s">
        <v>2432</v>
      </c>
      <c r="AH722" t="s">
        <v>5982</v>
      </c>
      <c r="AI722" t="s">
        <v>5858</v>
      </c>
      <c r="AJ722" t="s">
        <v>5926</v>
      </c>
      <c r="AK722" t="s">
        <v>5927</v>
      </c>
      <c r="AL722" t="s">
        <v>5928</v>
      </c>
      <c r="AM722" t="s">
        <v>5923</v>
      </c>
      <c r="AN722" t="s">
        <v>5929</v>
      </c>
      <c r="AO722" t="s">
        <v>5926</v>
      </c>
      <c r="AP722">
        <v>65</v>
      </c>
      <c r="AQ722">
        <v>65</v>
      </c>
      <c r="AR722">
        <v>65</v>
      </c>
      <c r="AS722" t="s">
        <v>6553</v>
      </c>
      <c r="AT722">
        <v>0</v>
      </c>
      <c r="AU722">
        <v>0</v>
      </c>
      <c r="AV722">
        <v>0</v>
      </c>
    </row>
    <row r="723" spans="1:48">
      <c r="A723" s="1">
        <f>_xlfn.XLOOKUP(J723,数据!E:E,数据!A:A)</f>
        <v>1</v>
      </c>
      <c r="B723" s="1">
        <f>_xlfn.XLOOKUP(J723,数据!E:E,数据!B:B)</f>
        <v>3</v>
      </c>
      <c r="C723" s="1" t="str">
        <f>_xlfn.XLOOKUP(J723,数据!E:E,数据!J:J)</f>
        <v>空派</v>
      </c>
      <c r="D723" s="1" t="str" cm="1">
        <f t="array" ref="D723">IF(OR(C723="红单",C723="空派"),_xlfn.IFS(E723="未开售","新品首批发货",F723&lt;E723,"新品首批发货",F723-E723&lt;=60,"新品期补货空运",F723-E723&gt;60,"老品应急空运"),"海运，不进行分析")</f>
        <v>新品首批发货</v>
      </c>
      <c r="E723" s="2">
        <v>46058</v>
      </c>
      <c r="F723" s="2">
        <f>_xlfn.XLOOKUP(J723,数据!E:E,数据!C:C)</f>
        <v>46039</v>
      </c>
      <c r="G723" s="4">
        <v>87</v>
      </c>
      <c r="H723" s="4">
        <f t="shared" si="33"/>
        <v>6.96</v>
      </c>
      <c r="I723" s="4">
        <f>_xlfn.XLOOKUP(J723,数据!E:E,数据!S:S)*(H723/_xlfn.XLOOKUP(J723,数据!E:E,数据!X:X))</f>
        <v>396.680228571429</v>
      </c>
      <c r="J723" t="s">
        <v>333</v>
      </c>
      <c r="K723" t="s">
        <v>54</v>
      </c>
      <c r="L723" t="s">
        <v>2374</v>
      </c>
      <c r="M723" t="s">
        <v>6554</v>
      </c>
      <c r="N723" t="s">
        <v>2376</v>
      </c>
      <c r="O723" t="s">
        <v>2400</v>
      </c>
      <c r="P723" t="s">
        <v>2378</v>
      </c>
      <c r="Q723" t="s">
        <v>2379</v>
      </c>
      <c r="S723" t="s">
        <v>2511</v>
      </c>
      <c r="T723" s="3" t="s">
        <v>6546</v>
      </c>
      <c r="U723" t="s">
        <v>6555</v>
      </c>
      <c r="V723" t="s">
        <v>6556</v>
      </c>
      <c r="W723" t="s">
        <v>6557</v>
      </c>
      <c r="X723" t="s">
        <v>2403</v>
      </c>
      <c r="Y723" t="s">
        <v>6558</v>
      </c>
      <c r="Z723" t="s">
        <v>2387</v>
      </c>
      <c r="AA723" t="s">
        <v>6546</v>
      </c>
      <c r="AB723" t="s">
        <v>6364</v>
      </c>
      <c r="AC723" t="s">
        <v>6559</v>
      </c>
      <c r="AD723" t="s">
        <v>6552</v>
      </c>
      <c r="AG723" t="s">
        <v>2432</v>
      </c>
      <c r="AH723" t="s">
        <v>5982</v>
      </c>
      <c r="AI723" t="s">
        <v>5858</v>
      </c>
      <c r="AJ723" t="s">
        <v>4206</v>
      </c>
      <c r="AK723" t="s">
        <v>4207</v>
      </c>
      <c r="AL723" t="s">
        <v>4208</v>
      </c>
      <c r="AM723" t="s">
        <v>3546</v>
      </c>
      <c r="AN723" t="s">
        <v>4209</v>
      </c>
      <c r="AO723" t="s">
        <v>4206</v>
      </c>
      <c r="AP723">
        <v>80</v>
      </c>
      <c r="AQ723">
        <v>80</v>
      </c>
      <c r="AR723">
        <v>80</v>
      </c>
      <c r="AS723" t="s">
        <v>6560</v>
      </c>
      <c r="AT723">
        <v>0</v>
      </c>
      <c r="AU723">
        <v>0</v>
      </c>
      <c r="AV723">
        <v>0</v>
      </c>
    </row>
    <row r="724" spans="1:48">
      <c r="A724" s="1">
        <f>_xlfn.XLOOKUP(J724,数据!E:E,数据!A:A)</f>
        <v>1</v>
      </c>
      <c r="B724" s="1">
        <f>_xlfn.XLOOKUP(J724,数据!E:E,数据!B:B)</f>
        <v>3</v>
      </c>
      <c r="C724" s="1" t="str">
        <f>_xlfn.XLOOKUP(J724,数据!E:E,数据!J:J)</f>
        <v>空派</v>
      </c>
      <c r="D724" s="1" t="str" cm="1">
        <f t="array" ref="D724">IF(OR(C724="红单",C724="空派"),_xlfn.IFS(E724="未开售","新品首批发货",F724&lt;E724,"新品首批发货",F724-E724&lt;=60,"新品期补货空运",F724-E724&gt;60,"老品应急空运"),"海运，不进行分析")</f>
        <v>新品首批发货</v>
      </c>
      <c r="E724" s="2">
        <v>46058</v>
      </c>
      <c r="F724" s="2">
        <f>_xlfn.XLOOKUP(J724,数据!E:E,数据!C:C)</f>
        <v>46039</v>
      </c>
      <c r="G724" s="4">
        <v>88</v>
      </c>
      <c r="H724" s="4">
        <f t="shared" si="33"/>
        <v>7.04</v>
      </c>
      <c r="I724" s="4">
        <f>_xlfn.XLOOKUP(J724,数据!E:E,数据!S:S)*(H724/_xlfn.XLOOKUP(J724,数据!E:E,数据!X:X))</f>
        <v>401.239771428571</v>
      </c>
      <c r="J724" t="s">
        <v>333</v>
      </c>
      <c r="K724" t="s">
        <v>54</v>
      </c>
      <c r="L724" t="s">
        <v>2374</v>
      </c>
      <c r="M724" t="s">
        <v>6554</v>
      </c>
      <c r="N724" t="s">
        <v>2376</v>
      </c>
      <c r="O724" t="s">
        <v>2400</v>
      </c>
      <c r="P724" t="s">
        <v>2378</v>
      </c>
      <c r="Q724" t="s">
        <v>2379</v>
      </c>
      <c r="S724" t="s">
        <v>2511</v>
      </c>
      <c r="T724" s="3" t="s">
        <v>6546</v>
      </c>
      <c r="U724" t="s">
        <v>6555</v>
      </c>
      <c r="V724" t="s">
        <v>6556</v>
      </c>
      <c r="W724" t="s">
        <v>6557</v>
      </c>
      <c r="X724" t="s">
        <v>2403</v>
      </c>
      <c r="Y724" t="s">
        <v>6558</v>
      </c>
      <c r="Z724" t="s">
        <v>2387</v>
      </c>
      <c r="AA724" t="s">
        <v>6546</v>
      </c>
      <c r="AB724" t="s">
        <v>6364</v>
      </c>
      <c r="AC724" t="s">
        <v>6559</v>
      </c>
      <c r="AD724" t="s">
        <v>6552</v>
      </c>
      <c r="AG724" t="s">
        <v>2432</v>
      </c>
      <c r="AH724" t="s">
        <v>5982</v>
      </c>
      <c r="AI724" t="s">
        <v>5858</v>
      </c>
      <c r="AJ724" t="s">
        <v>6561</v>
      </c>
      <c r="AK724" t="s">
        <v>6562</v>
      </c>
      <c r="AL724" t="s">
        <v>6563</v>
      </c>
      <c r="AM724" t="s">
        <v>3546</v>
      </c>
      <c r="AN724" t="s">
        <v>6564</v>
      </c>
      <c r="AO724" t="s">
        <v>6561</v>
      </c>
      <c r="AP724">
        <v>80</v>
      </c>
      <c r="AQ724">
        <v>80</v>
      </c>
      <c r="AR724">
        <v>80</v>
      </c>
      <c r="AS724" t="s">
        <v>6565</v>
      </c>
      <c r="AT724">
        <v>0</v>
      </c>
      <c r="AU724">
        <v>0</v>
      </c>
      <c r="AV724">
        <v>0</v>
      </c>
    </row>
    <row r="725" spans="1:48">
      <c r="A725" s="1">
        <f>_xlfn.XLOOKUP(J725,数据!E:E,数据!A:A)</f>
        <v>1</v>
      </c>
      <c r="B725" s="1">
        <f>_xlfn.XLOOKUP(J725,数据!E:E,数据!B:B)</f>
        <v>3</v>
      </c>
      <c r="C725" s="1" t="str">
        <f>_xlfn.XLOOKUP(J725,数据!E:E,数据!J:J)</f>
        <v>空派</v>
      </c>
      <c r="D725" s="1" t="str" cm="1">
        <f t="array" ref="D725">IF(OR(C725="红单",C725="空派"),_xlfn.IFS(E725="未开售","新品首批发货",F725&lt;E725,"新品首批发货",F725-E725&lt;=60,"新品期补货空运",F725-E725&gt;60,"老品应急空运"),"海运，不进行分析")</f>
        <v>新品期补货空运</v>
      </c>
      <c r="E725" s="2">
        <v>46020</v>
      </c>
      <c r="F725" s="2">
        <f>_xlfn.XLOOKUP(J725,数据!E:E,数据!C:C)</f>
        <v>46039</v>
      </c>
      <c r="G725" s="4">
        <v>114</v>
      </c>
      <c r="H725" s="4">
        <f t="shared" si="33"/>
        <v>7.98</v>
      </c>
      <c r="I725" s="4">
        <f>_xlfn.XLOOKUP(J725,数据!E:E,数据!S:S)*(H725/_xlfn.XLOOKUP(J725,数据!E:E,数据!X:X))</f>
        <v>425.108801191363</v>
      </c>
      <c r="J725" t="s">
        <v>334</v>
      </c>
      <c r="K725" t="s">
        <v>51</v>
      </c>
      <c r="L725" t="s">
        <v>2374</v>
      </c>
      <c r="M725" t="s">
        <v>6566</v>
      </c>
      <c r="N725" t="s">
        <v>2376</v>
      </c>
      <c r="O725" t="s">
        <v>2400</v>
      </c>
      <c r="P725" t="s">
        <v>2378</v>
      </c>
      <c r="Q725" t="s">
        <v>2379</v>
      </c>
      <c r="S725" t="s">
        <v>2511</v>
      </c>
      <c r="T725" s="3" t="s">
        <v>6546</v>
      </c>
      <c r="U725" t="s">
        <v>6567</v>
      </c>
      <c r="V725" t="s">
        <v>6568</v>
      </c>
      <c r="W725" t="s">
        <v>6569</v>
      </c>
      <c r="X725" t="s">
        <v>2403</v>
      </c>
      <c r="Y725" t="s">
        <v>6570</v>
      </c>
      <c r="Z725" t="s">
        <v>2405</v>
      </c>
      <c r="AA725" t="s">
        <v>6546</v>
      </c>
      <c r="AB725" t="s">
        <v>6571</v>
      </c>
      <c r="AC725" t="s">
        <v>6572</v>
      </c>
      <c r="AD725" t="s">
        <v>6552</v>
      </c>
      <c r="AG725" t="s">
        <v>2432</v>
      </c>
      <c r="AH725" t="s">
        <v>5982</v>
      </c>
      <c r="AI725" t="s">
        <v>5858</v>
      </c>
      <c r="AJ725" t="s">
        <v>6573</v>
      </c>
      <c r="AK725" t="s">
        <v>6574</v>
      </c>
      <c r="AL725" t="s">
        <v>6575</v>
      </c>
      <c r="AM725" t="s">
        <v>3781</v>
      </c>
      <c r="AN725" t="s">
        <v>6576</v>
      </c>
      <c r="AO725" t="s">
        <v>6573</v>
      </c>
      <c r="AP725">
        <v>70</v>
      </c>
      <c r="AQ725">
        <v>70</v>
      </c>
      <c r="AR725">
        <v>70</v>
      </c>
      <c r="AS725" t="s">
        <v>6577</v>
      </c>
      <c r="AT725">
        <v>0</v>
      </c>
      <c r="AU725">
        <v>0</v>
      </c>
      <c r="AV725">
        <v>0</v>
      </c>
    </row>
    <row r="726" spans="1:48">
      <c r="A726" s="1">
        <f>_xlfn.XLOOKUP(J726,数据!E:E,数据!A:A)</f>
        <v>1</v>
      </c>
      <c r="B726" s="1">
        <f>_xlfn.XLOOKUP(J726,数据!E:E,数据!B:B)</f>
        <v>3</v>
      </c>
      <c r="C726" s="1" t="str">
        <f>_xlfn.XLOOKUP(J726,数据!E:E,数据!J:J)</f>
        <v>空派</v>
      </c>
      <c r="D726" s="1" t="str" cm="1">
        <f t="array" ref="D726">IF(OR(C726="红单",C726="空派"),_xlfn.IFS(E726="未开售","新品首批发货",F726&lt;E726,"新品首批发货",F726-E726&lt;=60,"新品期补货空运",F726-E726&gt;60,"老品应急空运"),"海运，不进行分析")</f>
        <v>新品期补货空运</v>
      </c>
      <c r="E726" s="2">
        <v>46020</v>
      </c>
      <c r="F726" s="2">
        <f>_xlfn.XLOOKUP(J726,数据!E:E,数据!C:C)</f>
        <v>46039</v>
      </c>
      <c r="G726" s="4">
        <v>109</v>
      </c>
      <c r="H726" s="4">
        <f t="shared" si="33"/>
        <v>3.27</v>
      </c>
      <c r="I726" s="4">
        <f>_xlfn.XLOOKUP(J726,数据!E:E,数据!S:S)*(H726/_xlfn.XLOOKUP(J726,数据!E:E,数据!X:X))</f>
        <v>174.198719285182</v>
      </c>
      <c r="J726" t="s">
        <v>334</v>
      </c>
      <c r="K726" t="s">
        <v>51</v>
      </c>
      <c r="L726" t="s">
        <v>2374</v>
      </c>
      <c r="M726" t="s">
        <v>6566</v>
      </c>
      <c r="N726" t="s">
        <v>2376</v>
      </c>
      <c r="O726" t="s">
        <v>2400</v>
      </c>
      <c r="P726" t="s">
        <v>2378</v>
      </c>
      <c r="Q726" t="s">
        <v>2379</v>
      </c>
      <c r="S726" t="s">
        <v>2511</v>
      </c>
      <c r="T726" s="3" t="s">
        <v>6546</v>
      </c>
      <c r="U726" t="s">
        <v>6567</v>
      </c>
      <c r="V726" t="s">
        <v>6568</v>
      </c>
      <c r="W726" t="s">
        <v>6569</v>
      </c>
      <c r="X726" t="s">
        <v>2403</v>
      </c>
      <c r="Y726" t="s">
        <v>6570</v>
      </c>
      <c r="Z726" t="s">
        <v>2405</v>
      </c>
      <c r="AA726" t="s">
        <v>6546</v>
      </c>
      <c r="AB726" t="s">
        <v>6571</v>
      </c>
      <c r="AC726" t="s">
        <v>6572</v>
      </c>
      <c r="AD726" t="s">
        <v>6552</v>
      </c>
      <c r="AG726" t="s">
        <v>2432</v>
      </c>
      <c r="AH726" t="s">
        <v>5982</v>
      </c>
      <c r="AI726" t="s">
        <v>5858</v>
      </c>
      <c r="AJ726" t="s">
        <v>6578</v>
      </c>
      <c r="AK726" t="s">
        <v>6579</v>
      </c>
      <c r="AL726" t="s">
        <v>6580</v>
      </c>
      <c r="AM726" t="s">
        <v>2590</v>
      </c>
      <c r="AN726" t="s">
        <v>6581</v>
      </c>
      <c r="AO726" t="s">
        <v>6578</v>
      </c>
      <c r="AP726">
        <v>30</v>
      </c>
      <c r="AQ726">
        <v>30</v>
      </c>
      <c r="AR726">
        <v>30</v>
      </c>
      <c r="AS726" t="s">
        <v>6582</v>
      </c>
      <c r="AT726">
        <v>0</v>
      </c>
      <c r="AU726">
        <v>0</v>
      </c>
      <c r="AV726">
        <v>0</v>
      </c>
    </row>
    <row r="727" spans="1:48">
      <c r="A727" s="1">
        <f>_xlfn.XLOOKUP(J727,数据!E:E,数据!A:A)</f>
        <v>1</v>
      </c>
      <c r="B727" s="1">
        <f>_xlfn.XLOOKUP(J727,数据!E:E,数据!B:B)</f>
        <v>3</v>
      </c>
      <c r="C727" s="1" t="str">
        <f>_xlfn.XLOOKUP(J727,数据!E:E,数据!J:J)</f>
        <v>空派</v>
      </c>
      <c r="D727" s="1" t="str" cm="1">
        <f t="array" ref="D727">IF(OR(C727="红单",C727="空派"),_xlfn.IFS(E727="未开售","新品首批发货",F727&lt;E727,"新品首批发货",F727-E727&lt;=60,"新品期补货空运",F727-E727&gt;60,"老品应急空运"),"海运，不进行分析")</f>
        <v>新品期补货空运</v>
      </c>
      <c r="E727" s="2">
        <v>46020</v>
      </c>
      <c r="F727" s="2">
        <f>_xlfn.XLOOKUP(J727,数据!E:E,数据!C:C)</f>
        <v>46039</v>
      </c>
      <c r="G727" s="4">
        <v>109</v>
      </c>
      <c r="H727" s="4">
        <f t="shared" si="33"/>
        <v>2.18</v>
      </c>
      <c r="I727" s="4">
        <f>_xlfn.XLOOKUP(J727,数据!E:E,数据!S:S)*(H727/_xlfn.XLOOKUP(J727,数据!E:E,数据!X:X))</f>
        <v>116.132479523455</v>
      </c>
      <c r="J727" t="s">
        <v>334</v>
      </c>
      <c r="K727" t="s">
        <v>51</v>
      </c>
      <c r="L727" t="s">
        <v>2374</v>
      </c>
      <c r="M727" t="s">
        <v>6566</v>
      </c>
      <c r="N727" t="s">
        <v>2376</v>
      </c>
      <c r="O727" t="s">
        <v>2400</v>
      </c>
      <c r="P727" t="s">
        <v>2378</v>
      </c>
      <c r="Q727" t="s">
        <v>2379</v>
      </c>
      <c r="S727" t="s">
        <v>2511</v>
      </c>
      <c r="T727" s="3" t="s">
        <v>6546</v>
      </c>
      <c r="U727" t="s">
        <v>6567</v>
      </c>
      <c r="V727" t="s">
        <v>6568</v>
      </c>
      <c r="W727" t="s">
        <v>6569</v>
      </c>
      <c r="X727" t="s">
        <v>2403</v>
      </c>
      <c r="Y727" t="s">
        <v>6570</v>
      </c>
      <c r="Z727" t="s">
        <v>2405</v>
      </c>
      <c r="AA727" t="s">
        <v>6546</v>
      </c>
      <c r="AB727" t="s">
        <v>6571</v>
      </c>
      <c r="AC727" t="s">
        <v>6572</v>
      </c>
      <c r="AD727" t="s">
        <v>6552</v>
      </c>
      <c r="AG727" t="s">
        <v>2432</v>
      </c>
      <c r="AH727" t="s">
        <v>5982</v>
      </c>
      <c r="AI727" t="s">
        <v>5858</v>
      </c>
      <c r="AJ727" t="s">
        <v>6583</v>
      </c>
      <c r="AK727" t="s">
        <v>6584</v>
      </c>
      <c r="AL727" t="s">
        <v>6585</v>
      </c>
      <c r="AM727" t="s">
        <v>2590</v>
      </c>
      <c r="AN727" t="s">
        <v>6586</v>
      </c>
      <c r="AO727" t="s">
        <v>6583</v>
      </c>
      <c r="AP727">
        <v>20</v>
      </c>
      <c r="AQ727">
        <v>20</v>
      </c>
      <c r="AR727">
        <v>20</v>
      </c>
      <c r="AS727" t="s">
        <v>6587</v>
      </c>
      <c r="AT727">
        <v>0</v>
      </c>
      <c r="AU727">
        <v>0</v>
      </c>
      <c r="AV727">
        <v>0</v>
      </c>
    </row>
    <row r="728" spans="1:48">
      <c r="A728" s="1">
        <f>_xlfn.XLOOKUP(J728,数据!E:E,数据!A:A)</f>
        <v>1</v>
      </c>
      <c r="B728" s="1">
        <f>_xlfn.XLOOKUP(J728,数据!E:E,数据!B:B)</f>
        <v>3</v>
      </c>
      <c r="C728" s="1" t="str">
        <f>_xlfn.XLOOKUP(J728,数据!E:E,数据!J:J)</f>
        <v>空派</v>
      </c>
      <c r="D728" s="1" t="str" cm="1">
        <f t="array" ref="D728">IF(OR(C728="红单",C728="空派"),_xlfn.IFS(E728="未开售","新品首批发货",F728&lt;E728,"新品首批发货",F728-E728&lt;=60,"新品期补货空运",F728-E728&gt;60,"老品应急空运"),"海运，不进行分析")</f>
        <v>新品首批发货</v>
      </c>
      <c r="E728" s="2">
        <v>46057</v>
      </c>
      <c r="F728" s="2">
        <f>_xlfn.XLOOKUP(J728,数据!E:E,数据!C:C)</f>
        <v>46039</v>
      </c>
      <c r="G728" s="4">
        <v>523</v>
      </c>
      <c r="H728" s="4">
        <f t="shared" si="33"/>
        <v>57.53</v>
      </c>
      <c r="I728" s="4">
        <f>_xlfn.XLOOKUP(J728,数据!E:E,数据!S:S)*(H728/_xlfn.XLOOKUP(J728,数据!E:E,数据!X:X))</f>
        <v>2642.77</v>
      </c>
      <c r="J728" t="s">
        <v>335</v>
      </c>
      <c r="K728" t="s">
        <v>37</v>
      </c>
      <c r="L728" t="s">
        <v>2374</v>
      </c>
      <c r="M728" t="s">
        <v>6588</v>
      </c>
      <c r="N728" t="s">
        <v>2376</v>
      </c>
      <c r="O728" t="s">
        <v>2377</v>
      </c>
      <c r="P728" t="s">
        <v>2378</v>
      </c>
      <c r="Q728" t="s">
        <v>2379</v>
      </c>
      <c r="S728" t="s">
        <v>2511</v>
      </c>
      <c r="T728" s="3" t="s">
        <v>6546</v>
      </c>
      <c r="U728" t="s">
        <v>6589</v>
      </c>
      <c r="V728" t="s">
        <v>6590</v>
      </c>
      <c r="W728" t="s">
        <v>6591</v>
      </c>
      <c r="X728" t="s">
        <v>2403</v>
      </c>
      <c r="Y728" t="s">
        <v>6592</v>
      </c>
      <c r="Z728" t="s">
        <v>2405</v>
      </c>
      <c r="AA728" t="s">
        <v>6546</v>
      </c>
      <c r="AB728" t="s">
        <v>6397</v>
      </c>
      <c r="AC728" t="s">
        <v>6593</v>
      </c>
      <c r="AD728" t="s">
        <v>6552</v>
      </c>
      <c r="AG728" t="s">
        <v>2432</v>
      </c>
      <c r="AH728" t="s">
        <v>5982</v>
      </c>
      <c r="AI728" t="s">
        <v>5858</v>
      </c>
      <c r="AJ728" t="s">
        <v>6594</v>
      </c>
      <c r="AK728" t="s">
        <v>6595</v>
      </c>
      <c r="AL728" t="s">
        <v>6596</v>
      </c>
      <c r="AM728" t="s">
        <v>6596</v>
      </c>
      <c r="AN728" t="s">
        <v>6597</v>
      </c>
      <c r="AO728" t="s">
        <v>6594</v>
      </c>
      <c r="AP728">
        <v>110</v>
      </c>
      <c r="AQ728">
        <v>110</v>
      </c>
      <c r="AR728">
        <v>110</v>
      </c>
      <c r="AS728" t="s">
        <v>6598</v>
      </c>
      <c r="AT728">
        <v>0</v>
      </c>
      <c r="AU728">
        <v>0</v>
      </c>
      <c r="AV728">
        <v>0</v>
      </c>
    </row>
    <row r="729" spans="1:48">
      <c r="A729" s="1">
        <f>_xlfn.XLOOKUP(J729,数据!E:E,数据!A:A)</f>
        <v>1</v>
      </c>
      <c r="B729" s="1">
        <f>_xlfn.XLOOKUP(J729,数据!E:E,数据!B:B)</f>
        <v>3</v>
      </c>
      <c r="C729" s="1" t="str">
        <f>_xlfn.XLOOKUP(J729,数据!E:E,数据!J:J)</f>
        <v>红单</v>
      </c>
      <c r="D729" s="1" t="str" cm="1">
        <f t="array" ref="D729">IF(OR(C729="红单",C729="空派"),_xlfn.IFS(E729="未开售","新品首批发货",F729&lt;E729,"新品首批发货",F729-E729&lt;=60,"新品期补货空运",F729-E729&gt;60,"老品应急空运"),"海运，不进行分析")</f>
        <v>老品应急空运</v>
      </c>
      <c r="E729" s="2">
        <v>45862</v>
      </c>
      <c r="F729" s="2">
        <f>_xlfn.XLOOKUP(J729,数据!E:E,数据!C:C)</f>
        <v>46039</v>
      </c>
      <c r="G729" s="4">
        <v>235</v>
      </c>
      <c r="H729" s="4">
        <f t="shared" si="33"/>
        <v>14.1</v>
      </c>
      <c r="I729" s="4">
        <f>_xlfn.XLOOKUP(J729,数据!E:E,数据!S:S)*(H729/_xlfn.XLOOKUP(J729,数据!E:E,数据!X:X))</f>
        <v>1129.26</v>
      </c>
      <c r="J729" t="s">
        <v>329</v>
      </c>
      <c r="K729" t="s">
        <v>56</v>
      </c>
      <c r="L729" t="s">
        <v>2374</v>
      </c>
      <c r="M729" t="s">
        <v>6599</v>
      </c>
      <c r="N729" t="s">
        <v>2376</v>
      </c>
      <c r="O729" t="s">
        <v>2377</v>
      </c>
      <c r="P729" t="s">
        <v>2378</v>
      </c>
      <c r="Q729" t="s">
        <v>2379</v>
      </c>
      <c r="R729" t="s">
        <v>6600</v>
      </c>
      <c r="S729" t="s">
        <v>2511</v>
      </c>
      <c r="T729" s="3" t="s">
        <v>6601</v>
      </c>
      <c r="U729" t="s">
        <v>6602</v>
      </c>
      <c r="V729" t="s">
        <v>6603</v>
      </c>
      <c r="W729" t="s">
        <v>6604</v>
      </c>
      <c r="X729" t="s">
        <v>2403</v>
      </c>
      <c r="Y729" t="s">
        <v>6605</v>
      </c>
      <c r="Z729" t="s">
        <v>2387</v>
      </c>
      <c r="AA729" t="s">
        <v>6601</v>
      </c>
      <c r="AB729" t="s">
        <v>6606</v>
      </c>
      <c r="AC729" t="s">
        <v>6607</v>
      </c>
      <c r="AD729" t="s">
        <v>5982</v>
      </c>
      <c r="AH729" t="s">
        <v>6483</v>
      </c>
      <c r="AI729" t="s">
        <v>5982</v>
      </c>
      <c r="AJ729" t="s">
        <v>4987</v>
      </c>
      <c r="AK729" t="s">
        <v>4988</v>
      </c>
      <c r="AL729" t="s">
        <v>4989</v>
      </c>
      <c r="AM729" t="s">
        <v>2396</v>
      </c>
      <c r="AN729" t="s">
        <v>4990</v>
      </c>
      <c r="AO729" t="s">
        <v>4987</v>
      </c>
      <c r="AP729">
        <v>60</v>
      </c>
      <c r="AQ729">
        <v>60</v>
      </c>
      <c r="AR729">
        <v>60</v>
      </c>
      <c r="AS729" t="s">
        <v>6608</v>
      </c>
      <c r="AT729">
        <v>0</v>
      </c>
      <c r="AU729">
        <v>0</v>
      </c>
      <c r="AV729">
        <v>0</v>
      </c>
    </row>
    <row r="730" spans="1:48">
      <c r="A730" s="1">
        <f>_xlfn.XLOOKUP(J730,数据!E:E,数据!A:A)</f>
        <v>1</v>
      </c>
      <c r="B730" s="1">
        <f>_xlfn.XLOOKUP(J730,数据!E:E,数据!B:B)</f>
        <v>3</v>
      </c>
      <c r="C730" s="1" t="str">
        <f>_xlfn.XLOOKUP(J730,数据!E:E,数据!J:J)</f>
        <v>红单</v>
      </c>
      <c r="D730" s="1" t="str" cm="1">
        <f t="array" ref="D730">IF(OR(C730="红单",C730="空派"),_xlfn.IFS(E730="未开售","新品首批发货",F730&lt;E730,"新品首批发货",F730-E730&lt;=60,"新品期补货空运",F730-E730&gt;60,"老品应急空运"),"海运，不进行分析")</f>
        <v>老品应急空运</v>
      </c>
      <c r="E730" s="2">
        <v>45903</v>
      </c>
      <c r="F730" s="2">
        <f>_xlfn.XLOOKUP(J730,数据!E:E,数据!C:C)</f>
        <v>46039</v>
      </c>
      <c r="G730" s="4">
        <v>197</v>
      </c>
      <c r="H730" s="4">
        <f t="shared" si="33"/>
        <v>11.82</v>
      </c>
      <c r="I730" s="4">
        <f>_xlfn.XLOOKUP(J730,数据!E:E,数据!S:S)*(H730/_xlfn.XLOOKUP(J730,数据!E:E,数据!X:X))</f>
        <v>1038.28</v>
      </c>
      <c r="J730" t="s">
        <v>330</v>
      </c>
      <c r="K730" t="s">
        <v>46</v>
      </c>
      <c r="L730" t="s">
        <v>2374</v>
      </c>
      <c r="M730" t="s">
        <v>6609</v>
      </c>
      <c r="N730" t="s">
        <v>2376</v>
      </c>
      <c r="O730" t="s">
        <v>2377</v>
      </c>
      <c r="P730" t="s">
        <v>2378</v>
      </c>
      <c r="Q730" t="s">
        <v>2379</v>
      </c>
      <c r="R730" t="s">
        <v>6610</v>
      </c>
      <c r="S730" t="s">
        <v>2511</v>
      </c>
      <c r="T730" s="3" t="s">
        <v>6611</v>
      </c>
      <c r="U730" t="s">
        <v>6612</v>
      </c>
      <c r="V730" t="s">
        <v>6613</v>
      </c>
      <c r="W730" t="s">
        <v>6614</v>
      </c>
      <c r="X730" t="s">
        <v>2403</v>
      </c>
      <c r="Y730" t="s">
        <v>6615</v>
      </c>
      <c r="Z730" t="s">
        <v>2405</v>
      </c>
      <c r="AA730" t="s">
        <v>6611</v>
      </c>
      <c r="AB730" t="s">
        <v>6616</v>
      </c>
      <c r="AC730" t="s">
        <v>6617</v>
      </c>
      <c r="AD730" t="s">
        <v>5982</v>
      </c>
      <c r="AG730" t="s">
        <v>2541</v>
      </c>
      <c r="AH730" t="s">
        <v>6483</v>
      </c>
      <c r="AI730" t="s">
        <v>5982</v>
      </c>
      <c r="AJ730" t="s">
        <v>5807</v>
      </c>
      <c r="AK730" t="s">
        <v>5808</v>
      </c>
      <c r="AL730" t="s">
        <v>5809</v>
      </c>
      <c r="AM730" t="s">
        <v>5809</v>
      </c>
      <c r="AN730" t="s">
        <v>5810</v>
      </c>
      <c r="AO730" t="s">
        <v>5807</v>
      </c>
      <c r="AP730">
        <v>60</v>
      </c>
      <c r="AQ730">
        <v>60</v>
      </c>
      <c r="AR730">
        <v>61</v>
      </c>
      <c r="AS730" t="s">
        <v>6618</v>
      </c>
      <c r="AT730">
        <v>0</v>
      </c>
      <c r="AU730">
        <v>1</v>
      </c>
      <c r="AV730">
        <v>-1</v>
      </c>
    </row>
    <row r="731" spans="1:48">
      <c r="A731" s="1">
        <f>_xlfn.XLOOKUP(J731,数据!E:E,数据!A:A)</f>
        <v>1</v>
      </c>
      <c r="B731" s="1">
        <f>_xlfn.XLOOKUP(J731,数据!E:E,数据!B:B)</f>
        <v>3</v>
      </c>
      <c r="C731" s="1" t="str">
        <f>_xlfn.XLOOKUP(J731,数据!E:E,数据!J:J)</f>
        <v>空派</v>
      </c>
      <c r="D731" s="1" t="str" cm="1">
        <f t="array" ref="D731">IF(OR(C731="红单",C731="空派"),_xlfn.IFS(E731="未开售","新品首批发货",F731&lt;E731,"新品首批发货",F731-E731&lt;=60,"新品期补货空运",F731-E731&gt;60,"老品应急空运"),"海运，不进行分析")</f>
        <v>老品应急空运</v>
      </c>
      <c r="E731" s="2">
        <v>45862</v>
      </c>
      <c r="F731" s="2">
        <f>_xlfn.XLOOKUP(J731,数据!E:E,数据!C:C)</f>
        <v>46039</v>
      </c>
      <c r="G731" s="4">
        <v>235</v>
      </c>
      <c r="H731" s="4">
        <f t="shared" si="33"/>
        <v>32.9</v>
      </c>
      <c r="I731" s="4">
        <f>_xlfn.XLOOKUP(J731,数据!E:E,数据!S:S)*(H731/_xlfn.XLOOKUP(J731,数据!E:E,数据!X:X))</f>
        <v>1501.41311069882</v>
      </c>
      <c r="J731" t="s">
        <v>328</v>
      </c>
      <c r="K731" t="s">
        <v>56</v>
      </c>
      <c r="L731" t="s">
        <v>2374</v>
      </c>
      <c r="M731" t="s">
        <v>6619</v>
      </c>
      <c r="N731" t="s">
        <v>2376</v>
      </c>
      <c r="O731" t="s">
        <v>2400</v>
      </c>
      <c r="P731" t="s">
        <v>2378</v>
      </c>
      <c r="Q731" t="s">
        <v>2379</v>
      </c>
      <c r="S731" t="s">
        <v>2511</v>
      </c>
      <c r="T731" s="3" t="s">
        <v>6620</v>
      </c>
      <c r="U731" t="s">
        <v>6589</v>
      </c>
      <c r="V731" t="s">
        <v>6621</v>
      </c>
      <c r="W731" t="s">
        <v>6622</v>
      </c>
      <c r="X731" t="s">
        <v>2385</v>
      </c>
      <c r="Y731" t="s">
        <v>6623</v>
      </c>
      <c r="Z731" t="s">
        <v>2387</v>
      </c>
      <c r="AA731" t="s">
        <v>6620</v>
      </c>
      <c r="AB731" t="s">
        <v>6323</v>
      </c>
      <c r="AC731" t="s">
        <v>6624</v>
      </c>
      <c r="AD731" t="s">
        <v>6625</v>
      </c>
      <c r="AG731" t="s">
        <v>2432</v>
      </c>
      <c r="AH731" t="s">
        <v>5982</v>
      </c>
      <c r="AI731" t="s">
        <v>5858</v>
      </c>
      <c r="AJ731" t="s">
        <v>4987</v>
      </c>
      <c r="AK731" t="s">
        <v>4988</v>
      </c>
      <c r="AL731" t="s">
        <v>4989</v>
      </c>
      <c r="AM731" t="s">
        <v>2396</v>
      </c>
      <c r="AN731" t="s">
        <v>4990</v>
      </c>
      <c r="AO731" t="s">
        <v>4987</v>
      </c>
      <c r="AP731">
        <v>140</v>
      </c>
      <c r="AQ731">
        <v>140</v>
      </c>
      <c r="AR731">
        <v>139</v>
      </c>
      <c r="AS731" t="s">
        <v>6626</v>
      </c>
      <c r="AT731">
        <v>0</v>
      </c>
      <c r="AU731">
        <v>-1</v>
      </c>
      <c r="AV731">
        <v>1</v>
      </c>
    </row>
    <row r="732" spans="1:48">
      <c r="A732" s="1">
        <f>_xlfn.XLOOKUP(J732,数据!E:E,数据!A:A)</f>
        <v>1</v>
      </c>
      <c r="B732" s="1">
        <f>_xlfn.XLOOKUP(J732,数据!E:E,数据!B:B)</f>
        <v>3</v>
      </c>
      <c r="C732" s="1" t="str">
        <f>_xlfn.XLOOKUP(J732,数据!E:E,数据!J:J)</f>
        <v>空派</v>
      </c>
      <c r="D732" s="1" t="str" cm="1">
        <f t="array" ref="D732">IF(OR(C732="红单",C732="空派"),_xlfn.IFS(E732="未开售","新品首批发货",F732&lt;E732,"新品首批发货",F732-E732&lt;=60,"新品期补货空运",F732-E732&gt;60,"老品应急空运"),"海运，不进行分析")</f>
        <v>新品期补货空运</v>
      </c>
      <c r="E732" s="2">
        <v>46019</v>
      </c>
      <c r="F732" s="2">
        <f>_xlfn.XLOOKUP(J732,数据!E:E,数据!C:C)</f>
        <v>46039</v>
      </c>
      <c r="G732" s="4">
        <v>161</v>
      </c>
      <c r="H732" s="4">
        <f t="shared" si="33"/>
        <v>4.83</v>
      </c>
      <c r="I732" s="4">
        <f>_xlfn.XLOOKUP(J732,数据!E:E,数据!S:S)*(H732/_xlfn.XLOOKUP(J732,数据!E:E,数据!X:X))</f>
        <v>220.420222634508</v>
      </c>
      <c r="J732" t="s">
        <v>328</v>
      </c>
      <c r="K732" t="s">
        <v>56</v>
      </c>
      <c r="L732" t="s">
        <v>2374</v>
      </c>
      <c r="M732" t="s">
        <v>6619</v>
      </c>
      <c r="N732" t="s">
        <v>2376</v>
      </c>
      <c r="O732" t="s">
        <v>2400</v>
      </c>
      <c r="P732" t="s">
        <v>2378</v>
      </c>
      <c r="Q732" t="s">
        <v>2379</v>
      </c>
      <c r="S732" t="s">
        <v>2511</v>
      </c>
      <c r="T732" s="3" t="s">
        <v>6620</v>
      </c>
      <c r="U732" t="s">
        <v>6589</v>
      </c>
      <c r="V732" t="s">
        <v>6621</v>
      </c>
      <c r="W732" t="s">
        <v>6622</v>
      </c>
      <c r="X732" t="s">
        <v>2385</v>
      </c>
      <c r="Y732" t="s">
        <v>6623</v>
      </c>
      <c r="Z732" t="s">
        <v>2387</v>
      </c>
      <c r="AA732" t="s">
        <v>6620</v>
      </c>
      <c r="AB732" t="s">
        <v>6323</v>
      </c>
      <c r="AC732" t="s">
        <v>6624</v>
      </c>
      <c r="AD732" t="s">
        <v>6625</v>
      </c>
      <c r="AG732" t="s">
        <v>2432</v>
      </c>
      <c r="AH732" t="s">
        <v>5982</v>
      </c>
      <c r="AI732" t="s">
        <v>5858</v>
      </c>
      <c r="AJ732" t="s">
        <v>2818</v>
      </c>
      <c r="AK732" t="s">
        <v>2819</v>
      </c>
      <c r="AL732" t="s">
        <v>2820</v>
      </c>
      <c r="AM732" t="s">
        <v>2821</v>
      </c>
      <c r="AN732" t="s">
        <v>2822</v>
      </c>
      <c r="AO732" t="s">
        <v>2818</v>
      </c>
      <c r="AP732">
        <v>30</v>
      </c>
      <c r="AQ732">
        <v>30</v>
      </c>
      <c r="AR732">
        <v>29</v>
      </c>
      <c r="AS732" t="s">
        <v>6627</v>
      </c>
      <c r="AT732">
        <v>0</v>
      </c>
      <c r="AU732">
        <v>-1</v>
      </c>
      <c r="AV732">
        <v>1</v>
      </c>
    </row>
    <row r="733" spans="1:48">
      <c r="A733" s="1">
        <f>_xlfn.XLOOKUP(J733,数据!E:E,数据!A:A)</f>
        <v>1</v>
      </c>
      <c r="B733" s="1">
        <f>_xlfn.XLOOKUP(J733,数据!E:E,数据!B:B)</f>
        <v>3</v>
      </c>
      <c r="C733" s="1" t="str">
        <f>_xlfn.XLOOKUP(J733,数据!E:E,数据!J:J)</f>
        <v>空派</v>
      </c>
      <c r="D733" s="1" t="str" cm="1">
        <f t="array" ref="D733">IF(OR(C733="红单",C733="空派"),_xlfn.IFS(E733="未开售","新品首批发货",F733&lt;E733,"新品首批发货",F733-E733&lt;=60,"新品期补货空运",F733-E733&gt;60,"老品应急空运"),"海运，不进行分析")</f>
        <v>老品应急空运</v>
      </c>
      <c r="E733" s="2">
        <v>45832</v>
      </c>
      <c r="F733" s="2">
        <f>_xlfn.XLOOKUP(J733,数据!E:E,数据!C:C)</f>
        <v>46039</v>
      </c>
      <c r="G733" s="4">
        <v>200</v>
      </c>
      <c r="H733" s="4">
        <f t="shared" si="33"/>
        <v>7</v>
      </c>
      <c r="I733" s="4">
        <f>_xlfn.XLOOKUP(J733,数据!E:E,数据!S:S)*(H733/_xlfn.XLOOKUP(J733,数据!E:E,数据!X:X))</f>
        <v>376.678921568627</v>
      </c>
      <c r="J733" t="s">
        <v>324</v>
      </c>
      <c r="K733" t="s">
        <v>51</v>
      </c>
      <c r="L733" t="s">
        <v>2374</v>
      </c>
      <c r="M733" t="s">
        <v>6628</v>
      </c>
      <c r="N733" t="s">
        <v>2376</v>
      </c>
      <c r="O733" t="s">
        <v>2400</v>
      </c>
      <c r="P733" t="s">
        <v>2378</v>
      </c>
      <c r="Q733" t="s">
        <v>2379</v>
      </c>
      <c r="S733" t="s">
        <v>2511</v>
      </c>
      <c r="T733" s="3" t="s">
        <v>6629</v>
      </c>
      <c r="U733" t="s">
        <v>6567</v>
      </c>
      <c r="V733" t="s">
        <v>6630</v>
      </c>
      <c r="W733" t="s">
        <v>6631</v>
      </c>
      <c r="X733" t="s">
        <v>2385</v>
      </c>
      <c r="Y733" t="s">
        <v>6632</v>
      </c>
      <c r="Z733" t="s">
        <v>2405</v>
      </c>
      <c r="AA733" t="s">
        <v>6629</v>
      </c>
      <c r="AB733" t="s">
        <v>6010</v>
      </c>
      <c r="AC733" t="s">
        <v>6633</v>
      </c>
      <c r="AD733" t="s">
        <v>6625</v>
      </c>
      <c r="AG733" t="s">
        <v>2541</v>
      </c>
      <c r="AH733" t="s">
        <v>5982</v>
      </c>
      <c r="AI733" t="s">
        <v>5858</v>
      </c>
      <c r="AJ733" t="s">
        <v>5514</v>
      </c>
      <c r="AK733" t="s">
        <v>5515</v>
      </c>
      <c r="AL733" t="s">
        <v>5516</v>
      </c>
      <c r="AM733" t="s">
        <v>5516</v>
      </c>
      <c r="AN733" t="s">
        <v>5517</v>
      </c>
      <c r="AO733" t="s">
        <v>5514</v>
      </c>
      <c r="AP733">
        <v>35</v>
      </c>
      <c r="AQ733">
        <v>35</v>
      </c>
      <c r="AR733">
        <v>35</v>
      </c>
      <c r="AS733" t="s">
        <v>6634</v>
      </c>
      <c r="AT733">
        <v>0</v>
      </c>
      <c r="AU733">
        <v>0</v>
      </c>
      <c r="AV733">
        <v>0</v>
      </c>
    </row>
    <row r="734" spans="1:48">
      <c r="A734" s="1">
        <f>_xlfn.XLOOKUP(J734,数据!E:E,数据!A:A)</f>
        <v>1</v>
      </c>
      <c r="B734" s="1">
        <f>_xlfn.XLOOKUP(J734,数据!E:E,数据!B:B)</f>
        <v>3</v>
      </c>
      <c r="C734" s="1" t="str">
        <f>_xlfn.XLOOKUP(J734,数据!E:E,数据!J:J)</f>
        <v>空派</v>
      </c>
      <c r="D734" s="1" t="str" cm="1">
        <f t="array" ref="D734">IF(OR(C734="红单",C734="空派"),_xlfn.IFS(E734="未开售","新品首批发货",F734&lt;E734,"新品首批发货",F734-E734&lt;=60,"新品期补货空运",F734-E734&gt;60,"老品应急空运"),"海运，不进行分析")</f>
        <v>新品期补货空运</v>
      </c>
      <c r="E734" s="2">
        <v>46020</v>
      </c>
      <c r="F734" s="2">
        <f>_xlfn.XLOOKUP(J734,数据!E:E,数据!C:C)</f>
        <v>46039</v>
      </c>
      <c r="G734" s="4">
        <v>114</v>
      </c>
      <c r="H734" s="4">
        <f t="shared" si="33"/>
        <v>4.56</v>
      </c>
      <c r="I734" s="4">
        <f>_xlfn.XLOOKUP(J734,数据!E:E,数据!S:S)*(H734/_xlfn.XLOOKUP(J734,数据!E:E,数据!X:X))</f>
        <v>245.379411764706</v>
      </c>
      <c r="J734" t="s">
        <v>324</v>
      </c>
      <c r="K734" t="s">
        <v>51</v>
      </c>
      <c r="L734" t="s">
        <v>2374</v>
      </c>
      <c r="M734" t="s">
        <v>6628</v>
      </c>
      <c r="N734" t="s">
        <v>2376</v>
      </c>
      <c r="O734" t="s">
        <v>2400</v>
      </c>
      <c r="P734" t="s">
        <v>2378</v>
      </c>
      <c r="Q734" t="s">
        <v>2379</v>
      </c>
      <c r="S734" t="s">
        <v>2511</v>
      </c>
      <c r="T734" s="3" t="s">
        <v>6629</v>
      </c>
      <c r="U734" t="s">
        <v>6567</v>
      </c>
      <c r="V734" t="s">
        <v>6630</v>
      </c>
      <c r="W734" t="s">
        <v>6631</v>
      </c>
      <c r="X734" t="s">
        <v>2385</v>
      </c>
      <c r="Y734" t="s">
        <v>6632</v>
      </c>
      <c r="Z734" t="s">
        <v>2405</v>
      </c>
      <c r="AA734" t="s">
        <v>6629</v>
      </c>
      <c r="AB734" t="s">
        <v>6010</v>
      </c>
      <c r="AC734" t="s">
        <v>6633</v>
      </c>
      <c r="AD734" t="s">
        <v>6625</v>
      </c>
      <c r="AG734" t="s">
        <v>2541</v>
      </c>
      <c r="AH734" t="s">
        <v>5982</v>
      </c>
      <c r="AI734" t="s">
        <v>5858</v>
      </c>
      <c r="AJ734" t="s">
        <v>6573</v>
      </c>
      <c r="AK734" t="s">
        <v>6574</v>
      </c>
      <c r="AL734" t="s">
        <v>6575</v>
      </c>
      <c r="AM734" t="s">
        <v>3781</v>
      </c>
      <c r="AN734" t="s">
        <v>6576</v>
      </c>
      <c r="AO734" t="s">
        <v>6573</v>
      </c>
      <c r="AP734">
        <v>40</v>
      </c>
      <c r="AQ734">
        <v>40</v>
      </c>
      <c r="AR734">
        <v>39</v>
      </c>
      <c r="AS734" t="s">
        <v>6635</v>
      </c>
      <c r="AT734">
        <v>0</v>
      </c>
      <c r="AU734">
        <v>-1</v>
      </c>
      <c r="AV734">
        <v>1</v>
      </c>
    </row>
    <row r="735" spans="1:48">
      <c r="A735" s="1">
        <f>_xlfn.XLOOKUP(J735,数据!E:E,数据!A:A)</f>
        <v>1</v>
      </c>
      <c r="B735" s="1">
        <f>_xlfn.XLOOKUP(J735,数据!E:E,数据!B:B)</f>
        <v>3</v>
      </c>
      <c r="C735" s="1" t="str">
        <f>_xlfn.XLOOKUP(J735,数据!E:E,数据!J:J)</f>
        <v>空派</v>
      </c>
      <c r="D735" s="1" t="str" cm="1">
        <f t="array" ref="D735">IF(OR(C735="红单",C735="空派"),_xlfn.IFS(E735="未开售","新品首批发货",F735&lt;E735,"新品首批发货",F735-E735&lt;=60,"新品期补货空运",F735-E735&gt;60,"老品应急空运"),"海运，不进行分析")</f>
        <v>老品应急空运</v>
      </c>
      <c r="E735" s="2">
        <v>45903</v>
      </c>
      <c r="F735" s="2">
        <f>_xlfn.XLOOKUP(J735,数据!E:E,数据!C:C)</f>
        <v>46039</v>
      </c>
      <c r="G735" s="4">
        <v>197</v>
      </c>
      <c r="H735" s="4">
        <f t="shared" si="33"/>
        <v>11.82</v>
      </c>
      <c r="I735" s="4">
        <f>_xlfn.XLOOKUP(J735,数据!E:E,数据!S:S)*(H735/_xlfn.XLOOKUP(J735,数据!E:E,数据!X:X))</f>
        <v>614.413333333333</v>
      </c>
      <c r="J735" t="s">
        <v>325</v>
      </c>
      <c r="K735" t="s">
        <v>46</v>
      </c>
      <c r="L735" t="s">
        <v>2374</v>
      </c>
      <c r="M735" t="s">
        <v>6636</v>
      </c>
      <c r="N735" t="s">
        <v>2376</v>
      </c>
      <c r="O735" t="s">
        <v>2377</v>
      </c>
      <c r="P735" t="s">
        <v>2378</v>
      </c>
      <c r="Q735" t="s">
        <v>2379</v>
      </c>
      <c r="S735" t="s">
        <v>2511</v>
      </c>
      <c r="T735" s="3" t="s">
        <v>6637</v>
      </c>
      <c r="U735" t="s">
        <v>6638</v>
      </c>
      <c r="V735" t="s">
        <v>6630</v>
      </c>
      <c r="W735" t="s">
        <v>6639</v>
      </c>
      <c r="X735" t="s">
        <v>2403</v>
      </c>
      <c r="Y735" t="s">
        <v>6640</v>
      </c>
      <c r="Z735" t="s">
        <v>2405</v>
      </c>
      <c r="AA735" t="s">
        <v>6637</v>
      </c>
      <c r="AB735" t="s">
        <v>6641</v>
      </c>
      <c r="AC735" t="s">
        <v>6642</v>
      </c>
      <c r="AD735" t="s">
        <v>6625</v>
      </c>
      <c r="AG735" t="s">
        <v>2432</v>
      </c>
      <c r="AH735" t="s">
        <v>5982</v>
      </c>
      <c r="AI735" t="s">
        <v>5858</v>
      </c>
      <c r="AJ735" t="s">
        <v>5807</v>
      </c>
      <c r="AK735" t="s">
        <v>5808</v>
      </c>
      <c r="AL735" t="s">
        <v>5809</v>
      </c>
      <c r="AM735" t="s">
        <v>5809</v>
      </c>
      <c r="AN735" t="s">
        <v>5810</v>
      </c>
      <c r="AO735" t="s">
        <v>5807</v>
      </c>
      <c r="AP735">
        <v>60</v>
      </c>
      <c r="AQ735">
        <v>60</v>
      </c>
      <c r="AR735">
        <v>58</v>
      </c>
      <c r="AS735" t="s">
        <v>6643</v>
      </c>
      <c r="AT735">
        <v>0</v>
      </c>
      <c r="AU735">
        <v>-2</v>
      </c>
      <c r="AV735">
        <v>2</v>
      </c>
    </row>
    <row r="736" spans="1:48">
      <c r="A736" s="1">
        <f>_xlfn.XLOOKUP(J736,数据!E:E,数据!A:A)</f>
        <v>1</v>
      </c>
      <c r="B736" s="1">
        <f>_xlfn.XLOOKUP(J736,数据!E:E,数据!B:B)</f>
        <v>3</v>
      </c>
      <c r="C736" s="1" t="str">
        <f>_xlfn.XLOOKUP(J736,数据!E:E,数据!J:J)</f>
        <v>空派</v>
      </c>
      <c r="D736" s="1" t="str" cm="1">
        <f t="array" ref="D736">IF(OR(C736="红单",C736="空派"),_xlfn.IFS(E736="未开售","新品首批发货",F736&lt;E736,"新品首批发货",F736-E736&lt;=60,"新品期补货空运",F736-E736&gt;60,"老品应急空运"),"海运，不进行分析")</f>
        <v>老品应急空运</v>
      </c>
      <c r="E736" s="2">
        <v>45882</v>
      </c>
      <c r="F736" s="2">
        <f>_xlfn.XLOOKUP(J736,数据!E:E,数据!C:C)</f>
        <v>46039</v>
      </c>
      <c r="G736" s="4">
        <v>508</v>
      </c>
      <c r="H736" s="4">
        <f t="shared" si="33"/>
        <v>7.62</v>
      </c>
      <c r="I736" s="4">
        <f>_xlfn.XLOOKUP(J736,数据!E:E,数据!S:S)*(H736/_xlfn.XLOOKUP(J736,数据!E:E,数据!X:X))</f>
        <v>304.192568740955</v>
      </c>
      <c r="J736" t="s">
        <v>327</v>
      </c>
      <c r="K736" t="s">
        <v>31</v>
      </c>
      <c r="L736" t="s">
        <v>2374</v>
      </c>
      <c r="M736" t="s">
        <v>6644</v>
      </c>
      <c r="N736" t="s">
        <v>2376</v>
      </c>
      <c r="O736" t="s">
        <v>2400</v>
      </c>
      <c r="P736" t="s">
        <v>2378</v>
      </c>
      <c r="Q736" t="s">
        <v>2379</v>
      </c>
      <c r="S736" t="s">
        <v>2511</v>
      </c>
      <c r="T736" s="3" t="s">
        <v>6645</v>
      </c>
      <c r="U736" t="s">
        <v>6646</v>
      </c>
      <c r="V736" t="s">
        <v>6630</v>
      </c>
      <c r="W736" t="s">
        <v>6647</v>
      </c>
      <c r="X736" t="s">
        <v>2403</v>
      </c>
      <c r="Y736" t="s">
        <v>6648</v>
      </c>
      <c r="Z736" t="s">
        <v>2405</v>
      </c>
      <c r="AA736" t="s">
        <v>6645</v>
      </c>
      <c r="AB736" t="s">
        <v>5827</v>
      </c>
      <c r="AC736" t="s">
        <v>6649</v>
      </c>
      <c r="AD736" t="s">
        <v>6625</v>
      </c>
      <c r="AG736" t="s">
        <v>2432</v>
      </c>
      <c r="AH736" t="s">
        <v>5982</v>
      </c>
      <c r="AI736" t="s">
        <v>5858</v>
      </c>
      <c r="AJ736" t="s">
        <v>6650</v>
      </c>
      <c r="AK736" t="s">
        <v>6651</v>
      </c>
      <c r="AL736" t="s">
        <v>6652</v>
      </c>
      <c r="AM736" t="s">
        <v>6653</v>
      </c>
      <c r="AN736" t="s">
        <v>6654</v>
      </c>
      <c r="AO736" t="s">
        <v>6650</v>
      </c>
      <c r="AP736">
        <v>15</v>
      </c>
      <c r="AQ736">
        <v>15</v>
      </c>
      <c r="AR736">
        <v>15</v>
      </c>
      <c r="AS736" t="s">
        <v>6655</v>
      </c>
      <c r="AT736">
        <v>0</v>
      </c>
      <c r="AU736">
        <v>0</v>
      </c>
      <c r="AV736">
        <v>0</v>
      </c>
    </row>
    <row r="737" spans="1:48">
      <c r="A737" s="1">
        <f>_xlfn.XLOOKUP(J737,数据!E:E,数据!A:A)</f>
        <v>1</v>
      </c>
      <c r="B737" s="1">
        <f>_xlfn.XLOOKUP(J737,数据!E:E,数据!B:B)</f>
        <v>3</v>
      </c>
      <c r="C737" s="1" t="str">
        <f>_xlfn.XLOOKUP(J737,数据!E:E,数据!J:J)</f>
        <v>空派</v>
      </c>
      <c r="D737" s="1" t="str" cm="1">
        <f t="array" ref="D737">IF(OR(C737="红单",C737="空派"),_xlfn.IFS(E737="未开售","新品首批发货",F737&lt;E737,"新品首批发货",F737-E737&lt;=60,"新品期补货空运",F737-E737&gt;60,"老品应急空运"),"海运，不进行分析")</f>
        <v>老品应急空运</v>
      </c>
      <c r="E737" s="2">
        <v>44703</v>
      </c>
      <c r="F737" s="2">
        <f>_xlfn.XLOOKUP(J737,数据!E:E,数据!C:C)</f>
        <v>46039</v>
      </c>
      <c r="G737" s="4">
        <v>124</v>
      </c>
      <c r="H737" s="4">
        <f t="shared" si="33"/>
        <v>6.2</v>
      </c>
      <c r="I737" s="4">
        <f>_xlfn.XLOOKUP(J737,数据!E:E,数据!S:S)*(H737/_xlfn.XLOOKUP(J737,数据!E:E,数据!X:X))</f>
        <v>247.505764592378</v>
      </c>
      <c r="J737" t="s">
        <v>327</v>
      </c>
      <c r="K737" t="s">
        <v>31</v>
      </c>
      <c r="L737" t="s">
        <v>2374</v>
      </c>
      <c r="M737" t="s">
        <v>6644</v>
      </c>
      <c r="N737" t="s">
        <v>2376</v>
      </c>
      <c r="O737" t="s">
        <v>2400</v>
      </c>
      <c r="P737" t="s">
        <v>2378</v>
      </c>
      <c r="Q737" t="s">
        <v>2379</v>
      </c>
      <c r="S737" t="s">
        <v>2511</v>
      </c>
      <c r="T737" s="3" t="s">
        <v>6645</v>
      </c>
      <c r="U737" t="s">
        <v>6646</v>
      </c>
      <c r="V737" t="s">
        <v>6630</v>
      </c>
      <c r="W737" t="s">
        <v>6647</v>
      </c>
      <c r="X737" t="s">
        <v>2403</v>
      </c>
      <c r="Y737" t="s">
        <v>6648</v>
      </c>
      <c r="Z737" t="s">
        <v>2405</v>
      </c>
      <c r="AA737" t="s">
        <v>6645</v>
      </c>
      <c r="AB737" t="s">
        <v>5827</v>
      </c>
      <c r="AC737" t="s">
        <v>6649</v>
      </c>
      <c r="AD737" t="s">
        <v>6625</v>
      </c>
      <c r="AG737" t="s">
        <v>2432</v>
      </c>
      <c r="AH737" t="s">
        <v>5982</v>
      </c>
      <c r="AI737" t="s">
        <v>5858</v>
      </c>
      <c r="AJ737" t="s">
        <v>6261</v>
      </c>
      <c r="AK737" t="s">
        <v>6262</v>
      </c>
      <c r="AL737" t="s">
        <v>6263</v>
      </c>
      <c r="AM737" t="s">
        <v>6263</v>
      </c>
      <c r="AN737" t="s">
        <v>6264</v>
      </c>
      <c r="AO737" t="s">
        <v>6261</v>
      </c>
      <c r="AP737">
        <v>50</v>
      </c>
      <c r="AQ737">
        <v>50</v>
      </c>
      <c r="AR737">
        <v>50</v>
      </c>
      <c r="AS737" t="s">
        <v>6656</v>
      </c>
      <c r="AT737">
        <v>0</v>
      </c>
      <c r="AU737">
        <v>0</v>
      </c>
      <c r="AV737">
        <v>0</v>
      </c>
    </row>
    <row r="738" spans="1:48">
      <c r="A738" s="1">
        <f>_xlfn.XLOOKUP(J738,数据!E:E,数据!A:A)</f>
        <v>1</v>
      </c>
      <c r="B738" s="1">
        <f>_xlfn.XLOOKUP(J738,数据!E:E,数据!B:B)</f>
        <v>3</v>
      </c>
      <c r="C738" s="1" t="str">
        <f>_xlfn.XLOOKUP(J738,数据!E:E,数据!J:J)</f>
        <v>空派</v>
      </c>
      <c r="D738" s="1" t="str" cm="1">
        <f t="array" ref="D738">IF(OR(C738="红单",C738="空派"),_xlfn.IFS(E738="未开售","新品首批发货",F738&lt;E738,"新品首批发货",F738-E738&lt;=60,"新品期补货空运",F738-E738&gt;60,"老品应急空运"),"海运，不进行分析")</f>
        <v>老品应急空运</v>
      </c>
      <c r="E738" s="2">
        <v>45866</v>
      </c>
      <c r="F738" s="2">
        <f>_xlfn.XLOOKUP(J738,数据!E:E,数据!C:C)</f>
        <v>46039</v>
      </c>
      <c r="G738" s="4">
        <v>120</v>
      </c>
      <c r="H738" s="4">
        <f t="shared" si="33"/>
        <v>12</v>
      </c>
      <c r="I738" s="4">
        <f>_xlfn.XLOOKUP(J738,数据!E:E,数据!S:S)*(H738/_xlfn.XLOOKUP(J738,数据!E:E,数据!X:X))</f>
        <v>586.171980676327</v>
      </c>
      <c r="J738" t="s">
        <v>326</v>
      </c>
      <c r="K738" t="s">
        <v>78</v>
      </c>
      <c r="L738" t="s">
        <v>2374</v>
      </c>
      <c r="M738" t="s">
        <v>6657</v>
      </c>
      <c r="N738" t="s">
        <v>2376</v>
      </c>
      <c r="O738" t="s">
        <v>2377</v>
      </c>
      <c r="P738" t="s">
        <v>2378</v>
      </c>
      <c r="Q738" t="s">
        <v>2379</v>
      </c>
      <c r="S738" t="s">
        <v>2511</v>
      </c>
      <c r="T738" s="3" t="s">
        <v>6658</v>
      </c>
      <c r="U738" t="s">
        <v>6555</v>
      </c>
      <c r="V738" t="s">
        <v>6659</v>
      </c>
      <c r="W738" t="s">
        <v>6660</v>
      </c>
      <c r="X738" t="s">
        <v>2403</v>
      </c>
      <c r="Y738" t="s">
        <v>6661</v>
      </c>
      <c r="Z738" t="s">
        <v>2387</v>
      </c>
      <c r="AA738" t="s">
        <v>6658</v>
      </c>
      <c r="AB738" t="s">
        <v>6497</v>
      </c>
      <c r="AC738" t="s">
        <v>6662</v>
      </c>
      <c r="AD738" t="s">
        <v>6625</v>
      </c>
      <c r="AG738" t="s">
        <v>2432</v>
      </c>
      <c r="AH738" t="s">
        <v>5982</v>
      </c>
      <c r="AI738" t="s">
        <v>5858</v>
      </c>
      <c r="AJ738" t="s">
        <v>4245</v>
      </c>
      <c r="AK738" t="s">
        <v>4246</v>
      </c>
      <c r="AL738" t="s">
        <v>4247</v>
      </c>
      <c r="AM738" t="s">
        <v>2856</v>
      </c>
      <c r="AN738" t="s">
        <v>4248</v>
      </c>
      <c r="AO738" t="s">
        <v>4245</v>
      </c>
      <c r="AP738">
        <v>100</v>
      </c>
      <c r="AQ738">
        <v>100</v>
      </c>
      <c r="AR738">
        <v>100</v>
      </c>
      <c r="AS738" t="s">
        <v>6663</v>
      </c>
      <c r="AT738">
        <v>0</v>
      </c>
      <c r="AU738">
        <v>0</v>
      </c>
      <c r="AV738">
        <v>0</v>
      </c>
    </row>
    <row r="739" spans="1:48">
      <c r="A739" s="1">
        <f>_xlfn.XLOOKUP(J739,数据!E:E,数据!A:A)</f>
        <v>1</v>
      </c>
      <c r="B739" s="1">
        <f>_xlfn.XLOOKUP(J739,数据!E:E,数据!B:B)</f>
        <v>3</v>
      </c>
      <c r="C739" s="1" t="str">
        <f>_xlfn.XLOOKUP(J739,数据!E:E,数据!J:J)</f>
        <v>空派</v>
      </c>
      <c r="D739" s="1" t="str" cm="1">
        <f t="array" ref="D739">IF(OR(C739="红单",C739="空派"),_xlfn.IFS(E739="未开售","新品首批发货",F739&lt;E739,"新品首批发货",F739-E739&lt;=60,"新品期补货空运",F739-E739&gt;60,"老品应急空运"),"海运，不进行分析")</f>
        <v>老品应急空运</v>
      </c>
      <c r="E739" s="2">
        <v>45694</v>
      </c>
      <c r="F739" s="2">
        <f>_xlfn.XLOOKUP(J739,数据!E:E,数据!C:C)</f>
        <v>46039</v>
      </c>
      <c r="G739" s="4">
        <v>185</v>
      </c>
      <c r="H739" s="4">
        <f t="shared" si="33"/>
        <v>13.875</v>
      </c>
      <c r="I739" s="4">
        <f>_xlfn.XLOOKUP(J739,数据!E:E,数据!S:S)*(H739/_xlfn.XLOOKUP(J739,数据!E:E,数据!X:X))</f>
        <v>677.761352657003</v>
      </c>
      <c r="J739" t="s">
        <v>326</v>
      </c>
      <c r="K739" t="s">
        <v>78</v>
      </c>
      <c r="L739" t="s">
        <v>2374</v>
      </c>
      <c r="M739" t="s">
        <v>6657</v>
      </c>
      <c r="N739" t="s">
        <v>2376</v>
      </c>
      <c r="O739" t="s">
        <v>2377</v>
      </c>
      <c r="P739" t="s">
        <v>2378</v>
      </c>
      <c r="Q739" t="s">
        <v>2379</v>
      </c>
      <c r="S739" t="s">
        <v>2511</v>
      </c>
      <c r="T739" s="3" t="s">
        <v>6658</v>
      </c>
      <c r="U739" t="s">
        <v>6555</v>
      </c>
      <c r="V739" t="s">
        <v>6659</v>
      </c>
      <c r="W739" t="s">
        <v>6660</v>
      </c>
      <c r="X739" t="s">
        <v>2403</v>
      </c>
      <c r="Y739" t="s">
        <v>6661</v>
      </c>
      <c r="Z739" t="s">
        <v>2387</v>
      </c>
      <c r="AA739" t="s">
        <v>6658</v>
      </c>
      <c r="AB739" t="s">
        <v>6497</v>
      </c>
      <c r="AC739" t="s">
        <v>6662</v>
      </c>
      <c r="AD739" t="s">
        <v>6625</v>
      </c>
      <c r="AG739" t="s">
        <v>2432</v>
      </c>
      <c r="AH739" t="s">
        <v>5982</v>
      </c>
      <c r="AI739" t="s">
        <v>5858</v>
      </c>
      <c r="AJ739" t="s">
        <v>6664</v>
      </c>
      <c r="AK739" t="s">
        <v>6665</v>
      </c>
      <c r="AL739" t="s">
        <v>6666</v>
      </c>
      <c r="AM739" t="s">
        <v>6667</v>
      </c>
      <c r="AN739" t="s">
        <v>6668</v>
      </c>
      <c r="AO739" t="s">
        <v>6664</v>
      </c>
      <c r="AP739">
        <v>75</v>
      </c>
      <c r="AQ739">
        <v>75</v>
      </c>
      <c r="AR739">
        <v>75</v>
      </c>
      <c r="AS739" t="s">
        <v>6669</v>
      </c>
      <c r="AT739">
        <v>0</v>
      </c>
      <c r="AU739">
        <v>0</v>
      </c>
      <c r="AV739">
        <v>0</v>
      </c>
    </row>
    <row r="740" spans="1:48">
      <c r="A740" s="1">
        <f>_xlfn.XLOOKUP(J740,数据!E:E,数据!A:A)</f>
        <v>1</v>
      </c>
      <c r="B740" s="1">
        <f>_xlfn.XLOOKUP(J740,数据!E:E,数据!B:B)</f>
        <v>3</v>
      </c>
      <c r="C740" s="1" t="str">
        <f>_xlfn.XLOOKUP(J740,数据!E:E,数据!J:J)</f>
        <v>空派</v>
      </c>
      <c r="D740" s="1" t="str" cm="1">
        <f t="array" ref="D740">IF(OR(C740="红单",C740="空派"),_xlfn.IFS(E740="未开售","新品首批发货",F740&lt;E740,"新品首批发货",F740-E740&lt;=60,"新品期补货空运",F740-E740&gt;60,"老品应急空运"),"海运，不进行分析")</f>
        <v>老品应急空运</v>
      </c>
      <c r="E740" s="2">
        <v>45686</v>
      </c>
      <c r="F740" s="2">
        <f>_xlfn.XLOOKUP(J740,数据!E:E,数据!C:C)</f>
        <v>46039</v>
      </c>
      <c r="G740" s="4">
        <v>397</v>
      </c>
      <c r="H740" s="4">
        <f t="shared" si="33"/>
        <v>15.88</v>
      </c>
      <c r="I740" s="4">
        <f>_xlfn.XLOOKUP(J740,数据!E:E,数据!S:S)*(H740/_xlfn.XLOOKUP(J740,数据!E:E,数据!X:X))</f>
        <v>703.1937012012</v>
      </c>
      <c r="J740" t="s">
        <v>322</v>
      </c>
      <c r="K740" t="s">
        <v>59</v>
      </c>
      <c r="L740" t="s">
        <v>2374</v>
      </c>
      <c r="M740" t="s">
        <v>6670</v>
      </c>
      <c r="N740" t="s">
        <v>2376</v>
      </c>
      <c r="O740" t="s">
        <v>2400</v>
      </c>
      <c r="P740" t="s">
        <v>2378</v>
      </c>
      <c r="Q740" t="s">
        <v>2379</v>
      </c>
      <c r="S740" t="s">
        <v>2511</v>
      </c>
      <c r="T740" s="3" t="s">
        <v>6671</v>
      </c>
      <c r="U740" t="s">
        <v>6672</v>
      </c>
      <c r="V740" t="s">
        <v>6673</v>
      </c>
      <c r="W740" t="s">
        <v>6674</v>
      </c>
      <c r="X740" t="s">
        <v>2385</v>
      </c>
      <c r="Y740" t="s">
        <v>6675</v>
      </c>
      <c r="Z740" t="s">
        <v>2387</v>
      </c>
      <c r="AA740" t="s">
        <v>6671</v>
      </c>
      <c r="AB740" t="s">
        <v>6676</v>
      </c>
      <c r="AC740" t="s">
        <v>6677</v>
      </c>
      <c r="AD740" t="s">
        <v>6625</v>
      </c>
      <c r="AG740" t="s">
        <v>2432</v>
      </c>
      <c r="AH740" t="s">
        <v>5982</v>
      </c>
      <c r="AI740" t="s">
        <v>5858</v>
      </c>
      <c r="AJ740" t="s">
        <v>6678</v>
      </c>
      <c r="AK740" t="s">
        <v>6679</v>
      </c>
      <c r="AL740" t="s">
        <v>6680</v>
      </c>
      <c r="AM740" t="s">
        <v>6681</v>
      </c>
      <c r="AN740" t="s">
        <v>6682</v>
      </c>
      <c r="AO740" t="s">
        <v>6678</v>
      </c>
      <c r="AP740">
        <v>40</v>
      </c>
      <c r="AQ740">
        <v>40</v>
      </c>
      <c r="AR740">
        <v>40</v>
      </c>
      <c r="AS740" t="s">
        <v>6683</v>
      </c>
      <c r="AT740">
        <v>0</v>
      </c>
      <c r="AU740">
        <v>0</v>
      </c>
      <c r="AV740">
        <v>0</v>
      </c>
    </row>
    <row r="741" spans="1:48">
      <c r="A741" s="1">
        <f>_xlfn.XLOOKUP(J741,数据!E:E,数据!A:A)</f>
        <v>1</v>
      </c>
      <c r="B741" s="1">
        <f>_xlfn.XLOOKUP(J741,数据!E:E,数据!B:B)</f>
        <v>3</v>
      </c>
      <c r="C741" s="1" t="str">
        <f>_xlfn.XLOOKUP(J741,数据!E:E,数据!J:J)</f>
        <v>空派</v>
      </c>
      <c r="D741" s="1" t="str" cm="1">
        <f t="array" ref="D741">IF(OR(C741="红单",C741="空派"),_xlfn.IFS(E741="未开售","新品首批发货",F741&lt;E741,"新品首批发货",F741-E741&lt;=60,"新品期补货空运",F741-E741&gt;60,"老品应急空运"),"海运，不进行分析")</f>
        <v>老品应急空运</v>
      </c>
      <c r="E741" s="2">
        <v>45500</v>
      </c>
      <c r="F741" s="2">
        <f>_xlfn.XLOOKUP(J741,数据!E:E,数据!C:C)</f>
        <v>46039</v>
      </c>
      <c r="G741" s="4">
        <v>400</v>
      </c>
      <c r="H741" s="4">
        <f t="shared" si="33"/>
        <v>16</v>
      </c>
      <c r="I741" s="4">
        <f>_xlfn.XLOOKUP(J741,数据!E:E,数据!S:S)*(H741/_xlfn.XLOOKUP(J741,数据!E:E,数据!X:X))</f>
        <v>708.507507507507</v>
      </c>
      <c r="J741" t="s">
        <v>322</v>
      </c>
      <c r="K741" t="s">
        <v>59</v>
      </c>
      <c r="L741" t="s">
        <v>2374</v>
      </c>
      <c r="M741" t="s">
        <v>6670</v>
      </c>
      <c r="N741" t="s">
        <v>2376</v>
      </c>
      <c r="O741" t="s">
        <v>2400</v>
      </c>
      <c r="P741" t="s">
        <v>2378</v>
      </c>
      <c r="Q741" t="s">
        <v>2379</v>
      </c>
      <c r="S741" t="s">
        <v>2511</v>
      </c>
      <c r="T741" s="3" t="s">
        <v>6671</v>
      </c>
      <c r="U741" t="s">
        <v>6672</v>
      </c>
      <c r="V741" t="s">
        <v>6673</v>
      </c>
      <c r="W741" t="s">
        <v>6674</v>
      </c>
      <c r="X741" t="s">
        <v>2385</v>
      </c>
      <c r="Y741" t="s">
        <v>6675</v>
      </c>
      <c r="Z741" t="s">
        <v>2387</v>
      </c>
      <c r="AA741" t="s">
        <v>6671</v>
      </c>
      <c r="AB741" t="s">
        <v>6676</v>
      </c>
      <c r="AC741" t="s">
        <v>6677</v>
      </c>
      <c r="AD741" t="s">
        <v>6625</v>
      </c>
      <c r="AG741" t="s">
        <v>2432</v>
      </c>
      <c r="AH741" t="s">
        <v>5982</v>
      </c>
      <c r="AI741" t="s">
        <v>5858</v>
      </c>
      <c r="AJ741" t="s">
        <v>6684</v>
      </c>
      <c r="AK741" t="s">
        <v>6685</v>
      </c>
      <c r="AL741" t="s">
        <v>6686</v>
      </c>
      <c r="AM741" t="s">
        <v>6687</v>
      </c>
      <c r="AN741" t="s">
        <v>6688</v>
      </c>
      <c r="AO741" t="s">
        <v>6684</v>
      </c>
      <c r="AP741">
        <v>40</v>
      </c>
      <c r="AQ741">
        <v>40</v>
      </c>
      <c r="AR741">
        <v>39</v>
      </c>
      <c r="AS741" t="s">
        <v>6689</v>
      </c>
      <c r="AT741">
        <v>0</v>
      </c>
      <c r="AU741">
        <v>-1</v>
      </c>
      <c r="AV741">
        <v>1</v>
      </c>
    </row>
    <row r="742" spans="1:48">
      <c r="A742" s="1">
        <f>_xlfn.XLOOKUP(J742,数据!E:E,数据!A:A)</f>
        <v>1</v>
      </c>
      <c r="B742" s="1">
        <f>_xlfn.XLOOKUP(J742,数据!E:E,数据!B:B)</f>
        <v>3</v>
      </c>
      <c r="C742" s="1" t="str">
        <f>_xlfn.XLOOKUP(J742,数据!E:E,数据!J:J)</f>
        <v>空派</v>
      </c>
      <c r="D742" s="1" t="str" cm="1">
        <f t="array" ref="D742">IF(OR(C742="红单",C742="空派"),_xlfn.IFS(E742="未开售","新品首批发货",F742&lt;E742,"新品首批发货",F742-E742&lt;=60,"新品期补货空运",F742-E742&gt;60,"老品应急空运"),"海运，不进行分析")</f>
        <v>老品应急空运</v>
      </c>
      <c r="E742" s="2">
        <v>45304</v>
      </c>
      <c r="F742" s="2">
        <f>_xlfn.XLOOKUP(J742,数据!E:E,数据!C:C)</f>
        <v>46039</v>
      </c>
      <c r="G742" s="4">
        <v>431</v>
      </c>
      <c r="H742" s="4">
        <f t="shared" si="33"/>
        <v>17.24</v>
      </c>
      <c r="I742" s="4">
        <f>_xlfn.XLOOKUP(J742,数据!E:E,数据!S:S)*(H742/_xlfn.XLOOKUP(J742,数据!E:E,数据!X:X))</f>
        <v>763.416839339338</v>
      </c>
      <c r="J742" t="s">
        <v>322</v>
      </c>
      <c r="K742" t="s">
        <v>59</v>
      </c>
      <c r="L742" t="s">
        <v>2374</v>
      </c>
      <c r="M742" t="s">
        <v>6670</v>
      </c>
      <c r="N742" t="s">
        <v>2376</v>
      </c>
      <c r="O742" t="s">
        <v>2400</v>
      </c>
      <c r="P742" t="s">
        <v>2378</v>
      </c>
      <c r="Q742" t="s">
        <v>2379</v>
      </c>
      <c r="S742" t="s">
        <v>2511</v>
      </c>
      <c r="T742" s="3" t="s">
        <v>6671</v>
      </c>
      <c r="U742" t="s">
        <v>6672</v>
      </c>
      <c r="V742" t="s">
        <v>6673</v>
      </c>
      <c r="W742" t="s">
        <v>6674</v>
      </c>
      <c r="X742" t="s">
        <v>2385</v>
      </c>
      <c r="Y742" t="s">
        <v>6675</v>
      </c>
      <c r="Z742" t="s">
        <v>2387</v>
      </c>
      <c r="AA742" t="s">
        <v>6671</v>
      </c>
      <c r="AB742" t="s">
        <v>6676</v>
      </c>
      <c r="AC742" t="s">
        <v>6677</v>
      </c>
      <c r="AD742" t="s">
        <v>6625</v>
      </c>
      <c r="AG742" t="s">
        <v>2432</v>
      </c>
      <c r="AH742" t="s">
        <v>5982</v>
      </c>
      <c r="AI742" t="s">
        <v>5858</v>
      </c>
      <c r="AJ742" t="s">
        <v>6690</v>
      </c>
      <c r="AK742" t="s">
        <v>6691</v>
      </c>
      <c r="AL742" t="s">
        <v>6692</v>
      </c>
      <c r="AM742" t="s">
        <v>6001</v>
      </c>
      <c r="AN742" t="s">
        <v>6693</v>
      </c>
      <c r="AO742" t="s">
        <v>6690</v>
      </c>
      <c r="AP742">
        <v>40</v>
      </c>
      <c r="AQ742">
        <v>40</v>
      </c>
      <c r="AR742">
        <v>40</v>
      </c>
      <c r="AS742" t="s">
        <v>6694</v>
      </c>
      <c r="AT742">
        <v>0</v>
      </c>
      <c r="AU742">
        <v>0</v>
      </c>
      <c r="AV742">
        <v>0</v>
      </c>
    </row>
    <row r="743" spans="1:48">
      <c r="A743" s="1">
        <f>_xlfn.XLOOKUP(J743,数据!E:E,数据!A:A)</f>
        <v>1</v>
      </c>
      <c r="B743" s="1">
        <f>_xlfn.XLOOKUP(J743,数据!E:E,数据!B:B)</f>
        <v>3</v>
      </c>
      <c r="C743" s="1" t="str">
        <f>_xlfn.XLOOKUP(J743,数据!E:E,数据!J:J)</f>
        <v>空派</v>
      </c>
      <c r="D743" s="1" t="str" cm="1">
        <f t="array" ref="D743">IF(OR(C743="红单",C743="空派"),_xlfn.IFS(E743="未开售","新品首批发货",F743&lt;E743,"新品首批发货",F743-E743&lt;=60,"新品期补货空运",F743-E743&gt;60,"老品应急空运"),"海运，不进行分析")</f>
        <v>老品应急空运</v>
      </c>
      <c r="E743" s="2">
        <v>44753</v>
      </c>
      <c r="F743" s="2">
        <f>_xlfn.XLOOKUP(J743,数据!E:E,数据!C:C)</f>
        <v>46039</v>
      </c>
      <c r="G743" s="4">
        <v>142.5</v>
      </c>
      <c r="H743" s="4">
        <f t="shared" si="33"/>
        <v>5.7</v>
      </c>
      <c r="I743" s="4">
        <f>_xlfn.XLOOKUP(J743,数据!E:E,数据!S:S)*(H743/_xlfn.XLOOKUP(J743,数据!E:E,数据!X:X))</f>
        <v>252.405799549549</v>
      </c>
      <c r="J743" t="s">
        <v>322</v>
      </c>
      <c r="K743" t="s">
        <v>59</v>
      </c>
      <c r="L743" t="s">
        <v>2374</v>
      </c>
      <c r="M743" t="s">
        <v>6670</v>
      </c>
      <c r="N743" t="s">
        <v>2376</v>
      </c>
      <c r="O743" t="s">
        <v>2400</v>
      </c>
      <c r="P743" t="s">
        <v>2378</v>
      </c>
      <c r="Q743" t="s">
        <v>2379</v>
      </c>
      <c r="S743" t="s">
        <v>2511</v>
      </c>
      <c r="T743" s="3" t="s">
        <v>6671</v>
      </c>
      <c r="U743" t="s">
        <v>6672</v>
      </c>
      <c r="V743" t="s">
        <v>6673</v>
      </c>
      <c r="W743" t="s">
        <v>6674</v>
      </c>
      <c r="X743" t="s">
        <v>2385</v>
      </c>
      <c r="Y743" t="s">
        <v>6675</v>
      </c>
      <c r="Z743" t="s">
        <v>2387</v>
      </c>
      <c r="AA743" t="s">
        <v>6671</v>
      </c>
      <c r="AB743" t="s">
        <v>6676</v>
      </c>
      <c r="AC743" t="s">
        <v>6677</v>
      </c>
      <c r="AD743" t="s">
        <v>6625</v>
      </c>
      <c r="AG743" t="s">
        <v>2432</v>
      </c>
      <c r="AH743" t="s">
        <v>5982</v>
      </c>
      <c r="AI743" t="s">
        <v>5858</v>
      </c>
      <c r="AJ743" t="s">
        <v>6695</v>
      </c>
      <c r="AK743" t="s">
        <v>6696</v>
      </c>
      <c r="AL743" t="s">
        <v>6697</v>
      </c>
      <c r="AM743" t="s">
        <v>6698</v>
      </c>
      <c r="AN743" t="s">
        <v>6699</v>
      </c>
      <c r="AO743" t="s">
        <v>6695</v>
      </c>
      <c r="AP743">
        <v>40</v>
      </c>
      <c r="AQ743">
        <v>40</v>
      </c>
      <c r="AR743">
        <v>40</v>
      </c>
      <c r="AS743" t="s">
        <v>6700</v>
      </c>
      <c r="AT743">
        <v>0</v>
      </c>
      <c r="AU743">
        <v>0</v>
      </c>
      <c r="AV743">
        <v>0</v>
      </c>
    </row>
    <row r="744" spans="1:48">
      <c r="A744" s="1">
        <f>_xlfn.XLOOKUP(J744,数据!E:E,数据!A:A)</f>
        <v>1</v>
      </c>
      <c r="B744" s="1">
        <f>_xlfn.XLOOKUP(J744,数据!E:E,数据!B:B)</f>
        <v>3</v>
      </c>
      <c r="C744" s="1" t="str">
        <f>_xlfn.XLOOKUP(J744,数据!E:E,数据!J:J)</f>
        <v>空派</v>
      </c>
      <c r="D744" s="1" t="str" cm="1">
        <f t="array" ref="D744">IF(OR(C744="红单",C744="空派"),_xlfn.IFS(E744="未开售","新品首批发货",F744&lt;E744,"新品首批发货",F744-E744&lt;=60,"新品期补货空运",F744-E744&gt;60,"老品应急空运"),"海运，不进行分析")</f>
        <v>老品应急空运</v>
      </c>
      <c r="E744" s="2">
        <v>44557</v>
      </c>
      <c r="F744" s="2">
        <f>_xlfn.XLOOKUP(J744,数据!E:E,数据!C:C)</f>
        <v>46039</v>
      </c>
      <c r="G744" s="4">
        <v>110</v>
      </c>
      <c r="H744" s="4">
        <f t="shared" si="33"/>
        <v>7.7</v>
      </c>
      <c r="I744" s="4">
        <f>_xlfn.XLOOKUP(J744,数据!E:E,数据!S:S)*(H744/_xlfn.XLOOKUP(J744,数据!E:E,数据!X:X))</f>
        <v>340.969237987988</v>
      </c>
      <c r="J744" t="s">
        <v>322</v>
      </c>
      <c r="K744" t="s">
        <v>59</v>
      </c>
      <c r="L744" t="s">
        <v>2374</v>
      </c>
      <c r="M744" t="s">
        <v>6670</v>
      </c>
      <c r="N744" t="s">
        <v>2376</v>
      </c>
      <c r="O744" t="s">
        <v>2400</v>
      </c>
      <c r="P744" t="s">
        <v>2378</v>
      </c>
      <c r="Q744" t="s">
        <v>2379</v>
      </c>
      <c r="S744" t="s">
        <v>2511</v>
      </c>
      <c r="T744" s="3" t="s">
        <v>6671</v>
      </c>
      <c r="U744" t="s">
        <v>6672</v>
      </c>
      <c r="V744" t="s">
        <v>6673</v>
      </c>
      <c r="W744" t="s">
        <v>6674</v>
      </c>
      <c r="X744" t="s">
        <v>2385</v>
      </c>
      <c r="Y744" t="s">
        <v>6675</v>
      </c>
      <c r="Z744" t="s">
        <v>2387</v>
      </c>
      <c r="AA744" t="s">
        <v>6671</v>
      </c>
      <c r="AB744" t="s">
        <v>6676</v>
      </c>
      <c r="AC744" t="s">
        <v>6677</v>
      </c>
      <c r="AD744" t="s">
        <v>6625</v>
      </c>
      <c r="AG744" t="s">
        <v>2432</v>
      </c>
      <c r="AH744" t="s">
        <v>5982</v>
      </c>
      <c r="AI744" t="s">
        <v>5858</v>
      </c>
      <c r="AJ744" t="s">
        <v>6701</v>
      </c>
      <c r="AK744" t="s">
        <v>6702</v>
      </c>
      <c r="AL744" t="s">
        <v>6703</v>
      </c>
      <c r="AM744" t="s">
        <v>6704</v>
      </c>
      <c r="AN744" t="s">
        <v>6705</v>
      </c>
      <c r="AO744" t="s">
        <v>6701</v>
      </c>
      <c r="AP744">
        <v>70</v>
      </c>
      <c r="AQ744">
        <v>70</v>
      </c>
      <c r="AR744">
        <v>70</v>
      </c>
      <c r="AS744" t="s">
        <v>6706</v>
      </c>
      <c r="AT744">
        <v>0</v>
      </c>
      <c r="AU744">
        <v>0</v>
      </c>
      <c r="AV744">
        <v>0</v>
      </c>
    </row>
    <row r="745" spans="1:48">
      <c r="A745" s="1">
        <f>_xlfn.XLOOKUP(J745,数据!E:E,数据!A:A)</f>
        <v>1</v>
      </c>
      <c r="B745" s="1">
        <f>_xlfn.XLOOKUP(J745,数据!E:E,数据!B:B)</f>
        <v>3</v>
      </c>
      <c r="C745" s="1" t="str">
        <f>_xlfn.XLOOKUP(J745,数据!E:E,数据!J:J)</f>
        <v>空派</v>
      </c>
      <c r="D745" s="1" t="str" cm="1">
        <f t="array" ref="D745">IF(OR(C745="红单",C745="空派"),_xlfn.IFS(E745="未开售","新品首批发货",F745&lt;E745,"新品首批发货",F745-E745&lt;=60,"新品期补货空运",F745-E745&gt;60,"老品应急空运"),"海运，不进行分析")</f>
        <v>老品应急空运</v>
      </c>
      <c r="E745" s="2">
        <v>44455</v>
      </c>
      <c r="F745" s="2">
        <f>_xlfn.XLOOKUP(J745,数据!E:E,数据!C:C)</f>
        <v>46039</v>
      </c>
      <c r="G745" s="4">
        <v>116</v>
      </c>
      <c r="H745" s="4">
        <f t="shared" si="33"/>
        <v>3.48</v>
      </c>
      <c r="I745" s="4">
        <f>_xlfn.XLOOKUP(J745,数据!E:E,数据!S:S)*(H745/_xlfn.XLOOKUP(J745,数据!E:E,数据!X:X))</f>
        <v>154.100382882883</v>
      </c>
      <c r="J745" t="s">
        <v>322</v>
      </c>
      <c r="K745" t="s">
        <v>59</v>
      </c>
      <c r="L745" t="s">
        <v>2374</v>
      </c>
      <c r="M745" t="s">
        <v>6670</v>
      </c>
      <c r="N745" t="s">
        <v>2376</v>
      </c>
      <c r="O745" t="s">
        <v>2400</v>
      </c>
      <c r="P745" t="s">
        <v>2378</v>
      </c>
      <c r="Q745" t="s">
        <v>2379</v>
      </c>
      <c r="S745" t="s">
        <v>2511</v>
      </c>
      <c r="T745" s="3" t="s">
        <v>6671</v>
      </c>
      <c r="U745" t="s">
        <v>6672</v>
      </c>
      <c r="V745" t="s">
        <v>6673</v>
      </c>
      <c r="W745" t="s">
        <v>6674</v>
      </c>
      <c r="X745" t="s">
        <v>2385</v>
      </c>
      <c r="Y745" t="s">
        <v>6675</v>
      </c>
      <c r="Z745" t="s">
        <v>2387</v>
      </c>
      <c r="AA745" t="s">
        <v>6671</v>
      </c>
      <c r="AB745" t="s">
        <v>6676</v>
      </c>
      <c r="AC745" t="s">
        <v>6677</v>
      </c>
      <c r="AD745" t="s">
        <v>6625</v>
      </c>
      <c r="AG745" t="s">
        <v>2432</v>
      </c>
      <c r="AH745" t="s">
        <v>5982</v>
      </c>
      <c r="AI745" t="s">
        <v>5858</v>
      </c>
      <c r="AJ745" t="s">
        <v>6707</v>
      </c>
      <c r="AK745" t="s">
        <v>6708</v>
      </c>
      <c r="AL745" t="s">
        <v>6709</v>
      </c>
      <c r="AM745" t="s">
        <v>6709</v>
      </c>
      <c r="AN745" t="s">
        <v>6710</v>
      </c>
      <c r="AO745" t="s">
        <v>6707</v>
      </c>
      <c r="AP745">
        <v>30</v>
      </c>
      <c r="AQ745">
        <v>30</v>
      </c>
      <c r="AR745">
        <v>30</v>
      </c>
      <c r="AS745" t="s">
        <v>6711</v>
      </c>
      <c r="AT745">
        <v>0</v>
      </c>
      <c r="AU745">
        <v>0</v>
      </c>
      <c r="AV745">
        <v>0</v>
      </c>
    </row>
    <row r="746" spans="1:48">
      <c r="A746" s="1">
        <f>_xlfn.XLOOKUP(J746,数据!E:E,数据!A:A)</f>
        <v>1</v>
      </c>
      <c r="B746" s="1">
        <f>_xlfn.XLOOKUP(J746,数据!E:E,数据!B:B)</f>
        <v>3</v>
      </c>
      <c r="C746" s="1" t="str">
        <f>_xlfn.XLOOKUP(J746,数据!E:E,数据!J:J)</f>
        <v>空派</v>
      </c>
      <c r="D746" s="1" t="str" cm="1">
        <f t="array" ref="D746">IF(OR(C746="红单",C746="空派"),_xlfn.IFS(E746="未开售","新品首批发货",F746&lt;E746,"新品首批发货",F746-E746&lt;=60,"新品期补货空运",F746-E746&gt;60,"老品应急空运"),"海运，不进行分析")</f>
        <v>老品应急空运</v>
      </c>
      <c r="E746" s="2">
        <v>44424</v>
      </c>
      <c r="F746" s="2">
        <f>_xlfn.XLOOKUP(J746,数据!E:E,数据!C:C)</f>
        <v>46039</v>
      </c>
      <c r="G746" s="4">
        <v>144</v>
      </c>
      <c r="H746" s="4">
        <f t="shared" si="33"/>
        <v>5.04</v>
      </c>
      <c r="I746" s="4">
        <f>_xlfn.XLOOKUP(J746,数据!E:E,数据!S:S)*(H746/_xlfn.XLOOKUP(J746,数据!E:E,数据!X:X))</f>
        <v>223.179864864865</v>
      </c>
      <c r="J746" t="s">
        <v>322</v>
      </c>
      <c r="K746" t="s">
        <v>59</v>
      </c>
      <c r="L746" t="s">
        <v>2374</v>
      </c>
      <c r="M746" t="s">
        <v>6670</v>
      </c>
      <c r="N746" t="s">
        <v>2376</v>
      </c>
      <c r="O746" t="s">
        <v>2400</v>
      </c>
      <c r="P746" t="s">
        <v>2378</v>
      </c>
      <c r="Q746" t="s">
        <v>2379</v>
      </c>
      <c r="S746" t="s">
        <v>2511</v>
      </c>
      <c r="T746" s="3" t="s">
        <v>6671</v>
      </c>
      <c r="U746" t="s">
        <v>6672</v>
      </c>
      <c r="V746" t="s">
        <v>6673</v>
      </c>
      <c r="W746" t="s">
        <v>6674</v>
      </c>
      <c r="X746" t="s">
        <v>2385</v>
      </c>
      <c r="Y746" t="s">
        <v>6675</v>
      </c>
      <c r="Z746" t="s">
        <v>2387</v>
      </c>
      <c r="AA746" t="s">
        <v>6671</v>
      </c>
      <c r="AB746" t="s">
        <v>6676</v>
      </c>
      <c r="AC746" t="s">
        <v>6677</v>
      </c>
      <c r="AD746" t="s">
        <v>6625</v>
      </c>
      <c r="AG746" t="s">
        <v>2432</v>
      </c>
      <c r="AH746" t="s">
        <v>5982</v>
      </c>
      <c r="AI746" t="s">
        <v>5858</v>
      </c>
      <c r="AJ746" t="s">
        <v>6712</v>
      </c>
      <c r="AK746" t="s">
        <v>6713</v>
      </c>
      <c r="AL746" t="s">
        <v>6714</v>
      </c>
      <c r="AM746" t="s">
        <v>6715</v>
      </c>
      <c r="AN746" t="s">
        <v>6716</v>
      </c>
      <c r="AO746" t="s">
        <v>6712</v>
      </c>
      <c r="AP746">
        <v>35</v>
      </c>
      <c r="AQ746">
        <v>35</v>
      </c>
      <c r="AR746">
        <v>35</v>
      </c>
      <c r="AS746" t="s">
        <v>6717</v>
      </c>
      <c r="AT746">
        <v>0</v>
      </c>
      <c r="AU746">
        <v>0</v>
      </c>
      <c r="AV746">
        <v>0</v>
      </c>
    </row>
    <row r="747" spans="1:48">
      <c r="A747" s="1">
        <f>_xlfn.XLOOKUP(J747,数据!E:E,数据!A:A)</f>
        <v>1</v>
      </c>
      <c r="B747" s="1">
        <f>_xlfn.XLOOKUP(J747,数据!E:E,数据!B:B)</f>
        <v>3</v>
      </c>
      <c r="C747" s="1" t="str">
        <f>_xlfn.XLOOKUP(J747,数据!E:E,数据!J:J)</f>
        <v>红单</v>
      </c>
      <c r="D747" s="1" t="str" cm="1">
        <f t="array" ref="D747">IF(OR(C747="红单",C747="空派"),_xlfn.IFS(E747="未开售","新品首批发货",F747&lt;E747,"新品首批发货",F747-E747&lt;=60,"新品期补货空运",F747-E747&gt;60,"老品应急空运"),"海运，不进行分析")</f>
        <v>老品应急空运</v>
      </c>
      <c r="E747" s="2">
        <v>45965</v>
      </c>
      <c r="F747" s="2">
        <f>_xlfn.XLOOKUP(J747,数据!E:E,数据!C:C)</f>
        <v>46037</v>
      </c>
      <c r="G747" s="4">
        <v>236</v>
      </c>
      <c r="H747" s="4">
        <f t="shared" ref="H747:H753" si="34">G747*AP747/1000</f>
        <v>23.6</v>
      </c>
      <c r="I747" s="4">
        <f>_xlfn.XLOOKUP(J747,数据!E:E,数据!S:S)*(H747/_xlfn.XLOOKUP(J747,数据!E:E,数据!X:X))</f>
        <v>1803.4</v>
      </c>
      <c r="J747" t="s">
        <v>229</v>
      </c>
      <c r="K747" t="s">
        <v>56</v>
      </c>
      <c r="L747" t="s">
        <v>2374</v>
      </c>
      <c r="M747" t="s">
        <v>6718</v>
      </c>
      <c r="N747" t="s">
        <v>2376</v>
      </c>
      <c r="O747" t="s">
        <v>2377</v>
      </c>
      <c r="P747" t="s">
        <v>2378</v>
      </c>
      <c r="Q747" t="s">
        <v>2379</v>
      </c>
      <c r="R747" t="s">
        <v>229</v>
      </c>
      <c r="S747" t="s">
        <v>2511</v>
      </c>
      <c r="T747" s="3" t="s">
        <v>6719</v>
      </c>
      <c r="U747" t="s">
        <v>6720</v>
      </c>
      <c r="V747" t="s">
        <v>6721</v>
      </c>
      <c r="W747" t="s">
        <v>6722</v>
      </c>
      <c r="X747" t="s">
        <v>2403</v>
      </c>
      <c r="Y747" t="s">
        <v>6723</v>
      </c>
      <c r="Z747" t="s">
        <v>2405</v>
      </c>
      <c r="AA747" t="s">
        <v>6719</v>
      </c>
      <c r="AB747" t="s">
        <v>6497</v>
      </c>
      <c r="AC747" t="s">
        <v>6724</v>
      </c>
      <c r="AD747" t="s">
        <v>6725</v>
      </c>
      <c r="AH747" t="s">
        <v>6483</v>
      </c>
      <c r="AI747" t="s">
        <v>5982</v>
      </c>
      <c r="AJ747" t="s">
        <v>4871</v>
      </c>
      <c r="AK747" t="s">
        <v>4872</v>
      </c>
      <c r="AL747" t="s">
        <v>4873</v>
      </c>
      <c r="AM747" t="s">
        <v>2396</v>
      </c>
      <c r="AN747" t="s">
        <v>4874</v>
      </c>
      <c r="AO747" t="s">
        <v>4871</v>
      </c>
      <c r="AP747">
        <v>100</v>
      </c>
      <c r="AQ747">
        <v>100</v>
      </c>
      <c r="AR747">
        <v>100</v>
      </c>
      <c r="AS747" t="s">
        <v>6726</v>
      </c>
      <c r="AT747">
        <v>0</v>
      </c>
      <c r="AU747">
        <v>0</v>
      </c>
      <c r="AV747">
        <v>0</v>
      </c>
    </row>
    <row r="748" spans="1:48">
      <c r="A748" s="1">
        <f>_xlfn.XLOOKUP(J748,数据!E:E,数据!A:A)</f>
        <v>1</v>
      </c>
      <c r="B748" s="1">
        <f>_xlfn.XLOOKUP(J748,数据!E:E,数据!B:B)</f>
        <v>3</v>
      </c>
      <c r="C748" s="1" t="str">
        <f>_xlfn.XLOOKUP(J748,数据!E:E,数据!J:J)</f>
        <v>红单</v>
      </c>
      <c r="D748" s="1" t="str" cm="1">
        <f t="array" ref="D748">IF(OR(C748="红单",C748="空派"),_xlfn.IFS(E748="未开售","新品首批发货",F748&lt;E748,"新品首批发货",F748-E748&lt;=60,"新品期补货空运",F748-E748&gt;60,"老品应急空运"),"海运，不进行分析")</f>
        <v>老品应急空运</v>
      </c>
      <c r="E748" s="2">
        <v>45964</v>
      </c>
      <c r="F748" s="2">
        <f>_xlfn.XLOOKUP(J748,数据!E:E,数据!C:C)</f>
        <v>46037</v>
      </c>
      <c r="G748" s="4">
        <v>458</v>
      </c>
      <c r="H748" s="4">
        <f t="shared" si="34"/>
        <v>16.488</v>
      </c>
      <c r="I748" s="4">
        <f>_xlfn.XLOOKUP(J748,数据!E:E,数据!S:S)*(H748/_xlfn.XLOOKUP(J748,数据!E:E,数据!X:X))</f>
        <v>1283.244</v>
      </c>
      <c r="J748" t="s">
        <v>228</v>
      </c>
      <c r="K748" t="s">
        <v>54</v>
      </c>
      <c r="L748" t="s">
        <v>2374</v>
      </c>
      <c r="M748" t="s">
        <v>6727</v>
      </c>
      <c r="N748" t="s">
        <v>2376</v>
      </c>
      <c r="O748" t="s">
        <v>2377</v>
      </c>
      <c r="P748" t="s">
        <v>2378</v>
      </c>
      <c r="Q748" t="s">
        <v>2379</v>
      </c>
      <c r="R748" t="s">
        <v>228</v>
      </c>
      <c r="S748" t="s">
        <v>2511</v>
      </c>
      <c r="T748" s="3" t="s">
        <v>6728</v>
      </c>
      <c r="U748" t="s">
        <v>6720</v>
      </c>
      <c r="V748" t="s">
        <v>6729</v>
      </c>
      <c r="W748" t="s">
        <v>6730</v>
      </c>
      <c r="X748" t="s">
        <v>2403</v>
      </c>
      <c r="Y748" t="s">
        <v>6731</v>
      </c>
      <c r="Z748" t="s">
        <v>2405</v>
      </c>
      <c r="AA748" t="s">
        <v>6728</v>
      </c>
      <c r="AB748" t="s">
        <v>6732</v>
      </c>
      <c r="AC748" t="s">
        <v>6733</v>
      </c>
      <c r="AD748" t="s">
        <v>6725</v>
      </c>
      <c r="AH748" t="s">
        <v>6483</v>
      </c>
      <c r="AI748" t="s">
        <v>5982</v>
      </c>
      <c r="AJ748" t="s">
        <v>4210</v>
      </c>
      <c r="AK748" t="s">
        <v>4211</v>
      </c>
      <c r="AL748" t="s">
        <v>4212</v>
      </c>
      <c r="AM748" t="s">
        <v>4212</v>
      </c>
      <c r="AN748" t="s">
        <v>4213</v>
      </c>
      <c r="AO748" t="s">
        <v>4210</v>
      </c>
      <c r="AP748">
        <v>36</v>
      </c>
      <c r="AQ748">
        <v>36</v>
      </c>
      <c r="AR748">
        <v>36</v>
      </c>
      <c r="AS748" t="s">
        <v>6734</v>
      </c>
      <c r="AT748">
        <v>0</v>
      </c>
      <c r="AU748">
        <v>0</v>
      </c>
      <c r="AV748">
        <v>0</v>
      </c>
    </row>
    <row r="749" spans="1:48">
      <c r="A749" s="1">
        <f>_xlfn.XLOOKUP(J749,数据!E:E,数据!A:A)</f>
        <v>1</v>
      </c>
      <c r="B749" s="1">
        <f>_xlfn.XLOOKUP(J749,数据!E:E,数据!B:B)</f>
        <v>3</v>
      </c>
      <c r="C749" s="1" t="str">
        <f>_xlfn.XLOOKUP(J749,数据!E:E,数据!J:J)</f>
        <v>空派</v>
      </c>
      <c r="D749" s="1" t="str" cm="1">
        <f t="array" ref="D749">IF(OR(C749="红单",C749="空派"),_xlfn.IFS(E749="未开售","新品首批发货",F749&lt;E749,"新品首批发货",F749-E749&lt;=60,"新品期补货空运",F749-E749&gt;60,"老品应急空运"),"海运，不进行分析")</f>
        <v>老品应急空运</v>
      </c>
      <c r="E749" s="2">
        <v>45964</v>
      </c>
      <c r="F749" s="2">
        <f>_xlfn.XLOOKUP(J749,数据!E:E,数据!C:C)</f>
        <v>46037</v>
      </c>
      <c r="G749" s="4">
        <v>458</v>
      </c>
      <c r="H749" s="4">
        <f t="shared" si="34"/>
        <v>29.312</v>
      </c>
      <c r="I749" s="4">
        <f>_xlfn.XLOOKUP(J749,数据!E:E,数据!S:S)*(H749/_xlfn.XLOOKUP(J749,数据!E:E,数据!X:X))</f>
        <v>1605.856</v>
      </c>
      <c r="J749" t="s">
        <v>226</v>
      </c>
      <c r="K749" t="s">
        <v>54</v>
      </c>
      <c r="L749" t="s">
        <v>2374</v>
      </c>
      <c r="M749" t="s">
        <v>6735</v>
      </c>
      <c r="N749" t="s">
        <v>2376</v>
      </c>
      <c r="O749" t="s">
        <v>2377</v>
      </c>
      <c r="P749" t="s">
        <v>2378</v>
      </c>
      <c r="Q749" t="s">
        <v>2379</v>
      </c>
      <c r="R749" t="s">
        <v>6736</v>
      </c>
      <c r="S749" t="s">
        <v>2511</v>
      </c>
      <c r="T749" s="3" t="s">
        <v>6737</v>
      </c>
      <c r="U749" t="s">
        <v>6738</v>
      </c>
      <c r="V749" t="s">
        <v>6739</v>
      </c>
      <c r="W749" t="s">
        <v>6740</v>
      </c>
      <c r="X749" t="s">
        <v>2403</v>
      </c>
      <c r="Y749" t="s">
        <v>6741</v>
      </c>
      <c r="Z749" t="s">
        <v>2405</v>
      </c>
      <c r="AA749" t="s">
        <v>6737</v>
      </c>
      <c r="AB749" t="s">
        <v>6742</v>
      </c>
      <c r="AC749" t="s">
        <v>6743</v>
      </c>
      <c r="AD749" t="s">
        <v>6482</v>
      </c>
      <c r="AH749" t="s">
        <v>6483</v>
      </c>
      <c r="AI749" t="s">
        <v>5982</v>
      </c>
      <c r="AJ749" t="s">
        <v>4210</v>
      </c>
      <c r="AK749" t="s">
        <v>4211</v>
      </c>
      <c r="AL749" t="s">
        <v>4212</v>
      </c>
      <c r="AM749" t="s">
        <v>4212</v>
      </c>
      <c r="AN749" t="s">
        <v>4213</v>
      </c>
      <c r="AO749" t="s">
        <v>4210</v>
      </c>
      <c r="AP749">
        <v>64</v>
      </c>
      <c r="AQ749">
        <v>64</v>
      </c>
      <c r="AR749">
        <v>64</v>
      </c>
      <c r="AS749" t="s">
        <v>6744</v>
      </c>
      <c r="AT749">
        <v>0</v>
      </c>
      <c r="AU749">
        <v>0</v>
      </c>
      <c r="AV749">
        <v>0</v>
      </c>
    </row>
    <row r="750" spans="1:48">
      <c r="A750" s="1">
        <f>_xlfn.XLOOKUP(J750,数据!E:E,数据!A:A)</f>
        <v>1</v>
      </c>
      <c r="B750" s="1">
        <f>_xlfn.XLOOKUP(J750,数据!E:E,数据!B:B)</f>
        <v>3</v>
      </c>
      <c r="C750" s="1" t="str">
        <f>_xlfn.XLOOKUP(J750,数据!E:E,数据!J:J)</f>
        <v>空派</v>
      </c>
      <c r="D750" s="1" t="str" cm="1">
        <f t="array" ref="D750">IF(OR(C750="红单",C750="空派"),_xlfn.IFS(E750="未开售","新品首批发货",F750&lt;E750,"新品首批发货",F750-E750&lt;=60,"新品期补货空运",F750-E750&gt;60,"老品应急空运"),"海运，不进行分析")</f>
        <v>老品应急空运</v>
      </c>
      <c r="E750" s="2">
        <v>45965</v>
      </c>
      <c r="F750" s="2">
        <f>_xlfn.XLOOKUP(J750,数据!E:E,数据!C:C)</f>
        <v>46037</v>
      </c>
      <c r="G750" s="4">
        <v>236</v>
      </c>
      <c r="H750" s="4">
        <f t="shared" si="34"/>
        <v>23.6</v>
      </c>
      <c r="I750" s="4">
        <f>_xlfn.XLOOKUP(J750,数据!E:E,数据!S:S)*(H750/_xlfn.XLOOKUP(J750,数据!E:E,数据!X:X))</f>
        <v>1344.39727891156</v>
      </c>
      <c r="J750" t="s">
        <v>227</v>
      </c>
      <c r="K750" t="s">
        <v>56</v>
      </c>
      <c r="L750" t="s">
        <v>2374</v>
      </c>
      <c r="M750" t="s">
        <v>6745</v>
      </c>
      <c r="N750" t="s">
        <v>2376</v>
      </c>
      <c r="O750" t="s">
        <v>2400</v>
      </c>
      <c r="P750" t="s">
        <v>2378</v>
      </c>
      <c r="Q750" t="s">
        <v>2379</v>
      </c>
      <c r="R750" t="s">
        <v>6746</v>
      </c>
      <c r="S750" t="s">
        <v>2511</v>
      </c>
      <c r="T750" s="3" t="s">
        <v>6747</v>
      </c>
      <c r="U750" t="s">
        <v>6748</v>
      </c>
      <c r="V750" t="s">
        <v>6749</v>
      </c>
      <c r="W750" t="s">
        <v>6750</v>
      </c>
      <c r="X750" t="s">
        <v>2403</v>
      </c>
      <c r="Y750" t="s">
        <v>6751</v>
      </c>
      <c r="Z750" t="s">
        <v>2405</v>
      </c>
      <c r="AA750" t="s">
        <v>6747</v>
      </c>
      <c r="AB750" t="s">
        <v>6497</v>
      </c>
      <c r="AC750" t="s">
        <v>6752</v>
      </c>
      <c r="AD750" t="s">
        <v>6482</v>
      </c>
      <c r="AH750" t="s">
        <v>5982</v>
      </c>
      <c r="AI750" t="s">
        <v>5858</v>
      </c>
      <c r="AJ750" t="s">
        <v>4871</v>
      </c>
      <c r="AK750" t="s">
        <v>4872</v>
      </c>
      <c r="AL750" t="s">
        <v>4873</v>
      </c>
      <c r="AM750" t="s">
        <v>2396</v>
      </c>
      <c r="AN750" t="s">
        <v>4874</v>
      </c>
      <c r="AO750" t="s">
        <v>4871</v>
      </c>
      <c r="AP750">
        <v>100</v>
      </c>
      <c r="AQ750">
        <v>100</v>
      </c>
      <c r="AR750">
        <v>100</v>
      </c>
      <c r="AS750" t="s">
        <v>6753</v>
      </c>
      <c r="AT750">
        <v>0</v>
      </c>
      <c r="AU750">
        <v>0</v>
      </c>
      <c r="AV750">
        <v>0</v>
      </c>
    </row>
    <row r="751" spans="1:48">
      <c r="A751" s="1">
        <f>_xlfn.XLOOKUP(J751,数据!E:E,数据!A:A)</f>
        <v>1</v>
      </c>
      <c r="B751" s="1">
        <f>_xlfn.XLOOKUP(J751,数据!E:E,数据!B:B)</f>
        <v>3</v>
      </c>
      <c r="C751" s="1" t="str">
        <f>_xlfn.XLOOKUP(J751,数据!E:E,数据!J:J)</f>
        <v>空派</v>
      </c>
      <c r="D751" s="1" t="str" cm="1">
        <f t="array" ref="D751">IF(OR(C751="红单",C751="空派"),_xlfn.IFS(E751="未开售","新品首批发货",F751&lt;E751,"新品首批发货",F751-E751&lt;=60,"新品期补货空运",F751-E751&gt;60,"老品应急空运"),"海运，不进行分析")</f>
        <v>新品期补货空运</v>
      </c>
      <c r="E751" s="2">
        <v>46015</v>
      </c>
      <c r="F751" s="2">
        <f>_xlfn.XLOOKUP(J751,数据!E:E,数据!C:C)</f>
        <v>46037</v>
      </c>
      <c r="G751" s="4">
        <v>116</v>
      </c>
      <c r="H751" s="4">
        <f t="shared" si="34"/>
        <v>5.8</v>
      </c>
      <c r="I751" s="4">
        <f>_xlfn.XLOOKUP(J751,数据!E:E,数据!S:S)*(H751/_xlfn.XLOOKUP(J751,数据!E:E,数据!X:X))</f>
        <v>330.402721088435</v>
      </c>
      <c r="J751" t="s">
        <v>227</v>
      </c>
      <c r="K751" t="s">
        <v>56</v>
      </c>
      <c r="L751" t="s">
        <v>2374</v>
      </c>
      <c r="M751" t="s">
        <v>6745</v>
      </c>
      <c r="N751" t="s">
        <v>2376</v>
      </c>
      <c r="O751" t="s">
        <v>2400</v>
      </c>
      <c r="P751" t="s">
        <v>2378</v>
      </c>
      <c r="Q751" t="s">
        <v>2379</v>
      </c>
      <c r="R751" t="s">
        <v>6746</v>
      </c>
      <c r="S751" t="s">
        <v>2511</v>
      </c>
      <c r="T751" s="3" t="s">
        <v>6747</v>
      </c>
      <c r="U751" t="s">
        <v>6748</v>
      </c>
      <c r="V751" t="s">
        <v>6749</v>
      </c>
      <c r="W751" t="s">
        <v>6750</v>
      </c>
      <c r="X751" t="s">
        <v>2403</v>
      </c>
      <c r="Y751" t="s">
        <v>6751</v>
      </c>
      <c r="Z751" t="s">
        <v>2405</v>
      </c>
      <c r="AA751" t="s">
        <v>6747</v>
      </c>
      <c r="AB751" t="s">
        <v>6497</v>
      </c>
      <c r="AC751" t="s">
        <v>6752</v>
      </c>
      <c r="AD751" t="s">
        <v>6482</v>
      </c>
      <c r="AH751" t="s">
        <v>5982</v>
      </c>
      <c r="AI751" t="s">
        <v>5858</v>
      </c>
      <c r="AJ751" t="s">
        <v>6754</v>
      </c>
      <c r="AK751" t="s">
        <v>6755</v>
      </c>
      <c r="AL751" t="s">
        <v>6756</v>
      </c>
      <c r="AM751" t="s">
        <v>3703</v>
      </c>
      <c r="AN751" t="s">
        <v>6757</v>
      </c>
      <c r="AO751" t="s">
        <v>6754</v>
      </c>
      <c r="AP751">
        <v>50</v>
      </c>
      <c r="AQ751">
        <v>50</v>
      </c>
      <c r="AR751">
        <v>50</v>
      </c>
      <c r="AS751" t="s">
        <v>6758</v>
      </c>
      <c r="AT751">
        <v>0</v>
      </c>
      <c r="AU751">
        <v>0</v>
      </c>
      <c r="AV751">
        <v>0</v>
      </c>
    </row>
    <row r="752" spans="1:48">
      <c r="A752" s="1">
        <f>_xlfn.XLOOKUP(J752,数据!E:E,数据!A:A)</f>
        <v>1</v>
      </c>
      <c r="B752" s="1">
        <f>_xlfn.XLOOKUP(J752,数据!E:E,数据!B:B)</f>
        <v>3</v>
      </c>
      <c r="C752" s="1" t="str">
        <f>_xlfn.XLOOKUP(J752,数据!E:E,数据!J:J)</f>
        <v>红单</v>
      </c>
      <c r="D752" s="1" t="str" cm="1">
        <f t="array" ref="D752">IF(OR(C752="红单",C752="空派"),_xlfn.IFS(E752="未开售","新品首批发货",F752&lt;E752,"新品首批发货",F752-E752&lt;=60,"新品期补货空运",F752-E752&gt;60,"老品应急空运"),"海运，不进行分析")</f>
        <v>新品期补货空运</v>
      </c>
      <c r="E752" s="2">
        <v>46016</v>
      </c>
      <c r="F752" s="2">
        <f>_xlfn.XLOOKUP(J752,数据!E:E,数据!C:C)</f>
        <v>46036</v>
      </c>
      <c r="G752" s="4">
        <v>227</v>
      </c>
      <c r="H752" s="4">
        <f t="shared" si="34"/>
        <v>15.89</v>
      </c>
      <c r="I752" s="4">
        <f>_xlfn.XLOOKUP(J752,数据!E:E,数据!S:S)*(H752/_xlfn.XLOOKUP(J752,数据!E:E,数据!X:X))</f>
        <v>1364.16756120979</v>
      </c>
      <c r="J752" t="s">
        <v>225</v>
      </c>
      <c r="K752" t="s">
        <v>56</v>
      </c>
      <c r="L752" t="s">
        <v>2374</v>
      </c>
      <c r="M752" t="s">
        <v>6759</v>
      </c>
      <c r="N752" t="s">
        <v>2376</v>
      </c>
      <c r="O752" t="s">
        <v>2400</v>
      </c>
      <c r="P752" t="s">
        <v>2378</v>
      </c>
      <c r="Q752" t="s">
        <v>2379</v>
      </c>
      <c r="R752" t="s">
        <v>6760</v>
      </c>
      <c r="S752" t="s">
        <v>2511</v>
      </c>
      <c r="T752" s="3" t="s">
        <v>6761</v>
      </c>
      <c r="U752" t="s">
        <v>6762</v>
      </c>
      <c r="V752" t="s">
        <v>6763</v>
      </c>
      <c r="W752" t="s">
        <v>6764</v>
      </c>
      <c r="X752" t="s">
        <v>2403</v>
      </c>
      <c r="Y752" t="s">
        <v>6765</v>
      </c>
      <c r="Z752" t="s">
        <v>2387</v>
      </c>
      <c r="AA752" t="s">
        <v>6761</v>
      </c>
      <c r="AB752" t="s">
        <v>6766</v>
      </c>
      <c r="AC752" t="s">
        <v>6767</v>
      </c>
      <c r="AD752" t="s">
        <v>6768</v>
      </c>
      <c r="AH752" t="s">
        <v>6483</v>
      </c>
      <c r="AI752" t="s">
        <v>5982</v>
      </c>
      <c r="AJ752" t="s">
        <v>6769</v>
      </c>
      <c r="AK752" t="s">
        <v>6770</v>
      </c>
      <c r="AL752" t="s">
        <v>6771</v>
      </c>
      <c r="AM752" t="s">
        <v>3709</v>
      </c>
      <c r="AN752" t="s">
        <v>6772</v>
      </c>
      <c r="AO752" t="s">
        <v>6769</v>
      </c>
      <c r="AP752">
        <v>70</v>
      </c>
      <c r="AQ752">
        <v>70</v>
      </c>
      <c r="AR752">
        <v>70</v>
      </c>
      <c r="AS752" t="s">
        <v>6773</v>
      </c>
      <c r="AT752">
        <v>0</v>
      </c>
      <c r="AU752">
        <v>0</v>
      </c>
      <c r="AV752">
        <v>0</v>
      </c>
    </row>
    <row r="753" spans="1:48">
      <c r="A753" s="1">
        <f>_xlfn.XLOOKUP(J753,数据!E:E,数据!A:A)</f>
        <v>1</v>
      </c>
      <c r="B753" s="1">
        <f>_xlfn.XLOOKUP(J753,数据!E:E,数据!B:B)</f>
        <v>3</v>
      </c>
      <c r="C753" s="1" t="str">
        <f>_xlfn.XLOOKUP(J753,数据!E:E,数据!J:J)</f>
        <v>红单</v>
      </c>
      <c r="D753" s="1" t="str" cm="1">
        <f t="array" ref="D753">IF(OR(C753="红单",C753="空派"),_xlfn.IFS(E753="未开售","新品首批发货",F753&lt;E753,"新品首批发货",F753-E753&lt;=60,"新品期补货空运",F753-E753&gt;60,"老品应急空运"),"海运，不进行分析")</f>
        <v>新品期补货空运</v>
      </c>
      <c r="E753" s="2">
        <v>46017</v>
      </c>
      <c r="F753" s="2">
        <f>_xlfn.XLOOKUP(J753,数据!E:E,数据!C:C)</f>
        <v>46036</v>
      </c>
      <c r="G753" s="4">
        <v>247</v>
      </c>
      <c r="H753" s="4">
        <f t="shared" si="34"/>
        <v>4.94</v>
      </c>
      <c r="I753" s="4">
        <f>_xlfn.XLOOKUP(J753,数据!E:E,数据!S:S)*(H753/_xlfn.XLOOKUP(J753,数据!E:E,数据!X:X))</f>
        <v>424.102438790206</v>
      </c>
      <c r="J753" t="s">
        <v>225</v>
      </c>
      <c r="K753" t="s">
        <v>56</v>
      </c>
      <c r="L753" t="s">
        <v>2374</v>
      </c>
      <c r="M753" t="s">
        <v>6759</v>
      </c>
      <c r="N753" t="s">
        <v>2376</v>
      </c>
      <c r="O753" t="s">
        <v>2400</v>
      </c>
      <c r="P753" t="s">
        <v>2378</v>
      </c>
      <c r="Q753" t="s">
        <v>2379</v>
      </c>
      <c r="R753" t="s">
        <v>6760</v>
      </c>
      <c r="S753" t="s">
        <v>2511</v>
      </c>
      <c r="T753" s="3" t="s">
        <v>6761</v>
      </c>
      <c r="U753" t="s">
        <v>6762</v>
      </c>
      <c r="V753" t="s">
        <v>6763</v>
      </c>
      <c r="W753" t="s">
        <v>6764</v>
      </c>
      <c r="X753" t="s">
        <v>2403</v>
      </c>
      <c r="Y753" t="s">
        <v>6765</v>
      </c>
      <c r="Z753" t="s">
        <v>2387</v>
      </c>
      <c r="AA753" t="s">
        <v>6761</v>
      </c>
      <c r="AB753" t="s">
        <v>6766</v>
      </c>
      <c r="AC753" t="s">
        <v>6767</v>
      </c>
      <c r="AD753" t="s">
        <v>6768</v>
      </c>
      <c r="AH753" t="s">
        <v>6483</v>
      </c>
      <c r="AI753" t="s">
        <v>5982</v>
      </c>
      <c r="AJ753" t="s">
        <v>6774</v>
      </c>
      <c r="AK753" t="s">
        <v>6775</v>
      </c>
      <c r="AL753" t="s">
        <v>6776</v>
      </c>
      <c r="AM753" t="s">
        <v>6777</v>
      </c>
      <c r="AN753" t="s">
        <v>6778</v>
      </c>
      <c r="AO753" t="s">
        <v>6774</v>
      </c>
      <c r="AP753">
        <v>20</v>
      </c>
      <c r="AQ753">
        <v>20</v>
      </c>
      <c r="AR753">
        <v>20</v>
      </c>
      <c r="AS753" t="s">
        <v>6779</v>
      </c>
      <c r="AT753">
        <v>0</v>
      </c>
      <c r="AU753">
        <v>0</v>
      </c>
      <c r="AV753">
        <v>0</v>
      </c>
    </row>
    <row r="754" spans="1:48">
      <c r="A754" s="1">
        <f>_xlfn.XLOOKUP(J754,数据!E:E,数据!A:A)</f>
        <v>1</v>
      </c>
      <c r="B754" s="1">
        <f>_xlfn.XLOOKUP(J754,数据!E:E,数据!B:B)</f>
        <v>3</v>
      </c>
      <c r="C754" s="1" t="str">
        <f>_xlfn.XLOOKUP(J754,数据!E:E,数据!J:J)</f>
        <v>空派</v>
      </c>
      <c r="D754" s="1" t="str" cm="1">
        <f t="array" ref="D754">IF(OR(C754="红单",C754="空派"),_xlfn.IFS(E754="未开售","新品首批发货",F754&lt;E754,"新品首批发货",F754-E754&lt;=60,"新品期补货空运",F754-E754&gt;60,"老品应急空运"),"海运，不进行分析")</f>
        <v>新品期补货空运</v>
      </c>
      <c r="E754" s="2">
        <v>46013</v>
      </c>
      <c r="F754" s="2">
        <f>_xlfn.XLOOKUP(J754,数据!E:E,数据!C:C)</f>
        <v>46035</v>
      </c>
      <c r="G754" s="4">
        <v>142</v>
      </c>
      <c r="H754" s="4">
        <f t="shared" ref="H754:H764" si="35">G754*AP754/1000</f>
        <v>14.2</v>
      </c>
      <c r="I754" s="4">
        <f>_xlfn.XLOOKUP(J754,数据!E:E,数据!S:S)*(H754/_xlfn.XLOOKUP(J754,数据!E:E,数据!X:X))</f>
        <v>751.087350199734</v>
      </c>
      <c r="J754" t="s">
        <v>222</v>
      </c>
      <c r="K754" t="s">
        <v>31</v>
      </c>
      <c r="L754" t="s">
        <v>2374</v>
      </c>
      <c r="M754" t="s">
        <v>6780</v>
      </c>
      <c r="N754" t="s">
        <v>2376</v>
      </c>
      <c r="O754" t="s">
        <v>2400</v>
      </c>
      <c r="P754" t="s">
        <v>2378</v>
      </c>
      <c r="Q754" t="s">
        <v>2379</v>
      </c>
      <c r="R754" t="s">
        <v>6781</v>
      </c>
      <c r="S754" t="s">
        <v>2511</v>
      </c>
      <c r="T754" s="3" t="s">
        <v>6782</v>
      </c>
      <c r="U754" t="s">
        <v>6783</v>
      </c>
      <c r="V754" t="s">
        <v>6784</v>
      </c>
      <c r="W754" t="s">
        <v>6785</v>
      </c>
      <c r="X754" t="s">
        <v>2403</v>
      </c>
      <c r="Y754" t="s">
        <v>6786</v>
      </c>
      <c r="Z754" t="s">
        <v>2405</v>
      </c>
      <c r="AA754" t="s">
        <v>6782</v>
      </c>
      <c r="AB754" t="s">
        <v>6787</v>
      </c>
      <c r="AC754" t="s">
        <v>6788</v>
      </c>
      <c r="AD754" t="s">
        <v>6789</v>
      </c>
      <c r="AH754" t="s">
        <v>6483</v>
      </c>
      <c r="AI754" t="s">
        <v>5982</v>
      </c>
      <c r="AJ754" t="s">
        <v>3574</v>
      </c>
      <c r="AK754" t="s">
        <v>3575</v>
      </c>
      <c r="AL754" t="s">
        <v>3576</v>
      </c>
      <c r="AM754" t="s">
        <v>2787</v>
      </c>
      <c r="AN754" t="s">
        <v>3577</v>
      </c>
      <c r="AO754" t="s">
        <v>3574</v>
      </c>
      <c r="AP754">
        <v>100</v>
      </c>
      <c r="AQ754">
        <v>100</v>
      </c>
      <c r="AR754">
        <v>100</v>
      </c>
      <c r="AS754" t="s">
        <v>6790</v>
      </c>
      <c r="AT754">
        <v>0</v>
      </c>
      <c r="AU754">
        <v>0</v>
      </c>
      <c r="AV754">
        <v>0</v>
      </c>
    </row>
    <row r="755" spans="1:48">
      <c r="A755" s="1">
        <f>_xlfn.XLOOKUP(J755,数据!E:E,数据!A:A)</f>
        <v>1</v>
      </c>
      <c r="B755" s="1">
        <f>_xlfn.XLOOKUP(J755,数据!E:E,数据!B:B)</f>
        <v>3</v>
      </c>
      <c r="C755" s="1" t="str">
        <f>_xlfn.XLOOKUP(J755,数据!E:E,数据!J:J)</f>
        <v>空派</v>
      </c>
      <c r="D755" s="1" t="str" cm="1">
        <f t="array" ref="D755">IF(OR(C755="红单",C755="空派"),_xlfn.IFS(E755="未开售","新品首批发货",F755&lt;E755,"新品首批发货",F755-E755&lt;=60,"新品期补货空运",F755-E755&gt;60,"老品应急空运"),"海运，不进行分析")</f>
        <v>新品期补货空运</v>
      </c>
      <c r="E755" s="2">
        <v>46023</v>
      </c>
      <c r="F755" s="2">
        <f>_xlfn.XLOOKUP(J755,数据!E:E,数据!C:C)</f>
        <v>46035</v>
      </c>
      <c r="G755" s="4">
        <v>144</v>
      </c>
      <c r="H755" s="4">
        <f t="shared" si="35"/>
        <v>15.84</v>
      </c>
      <c r="I755" s="4">
        <f>_xlfn.XLOOKUP(J755,数据!E:E,数据!S:S)*(H755/_xlfn.XLOOKUP(J755,数据!E:E,数据!X:X))</f>
        <v>837.832649800266</v>
      </c>
      <c r="J755" t="s">
        <v>222</v>
      </c>
      <c r="K755" t="s">
        <v>31</v>
      </c>
      <c r="L755" t="s">
        <v>2374</v>
      </c>
      <c r="M755" t="s">
        <v>6780</v>
      </c>
      <c r="N755" t="s">
        <v>2376</v>
      </c>
      <c r="O755" t="s">
        <v>2400</v>
      </c>
      <c r="P755" t="s">
        <v>2378</v>
      </c>
      <c r="Q755" t="s">
        <v>2379</v>
      </c>
      <c r="R755" t="s">
        <v>6781</v>
      </c>
      <c r="S755" t="s">
        <v>2511</v>
      </c>
      <c r="T755" s="3" t="s">
        <v>6782</v>
      </c>
      <c r="U755" t="s">
        <v>6783</v>
      </c>
      <c r="V755" t="s">
        <v>6784</v>
      </c>
      <c r="W755" t="s">
        <v>6785</v>
      </c>
      <c r="X755" t="s">
        <v>2403</v>
      </c>
      <c r="Y755" t="s">
        <v>6786</v>
      </c>
      <c r="Z755" t="s">
        <v>2405</v>
      </c>
      <c r="AA755" t="s">
        <v>6782</v>
      </c>
      <c r="AB755" t="s">
        <v>6787</v>
      </c>
      <c r="AC755" t="s">
        <v>6788</v>
      </c>
      <c r="AD755" t="s">
        <v>6789</v>
      </c>
      <c r="AH755" t="s">
        <v>6483</v>
      </c>
      <c r="AI755" t="s">
        <v>5982</v>
      </c>
      <c r="AJ755" t="s">
        <v>2604</v>
      </c>
      <c r="AK755" t="s">
        <v>2605</v>
      </c>
      <c r="AL755" t="s">
        <v>2606</v>
      </c>
      <c r="AM755" t="s">
        <v>2607</v>
      </c>
      <c r="AN755" t="s">
        <v>2608</v>
      </c>
      <c r="AO755" t="s">
        <v>2604</v>
      </c>
      <c r="AP755">
        <v>110</v>
      </c>
      <c r="AQ755">
        <v>110</v>
      </c>
      <c r="AR755">
        <v>110</v>
      </c>
      <c r="AS755" t="s">
        <v>6791</v>
      </c>
      <c r="AT755">
        <v>0</v>
      </c>
      <c r="AU755">
        <v>0</v>
      </c>
      <c r="AV755">
        <v>0</v>
      </c>
    </row>
    <row r="756" spans="1:48">
      <c r="A756" s="1">
        <f>_xlfn.XLOOKUP(J756,数据!E:E,数据!A:A)</f>
        <v>1</v>
      </c>
      <c r="B756" s="1">
        <f>_xlfn.XLOOKUP(J756,数据!E:E,数据!B:B)</f>
        <v>3</v>
      </c>
      <c r="C756" s="1" t="str">
        <f>_xlfn.XLOOKUP(J756,数据!E:E,数据!J:J)</f>
        <v>空派</v>
      </c>
      <c r="D756" s="1" t="str" cm="1">
        <f t="array" ref="D756">IF(OR(C756="红单",C756="空派"),_xlfn.IFS(E756="未开售","新品首批发货",F756&lt;E756,"新品首批发货",F756-E756&lt;=60,"新品期补货空运",F756-E756&gt;60,"老品应急空运"),"海运，不进行分析")</f>
        <v>老品应急空运</v>
      </c>
      <c r="E756" s="2">
        <v>45563</v>
      </c>
      <c r="F756" s="2">
        <f>_xlfn.XLOOKUP(J756,数据!E:E,数据!C:C)</f>
        <v>46035</v>
      </c>
      <c r="G756" s="4">
        <v>174</v>
      </c>
      <c r="H756" s="4">
        <f t="shared" si="35"/>
        <v>17.052</v>
      </c>
      <c r="I756" s="4">
        <f>_xlfn.XLOOKUP(J756,数据!E:E,数据!S:S)*(H756/_xlfn.XLOOKUP(J756,数据!E:E,数据!X:X))</f>
        <v>856.098</v>
      </c>
      <c r="J756" t="s">
        <v>221</v>
      </c>
      <c r="K756" t="s">
        <v>78</v>
      </c>
      <c r="L756" t="s">
        <v>2374</v>
      </c>
      <c r="M756" t="s">
        <v>6792</v>
      </c>
      <c r="N756" t="s">
        <v>2376</v>
      </c>
      <c r="O756" t="s">
        <v>2377</v>
      </c>
      <c r="P756" t="s">
        <v>2378</v>
      </c>
      <c r="Q756" t="s">
        <v>2379</v>
      </c>
      <c r="R756" t="s">
        <v>6793</v>
      </c>
      <c r="S756" t="s">
        <v>2511</v>
      </c>
      <c r="T756" s="3" t="s">
        <v>6794</v>
      </c>
      <c r="U756" t="s">
        <v>6795</v>
      </c>
      <c r="V756" t="s">
        <v>6796</v>
      </c>
      <c r="W756" t="s">
        <v>6797</v>
      </c>
      <c r="X756" t="s">
        <v>2403</v>
      </c>
      <c r="Y756" t="s">
        <v>6798</v>
      </c>
      <c r="Z756" t="s">
        <v>2387</v>
      </c>
      <c r="AA756" t="s">
        <v>6794</v>
      </c>
      <c r="AB756" t="s">
        <v>6497</v>
      </c>
      <c r="AC756" t="s">
        <v>6799</v>
      </c>
      <c r="AD756" t="s">
        <v>6789</v>
      </c>
      <c r="AH756" t="s">
        <v>6483</v>
      </c>
      <c r="AI756" t="s">
        <v>5982</v>
      </c>
      <c r="AJ756" t="s">
        <v>6800</v>
      </c>
      <c r="AK756" t="s">
        <v>6801</v>
      </c>
      <c r="AL756" t="s">
        <v>6802</v>
      </c>
      <c r="AM756" t="s">
        <v>6803</v>
      </c>
      <c r="AN756" t="s">
        <v>6804</v>
      </c>
      <c r="AO756" t="s">
        <v>6800</v>
      </c>
      <c r="AP756">
        <v>98</v>
      </c>
      <c r="AQ756">
        <v>98</v>
      </c>
      <c r="AR756">
        <v>98</v>
      </c>
      <c r="AS756" t="s">
        <v>6805</v>
      </c>
      <c r="AT756">
        <v>0</v>
      </c>
      <c r="AU756">
        <v>0</v>
      </c>
      <c r="AV756">
        <v>0</v>
      </c>
    </row>
    <row r="757" spans="1:48">
      <c r="A757" s="1">
        <f>_xlfn.XLOOKUP(J757,数据!E:E,数据!A:A)</f>
        <v>1</v>
      </c>
      <c r="B757" s="1">
        <f>_xlfn.XLOOKUP(J757,数据!E:E,数据!B:B)</f>
        <v>3</v>
      </c>
      <c r="C757" s="1" t="str">
        <f>_xlfn.XLOOKUP(J757,数据!E:E,数据!J:J)</f>
        <v>空派</v>
      </c>
      <c r="D757" s="1" t="str" cm="1">
        <f t="array" ref="D757">IF(OR(C757="红单",C757="空派"),_xlfn.IFS(E757="未开售","新品首批发货",F757&lt;E757,"新品首批发货",F757-E757&lt;=60,"新品期补货空运",F757-E757&gt;60,"老品应急空运"),"海运，不进行分析")</f>
        <v>新品期补货空运</v>
      </c>
      <c r="E757" s="2">
        <v>46017</v>
      </c>
      <c r="F757" s="2">
        <f>_xlfn.XLOOKUP(J757,数据!E:E,数据!C:C)</f>
        <v>46035</v>
      </c>
      <c r="G757" s="4">
        <v>111</v>
      </c>
      <c r="H757" s="4">
        <f t="shared" si="35"/>
        <v>9.99</v>
      </c>
      <c r="I757" s="4">
        <f>_xlfn.XLOOKUP(J757,数据!E:E,数据!S:S)*(H757/_xlfn.XLOOKUP(J757,数据!E:E,数据!X:X))</f>
        <v>605.199954044118</v>
      </c>
      <c r="J757" t="s">
        <v>223</v>
      </c>
      <c r="K757" t="s">
        <v>224</v>
      </c>
      <c r="L757" t="s">
        <v>2374</v>
      </c>
      <c r="M757" t="s">
        <v>6806</v>
      </c>
      <c r="N757" t="s">
        <v>2376</v>
      </c>
      <c r="O757" t="s">
        <v>2400</v>
      </c>
      <c r="P757" t="s">
        <v>2378</v>
      </c>
      <c r="Q757" t="s">
        <v>2379</v>
      </c>
      <c r="R757" t="s">
        <v>6807</v>
      </c>
      <c r="S757" t="s">
        <v>2511</v>
      </c>
      <c r="T757" s="3" t="s">
        <v>6808</v>
      </c>
      <c r="U757" t="s">
        <v>6809</v>
      </c>
      <c r="V757" t="s">
        <v>6810</v>
      </c>
      <c r="W757" t="s">
        <v>6811</v>
      </c>
      <c r="X757" t="s">
        <v>2403</v>
      </c>
      <c r="Y757" t="s">
        <v>6812</v>
      </c>
      <c r="Z757" t="s">
        <v>2405</v>
      </c>
      <c r="AA757" t="s">
        <v>6808</v>
      </c>
      <c r="AB757" t="s">
        <v>6813</v>
      </c>
      <c r="AC757" t="s">
        <v>6814</v>
      </c>
      <c r="AD757" t="s">
        <v>6789</v>
      </c>
      <c r="AH757" t="s">
        <v>6483</v>
      </c>
      <c r="AI757" t="s">
        <v>5982</v>
      </c>
      <c r="AJ757" t="s">
        <v>5443</v>
      </c>
      <c r="AK757" t="s">
        <v>5444</v>
      </c>
      <c r="AL757" t="s">
        <v>5445</v>
      </c>
      <c r="AM757" t="s">
        <v>5446</v>
      </c>
      <c r="AN757" t="s">
        <v>5447</v>
      </c>
      <c r="AO757" t="s">
        <v>5443</v>
      </c>
      <c r="AP757">
        <v>90</v>
      </c>
      <c r="AQ757">
        <v>90</v>
      </c>
      <c r="AR757">
        <v>90</v>
      </c>
      <c r="AS757" t="s">
        <v>6815</v>
      </c>
      <c r="AT757">
        <v>0</v>
      </c>
      <c r="AU757">
        <v>0</v>
      </c>
      <c r="AV757">
        <v>0</v>
      </c>
    </row>
    <row r="758" spans="1:48">
      <c r="A758" s="1">
        <f>_xlfn.XLOOKUP(J758,数据!E:E,数据!A:A)</f>
        <v>1</v>
      </c>
      <c r="B758" s="1">
        <f>_xlfn.XLOOKUP(J758,数据!E:E,数据!B:B)</f>
        <v>3</v>
      </c>
      <c r="C758" s="1" t="str">
        <f>_xlfn.XLOOKUP(J758,数据!E:E,数据!J:J)</f>
        <v>空派</v>
      </c>
      <c r="D758" s="1" t="str" cm="1">
        <f t="array" ref="D758">IF(OR(C758="红单",C758="空派"),_xlfn.IFS(E758="未开售","新品首批发货",F758&lt;E758,"新品首批发货",F758-E758&lt;=60,"新品期补货空运",F758-E758&gt;60,"老品应急空运"),"海运，不进行分析")</f>
        <v>老品应急空运</v>
      </c>
      <c r="E758" s="2">
        <v>45877</v>
      </c>
      <c r="F758" s="2">
        <f>_xlfn.XLOOKUP(J758,数据!E:E,数据!C:C)</f>
        <v>46035</v>
      </c>
      <c r="G758" s="4">
        <v>102.2</v>
      </c>
      <c r="H758" s="4">
        <f t="shared" si="35"/>
        <v>3.066</v>
      </c>
      <c r="I758" s="4">
        <f>_xlfn.XLOOKUP(J758,数据!E:E,数据!S:S)*(H758/_xlfn.XLOOKUP(J758,数据!E:E,数据!X:X))</f>
        <v>185.740045955882</v>
      </c>
      <c r="J758" t="s">
        <v>223</v>
      </c>
      <c r="K758" t="s">
        <v>224</v>
      </c>
      <c r="L758" t="s">
        <v>2374</v>
      </c>
      <c r="M758" t="s">
        <v>6806</v>
      </c>
      <c r="N758" t="s">
        <v>2376</v>
      </c>
      <c r="O758" t="s">
        <v>2400</v>
      </c>
      <c r="P758" t="s">
        <v>2378</v>
      </c>
      <c r="Q758" t="s">
        <v>2379</v>
      </c>
      <c r="R758" t="s">
        <v>6807</v>
      </c>
      <c r="S758" t="s">
        <v>2511</v>
      </c>
      <c r="T758" s="3" t="s">
        <v>6808</v>
      </c>
      <c r="U758" t="s">
        <v>6809</v>
      </c>
      <c r="V758" t="s">
        <v>6810</v>
      </c>
      <c r="W758" t="s">
        <v>6811</v>
      </c>
      <c r="X758" t="s">
        <v>2403</v>
      </c>
      <c r="Y758" t="s">
        <v>6812</v>
      </c>
      <c r="Z758" t="s">
        <v>2405</v>
      </c>
      <c r="AA758" t="s">
        <v>6808</v>
      </c>
      <c r="AB758" t="s">
        <v>6813</v>
      </c>
      <c r="AC758" t="s">
        <v>6814</v>
      </c>
      <c r="AD758" t="s">
        <v>6789</v>
      </c>
      <c r="AH758" t="s">
        <v>6483</v>
      </c>
      <c r="AI758" t="s">
        <v>5982</v>
      </c>
      <c r="AJ758" t="s">
        <v>6421</v>
      </c>
      <c r="AK758" t="s">
        <v>6422</v>
      </c>
      <c r="AL758" t="s">
        <v>6423</v>
      </c>
      <c r="AM758" t="s">
        <v>5613</v>
      </c>
      <c r="AN758" t="s">
        <v>6424</v>
      </c>
      <c r="AO758" t="s">
        <v>6421</v>
      </c>
      <c r="AP758">
        <v>30</v>
      </c>
      <c r="AQ758">
        <v>30</v>
      </c>
      <c r="AR758">
        <v>30</v>
      </c>
      <c r="AS758" t="s">
        <v>6816</v>
      </c>
      <c r="AT758">
        <v>0</v>
      </c>
      <c r="AU758">
        <v>0</v>
      </c>
      <c r="AV758">
        <v>0</v>
      </c>
    </row>
    <row r="759" spans="1:48">
      <c r="A759" s="1">
        <f>_xlfn.XLOOKUP(J759,数据!E:E,数据!A:A)</f>
        <v>1</v>
      </c>
      <c r="B759" s="1">
        <f>_xlfn.XLOOKUP(J759,数据!E:E,数据!B:B)</f>
        <v>3</v>
      </c>
      <c r="C759" s="1" t="str">
        <f>_xlfn.XLOOKUP(J759,数据!E:E,数据!J:J)</f>
        <v>空派</v>
      </c>
      <c r="D759" s="1" t="str" cm="1">
        <f t="array" ref="D759">IF(OR(C759="红单",C759="空派"),_xlfn.IFS(E759="未开售","新品首批发货",F759&lt;E759,"新品首批发货",F759-E759&lt;=60,"新品期补货空运",F759-E759&gt;60,"老品应急空运"),"海运，不进行分析")</f>
        <v>老品应急空运</v>
      </c>
      <c r="E759" s="2">
        <v>45970</v>
      </c>
      <c r="F759" s="2">
        <f>_xlfn.XLOOKUP(J759,数据!E:E,数据!C:C)</f>
        <v>46035</v>
      </c>
      <c r="G759" s="4">
        <v>140</v>
      </c>
      <c r="H759" s="4">
        <f t="shared" si="35"/>
        <v>13.58</v>
      </c>
      <c r="I759" s="4">
        <f>_xlfn.XLOOKUP(J759,数据!E:E,数据!S:S)*(H759/_xlfn.XLOOKUP(J759,数据!E:E,数据!X:X))</f>
        <v>930.847</v>
      </c>
      <c r="J759" t="s">
        <v>220</v>
      </c>
      <c r="K759" t="s">
        <v>51</v>
      </c>
      <c r="L759" t="s">
        <v>2374</v>
      </c>
      <c r="M759" t="s">
        <v>6817</v>
      </c>
      <c r="N759" t="s">
        <v>2376</v>
      </c>
      <c r="O759" t="s">
        <v>2377</v>
      </c>
      <c r="P759" t="s">
        <v>2378</v>
      </c>
      <c r="Q759" t="s">
        <v>2379</v>
      </c>
      <c r="R759" t="s">
        <v>6818</v>
      </c>
      <c r="S759" t="s">
        <v>2511</v>
      </c>
      <c r="T759" s="3" t="s">
        <v>6819</v>
      </c>
      <c r="U759" t="s">
        <v>6783</v>
      </c>
      <c r="V759" t="s">
        <v>6820</v>
      </c>
      <c r="W759" t="s">
        <v>6821</v>
      </c>
      <c r="X759" t="s">
        <v>2403</v>
      </c>
      <c r="Y759" t="s">
        <v>6822</v>
      </c>
      <c r="Z759" t="s">
        <v>2405</v>
      </c>
      <c r="AA759" t="s">
        <v>6819</v>
      </c>
      <c r="AB759" t="s">
        <v>6823</v>
      </c>
      <c r="AC759" t="s">
        <v>6824</v>
      </c>
      <c r="AD759" t="s">
        <v>6789</v>
      </c>
      <c r="AH759" t="s">
        <v>6483</v>
      </c>
      <c r="AI759" t="s">
        <v>5982</v>
      </c>
      <c r="AJ759" t="s">
        <v>6825</v>
      </c>
      <c r="AK759" t="s">
        <v>6826</v>
      </c>
      <c r="AL759" t="s">
        <v>6827</v>
      </c>
      <c r="AM759" t="s">
        <v>5566</v>
      </c>
      <c r="AN759" t="s">
        <v>6828</v>
      </c>
      <c r="AO759" t="s">
        <v>6825</v>
      </c>
      <c r="AP759">
        <v>97</v>
      </c>
      <c r="AQ759">
        <v>97</v>
      </c>
      <c r="AR759">
        <v>96</v>
      </c>
      <c r="AS759" t="s">
        <v>6829</v>
      </c>
      <c r="AT759">
        <v>0</v>
      </c>
      <c r="AU759">
        <v>-1</v>
      </c>
      <c r="AV759">
        <v>1</v>
      </c>
    </row>
    <row r="760" spans="1:48">
      <c r="A760" s="1">
        <f>_xlfn.XLOOKUP(J760,数据!E:E,数据!A:A)</f>
        <v>1</v>
      </c>
      <c r="B760" s="1">
        <f>_xlfn.XLOOKUP(J760,数据!E:E,数据!B:B)</f>
        <v>3</v>
      </c>
      <c r="C760" s="1" t="str">
        <f>_xlfn.XLOOKUP(J760,数据!E:E,数据!J:J)</f>
        <v>红单</v>
      </c>
      <c r="D760" s="1" t="str" cm="1">
        <f t="array" ref="D760">IF(OR(C760="红单",C760="空派"),_xlfn.IFS(E760="未开售","新品首批发货",F760&lt;E760,"新品首批发货",F760-E760&lt;=60,"新品期补货空运",F760-E760&gt;60,"老品应急空运"),"海运，不进行分析")</f>
        <v>老品应急空运</v>
      </c>
      <c r="E760" s="2">
        <v>44753</v>
      </c>
      <c r="F760" s="2">
        <f>_xlfn.XLOOKUP(J760,数据!E:E,数据!C:C)</f>
        <v>46035</v>
      </c>
      <c r="G760" s="4">
        <v>142.5</v>
      </c>
      <c r="H760" s="4">
        <f t="shared" si="35"/>
        <v>7.125</v>
      </c>
      <c r="I760" s="4">
        <f>_xlfn.XLOOKUP(J760,数据!E:E,数据!S:S)*(H760/_xlfn.XLOOKUP(J760,数据!E:E,数据!X:X))</f>
        <v>515.34350132626</v>
      </c>
      <c r="J760" t="s">
        <v>217</v>
      </c>
      <c r="K760" t="s">
        <v>59</v>
      </c>
      <c r="L760" t="s">
        <v>2374</v>
      </c>
      <c r="M760" t="s">
        <v>6830</v>
      </c>
      <c r="N760" t="s">
        <v>2376</v>
      </c>
      <c r="O760" t="s">
        <v>2400</v>
      </c>
      <c r="P760" t="s">
        <v>2378</v>
      </c>
      <c r="Q760" t="s">
        <v>2379</v>
      </c>
      <c r="R760" t="s">
        <v>6831</v>
      </c>
      <c r="S760" t="s">
        <v>2511</v>
      </c>
      <c r="T760" s="3" t="s">
        <v>6832</v>
      </c>
      <c r="U760" t="s">
        <v>6833</v>
      </c>
      <c r="V760" t="s">
        <v>6834</v>
      </c>
      <c r="W760" t="s">
        <v>6835</v>
      </c>
      <c r="X760" t="s">
        <v>2403</v>
      </c>
      <c r="Y760" t="s">
        <v>6836</v>
      </c>
      <c r="Z760" t="s">
        <v>2387</v>
      </c>
      <c r="AA760" t="s">
        <v>6832</v>
      </c>
      <c r="AB760" t="s">
        <v>6351</v>
      </c>
      <c r="AC760" t="s">
        <v>6837</v>
      </c>
      <c r="AD760" t="s">
        <v>5951</v>
      </c>
      <c r="AH760" t="s">
        <v>6483</v>
      </c>
      <c r="AI760" t="s">
        <v>5982</v>
      </c>
      <c r="AJ760" t="s">
        <v>6695</v>
      </c>
      <c r="AK760" t="s">
        <v>6696</v>
      </c>
      <c r="AL760" t="s">
        <v>6697</v>
      </c>
      <c r="AM760" t="s">
        <v>6698</v>
      </c>
      <c r="AN760" t="s">
        <v>6699</v>
      </c>
      <c r="AO760" t="s">
        <v>6695</v>
      </c>
      <c r="AP760">
        <v>50</v>
      </c>
      <c r="AQ760">
        <v>50</v>
      </c>
      <c r="AR760">
        <v>50</v>
      </c>
      <c r="AS760" t="s">
        <v>6838</v>
      </c>
      <c r="AT760">
        <v>0</v>
      </c>
      <c r="AU760">
        <v>0</v>
      </c>
      <c r="AV760">
        <v>0</v>
      </c>
    </row>
    <row r="761" spans="1:48">
      <c r="A761" s="1">
        <f>_xlfn.XLOOKUP(J761,数据!E:E,数据!A:A)</f>
        <v>1</v>
      </c>
      <c r="B761" s="1">
        <f>_xlfn.XLOOKUP(J761,数据!E:E,数据!B:B)</f>
        <v>3</v>
      </c>
      <c r="C761" s="1" t="str">
        <f>_xlfn.XLOOKUP(J761,数据!E:E,数据!J:J)</f>
        <v>红单</v>
      </c>
      <c r="D761" s="1" t="str" cm="1">
        <f t="array" ref="D761">IF(OR(C761="红单",C761="空派"),_xlfn.IFS(E761="未开售","新品首批发货",F761&lt;E761,"新品首批发货",F761-E761&lt;=60,"新品期补货空运",F761-E761&gt;60,"老品应急空运"),"海运，不进行分析")</f>
        <v>老品应急空运</v>
      </c>
      <c r="E761" s="2">
        <v>45415</v>
      </c>
      <c r="F761" s="2">
        <f>_xlfn.XLOOKUP(J761,数据!E:E,数据!C:C)</f>
        <v>46035</v>
      </c>
      <c r="G761" s="4">
        <v>400</v>
      </c>
      <c r="H761" s="4">
        <f t="shared" si="35"/>
        <v>40</v>
      </c>
      <c r="I761" s="4">
        <f>_xlfn.XLOOKUP(J761,数据!E:E,数据!S:S)*(H761/_xlfn.XLOOKUP(J761,数据!E:E,数据!X:X))</f>
        <v>2893.15649867374</v>
      </c>
      <c r="J761" t="s">
        <v>217</v>
      </c>
      <c r="K761" t="s">
        <v>59</v>
      </c>
      <c r="L761" t="s">
        <v>2374</v>
      </c>
      <c r="M761" t="s">
        <v>6830</v>
      </c>
      <c r="N761" t="s">
        <v>2376</v>
      </c>
      <c r="O761" t="s">
        <v>2400</v>
      </c>
      <c r="P761" t="s">
        <v>2378</v>
      </c>
      <c r="Q761" t="s">
        <v>2379</v>
      </c>
      <c r="R761" t="s">
        <v>6831</v>
      </c>
      <c r="S761" t="s">
        <v>2511</v>
      </c>
      <c r="T761" s="3" t="s">
        <v>6832</v>
      </c>
      <c r="U761" t="s">
        <v>6833</v>
      </c>
      <c r="V761" t="s">
        <v>6834</v>
      </c>
      <c r="W761" t="s">
        <v>6835</v>
      </c>
      <c r="X761" t="s">
        <v>2403</v>
      </c>
      <c r="Y761" t="s">
        <v>6836</v>
      </c>
      <c r="Z761" t="s">
        <v>2387</v>
      </c>
      <c r="AA761" t="s">
        <v>6832</v>
      </c>
      <c r="AB761" t="s">
        <v>6351</v>
      </c>
      <c r="AC761" t="s">
        <v>6837</v>
      </c>
      <c r="AD761" t="s">
        <v>5951</v>
      </c>
      <c r="AH761" t="s">
        <v>6483</v>
      </c>
      <c r="AI761" t="s">
        <v>5982</v>
      </c>
      <c r="AJ761" t="s">
        <v>5998</v>
      </c>
      <c r="AK761" t="s">
        <v>5999</v>
      </c>
      <c r="AL761" t="s">
        <v>6000</v>
      </c>
      <c r="AM761" t="s">
        <v>6001</v>
      </c>
      <c r="AN761" t="s">
        <v>6002</v>
      </c>
      <c r="AO761" t="s">
        <v>5998</v>
      </c>
      <c r="AP761">
        <v>100</v>
      </c>
      <c r="AQ761">
        <v>100</v>
      </c>
      <c r="AR761">
        <v>100</v>
      </c>
      <c r="AS761" t="s">
        <v>6839</v>
      </c>
      <c r="AT761">
        <v>0</v>
      </c>
      <c r="AU761">
        <v>0</v>
      </c>
      <c r="AV761">
        <v>0</v>
      </c>
    </row>
    <row r="762" spans="1:48">
      <c r="A762" s="1">
        <f>_xlfn.XLOOKUP(J762,数据!E:E,数据!A:A)</f>
        <v>1</v>
      </c>
      <c r="B762" s="1">
        <f>_xlfn.XLOOKUP(J762,数据!E:E,数据!B:B)</f>
        <v>3</v>
      </c>
      <c r="C762" s="1" t="str">
        <f>_xlfn.XLOOKUP(J762,数据!E:E,数据!J:J)</f>
        <v>红单</v>
      </c>
      <c r="D762" s="1" t="str" cm="1">
        <f t="array" ref="D762">IF(OR(C762="红单",C762="空派"),_xlfn.IFS(E762="未开售","新品首批发货",F762&lt;E762,"新品首批发货",F762-E762&lt;=60,"新品期补货空运",F762-E762&gt;60,"老品应急空运"),"海运，不进行分析")</f>
        <v>新品期补货空运</v>
      </c>
      <c r="E762" s="2">
        <v>46017</v>
      </c>
      <c r="F762" s="2">
        <f>_xlfn.XLOOKUP(J762,数据!E:E,数据!C:C)</f>
        <v>46035</v>
      </c>
      <c r="G762" s="4">
        <v>115</v>
      </c>
      <c r="H762" s="4">
        <f t="shared" si="35"/>
        <v>5.75</v>
      </c>
      <c r="I762" s="4">
        <f>_xlfn.XLOOKUP(J762,数据!E:E,数据!S:S)*(H762/_xlfn.XLOOKUP(J762,数据!E:E,数据!X:X))</f>
        <v>491.925617870722</v>
      </c>
      <c r="J762" t="s">
        <v>219</v>
      </c>
      <c r="K762" t="s">
        <v>56</v>
      </c>
      <c r="L762" t="s">
        <v>2374</v>
      </c>
      <c r="M762" t="s">
        <v>6840</v>
      </c>
      <c r="N762" t="s">
        <v>2376</v>
      </c>
      <c r="O762" t="s">
        <v>2400</v>
      </c>
      <c r="P762" t="s">
        <v>2378</v>
      </c>
      <c r="Q762" t="s">
        <v>2379</v>
      </c>
      <c r="R762" t="s">
        <v>6841</v>
      </c>
      <c r="S762" t="s">
        <v>2511</v>
      </c>
      <c r="T762" s="3" t="s">
        <v>6832</v>
      </c>
      <c r="U762" t="s">
        <v>6842</v>
      </c>
      <c r="V762" t="s">
        <v>6843</v>
      </c>
      <c r="W762" t="s">
        <v>6844</v>
      </c>
      <c r="X762" t="s">
        <v>2403</v>
      </c>
      <c r="Y762" t="s">
        <v>6845</v>
      </c>
      <c r="Z762" t="s">
        <v>2405</v>
      </c>
      <c r="AA762" t="s">
        <v>6832</v>
      </c>
      <c r="AB762" t="s">
        <v>6497</v>
      </c>
      <c r="AC762" t="s">
        <v>6846</v>
      </c>
      <c r="AD762" t="s">
        <v>5868</v>
      </c>
      <c r="AH762" t="s">
        <v>6483</v>
      </c>
      <c r="AI762" t="s">
        <v>5982</v>
      </c>
      <c r="AJ762" t="s">
        <v>6021</v>
      </c>
      <c r="AK762" t="s">
        <v>6022</v>
      </c>
      <c r="AL762" t="s">
        <v>6023</v>
      </c>
      <c r="AM762" t="s">
        <v>3703</v>
      </c>
      <c r="AN762" t="s">
        <v>6024</v>
      </c>
      <c r="AO762" t="s">
        <v>6021</v>
      </c>
      <c r="AP762">
        <v>50</v>
      </c>
      <c r="AQ762">
        <v>50</v>
      </c>
      <c r="AR762">
        <v>50</v>
      </c>
      <c r="AS762" t="s">
        <v>6847</v>
      </c>
      <c r="AT762">
        <v>0</v>
      </c>
      <c r="AU762">
        <v>0</v>
      </c>
      <c r="AV762">
        <v>0</v>
      </c>
    </row>
    <row r="763" spans="1:48">
      <c r="A763" s="1">
        <f>_xlfn.XLOOKUP(J763,数据!E:E,数据!A:A)</f>
        <v>1</v>
      </c>
      <c r="B763" s="1">
        <f>_xlfn.XLOOKUP(J763,数据!E:E,数据!B:B)</f>
        <v>3</v>
      </c>
      <c r="C763" s="1" t="str">
        <f>_xlfn.XLOOKUP(J763,数据!E:E,数据!J:J)</f>
        <v>红单</v>
      </c>
      <c r="D763" s="1" t="str" cm="1">
        <f t="array" ref="D763">IF(OR(C763="红单",C763="空派"),_xlfn.IFS(E763="未开售","新品首批发货",F763&lt;E763,"新品首批发货",F763-E763&lt;=60,"新品期补货空运",F763-E763&gt;60,"老品应急空运"),"海运，不进行分析")</f>
        <v>老品应急空运</v>
      </c>
      <c r="E763" s="2">
        <v>45938</v>
      </c>
      <c r="F763" s="2">
        <f>_xlfn.XLOOKUP(J763,数据!E:E,数据!C:C)</f>
        <v>46035</v>
      </c>
      <c r="G763" s="4">
        <v>95</v>
      </c>
      <c r="H763" s="4">
        <f t="shared" si="35"/>
        <v>6.65</v>
      </c>
      <c r="I763" s="4">
        <f>_xlfn.XLOOKUP(J763,数据!E:E,数据!S:S)*(H763/_xlfn.XLOOKUP(J763,数据!E:E,数据!X:X))</f>
        <v>568.922671102662</v>
      </c>
      <c r="J763" t="s">
        <v>219</v>
      </c>
      <c r="K763" t="s">
        <v>56</v>
      </c>
      <c r="L763" t="s">
        <v>2374</v>
      </c>
      <c r="M763" t="s">
        <v>6840</v>
      </c>
      <c r="N763" t="s">
        <v>2376</v>
      </c>
      <c r="O763" t="s">
        <v>2400</v>
      </c>
      <c r="P763" t="s">
        <v>2378</v>
      </c>
      <c r="Q763" t="s">
        <v>2379</v>
      </c>
      <c r="R763" t="s">
        <v>6841</v>
      </c>
      <c r="S763" t="s">
        <v>2511</v>
      </c>
      <c r="T763" s="3" t="s">
        <v>6832</v>
      </c>
      <c r="U763" t="s">
        <v>6842</v>
      </c>
      <c r="V763" t="s">
        <v>6843</v>
      </c>
      <c r="W763" t="s">
        <v>6844</v>
      </c>
      <c r="X763" t="s">
        <v>2403</v>
      </c>
      <c r="Y763" t="s">
        <v>6845</v>
      </c>
      <c r="Z763" t="s">
        <v>2405</v>
      </c>
      <c r="AA763" t="s">
        <v>6832</v>
      </c>
      <c r="AB763" t="s">
        <v>6497</v>
      </c>
      <c r="AC763" t="s">
        <v>6846</v>
      </c>
      <c r="AD763" t="s">
        <v>5868</v>
      </c>
      <c r="AH763" t="s">
        <v>6483</v>
      </c>
      <c r="AI763" t="s">
        <v>5982</v>
      </c>
      <c r="AJ763" t="s">
        <v>6848</v>
      </c>
      <c r="AK763" t="s">
        <v>6849</v>
      </c>
      <c r="AL763" t="s">
        <v>6850</v>
      </c>
      <c r="AM763" t="s">
        <v>6850</v>
      </c>
      <c r="AN763" t="s">
        <v>6851</v>
      </c>
      <c r="AO763" t="s">
        <v>6848</v>
      </c>
      <c r="AP763">
        <v>70</v>
      </c>
      <c r="AQ763">
        <v>70</v>
      </c>
      <c r="AR763">
        <v>70</v>
      </c>
      <c r="AS763" t="s">
        <v>6852</v>
      </c>
      <c r="AT763">
        <v>0</v>
      </c>
      <c r="AU763">
        <v>0</v>
      </c>
      <c r="AV763">
        <v>0</v>
      </c>
    </row>
    <row r="764" spans="1:48">
      <c r="A764" s="1">
        <f>_xlfn.XLOOKUP(J764,数据!E:E,数据!A:A)</f>
        <v>1</v>
      </c>
      <c r="B764" s="1">
        <f>_xlfn.XLOOKUP(J764,数据!E:E,数据!B:B)</f>
        <v>3</v>
      </c>
      <c r="C764" s="1" t="str">
        <f>_xlfn.XLOOKUP(J764,数据!E:E,数据!J:J)</f>
        <v>红单</v>
      </c>
      <c r="D764" s="1" t="str" cm="1">
        <f t="array" ref="D764">IF(OR(C764="红单",C764="空派"),_xlfn.IFS(E764="未开售","新品首批发货",F764&lt;E764,"新品首批发货",F764-E764&lt;=60,"新品期补货空运",F764-E764&gt;60,"老品应急空运"),"海运，不进行分析")</f>
        <v>老品应急空运</v>
      </c>
      <c r="E764" s="2">
        <v>45942</v>
      </c>
      <c r="F764" s="2">
        <f>_xlfn.XLOOKUP(J764,数据!E:E,数据!C:C)</f>
        <v>46035</v>
      </c>
      <c r="G764" s="4">
        <v>108</v>
      </c>
      <c r="H764" s="4">
        <f t="shared" si="35"/>
        <v>8.64</v>
      </c>
      <c r="I764" s="4">
        <f>_xlfn.XLOOKUP(J764,数据!E:E,数据!S:S)*(H764/_xlfn.XLOOKUP(J764,数据!E:E,数据!X:X))</f>
        <v>739.171711026616</v>
      </c>
      <c r="J764" t="s">
        <v>219</v>
      </c>
      <c r="K764" t="s">
        <v>56</v>
      </c>
      <c r="L764" t="s">
        <v>2374</v>
      </c>
      <c r="M764" t="s">
        <v>6840</v>
      </c>
      <c r="N764" t="s">
        <v>2376</v>
      </c>
      <c r="O764" t="s">
        <v>2400</v>
      </c>
      <c r="P764" t="s">
        <v>2378</v>
      </c>
      <c r="Q764" t="s">
        <v>2379</v>
      </c>
      <c r="R764" t="s">
        <v>6841</v>
      </c>
      <c r="S764" t="s">
        <v>2511</v>
      </c>
      <c r="T764" s="3" t="s">
        <v>6832</v>
      </c>
      <c r="U764" t="s">
        <v>6842</v>
      </c>
      <c r="V764" t="s">
        <v>6843</v>
      </c>
      <c r="W764" t="s">
        <v>6844</v>
      </c>
      <c r="X764" t="s">
        <v>2403</v>
      </c>
      <c r="Y764" t="s">
        <v>6845</v>
      </c>
      <c r="Z764" t="s">
        <v>2405</v>
      </c>
      <c r="AA764" t="s">
        <v>6832</v>
      </c>
      <c r="AB764" t="s">
        <v>6497</v>
      </c>
      <c r="AC764" t="s">
        <v>6846</v>
      </c>
      <c r="AD764" t="s">
        <v>5868</v>
      </c>
      <c r="AH764" t="s">
        <v>6483</v>
      </c>
      <c r="AI764" t="s">
        <v>5982</v>
      </c>
      <c r="AJ764" t="s">
        <v>6853</v>
      </c>
      <c r="AK764" t="s">
        <v>6854</v>
      </c>
      <c r="AL764" t="s">
        <v>6855</v>
      </c>
      <c r="AM764" t="s">
        <v>3715</v>
      </c>
      <c r="AN764" t="s">
        <v>6856</v>
      </c>
      <c r="AO764" t="s">
        <v>6853</v>
      </c>
      <c r="AP764">
        <v>80</v>
      </c>
      <c r="AQ764">
        <v>80</v>
      </c>
      <c r="AR764">
        <v>80</v>
      </c>
      <c r="AS764" t="s">
        <v>6857</v>
      </c>
      <c r="AT764">
        <v>0</v>
      </c>
      <c r="AU764">
        <v>0</v>
      </c>
      <c r="AV764">
        <v>0</v>
      </c>
    </row>
    <row r="765" spans="1:48">
      <c r="A765" s="1">
        <f>_xlfn.XLOOKUP(J765,数据!E:E,数据!A:A)</f>
        <v>1</v>
      </c>
      <c r="B765" s="1">
        <f>_xlfn.XLOOKUP(J765,数据!E:E,数据!B:B)</f>
        <v>2</v>
      </c>
      <c r="C765" s="1" t="str">
        <f>_xlfn.XLOOKUP(J765,数据!E:E,数据!J:J)</f>
        <v>空派</v>
      </c>
      <c r="D765" s="1" t="str" cm="1">
        <f t="array" ref="D765">IF(OR(C765="红单",C765="空派"),_xlfn.IFS(E765="未开售","新品首批发货",F765&lt;E765,"新品首批发货",F765-E765&lt;=60,"新品期补货空运",F765-E765&gt;60,"老品应急空运"),"海运，不进行分析")</f>
        <v>老品应急空运</v>
      </c>
      <c r="E765" s="2">
        <v>45945</v>
      </c>
      <c r="F765" s="2">
        <f>_xlfn.XLOOKUP(J765,数据!E:E,数据!C:C)</f>
        <v>46032</v>
      </c>
      <c r="G765" s="4">
        <v>95</v>
      </c>
      <c r="H765" s="4">
        <f>G765*AP765/1000</f>
        <v>16.72</v>
      </c>
      <c r="I765" s="4">
        <f>_xlfn.XLOOKUP(J765,数据!E:E,数据!S:S)*(H765/_xlfn.XLOOKUP(J765,数据!E:E,数据!X:X))</f>
        <v>1196.432</v>
      </c>
      <c r="J765" t="s">
        <v>204</v>
      </c>
      <c r="K765" t="s">
        <v>37</v>
      </c>
      <c r="L765" t="s">
        <v>2374</v>
      </c>
      <c r="M765" t="s">
        <v>6858</v>
      </c>
      <c r="N765" t="s">
        <v>2376</v>
      </c>
      <c r="O765" t="s">
        <v>2377</v>
      </c>
      <c r="P765" t="s">
        <v>2378</v>
      </c>
      <c r="Q765" t="s">
        <v>2379</v>
      </c>
      <c r="S765" t="s">
        <v>2511</v>
      </c>
      <c r="T765" s="3" t="s">
        <v>6859</v>
      </c>
      <c r="U765" t="s">
        <v>6860</v>
      </c>
      <c r="V765" t="s">
        <v>6861</v>
      </c>
      <c r="W765" t="s">
        <v>6862</v>
      </c>
      <c r="X765" t="s">
        <v>2403</v>
      </c>
      <c r="Y765" t="s">
        <v>6863</v>
      </c>
      <c r="Z765" t="s">
        <v>2405</v>
      </c>
      <c r="AA765" t="s">
        <v>6859</v>
      </c>
      <c r="AB765" t="s">
        <v>6864</v>
      </c>
      <c r="AC765" t="s">
        <v>6865</v>
      </c>
      <c r="AD765" t="s">
        <v>5982</v>
      </c>
      <c r="AG765" t="s">
        <v>2432</v>
      </c>
      <c r="AH765" t="s">
        <v>5982</v>
      </c>
      <c r="AI765" t="s">
        <v>5858</v>
      </c>
      <c r="AJ765" t="s">
        <v>4586</v>
      </c>
      <c r="AK765" t="s">
        <v>4587</v>
      </c>
      <c r="AL765" t="s">
        <v>4588</v>
      </c>
      <c r="AM765" t="s">
        <v>3492</v>
      </c>
      <c r="AN765" t="s">
        <v>4589</v>
      </c>
      <c r="AO765" t="s">
        <v>4586</v>
      </c>
      <c r="AP765">
        <v>176</v>
      </c>
      <c r="AQ765">
        <v>176</v>
      </c>
      <c r="AR765">
        <v>175</v>
      </c>
      <c r="AS765" t="s">
        <v>6866</v>
      </c>
      <c r="AT765">
        <v>0</v>
      </c>
      <c r="AU765">
        <v>-1</v>
      </c>
      <c r="AV765">
        <v>1</v>
      </c>
    </row>
    <row r="766" spans="1:48">
      <c r="A766" s="1">
        <f>_xlfn.XLOOKUP(J766,数据!E:E,数据!A:A)</f>
        <v>1</v>
      </c>
      <c r="B766" s="1">
        <f>_xlfn.XLOOKUP(J766,数据!E:E,数据!B:B)</f>
        <v>2</v>
      </c>
      <c r="C766" s="1" t="str">
        <f>_xlfn.XLOOKUP(J766,数据!E:E,数据!J:J)</f>
        <v>空派</v>
      </c>
      <c r="D766" s="1" t="str" cm="1">
        <f t="array" ref="D766">IF(OR(C766="红单",C766="空派"),_xlfn.IFS(E766="未开售","新品首批发货",F766&lt;E766,"新品首批发货",F766-E766&lt;=60,"新品期补货空运",F766-E766&gt;60,"老品应急空运"),"海运，不进行分析")</f>
        <v>新品期补货空运</v>
      </c>
      <c r="E766" s="2">
        <v>46025</v>
      </c>
      <c r="F766" s="2">
        <f>_xlfn.XLOOKUP(J766,数据!E:E,数据!C:C)</f>
        <v>46031</v>
      </c>
      <c r="G766" s="4">
        <v>302</v>
      </c>
      <c r="H766" s="4">
        <f t="shared" ref="H766:H786" si="36">G766*AP766/1000</f>
        <v>12.08</v>
      </c>
      <c r="I766" s="4">
        <f>_xlfn.XLOOKUP(J766,数据!E:E,数据!S:S)*(H766/_xlfn.XLOOKUP(J766,数据!E:E,数据!X:X))</f>
        <v>438.277273876872</v>
      </c>
      <c r="J766" t="s">
        <v>135</v>
      </c>
      <c r="K766" t="s">
        <v>46</v>
      </c>
      <c r="L766" t="s">
        <v>2374</v>
      </c>
      <c r="M766" t="s">
        <v>6867</v>
      </c>
      <c r="N766" t="s">
        <v>2376</v>
      </c>
      <c r="O766" t="s">
        <v>2400</v>
      </c>
      <c r="P766" t="s">
        <v>2378</v>
      </c>
      <c r="Q766" t="s">
        <v>2379</v>
      </c>
      <c r="S766" t="s">
        <v>2511</v>
      </c>
      <c r="T766" s="3" t="s">
        <v>6868</v>
      </c>
      <c r="U766" t="s">
        <v>6869</v>
      </c>
      <c r="V766" t="s">
        <v>6870</v>
      </c>
      <c r="W766" t="s">
        <v>6871</v>
      </c>
      <c r="X766" t="s">
        <v>2403</v>
      </c>
      <c r="Y766" t="s">
        <v>6872</v>
      </c>
      <c r="Z766" t="s">
        <v>2405</v>
      </c>
      <c r="AA766" t="s">
        <v>6868</v>
      </c>
      <c r="AB766" t="s">
        <v>5827</v>
      </c>
      <c r="AC766" t="s">
        <v>6873</v>
      </c>
      <c r="AD766" t="s">
        <v>6768</v>
      </c>
      <c r="AG766" t="s">
        <v>2432</v>
      </c>
      <c r="AH766" t="s">
        <v>6874</v>
      </c>
      <c r="AI766" t="s">
        <v>6483</v>
      </c>
      <c r="AJ766" t="s">
        <v>6875</v>
      </c>
      <c r="AK766" t="s">
        <v>6876</v>
      </c>
      <c r="AL766" t="s">
        <v>6877</v>
      </c>
      <c r="AM766" t="s">
        <v>6877</v>
      </c>
      <c r="AN766" t="s">
        <v>6878</v>
      </c>
      <c r="AO766" t="s">
        <v>6875</v>
      </c>
      <c r="AP766">
        <v>40</v>
      </c>
      <c r="AQ766">
        <v>40</v>
      </c>
      <c r="AR766">
        <v>40</v>
      </c>
      <c r="AS766" t="s">
        <v>6879</v>
      </c>
      <c r="AT766">
        <v>0</v>
      </c>
      <c r="AU766">
        <v>0</v>
      </c>
      <c r="AV766">
        <v>0</v>
      </c>
    </row>
    <row r="767" spans="1:48">
      <c r="A767" s="1">
        <f>_xlfn.XLOOKUP(J767,数据!E:E,数据!A:A)</f>
        <v>1</v>
      </c>
      <c r="B767" s="1">
        <f>_xlfn.XLOOKUP(J767,数据!E:E,数据!B:B)</f>
        <v>2</v>
      </c>
      <c r="C767" s="1" t="str">
        <f>_xlfn.XLOOKUP(J767,数据!E:E,数据!J:J)</f>
        <v>空派</v>
      </c>
      <c r="D767" s="1" t="str" cm="1">
        <f t="array" ref="D767">IF(OR(C767="红单",C767="空派"),_xlfn.IFS(E767="未开售","新品首批发货",F767&lt;E767,"新品首批发货",F767-E767&lt;=60,"新品期补货空运",F767-E767&gt;60,"老品应急空运"),"海运，不进行分析")</f>
        <v>新品期补货空运</v>
      </c>
      <c r="E767" s="2">
        <v>46017</v>
      </c>
      <c r="F767" s="2">
        <f>_xlfn.XLOOKUP(J767,数据!E:E,数据!C:C)</f>
        <v>46031</v>
      </c>
      <c r="G767" s="4">
        <v>490</v>
      </c>
      <c r="H767" s="4">
        <f t="shared" si="36"/>
        <v>48.02</v>
      </c>
      <c r="I767" s="4">
        <f>_xlfn.XLOOKUP(J767,数据!E:E,数据!S:S)*(H767/_xlfn.XLOOKUP(J767,数据!E:E,数据!X:X))</f>
        <v>1742.22472612313</v>
      </c>
      <c r="J767" t="s">
        <v>135</v>
      </c>
      <c r="K767" t="s">
        <v>46</v>
      </c>
      <c r="L767" t="s">
        <v>2374</v>
      </c>
      <c r="M767" t="s">
        <v>6867</v>
      </c>
      <c r="N767" t="s">
        <v>2376</v>
      </c>
      <c r="O767" t="s">
        <v>2400</v>
      </c>
      <c r="P767" t="s">
        <v>2378</v>
      </c>
      <c r="Q767" t="s">
        <v>2379</v>
      </c>
      <c r="S767" t="s">
        <v>2511</v>
      </c>
      <c r="T767" s="3" t="s">
        <v>6868</v>
      </c>
      <c r="U767" t="s">
        <v>6869</v>
      </c>
      <c r="V767" t="s">
        <v>6870</v>
      </c>
      <c r="W767" t="s">
        <v>6871</v>
      </c>
      <c r="X767" t="s">
        <v>2403</v>
      </c>
      <c r="Y767" t="s">
        <v>6872</v>
      </c>
      <c r="Z767" t="s">
        <v>2405</v>
      </c>
      <c r="AA767" t="s">
        <v>6868</v>
      </c>
      <c r="AB767" t="s">
        <v>5827</v>
      </c>
      <c r="AC767" t="s">
        <v>6873</v>
      </c>
      <c r="AD767" t="s">
        <v>6768</v>
      </c>
      <c r="AG767" t="s">
        <v>2432</v>
      </c>
      <c r="AH767" t="s">
        <v>6874</v>
      </c>
      <c r="AI767" t="s">
        <v>6483</v>
      </c>
      <c r="AJ767" t="s">
        <v>5485</v>
      </c>
      <c r="AK767" t="s">
        <v>5486</v>
      </c>
      <c r="AL767" t="s">
        <v>5487</v>
      </c>
      <c r="AM767" t="s">
        <v>5487</v>
      </c>
      <c r="AN767" t="s">
        <v>5488</v>
      </c>
      <c r="AO767" t="s">
        <v>5485</v>
      </c>
      <c r="AP767">
        <v>98</v>
      </c>
      <c r="AQ767">
        <v>98</v>
      </c>
      <c r="AR767">
        <v>99</v>
      </c>
      <c r="AS767" t="s">
        <v>6880</v>
      </c>
      <c r="AT767">
        <v>0</v>
      </c>
      <c r="AU767">
        <v>1</v>
      </c>
      <c r="AV767">
        <v>-1</v>
      </c>
    </row>
    <row r="768" spans="1:48">
      <c r="A768" s="1">
        <f>_xlfn.XLOOKUP(J768,数据!E:E,数据!A:A)</f>
        <v>1</v>
      </c>
      <c r="B768" s="1">
        <f>_xlfn.XLOOKUP(J768,数据!E:E,数据!B:B)</f>
        <v>2</v>
      </c>
      <c r="C768" s="1" t="str">
        <f>_xlfn.XLOOKUP(J768,数据!E:E,数据!J:J)</f>
        <v>空派</v>
      </c>
      <c r="D768" s="1" t="str" cm="1">
        <f t="array" ref="D768">IF(OR(C768="红单",C768="空派"),_xlfn.IFS(E768="未开售","新品首批发货",F768&lt;E768,"新品首批发货",F768-E768&lt;=60,"新品期补货空运",F768-E768&gt;60,"老品应急空运"),"海运，不进行分析")</f>
        <v>新品期补货空运</v>
      </c>
      <c r="E768" s="2">
        <v>46020</v>
      </c>
      <c r="F768" s="2">
        <f>_xlfn.XLOOKUP(J768,数据!E:E,数据!C:C)</f>
        <v>46031</v>
      </c>
      <c r="G768" s="4">
        <v>109</v>
      </c>
      <c r="H768" s="4">
        <f t="shared" si="36"/>
        <v>8.393</v>
      </c>
      <c r="I768" s="4">
        <f>_xlfn.XLOOKUP(J768,数据!E:E,数据!S:S)*(H768/_xlfn.XLOOKUP(J768,数据!E:E,数据!X:X))</f>
        <v>335.866177690383</v>
      </c>
      <c r="J768" t="s">
        <v>134</v>
      </c>
      <c r="K768" t="s">
        <v>51</v>
      </c>
      <c r="L768" t="s">
        <v>2374</v>
      </c>
      <c r="M768" t="s">
        <v>6881</v>
      </c>
      <c r="N768" t="s">
        <v>2376</v>
      </c>
      <c r="O768" t="s">
        <v>2400</v>
      </c>
      <c r="P768" t="s">
        <v>2378</v>
      </c>
      <c r="Q768" t="s">
        <v>2379</v>
      </c>
      <c r="S768" t="s">
        <v>2511</v>
      </c>
      <c r="T768" s="3" t="s">
        <v>6868</v>
      </c>
      <c r="U768" t="s">
        <v>6882</v>
      </c>
      <c r="V768" t="s">
        <v>6883</v>
      </c>
      <c r="W768" t="s">
        <v>6884</v>
      </c>
      <c r="X768" t="s">
        <v>2403</v>
      </c>
      <c r="Y768" t="s">
        <v>6885</v>
      </c>
      <c r="Z768" t="s">
        <v>2405</v>
      </c>
      <c r="AA768" t="s">
        <v>6868</v>
      </c>
      <c r="AB768" t="s">
        <v>6886</v>
      </c>
      <c r="AC768" t="s">
        <v>6887</v>
      </c>
      <c r="AD768" t="s">
        <v>6768</v>
      </c>
      <c r="AG768" t="s">
        <v>2432</v>
      </c>
      <c r="AH768" t="s">
        <v>6874</v>
      </c>
      <c r="AI768" t="s">
        <v>6483</v>
      </c>
      <c r="AJ768" t="s">
        <v>6583</v>
      </c>
      <c r="AK768" t="s">
        <v>6584</v>
      </c>
      <c r="AL768" t="s">
        <v>6585</v>
      </c>
      <c r="AM768" t="s">
        <v>2590</v>
      </c>
      <c r="AN768" t="s">
        <v>6586</v>
      </c>
      <c r="AO768" t="s">
        <v>6583</v>
      </c>
      <c r="AP768">
        <v>77</v>
      </c>
      <c r="AQ768">
        <v>77</v>
      </c>
      <c r="AR768">
        <v>73</v>
      </c>
      <c r="AS768" t="s">
        <v>6888</v>
      </c>
      <c r="AT768">
        <v>0</v>
      </c>
      <c r="AU768">
        <v>-4</v>
      </c>
      <c r="AV768">
        <v>4</v>
      </c>
    </row>
    <row r="769" spans="1:48">
      <c r="A769" s="1">
        <f>_xlfn.XLOOKUP(J769,数据!E:E,数据!A:A)</f>
        <v>1</v>
      </c>
      <c r="B769" s="1">
        <f>_xlfn.XLOOKUP(J769,数据!E:E,数据!B:B)</f>
        <v>2</v>
      </c>
      <c r="C769" s="1" t="str">
        <f>_xlfn.XLOOKUP(J769,数据!E:E,数据!J:J)</f>
        <v>空派</v>
      </c>
      <c r="D769" s="1" t="str" cm="1">
        <f t="array" ref="D769">IF(OR(C769="红单",C769="空派"),_xlfn.IFS(E769="未开售","新品首批发货",F769&lt;E769,"新品首批发货",F769-E769&lt;=60,"新品期补货空运",F769-E769&gt;60,"老品应急空运"),"海运，不进行分析")</f>
        <v>新品期补货空运</v>
      </c>
      <c r="E769" s="2">
        <v>46017</v>
      </c>
      <c r="F769" s="2">
        <f>_xlfn.XLOOKUP(J769,数据!E:E,数据!C:C)</f>
        <v>46031</v>
      </c>
      <c r="G769" s="4">
        <v>394</v>
      </c>
      <c r="H769" s="4">
        <f t="shared" si="36"/>
        <v>7.486</v>
      </c>
      <c r="I769" s="4">
        <f>_xlfn.XLOOKUP(J769,数据!E:E,数据!S:S)*(H769/_xlfn.XLOOKUP(J769,数据!E:E,数据!X:X))</f>
        <v>299.570380816181</v>
      </c>
      <c r="J769" t="s">
        <v>134</v>
      </c>
      <c r="K769" t="s">
        <v>51</v>
      </c>
      <c r="L769" t="s">
        <v>2374</v>
      </c>
      <c r="M769" t="s">
        <v>6881</v>
      </c>
      <c r="N769" t="s">
        <v>2376</v>
      </c>
      <c r="O769" t="s">
        <v>2400</v>
      </c>
      <c r="P769" t="s">
        <v>2378</v>
      </c>
      <c r="Q769" t="s">
        <v>2379</v>
      </c>
      <c r="S769" t="s">
        <v>2511</v>
      </c>
      <c r="T769" s="3" t="s">
        <v>6868</v>
      </c>
      <c r="U769" t="s">
        <v>6882</v>
      </c>
      <c r="V769" t="s">
        <v>6883</v>
      </c>
      <c r="W769" t="s">
        <v>6884</v>
      </c>
      <c r="X769" t="s">
        <v>2403</v>
      </c>
      <c r="Y769" t="s">
        <v>6885</v>
      </c>
      <c r="Z769" t="s">
        <v>2405</v>
      </c>
      <c r="AA769" t="s">
        <v>6868</v>
      </c>
      <c r="AB769" t="s">
        <v>6886</v>
      </c>
      <c r="AC769" t="s">
        <v>6887</v>
      </c>
      <c r="AD769" t="s">
        <v>6768</v>
      </c>
      <c r="AG769" t="s">
        <v>2432</v>
      </c>
      <c r="AH769" t="s">
        <v>6874</v>
      </c>
      <c r="AI769" t="s">
        <v>6483</v>
      </c>
      <c r="AJ769" t="s">
        <v>6889</v>
      </c>
      <c r="AK769" t="s">
        <v>6890</v>
      </c>
      <c r="AL769" t="s">
        <v>6891</v>
      </c>
      <c r="AM769" t="s">
        <v>3373</v>
      </c>
      <c r="AN769" t="s">
        <v>6892</v>
      </c>
      <c r="AO769" t="s">
        <v>6889</v>
      </c>
      <c r="AP769">
        <v>19</v>
      </c>
      <c r="AQ769">
        <v>19</v>
      </c>
      <c r="AR769">
        <v>19</v>
      </c>
      <c r="AS769" t="s">
        <v>6893</v>
      </c>
      <c r="AT769">
        <v>0</v>
      </c>
      <c r="AU769">
        <v>0</v>
      </c>
      <c r="AV769">
        <v>0</v>
      </c>
    </row>
    <row r="770" spans="1:48">
      <c r="A770" s="1">
        <f>_xlfn.XLOOKUP(J770,数据!E:E,数据!A:A)</f>
        <v>1</v>
      </c>
      <c r="B770" s="1">
        <f>_xlfn.XLOOKUP(J770,数据!E:E,数据!B:B)</f>
        <v>2</v>
      </c>
      <c r="C770" s="1" t="str">
        <f>_xlfn.XLOOKUP(J770,数据!E:E,数据!J:J)</f>
        <v>空派</v>
      </c>
      <c r="D770" s="1" t="str" cm="1">
        <f t="array" ref="D770">IF(OR(C770="红单",C770="空派"),_xlfn.IFS(E770="未开售","新品首批发货",F770&lt;E770,"新品首批发货",F770-E770&lt;=60,"新品期补货空运",F770-E770&gt;60,"老品应急空运"),"海运，不进行分析")</f>
        <v>老品应急空运</v>
      </c>
      <c r="E770" s="2">
        <v>45946</v>
      </c>
      <c r="F770" s="2">
        <f>_xlfn.XLOOKUP(J770,数据!E:E,数据!C:C)</f>
        <v>46031</v>
      </c>
      <c r="G770" s="4">
        <v>143</v>
      </c>
      <c r="H770" s="4">
        <f t="shared" si="36"/>
        <v>2.86</v>
      </c>
      <c r="I770" s="4">
        <f>_xlfn.XLOOKUP(J770,数据!E:E,数据!S:S)*(H770/_xlfn.XLOOKUP(J770,数据!E:E,数据!X:X))</f>
        <v>114.449811532765</v>
      </c>
      <c r="J770" t="s">
        <v>134</v>
      </c>
      <c r="K770" t="s">
        <v>51</v>
      </c>
      <c r="L770" t="s">
        <v>2374</v>
      </c>
      <c r="M770" t="s">
        <v>6881</v>
      </c>
      <c r="N770" t="s">
        <v>2376</v>
      </c>
      <c r="O770" t="s">
        <v>2400</v>
      </c>
      <c r="P770" t="s">
        <v>2378</v>
      </c>
      <c r="Q770" t="s">
        <v>2379</v>
      </c>
      <c r="S770" t="s">
        <v>2511</v>
      </c>
      <c r="T770" s="3" t="s">
        <v>6868</v>
      </c>
      <c r="U770" t="s">
        <v>6882</v>
      </c>
      <c r="V770" t="s">
        <v>6883</v>
      </c>
      <c r="W770" t="s">
        <v>6884</v>
      </c>
      <c r="X770" t="s">
        <v>2403</v>
      </c>
      <c r="Y770" t="s">
        <v>6885</v>
      </c>
      <c r="Z770" t="s">
        <v>2405</v>
      </c>
      <c r="AA770" t="s">
        <v>6868</v>
      </c>
      <c r="AB770" t="s">
        <v>6886</v>
      </c>
      <c r="AC770" t="s">
        <v>6887</v>
      </c>
      <c r="AD770" t="s">
        <v>6768</v>
      </c>
      <c r="AG770" t="s">
        <v>2432</v>
      </c>
      <c r="AH770" t="s">
        <v>6874</v>
      </c>
      <c r="AI770" t="s">
        <v>6483</v>
      </c>
      <c r="AJ770" t="s">
        <v>6230</v>
      </c>
      <c r="AK770" t="s">
        <v>6231</v>
      </c>
      <c r="AL770" t="s">
        <v>6232</v>
      </c>
      <c r="AM770" t="s">
        <v>5566</v>
      </c>
      <c r="AN770" t="s">
        <v>6233</v>
      </c>
      <c r="AO770" t="s">
        <v>6230</v>
      </c>
      <c r="AP770">
        <v>20</v>
      </c>
      <c r="AQ770">
        <v>20</v>
      </c>
      <c r="AR770">
        <v>20</v>
      </c>
      <c r="AS770" t="s">
        <v>6894</v>
      </c>
      <c r="AT770">
        <v>0</v>
      </c>
      <c r="AU770">
        <v>0</v>
      </c>
      <c r="AV770">
        <v>0</v>
      </c>
    </row>
    <row r="771" spans="1:48">
      <c r="A771" s="1">
        <f>_xlfn.XLOOKUP(J771,数据!E:E,数据!A:A)</f>
        <v>1</v>
      </c>
      <c r="B771" s="1">
        <f>_xlfn.XLOOKUP(J771,数据!E:E,数据!B:B)</f>
        <v>2</v>
      </c>
      <c r="C771" s="1" t="str">
        <f>_xlfn.XLOOKUP(J771,数据!E:E,数据!J:J)</f>
        <v>空派</v>
      </c>
      <c r="D771" s="1" t="str" cm="1">
        <f t="array" ref="D771">IF(OR(C771="红单",C771="空派"),_xlfn.IFS(E771="未开售","新品首批发货",F771&lt;E771,"新品首批发货",F771-E771&lt;=60,"新品期补货空运",F771-E771&gt;60,"老品应急空运"),"海运，不进行分析")</f>
        <v>老品应急空运</v>
      </c>
      <c r="E771" s="2">
        <v>45970</v>
      </c>
      <c r="F771" s="2">
        <f>_xlfn.XLOOKUP(J771,数据!E:E,数据!C:C)</f>
        <v>46031</v>
      </c>
      <c r="G771" s="4">
        <v>140</v>
      </c>
      <c r="H771" s="4">
        <f t="shared" si="36"/>
        <v>0.84</v>
      </c>
      <c r="I771" s="4">
        <f>_xlfn.XLOOKUP(J771,数据!E:E,数据!S:S)*(H771/_xlfn.XLOOKUP(J771,数据!E:E,数据!X:X))</f>
        <v>33.6146299606721</v>
      </c>
      <c r="J771" t="s">
        <v>134</v>
      </c>
      <c r="K771" t="s">
        <v>51</v>
      </c>
      <c r="L771" t="s">
        <v>2374</v>
      </c>
      <c r="M771" t="s">
        <v>6881</v>
      </c>
      <c r="N771" t="s">
        <v>2376</v>
      </c>
      <c r="O771" t="s">
        <v>2400</v>
      </c>
      <c r="P771" t="s">
        <v>2378</v>
      </c>
      <c r="Q771" t="s">
        <v>2379</v>
      </c>
      <c r="S771" t="s">
        <v>2511</v>
      </c>
      <c r="T771" s="3" t="s">
        <v>6868</v>
      </c>
      <c r="U771" t="s">
        <v>6882</v>
      </c>
      <c r="V771" t="s">
        <v>6883</v>
      </c>
      <c r="W771" t="s">
        <v>6884</v>
      </c>
      <c r="X771" t="s">
        <v>2403</v>
      </c>
      <c r="Y771" t="s">
        <v>6885</v>
      </c>
      <c r="Z771" t="s">
        <v>2405</v>
      </c>
      <c r="AA771" t="s">
        <v>6868</v>
      </c>
      <c r="AB771" t="s">
        <v>6886</v>
      </c>
      <c r="AC771" t="s">
        <v>6887</v>
      </c>
      <c r="AD771" t="s">
        <v>6768</v>
      </c>
      <c r="AG771" t="s">
        <v>2432</v>
      </c>
      <c r="AH771" t="s">
        <v>6874</v>
      </c>
      <c r="AI771" t="s">
        <v>6483</v>
      </c>
      <c r="AJ771" t="s">
        <v>6825</v>
      </c>
      <c r="AK771" t="s">
        <v>6826</v>
      </c>
      <c r="AL771" t="s">
        <v>6827</v>
      </c>
      <c r="AM771" t="s">
        <v>5566</v>
      </c>
      <c r="AN771" t="s">
        <v>6828</v>
      </c>
      <c r="AO771" t="s">
        <v>6825</v>
      </c>
      <c r="AP771">
        <v>6</v>
      </c>
      <c r="AQ771">
        <v>6</v>
      </c>
      <c r="AR771">
        <v>6</v>
      </c>
      <c r="AS771" t="s">
        <v>6895</v>
      </c>
      <c r="AT771">
        <v>0</v>
      </c>
      <c r="AU771">
        <v>0</v>
      </c>
      <c r="AV771">
        <v>0</v>
      </c>
    </row>
    <row r="772" spans="1:48">
      <c r="A772" s="1">
        <f>_xlfn.XLOOKUP(J772,数据!E:E,数据!A:A)</f>
        <v>1</v>
      </c>
      <c r="B772" s="1">
        <f>_xlfn.XLOOKUP(J772,数据!E:E,数据!B:B)</f>
        <v>2</v>
      </c>
      <c r="C772" s="1" t="str">
        <f>_xlfn.XLOOKUP(J772,数据!E:E,数据!J:J)</f>
        <v>空派</v>
      </c>
      <c r="D772" s="1" t="str" cm="1">
        <f t="array" ref="D772">IF(OR(C772="红单",C772="空派"),_xlfn.IFS(E772="未开售","新品首批发货",F772&lt;E772,"新品首批发货",F772-E772&lt;=60,"新品期补货空运",F772-E772&gt;60,"老品应急空运"),"海运，不进行分析")</f>
        <v>新品期补货空运</v>
      </c>
      <c r="E772" s="2">
        <v>46023</v>
      </c>
      <c r="F772" s="2">
        <f>_xlfn.XLOOKUP(J772,数据!E:E,数据!C:C)</f>
        <v>46031</v>
      </c>
      <c r="G772" s="4">
        <v>237</v>
      </c>
      <c r="H772" s="4">
        <f t="shared" si="36"/>
        <v>9.006</v>
      </c>
      <c r="I772" s="4">
        <f>_xlfn.XLOOKUP(J772,数据!E:E,数据!S:S)*(H772/_xlfn.XLOOKUP(J772,数据!E:E,数据!X:X))</f>
        <v>399.93653425898</v>
      </c>
      <c r="J772" t="s">
        <v>136</v>
      </c>
      <c r="K772" t="s">
        <v>56</v>
      </c>
      <c r="L772" t="s">
        <v>2374</v>
      </c>
      <c r="M772" t="s">
        <v>6896</v>
      </c>
      <c r="N772" t="s">
        <v>2376</v>
      </c>
      <c r="O772" t="s">
        <v>2400</v>
      </c>
      <c r="P772" t="s">
        <v>2378</v>
      </c>
      <c r="Q772" t="s">
        <v>2379</v>
      </c>
      <c r="S772" t="s">
        <v>2511</v>
      </c>
      <c r="T772" s="3" t="s">
        <v>6868</v>
      </c>
      <c r="U772" t="s">
        <v>6897</v>
      </c>
      <c r="V772" t="s">
        <v>6898</v>
      </c>
      <c r="W772" t="s">
        <v>6899</v>
      </c>
      <c r="X772" t="s">
        <v>2403</v>
      </c>
      <c r="Y772" t="s">
        <v>6900</v>
      </c>
      <c r="Z772" t="s">
        <v>2387</v>
      </c>
      <c r="AA772" t="s">
        <v>6868</v>
      </c>
      <c r="AB772" t="s">
        <v>6901</v>
      </c>
      <c r="AC772" t="s">
        <v>6902</v>
      </c>
      <c r="AD772" t="s">
        <v>6768</v>
      </c>
      <c r="AG772" t="s">
        <v>2432</v>
      </c>
      <c r="AH772" t="s">
        <v>6874</v>
      </c>
      <c r="AI772" t="s">
        <v>6483</v>
      </c>
      <c r="AJ772" t="s">
        <v>5322</v>
      </c>
      <c r="AK772" t="s">
        <v>5323</v>
      </c>
      <c r="AL772" t="s">
        <v>5324</v>
      </c>
      <c r="AM772" t="s">
        <v>2396</v>
      </c>
      <c r="AN772" t="s">
        <v>5325</v>
      </c>
      <c r="AO772" t="s">
        <v>5322</v>
      </c>
      <c r="AP772">
        <v>38</v>
      </c>
      <c r="AQ772">
        <v>38</v>
      </c>
      <c r="AR772">
        <v>38</v>
      </c>
      <c r="AS772" t="s">
        <v>6903</v>
      </c>
      <c r="AT772">
        <v>0</v>
      </c>
      <c r="AU772">
        <v>0</v>
      </c>
      <c r="AV772">
        <v>0</v>
      </c>
    </row>
    <row r="773" spans="1:48">
      <c r="A773" s="1">
        <f>_xlfn.XLOOKUP(J773,数据!E:E,数据!A:A)</f>
        <v>1</v>
      </c>
      <c r="B773" s="1">
        <f>_xlfn.XLOOKUP(J773,数据!E:E,数据!B:B)</f>
        <v>2</v>
      </c>
      <c r="C773" s="1" t="str">
        <f>_xlfn.XLOOKUP(J773,数据!E:E,数据!J:J)</f>
        <v>空派</v>
      </c>
      <c r="D773" s="1" t="str" cm="1">
        <f t="array" ref="D773">IF(OR(C773="红单",C773="空派"),_xlfn.IFS(E773="未开售","新品首批发货",F773&lt;E773,"新品首批发货",F773-E773&lt;=60,"新品期补货空运",F773-E773&gt;60,"老品应急空运"),"海运，不进行分析")</f>
        <v>新品期补货空运</v>
      </c>
      <c r="E773" s="2">
        <v>46016</v>
      </c>
      <c r="F773" s="2">
        <f>_xlfn.XLOOKUP(J773,数据!E:E,数据!C:C)</f>
        <v>46031</v>
      </c>
      <c r="G773" s="4">
        <v>227</v>
      </c>
      <c r="H773" s="4">
        <f t="shared" si="36"/>
        <v>1.816</v>
      </c>
      <c r="I773" s="4">
        <f>_xlfn.XLOOKUP(J773,数据!E:E,数据!S:S)*(H773/_xlfn.XLOOKUP(J773,数据!E:E,数据!X:X))</f>
        <v>80.6445421068518</v>
      </c>
      <c r="J773" t="s">
        <v>136</v>
      </c>
      <c r="K773" t="s">
        <v>56</v>
      </c>
      <c r="L773" t="s">
        <v>2374</v>
      </c>
      <c r="M773" t="s">
        <v>6896</v>
      </c>
      <c r="N773" t="s">
        <v>2376</v>
      </c>
      <c r="O773" t="s">
        <v>2400</v>
      </c>
      <c r="P773" t="s">
        <v>2378</v>
      </c>
      <c r="Q773" t="s">
        <v>2379</v>
      </c>
      <c r="S773" t="s">
        <v>2511</v>
      </c>
      <c r="T773" s="3" t="s">
        <v>6868</v>
      </c>
      <c r="U773" t="s">
        <v>6897</v>
      </c>
      <c r="V773" t="s">
        <v>6898</v>
      </c>
      <c r="W773" t="s">
        <v>6899</v>
      </c>
      <c r="X773" t="s">
        <v>2403</v>
      </c>
      <c r="Y773" t="s">
        <v>6900</v>
      </c>
      <c r="Z773" t="s">
        <v>2387</v>
      </c>
      <c r="AA773" t="s">
        <v>6868</v>
      </c>
      <c r="AB773" t="s">
        <v>6901</v>
      </c>
      <c r="AC773" t="s">
        <v>6902</v>
      </c>
      <c r="AD773" t="s">
        <v>6768</v>
      </c>
      <c r="AG773" t="s">
        <v>2432</v>
      </c>
      <c r="AH773" t="s">
        <v>6874</v>
      </c>
      <c r="AI773" t="s">
        <v>6483</v>
      </c>
      <c r="AJ773" t="s">
        <v>6769</v>
      </c>
      <c r="AK773" t="s">
        <v>6770</v>
      </c>
      <c r="AL773" t="s">
        <v>6771</v>
      </c>
      <c r="AM773" t="s">
        <v>3709</v>
      </c>
      <c r="AN773" t="s">
        <v>6772</v>
      </c>
      <c r="AO773" t="s">
        <v>6769</v>
      </c>
      <c r="AP773">
        <v>8</v>
      </c>
      <c r="AQ773">
        <v>8</v>
      </c>
      <c r="AR773">
        <v>8</v>
      </c>
      <c r="AS773" t="s">
        <v>6904</v>
      </c>
      <c r="AT773">
        <v>0</v>
      </c>
      <c r="AU773">
        <v>0</v>
      </c>
      <c r="AV773">
        <v>0</v>
      </c>
    </row>
    <row r="774" spans="1:48">
      <c r="A774" s="1">
        <f>_xlfn.XLOOKUP(J774,数据!E:E,数据!A:A)</f>
        <v>1</v>
      </c>
      <c r="B774" s="1">
        <f>_xlfn.XLOOKUP(J774,数据!E:E,数据!B:B)</f>
        <v>2</v>
      </c>
      <c r="C774" s="1" t="str">
        <f>_xlfn.XLOOKUP(J774,数据!E:E,数据!J:J)</f>
        <v>空派</v>
      </c>
      <c r="D774" s="1" t="str" cm="1">
        <f t="array" ref="D774">IF(OR(C774="红单",C774="空派"),_xlfn.IFS(E774="未开售","新品首批发货",F774&lt;E774,"新品首批发货",F774-E774&lt;=60,"新品期补货空运",F774-E774&gt;60,"老品应急空运"),"海运，不进行分析")</f>
        <v>新品期补货空运</v>
      </c>
      <c r="E774" s="2">
        <v>46015</v>
      </c>
      <c r="F774" s="2">
        <f>_xlfn.XLOOKUP(J774,数据!E:E,数据!C:C)</f>
        <v>46031</v>
      </c>
      <c r="G774" s="4">
        <v>112</v>
      </c>
      <c r="H774" s="4">
        <f t="shared" si="36"/>
        <v>0.672</v>
      </c>
      <c r="I774" s="4">
        <f>_xlfn.XLOOKUP(J774,数据!E:E,数据!S:S)*(H774/_xlfn.XLOOKUP(J774,数据!E:E,数据!X:X))</f>
        <v>29.8420332025355</v>
      </c>
      <c r="J774" t="s">
        <v>136</v>
      </c>
      <c r="K774" t="s">
        <v>56</v>
      </c>
      <c r="L774" t="s">
        <v>2374</v>
      </c>
      <c r="M774" t="s">
        <v>6896</v>
      </c>
      <c r="N774" t="s">
        <v>2376</v>
      </c>
      <c r="O774" t="s">
        <v>2400</v>
      </c>
      <c r="P774" t="s">
        <v>2378</v>
      </c>
      <c r="Q774" t="s">
        <v>2379</v>
      </c>
      <c r="S774" t="s">
        <v>2511</v>
      </c>
      <c r="T774" s="3" t="s">
        <v>6868</v>
      </c>
      <c r="U774" t="s">
        <v>6897</v>
      </c>
      <c r="V774" t="s">
        <v>6898</v>
      </c>
      <c r="W774" t="s">
        <v>6899</v>
      </c>
      <c r="X774" t="s">
        <v>2403</v>
      </c>
      <c r="Y774" t="s">
        <v>6900</v>
      </c>
      <c r="Z774" t="s">
        <v>2387</v>
      </c>
      <c r="AA774" t="s">
        <v>6868</v>
      </c>
      <c r="AB774" t="s">
        <v>6901</v>
      </c>
      <c r="AC774" t="s">
        <v>6902</v>
      </c>
      <c r="AD774" t="s">
        <v>6768</v>
      </c>
      <c r="AG774" t="s">
        <v>2432</v>
      </c>
      <c r="AH774" t="s">
        <v>6874</v>
      </c>
      <c r="AI774" t="s">
        <v>6483</v>
      </c>
      <c r="AJ774" t="s">
        <v>6905</v>
      </c>
      <c r="AK774" t="s">
        <v>6906</v>
      </c>
      <c r="AL774" t="s">
        <v>6907</v>
      </c>
      <c r="AM774" t="s">
        <v>3703</v>
      </c>
      <c r="AN774" t="s">
        <v>6908</v>
      </c>
      <c r="AO774" t="s">
        <v>6905</v>
      </c>
      <c r="AP774">
        <v>6</v>
      </c>
      <c r="AQ774">
        <v>6</v>
      </c>
      <c r="AR774">
        <v>6</v>
      </c>
      <c r="AS774" t="s">
        <v>6895</v>
      </c>
      <c r="AT774">
        <v>0</v>
      </c>
      <c r="AU774">
        <v>0</v>
      </c>
      <c r="AV774">
        <v>0</v>
      </c>
    </row>
    <row r="775" spans="1:48">
      <c r="A775" s="1">
        <f>_xlfn.XLOOKUP(J775,数据!E:E,数据!A:A)</f>
        <v>1</v>
      </c>
      <c r="B775" s="1">
        <f>_xlfn.XLOOKUP(J775,数据!E:E,数据!B:B)</f>
        <v>2</v>
      </c>
      <c r="C775" s="1" t="str">
        <f>_xlfn.XLOOKUP(J775,数据!E:E,数据!J:J)</f>
        <v>空派</v>
      </c>
      <c r="D775" s="1" t="str" cm="1">
        <f t="array" ref="D775">IF(OR(C775="红单",C775="空派"),_xlfn.IFS(E775="未开售","新品首批发货",F775&lt;E775,"新品首批发货",F775-E775&lt;=60,"新品期补货空运",F775-E775&gt;60,"老品应急空运"),"海运，不进行分析")</f>
        <v>新品期补货空运</v>
      </c>
      <c r="E775" s="2">
        <v>46015</v>
      </c>
      <c r="F775" s="2">
        <f>_xlfn.XLOOKUP(J775,数据!E:E,数据!C:C)</f>
        <v>46031</v>
      </c>
      <c r="G775" s="4">
        <v>166</v>
      </c>
      <c r="H775" s="4">
        <f t="shared" si="36"/>
        <v>0.498</v>
      </c>
      <c r="I775" s="4">
        <f>_xlfn.XLOOKUP(J775,数据!E:E,数据!S:S)*(H775/_xlfn.XLOOKUP(J775,数据!E:E,数据!X:X))</f>
        <v>22.115078176879</v>
      </c>
      <c r="J775" t="s">
        <v>136</v>
      </c>
      <c r="K775" t="s">
        <v>56</v>
      </c>
      <c r="L775" t="s">
        <v>2374</v>
      </c>
      <c r="M775" t="s">
        <v>6896</v>
      </c>
      <c r="N775" t="s">
        <v>2376</v>
      </c>
      <c r="O775" t="s">
        <v>2400</v>
      </c>
      <c r="P775" t="s">
        <v>2378</v>
      </c>
      <c r="Q775" t="s">
        <v>2379</v>
      </c>
      <c r="S775" t="s">
        <v>2511</v>
      </c>
      <c r="T775" s="3" t="s">
        <v>6868</v>
      </c>
      <c r="U775" t="s">
        <v>6897</v>
      </c>
      <c r="V775" t="s">
        <v>6898</v>
      </c>
      <c r="W775" t="s">
        <v>6899</v>
      </c>
      <c r="X775" t="s">
        <v>2403</v>
      </c>
      <c r="Y775" t="s">
        <v>6900</v>
      </c>
      <c r="Z775" t="s">
        <v>2387</v>
      </c>
      <c r="AA775" t="s">
        <v>6868</v>
      </c>
      <c r="AB775" t="s">
        <v>6901</v>
      </c>
      <c r="AC775" t="s">
        <v>6902</v>
      </c>
      <c r="AD775" t="s">
        <v>6768</v>
      </c>
      <c r="AG775" t="s">
        <v>2432</v>
      </c>
      <c r="AH775" t="s">
        <v>6874</v>
      </c>
      <c r="AI775" t="s">
        <v>6483</v>
      </c>
      <c r="AJ775" t="s">
        <v>6111</v>
      </c>
      <c r="AK775" t="s">
        <v>6112</v>
      </c>
      <c r="AL775" t="s">
        <v>6113</v>
      </c>
      <c r="AM775" t="s">
        <v>6029</v>
      </c>
      <c r="AN775" t="s">
        <v>6114</v>
      </c>
      <c r="AO775" t="s">
        <v>6111</v>
      </c>
      <c r="AP775">
        <v>3</v>
      </c>
      <c r="AQ775">
        <v>3</v>
      </c>
      <c r="AR775">
        <v>3</v>
      </c>
      <c r="AS775" t="s">
        <v>6909</v>
      </c>
      <c r="AT775">
        <v>0</v>
      </c>
      <c r="AU775">
        <v>0</v>
      </c>
      <c r="AV775">
        <v>0</v>
      </c>
    </row>
    <row r="776" spans="1:48">
      <c r="A776" s="1">
        <f>_xlfn.XLOOKUP(J776,数据!E:E,数据!A:A)</f>
        <v>1</v>
      </c>
      <c r="B776" s="1">
        <f>_xlfn.XLOOKUP(J776,数据!E:E,数据!B:B)</f>
        <v>2</v>
      </c>
      <c r="C776" s="1" t="str">
        <f>_xlfn.XLOOKUP(J776,数据!E:E,数据!J:J)</f>
        <v>空派</v>
      </c>
      <c r="D776" s="1" t="str" cm="1">
        <f t="array" ref="D776">IF(OR(C776="红单",C776="空派"),_xlfn.IFS(E776="未开售","新品首批发货",F776&lt;E776,"新品首批发货",F776-E776&lt;=60,"新品期补货空运",F776-E776&gt;60,"老品应急空运"),"海运，不进行分析")</f>
        <v>新品期补货空运</v>
      </c>
      <c r="E776" s="2">
        <v>46016</v>
      </c>
      <c r="F776" s="2">
        <f>_xlfn.XLOOKUP(J776,数据!E:E,数据!C:C)</f>
        <v>46031</v>
      </c>
      <c r="G776" s="4">
        <v>153</v>
      </c>
      <c r="H776" s="4">
        <f t="shared" si="36"/>
        <v>0.612</v>
      </c>
      <c r="I776" s="4">
        <f>_xlfn.XLOOKUP(J776,数据!E:E,数据!S:S)*(H776/_xlfn.XLOOKUP(J776,数据!E:E,数据!X:X))</f>
        <v>27.1775659523091</v>
      </c>
      <c r="J776" t="s">
        <v>136</v>
      </c>
      <c r="K776" t="s">
        <v>56</v>
      </c>
      <c r="L776" t="s">
        <v>2374</v>
      </c>
      <c r="M776" t="s">
        <v>6896</v>
      </c>
      <c r="N776" t="s">
        <v>2376</v>
      </c>
      <c r="O776" t="s">
        <v>2400</v>
      </c>
      <c r="P776" t="s">
        <v>2378</v>
      </c>
      <c r="Q776" t="s">
        <v>2379</v>
      </c>
      <c r="S776" t="s">
        <v>2511</v>
      </c>
      <c r="T776" s="3" t="s">
        <v>6868</v>
      </c>
      <c r="U776" t="s">
        <v>6897</v>
      </c>
      <c r="V776" t="s">
        <v>6898</v>
      </c>
      <c r="W776" t="s">
        <v>6899</v>
      </c>
      <c r="X776" t="s">
        <v>2403</v>
      </c>
      <c r="Y776" t="s">
        <v>6900</v>
      </c>
      <c r="Z776" t="s">
        <v>2387</v>
      </c>
      <c r="AA776" t="s">
        <v>6868</v>
      </c>
      <c r="AB776" t="s">
        <v>6901</v>
      </c>
      <c r="AC776" t="s">
        <v>6902</v>
      </c>
      <c r="AD776" t="s">
        <v>6768</v>
      </c>
      <c r="AG776" t="s">
        <v>2432</v>
      </c>
      <c r="AH776" t="s">
        <v>6874</v>
      </c>
      <c r="AI776" t="s">
        <v>6483</v>
      </c>
      <c r="AJ776" t="s">
        <v>6910</v>
      </c>
      <c r="AK776" t="s">
        <v>6911</v>
      </c>
      <c r="AL776" t="s">
        <v>6912</v>
      </c>
      <c r="AM776" t="s">
        <v>3091</v>
      </c>
      <c r="AN776" t="s">
        <v>6913</v>
      </c>
      <c r="AO776" t="s">
        <v>6910</v>
      </c>
      <c r="AP776">
        <v>4</v>
      </c>
      <c r="AQ776">
        <v>4</v>
      </c>
      <c r="AR776">
        <v>4</v>
      </c>
      <c r="AS776" t="s">
        <v>6914</v>
      </c>
      <c r="AT776">
        <v>0</v>
      </c>
      <c r="AU776">
        <v>0</v>
      </c>
      <c r="AV776">
        <v>0</v>
      </c>
    </row>
    <row r="777" spans="1:48">
      <c r="A777" s="1">
        <f>_xlfn.XLOOKUP(J777,数据!E:E,数据!A:A)</f>
        <v>1</v>
      </c>
      <c r="B777" s="1">
        <f>_xlfn.XLOOKUP(J777,数据!E:E,数据!B:B)</f>
        <v>2</v>
      </c>
      <c r="C777" s="1" t="str">
        <f>_xlfn.XLOOKUP(J777,数据!E:E,数据!J:J)</f>
        <v>空派</v>
      </c>
      <c r="D777" s="1" t="str" cm="1">
        <f t="array" ref="D777">IF(OR(C777="红单",C777="空派"),_xlfn.IFS(E777="未开售","新品首批发货",F777&lt;E777,"新品首批发货",F777-E777&lt;=60,"新品期补货空运",F777-E777&gt;60,"老品应急空运"),"海运，不进行分析")</f>
        <v>新品期补货空运</v>
      </c>
      <c r="E777" s="2">
        <v>46015</v>
      </c>
      <c r="F777" s="2">
        <f>_xlfn.XLOOKUP(J777,数据!E:E,数据!C:C)</f>
        <v>46031</v>
      </c>
      <c r="G777" s="4">
        <v>161</v>
      </c>
      <c r="H777" s="4">
        <f t="shared" si="36"/>
        <v>0.322</v>
      </c>
      <c r="I777" s="4">
        <f>_xlfn.XLOOKUP(J777,数据!E:E,数据!S:S)*(H777/_xlfn.XLOOKUP(J777,数据!E:E,数据!X:X))</f>
        <v>14.2993075762149</v>
      </c>
      <c r="J777" t="s">
        <v>136</v>
      </c>
      <c r="K777" t="s">
        <v>56</v>
      </c>
      <c r="L777" t="s">
        <v>2374</v>
      </c>
      <c r="M777" t="s">
        <v>6896</v>
      </c>
      <c r="N777" t="s">
        <v>2376</v>
      </c>
      <c r="O777" t="s">
        <v>2400</v>
      </c>
      <c r="P777" t="s">
        <v>2378</v>
      </c>
      <c r="Q777" t="s">
        <v>2379</v>
      </c>
      <c r="S777" t="s">
        <v>2511</v>
      </c>
      <c r="T777" s="3" t="s">
        <v>6868</v>
      </c>
      <c r="U777" t="s">
        <v>6897</v>
      </c>
      <c r="V777" t="s">
        <v>6898</v>
      </c>
      <c r="W777" t="s">
        <v>6899</v>
      </c>
      <c r="X777" t="s">
        <v>2403</v>
      </c>
      <c r="Y777" t="s">
        <v>6900</v>
      </c>
      <c r="Z777" t="s">
        <v>2387</v>
      </c>
      <c r="AA777" t="s">
        <v>6868</v>
      </c>
      <c r="AB777" t="s">
        <v>6901</v>
      </c>
      <c r="AC777" t="s">
        <v>6902</v>
      </c>
      <c r="AD777" t="s">
        <v>6768</v>
      </c>
      <c r="AG777" t="s">
        <v>2432</v>
      </c>
      <c r="AH777" t="s">
        <v>6874</v>
      </c>
      <c r="AI777" t="s">
        <v>6483</v>
      </c>
      <c r="AJ777" t="s">
        <v>6915</v>
      </c>
      <c r="AK777" t="s">
        <v>6916</v>
      </c>
      <c r="AL777" t="s">
        <v>6917</v>
      </c>
      <c r="AM777" t="s">
        <v>3091</v>
      </c>
      <c r="AN777" t="s">
        <v>6918</v>
      </c>
      <c r="AO777" t="s">
        <v>6915</v>
      </c>
      <c r="AP777">
        <v>2</v>
      </c>
      <c r="AQ777">
        <v>2</v>
      </c>
      <c r="AR777">
        <v>2</v>
      </c>
      <c r="AS777" t="s">
        <v>6919</v>
      </c>
      <c r="AT777">
        <v>0</v>
      </c>
      <c r="AU777">
        <v>0</v>
      </c>
      <c r="AV777">
        <v>0</v>
      </c>
    </row>
    <row r="778" spans="1:48">
      <c r="A778" s="1">
        <f>_xlfn.XLOOKUP(J778,数据!E:E,数据!A:A)</f>
        <v>1</v>
      </c>
      <c r="B778" s="1">
        <f>_xlfn.XLOOKUP(J778,数据!E:E,数据!B:B)</f>
        <v>2</v>
      </c>
      <c r="C778" s="1" t="str">
        <f>_xlfn.XLOOKUP(J778,数据!E:E,数据!J:J)</f>
        <v>空派</v>
      </c>
      <c r="D778" s="1" t="str" cm="1">
        <f t="array" ref="D778">IF(OR(C778="红单",C778="空派"),_xlfn.IFS(E778="未开售","新品首批发货",F778&lt;E778,"新品首批发货",F778-E778&lt;=60,"新品期补货空运",F778-E778&gt;60,"老品应急空运"),"海运，不进行分析")</f>
        <v>新品期补货空运</v>
      </c>
      <c r="E778" s="2">
        <v>46018</v>
      </c>
      <c r="F778" s="2">
        <f>_xlfn.XLOOKUP(J778,数据!E:E,数据!C:C)</f>
        <v>46031</v>
      </c>
      <c r="G778" s="4">
        <v>163</v>
      </c>
      <c r="H778" s="4">
        <f t="shared" si="36"/>
        <v>0.326</v>
      </c>
      <c r="I778" s="4">
        <f>_xlfn.XLOOKUP(J778,数据!E:E,数据!S:S)*(H778/_xlfn.XLOOKUP(J778,数据!E:E,数据!X:X))</f>
        <v>14.47693872623</v>
      </c>
      <c r="J778" t="s">
        <v>136</v>
      </c>
      <c r="K778" t="s">
        <v>56</v>
      </c>
      <c r="L778" t="s">
        <v>2374</v>
      </c>
      <c r="M778" t="s">
        <v>6896</v>
      </c>
      <c r="N778" t="s">
        <v>2376</v>
      </c>
      <c r="O778" t="s">
        <v>2400</v>
      </c>
      <c r="P778" t="s">
        <v>2378</v>
      </c>
      <c r="Q778" t="s">
        <v>2379</v>
      </c>
      <c r="S778" t="s">
        <v>2511</v>
      </c>
      <c r="T778" s="3" t="s">
        <v>6868</v>
      </c>
      <c r="U778" t="s">
        <v>6897</v>
      </c>
      <c r="V778" t="s">
        <v>6898</v>
      </c>
      <c r="W778" t="s">
        <v>6899</v>
      </c>
      <c r="X778" t="s">
        <v>2403</v>
      </c>
      <c r="Y778" t="s">
        <v>6900</v>
      </c>
      <c r="Z778" t="s">
        <v>2387</v>
      </c>
      <c r="AA778" t="s">
        <v>6868</v>
      </c>
      <c r="AB778" t="s">
        <v>6901</v>
      </c>
      <c r="AC778" t="s">
        <v>6902</v>
      </c>
      <c r="AD778" t="s">
        <v>6768</v>
      </c>
      <c r="AG778" t="s">
        <v>2432</v>
      </c>
      <c r="AH778" t="s">
        <v>6874</v>
      </c>
      <c r="AI778" t="s">
        <v>6483</v>
      </c>
      <c r="AJ778" t="s">
        <v>6920</v>
      </c>
      <c r="AK778" t="s">
        <v>6921</v>
      </c>
      <c r="AL778" t="s">
        <v>6922</v>
      </c>
      <c r="AM778" t="s">
        <v>6029</v>
      </c>
      <c r="AN778" t="s">
        <v>6923</v>
      </c>
      <c r="AO778" t="s">
        <v>6920</v>
      </c>
      <c r="AP778">
        <v>2</v>
      </c>
      <c r="AQ778">
        <v>2</v>
      </c>
      <c r="AR778">
        <v>2</v>
      </c>
      <c r="AS778" t="s">
        <v>6919</v>
      </c>
      <c r="AT778">
        <v>0</v>
      </c>
      <c r="AU778">
        <v>0</v>
      </c>
      <c r="AV778">
        <v>0</v>
      </c>
    </row>
    <row r="779" spans="1:48">
      <c r="A779" s="1">
        <f>_xlfn.XLOOKUP(J779,数据!E:E,数据!A:A)</f>
        <v>1</v>
      </c>
      <c r="B779" s="1">
        <f>_xlfn.XLOOKUP(J779,数据!E:E,数据!B:B)</f>
        <v>2</v>
      </c>
      <c r="C779" s="1" t="str">
        <f>_xlfn.XLOOKUP(J779,数据!E:E,数据!J:J)</f>
        <v>红单</v>
      </c>
      <c r="D779" s="1" t="str" cm="1">
        <f t="array" ref="D779">IF(OR(C779="红单",C779="空派"),_xlfn.IFS(E779="未开售","新品首批发货",F779&lt;E779,"新品首批发货",F779-E779&lt;=60,"新品期补货空运",F779-E779&gt;60,"老品应急空运"),"海运，不进行分析")</f>
        <v>新品期补货空运</v>
      </c>
      <c r="E779" s="2">
        <v>46017</v>
      </c>
      <c r="F779" s="2">
        <f>_xlfn.XLOOKUP(J779,数据!E:E,数据!C:C)</f>
        <v>46031</v>
      </c>
      <c r="G779" s="4">
        <v>490</v>
      </c>
      <c r="H779" s="4">
        <f t="shared" si="36"/>
        <v>27.44</v>
      </c>
      <c r="I779" s="4">
        <f>_xlfn.XLOOKUP(J779,数据!E:E,数据!S:S)*(H779/_xlfn.XLOOKUP(J779,数据!E:E,数据!X:X))</f>
        <v>2085.624</v>
      </c>
      <c r="J779" t="s">
        <v>131</v>
      </c>
      <c r="K779" t="s">
        <v>46</v>
      </c>
      <c r="L779" t="s">
        <v>2374</v>
      </c>
      <c r="M779" t="s">
        <v>6924</v>
      </c>
      <c r="N779" t="s">
        <v>2376</v>
      </c>
      <c r="O779" t="s">
        <v>2377</v>
      </c>
      <c r="P779" t="s">
        <v>2378</v>
      </c>
      <c r="Q779" t="s">
        <v>2379</v>
      </c>
      <c r="R779" t="s">
        <v>6925</v>
      </c>
      <c r="S779" t="s">
        <v>2511</v>
      </c>
      <c r="T779" s="3" t="s">
        <v>6926</v>
      </c>
      <c r="U779" t="s">
        <v>2384</v>
      </c>
      <c r="V779" t="s">
        <v>6927</v>
      </c>
      <c r="W779" t="s">
        <v>6928</v>
      </c>
      <c r="X779" t="s">
        <v>2403</v>
      </c>
      <c r="Y779" t="s">
        <v>6929</v>
      </c>
      <c r="Z779" t="s">
        <v>2405</v>
      </c>
      <c r="AA779" t="s">
        <v>6926</v>
      </c>
      <c r="AB779" t="s">
        <v>6930</v>
      </c>
      <c r="AC779" t="s">
        <v>6931</v>
      </c>
      <c r="AD779" t="s">
        <v>6932</v>
      </c>
      <c r="AH779" t="s">
        <v>6874</v>
      </c>
      <c r="AI779" t="s">
        <v>6483</v>
      </c>
      <c r="AJ779" t="s">
        <v>5485</v>
      </c>
      <c r="AK779" t="s">
        <v>5486</v>
      </c>
      <c r="AL779" t="s">
        <v>5487</v>
      </c>
      <c r="AM779" t="s">
        <v>5487</v>
      </c>
      <c r="AN779" t="s">
        <v>5488</v>
      </c>
      <c r="AO779" t="s">
        <v>5485</v>
      </c>
      <c r="AP779">
        <v>56</v>
      </c>
      <c r="AQ779">
        <v>56</v>
      </c>
      <c r="AR779">
        <v>53</v>
      </c>
      <c r="AS779" t="s">
        <v>6933</v>
      </c>
      <c r="AT779">
        <v>0</v>
      </c>
      <c r="AU779">
        <v>-3</v>
      </c>
      <c r="AV779">
        <v>3</v>
      </c>
    </row>
    <row r="780" spans="1:48">
      <c r="A780" s="1">
        <f>_xlfn.XLOOKUP(J780,数据!E:E,数据!A:A)</f>
        <v>1</v>
      </c>
      <c r="B780" s="1">
        <f>_xlfn.XLOOKUP(J780,数据!E:E,数据!B:B)</f>
        <v>2</v>
      </c>
      <c r="C780" s="1" t="str">
        <f>_xlfn.XLOOKUP(J780,数据!E:E,数据!J:J)</f>
        <v>红单</v>
      </c>
      <c r="D780" s="1" t="str" cm="1">
        <f t="array" ref="D780">IF(OR(C780="红单",C780="空派"),_xlfn.IFS(E780="未开售","新品首批发货",F780&lt;E780,"新品首批发货",F780-E780&lt;=60,"新品期补货空运",F780-E780&gt;60,"老品应急空运"),"海运，不进行分析")</f>
        <v>新品期补货空运</v>
      </c>
      <c r="E780" s="2">
        <v>46017</v>
      </c>
      <c r="F780" s="2">
        <f>_xlfn.XLOOKUP(J780,数据!E:E,数据!C:C)</f>
        <v>46031</v>
      </c>
      <c r="G780" s="4">
        <v>247</v>
      </c>
      <c r="H780" s="4">
        <f t="shared" si="36"/>
        <v>20.501</v>
      </c>
      <c r="I780" s="4">
        <f>_xlfn.XLOOKUP(J780,数据!E:E,数据!S:S)*(H780/_xlfn.XLOOKUP(J780,数据!E:E,数据!X:X))</f>
        <v>1572.296</v>
      </c>
      <c r="J780" t="s">
        <v>132</v>
      </c>
      <c r="K780" t="s">
        <v>56</v>
      </c>
      <c r="L780" t="s">
        <v>2374</v>
      </c>
      <c r="M780" t="s">
        <v>6934</v>
      </c>
      <c r="N780" t="s">
        <v>2376</v>
      </c>
      <c r="O780" t="s">
        <v>2377</v>
      </c>
      <c r="P780" t="s">
        <v>2378</v>
      </c>
      <c r="Q780" t="s">
        <v>2379</v>
      </c>
      <c r="R780" t="s">
        <v>6935</v>
      </c>
      <c r="S780" t="s">
        <v>2511</v>
      </c>
      <c r="T780" s="3" t="s">
        <v>6936</v>
      </c>
      <c r="U780" t="s">
        <v>2384</v>
      </c>
      <c r="V780" t="s">
        <v>6937</v>
      </c>
      <c r="W780" t="s">
        <v>6938</v>
      </c>
      <c r="X780" t="s">
        <v>2403</v>
      </c>
      <c r="Y780" t="s">
        <v>6939</v>
      </c>
      <c r="Z780" t="s">
        <v>2405</v>
      </c>
      <c r="AA780" t="s">
        <v>6936</v>
      </c>
      <c r="AB780" t="s">
        <v>6940</v>
      </c>
      <c r="AC780" t="s">
        <v>6941</v>
      </c>
      <c r="AD780" t="s">
        <v>6932</v>
      </c>
      <c r="AH780" t="s">
        <v>6874</v>
      </c>
      <c r="AI780" t="s">
        <v>6483</v>
      </c>
      <c r="AJ780" t="s">
        <v>6774</v>
      </c>
      <c r="AK780" t="s">
        <v>6775</v>
      </c>
      <c r="AL780" t="s">
        <v>6776</v>
      </c>
      <c r="AM780" t="s">
        <v>6777</v>
      </c>
      <c r="AN780" t="s">
        <v>6778</v>
      </c>
      <c r="AO780" t="s">
        <v>6774</v>
      </c>
      <c r="AP780">
        <v>83</v>
      </c>
      <c r="AQ780">
        <v>83</v>
      </c>
      <c r="AR780">
        <v>83</v>
      </c>
      <c r="AS780" t="s">
        <v>6942</v>
      </c>
      <c r="AT780">
        <v>0</v>
      </c>
      <c r="AU780">
        <v>0</v>
      </c>
      <c r="AV780">
        <v>0</v>
      </c>
    </row>
    <row r="781" spans="1:48">
      <c r="A781" s="1">
        <f>_xlfn.XLOOKUP(J781,数据!E:E,数据!A:A)</f>
        <v>1</v>
      </c>
      <c r="B781" s="1">
        <f>_xlfn.XLOOKUP(J781,数据!E:E,数据!B:B)</f>
        <v>2</v>
      </c>
      <c r="C781" s="1" t="str">
        <f>_xlfn.XLOOKUP(J781,数据!E:E,数据!J:J)</f>
        <v>红单</v>
      </c>
      <c r="D781" s="1" t="str" cm="1">
        <f t="array" ref="D781">IF(OR(C781="红单",C781="空派"),_xlfn.IFS(E781="未开售","新品首批发货",F781&lt;E781,"新品首批发货",F781-E781&lt;=60,"新品期补货空运",F781-E781&gt;60,"老品应急空运"),"海运，不进行分析")</f>
        <v>新品首批发货</v>
      </c>
      <c r="E781" s="2">
        <v>46044</v>
      </c>
      <c r="F781" s="2">
        <f>_xlfn.XLOOKUP(J781,数据!E:E,数据!C:C)</f>
        <v>46031</v>
      </c>
      <c r="G781" s="4">
        <v>96</v>
      </c>
      <c r="H781" s="4">
        <f t="shared" si="36"/>
        <v>13.056</v>
      </c>
      <c r="I781" s="4">
        <f>_xlfn.XLOOKUP(J781,数据!E:E,数据!S:S)*(H781/_xlfn.XLOOKUP(J781,数据!E:E,数据!X:X))</f>
        <v>1124.58923560209</v>
      </c>
      <c r="J781" t="s">
        <v>129</v>
      </c>
      <c r="K781" t="s">
        <v>37</v>
      </c>
      <c r="L781" t="s">
        <v>2374</v>
      </c>
      <c r="M781" t="s">
        <v>6943</v>
      </c>
      <c r="N781" t="s">
        <v>2376</v>
      </c>
      <c r="O781" t="s">
        <v>2377</v>
      </c>
      <c r="P781" t="s">
        <v>2378</v>
      </c>
      <c r="Q781" t="s">
        <v>2379</v>
      </c>
      <c r="R781" t="s">
        <v>6944</v>
      </c>
      <c r="S781" t="s">
        <v>2511</v>
      </c>
      <c r="T781" s="3" t="s">
        <v>6945</v>
      </c>
      <c r="U781" t="s">
        <v>2384</v>
      </c>
      <c r="V781" t="s">
        <v>6946</v>
      </c>
      <c r="W781" t="s">
        <v>6947</v>
      </c>
      <c r="X781" t="s">
        <v>2403</v>
      </c>
      <c r="Y781" t="s">
        <v>6948</v>
      </c>
      <c r="Z781" t="s">
        <v>2405</v>
      </c>
      <c r="AA781" t="s">
        <v>6945</v>
      </c>
      <c r="AB781" t="s">
        <v>6949</v>
      </c>
      <c r="AC781" t="s">
        <v>6950</v>
      </c>
      <c r="AD781" t="s">
        <v>6932</v>
      </c>
      <c r="AH781" t="s">
        <v>6874</v>
      </c>
      <c r="AI781" t="s">
        <v>6483</v>
      </c>
      <c r="AJ781" t="s">
        <v>6951</v>
      </c>
      <c r="AK781" t="s">
        <v>6952</v>
      </c>
      <c r="AL781" t="s">
        <v>6953</v>
      </c>
      <c r="AM781" t="s">
        <v>3067</v>
      </c>
      <c r="AN781" t="s">
        <v>6954</v>
      </c>
      <c r="AO781" t="s">
        <v>6951</v>
      </c>
      <c r="AP781">
        <v>136</v>
      </c>
      <c r="AQ781">
        <v>136</v>
      </c>
      <c r="AR781">
        <v>136</v>
      </c>
      <c r="AS781" t="s">
        <v>6955</v>
      </c>
      <c r="AT781">
        <v>0</v>
      </c>
      <c r="AU781">
        <v>0</v>
      </c>
      <c r="AV781">
        <v>0</v>
      </c>
    </row>
    <row r="782" spans="1:48">
      <c r="A782" s="1">
        <f>_xlfn.XLOOKUP(J782,数据!E:E,数据!A:A)</f>
        <v>1</v>
      </c>
      <c r="B782" s="1">
        <f>_xlfn.XLOOKUP(J782,数据!E:E,数据!B:B)</f>
        <v>2</v>
      </c>
      <c r="C782" s="1" t="str">
        <f>_xlfn.XLOOKUP(J782,数据!E:E,数据!J:J)</f>
        <v>红单</v>
      </c>
      <c r="D782" s="1" t="str" cm="1">
        <f t="array" ref="D782">IF(OR(C782="红单",C782="空派"),_xlfn.IFS(E782="未开售","新品首批发货",F782&lt;E782,"新品首批发货",F782-E782&lt;=60,"新品期补货空运",F782-E782&gt;60,"老品应急空运"),"海运，不进行分析")</f>
        <v>新品首批发货</v>
      </c>
      <c r="E782" s="2">
        <v>46054</v>
      </c>
      <c r="F782" s="2">
        <f>_xlfn.XLOOKUP(J782,数据!E:E,数据!C:C)</f>
        <v>46031</v>
      </c>
      <c r="G782" s="4">
        <v>95</v>
      </c>
      <c r="H782" s="4">
        <f t="shared" si="36"/>
        <v>12.92</v>
      </c>
      <c r="I782" s="4">
        <f>_xlfn.XLOOKUP(J782,数据!E:E,数据!S:S)*(H782/_xlfn.XLOOKUP(J782,数据!E:E,数据!X:X))</f>
        <v>1112.87476439791</v>
      </c>
      <c r="J782" t="s">
        <v>129</v>
      </c>
      <c r="K782" t="s">
        <v>37</v>
      </c>
      <c r="L782" t="s">
        <v>2374</v>
      </c>
      <c r="M782" t="s">
        <v>6943</v>
      </c>
      <c r="N782" t="s">
        <v>2376</v>
      </c>
      <c r="O782" t="s">
        <v>2377</v>
      </c>
      <c r="P782" t="s">
        <v>2378</v>
      </c>
      <c r="Q782" t="s">
        <v>2379</v>
      </c>
      <c r="R782" t="s">
        <v>6944</v>
      </c>
      <c r="S782" t="s">
        <v>2511</v>
      </c>
      <c r="T782" s="3" t="s">
        <v>6945</v>
      </c>
      <c r="U782" t="s">
        <v>2384</v>
      </c>
      <c r="V782" t="s">
        <v>6946</v>
      </c>
      <c r="W782" t="s">
        <v>6947</v>
      </c>
      <c r="X782" t="s">
        <v>2403</v>
      </c>
      <c r="Y782" t="s">
        <v>6948</v>
      </c>
      <c r="Z782" t="s">
        <v>2405</v>
      </c>
      <c r="AA782" t="s">
        <v>6945</v>
      </c>
      <c r="AB782" t="s">
        <v>6949</v>
      </c>
      <c r="AC782" t="s">
        <v>6950</v>
      </c>
      <c r="AD782" t="s">
        <v>6932</v>
      </c>
      <c r="AH782" t="s">
        <v>6874</v>
      </c>
      <c r="AI782" t="s">
        <v>6483</v>
      </c>
      <c r="AJ782" t="s">
        <v>6956</v>
      </c>
      <c r="AK782" t="s">
        <v>6957</v>
      </c>
      <c r="AL782" t="s">
        <v>6958</v>
      </c>
      <c r="AM782" t="s">
        <v>6958</v>
      </c>
      <c r="AN782" t="s">
        <v>6959</v>
      </c>
      <c r="AO782" t="s">
        <v>6956</v>
      </c>
      <c r="AP782">
        <v>136</v>
      </c>
      <c r="AQ782">
        <v>136</v>
      </c>
      <c r="AR782">
        <v>157</v>
      </c>
      <c r="AS782" t="s">
        <v>6960</v>
      </c>
      <c r="AT782">
        <v>0</v>
      </c>
      <c r="AU782">
        <v>21</v>
      </c>
      <c r="AV782">
        <v>-21</v>
      </c>
    </row>
    <row r="783" spans="1:48">
      <c r="A783" s="1">
        <f>_xlfn.XLOOKUP(J783,数据!E:E,数据!A:A)</f>
        <v>1</v>
      </c>
      <c r="B783" s="1">
        <f>_xlfn.XLOOKUP(J783,数据!E:E,数据!B:B)</f>
        <v>2</v>
      </c>
      <c r="C783" s="1" t="str">
        <f>_xlfn.XLOOKUP(J783,数据!E:E,数据!J:J)</f>
        <v>空派</v>
      </c>
      <c r="D783" s="1" t="str" cm="1">
        <f t="array" ref="D783">IF(OR(C783="红单",C783="空派"),_xlfn.IFS(E783="未开售","新品首批发货",F783&lt;E783,"新品首批发货",F783-E783&lt;=60,"新品期补货空运",F783-E783&gt;60,"老品应急空运"),"海运，不进行分析")</f>
        <v>新品期补货空运</v>
      </c>
      <c r="E783" s="2">
        <v>46008</v>
      </c>
      <c r="F783" s="2">
        <f>_xlfn.XLOOKUP(J783,数据!E:E,数据!C:C)</f>
        <v>46031</v>
      </c>
      <c r="G783" s="4">
        <v>106</v>
      </c>
      <c r="H783" s="4">
        <f t="shared" si="36"/>
        <v>6.36</v>
      </c>
      <c r="I783" s="4">
        <f>_xlfn.XLOOKUP(J783,数据!E:E,数据!S:S)*(H783/_xlfn.XLOOKUP(J783,数据!E:E,数据!X:X))</f>
        <v>390.078170047475</v>
      </c>
      <c r="J783" t="s">
        <v>133</v>
      </c>
      <c r="K783" t="s">
        <v>31</v>
      </c>
      <c r="L783" t="s">
        <v>2374</v>
      </c>
      <c r="M783" t="s">
        <v>6961</v>
      </c>
      <c r="N783" t="s">
        <v>2376</v>
      </c>
      <c r="O783" t="s">
        <v>2400</v>
      </c>
      <c r="P783" t="s">
        <v>2378</v>
      </c>
      <c r="Q783" t="s">
        <v>2379</v>
      </c>
      <c r="S783" t="s">
        <v>2511</v>
      </c>
      <c r="T783" s="3" t="s">
        <v>6962</v>
      </c>
      <c r="U783" t="s">
        <v>6963</v>
      </c>
      <c r="V783" t="s">
        <v>6964</v>
      </c>
      <c r="W783" t="s">
        <v>6965</v>
      </c>
      <c r="X783" t="s">
        <v>2403</v>
      </c>
      <c r="Y783" t="s">
        <v>6966</v>
      </c>
      <c r="Z783" t="s">
        <v>2405</v>
      </c>
      <c r="AA783" t="s">
        <v>6962</v>
      </c>
      <c r="AB783" t="s">
        <v>6967</v>
      </c>
      <c r="AC783" t="s">
        <v>6968</v>
      </c>
      <c r="AD783" t="s">
        <v>5997</v>
      </c>
      <c r="AG783" t="s">
        <v>2432</v>
      </c>
      <c r="AH783" t="s">
        <v>6483</v>
      </c>
      <c r="AI783" t="s">
        <v>5982</v>
      </c>
      <c r="AJ783" t="s">
        <v>6969</v>
      </c>
      <c r="AK783" t="s">
        <v>6970</v>
      </c>
      <c r="AL783" t="s">
        <v>6971</v>
      </c>
      <c r="AM783" t="s">
        <v>6253</v>
      </c>
      <c r="AN783" t="s">
        <v>6972</v>
      </c>
      <c r="AO783" t="s">
        <v>6969</v>
      </c>
      <c r="AP783">
        <v>60</v>
      </c>
      <c r="AQ783">
        <v>60</v>
      </c>
      <c r="AR783">
        <v>60</v>
      </c>
      <c r="AS783" t="s">
        <v>6973</v>
      </c>
      <c r="AT783">
        <v>0</v>
      </c>
      <c r="AU783">
        <v>0</v>
      </c>
      <c r="AV783">
        <v>0</v>
      </c>
    </row>
    <row r="784" spans="1:48">
      <c r="A784" s="1">
        <f>_xlfn.XLOOKUP(J784,数据!E:E,数据!A:A)</f>
        <v>1</v>
      </c>
      <c r="B784" s="1">
        <f>_xlfn.XLOOKUP(J784,数据!E:E,数据!B:B)</f>
        <v>2</v>
      </c>
      <c r="C784" s="1" t="str">
        <f>_xlfn.XLOOKUP(J784,数据!E:E,数据!J:J)</f>
        <v>空派</v>
      </c>
      <c r="D784" s="1" t="str" cm="1">
        <f t="array" ref="D784">IF(OR(C784="红单",C784="空派"),_xlfn.IFS(E784="未开售","新品首批发货",F784&lt;E784,"新品首批发货",F784-E784&lt;=60,"新品期补货空运",F784-E784&gt;60,"老品应急空运"),"海运，不进行分析")</f>
        <v>新品期补货空运</v>
      </c>
      <c r="E784" s="2">
        <v>46023</v>
      </c>
      <c r="F784" s="2">
        <f>_xlfn.XLOOKUP(J784,数据!E:E,数据!C:C)</f>
        <v>46031</v>
      </c>
      <c r="G784" s="4">
        <v>146</v>
      </c>
      <c r="H784" s="4">
        <f t="shared" si="36"/>
        <v>4.526</v>
      </c>
      <c r="I784" s="4">
        <f>_xlfn.XLOOKUP(J784,数据!E:E,数据!S:S)*(H784/_xlfn.XLOOKUP(J784,数据!E:E,数据!X:X))</f>
        <v>277.593364407999</v>
      </c>
      <c r="J784" t="s">
        <v>133</v>
      </c>
      <c r="K784" t="s">
        <v>31</v>
      </c>
      <c r="L784" t="s">
        <v>2374</v>
      </c>
      <c r="M784" t="s">
        <v>6961</v>
      </c>
      <c r="N784" t="s">
        <v>2376</v>
      </c>
      <c r="O784" t="s">
        <v>2400</v>
      </c>
      <c r="P784" t="s">
        <v>2378</v>
      </c>
      <c r="Q784" t="s">
        <v>2379</v>
      </c>
      <c r="S784" t="s">
        <v>2511</v>
      </c>
      <c r="T784" s="3" t="s">
        <v>6962</v>
      </c>
      <c r="U784" t="s">
        <v>6963</v>
      </c>
      <c r="V784" t="s">
        <v>6964</v>
      </c>
      <c r="W784" t="s">
        <v>6965</v>
      </c>
      <c r="X784" t="s">
        <v>2403</v>
      </c>
      <c r="Y784" t="s">
        <v>6966</v>
      </c>
      <c r="Z784" t="s">
        <v>2405</v>
      </c>
      <c r="AA784" t="s">
        <v>6962</v>
      </c>
      <c r="AB784" t="s">
        <v>6967</v>
      </c>
      <c r="AC784" t="s">
        <v>6968</v>
      </c>
      <c r="AD784" t="s">
        <v>5997</v>
      </c>
      <c r="AG784" t="s">
        <v>2432</v>
      </c>
      <c r="AH784" t="s">
        <v>6483</v>
      </c>
      <c r="AI784" t="s">
        <v>5982</v>
      </c>
      <c r="AJ784" t="s">
        <v>6140</v>
      </c>
      <c r="AK784" t="s">
        <v>6141</v>
      </c>
      <c r="AL784" t="s">
        <v>6142</v>
      </c>
      <c r="AM784" t="s">
        <v>4948</v>
      </c>
      <c r="AN784" t="s">
        <v>6143</v>
      </c>
      <c r="AO784" t="s">
        <v>6140</v>
      </c>
      <c r="AP784">
        <v>31</v>
      </c>
      <c r="AQ784">
        <v>31</v>
      </c>
      <c r="AR784">
        <v>31</v>
      </c>
      <c r="AS784" t="s">
        <v>6974</v>
      </c>
      <c r="AT784">
        <v>0</v>
      </c>
      <c r="AU784">
        <v>0</v>
      </c>
      <c r="AV784">
        <v>0</v>
      </c>
    </row>
    <row r="785" spans="1:48">
      <c r="A785" s="1">
        <f>_xlfn.XLOOKUP(J785,数据!E:E,数据!A:A)</f>
        <v>1</v>
      </c>
      <c r="B785" s="1">
        <f>_xlfn.XLOOKUP(J785,数据!E:E,数据!B:B)</f>
        <v>2</v>
      </c>
      <c r="C785" s="1" t="str">
        <f>_xlfn.XLOOKUP(J785,数据!E:E,数据!J:J)</f>
        <v>空派</v>
      </c>
      <c r="D785" s="1" t="str" cm="1">
        <f t="array" ref="D785">IF(OR(C785="红单",C785="空派"),_xlfn.IFS(E785="未开售","新品首批发货",F785&lt;E785,"新品首批发货",F785-E785&lt;=60,"新品期补货空运",F785-E785&gt;60,"老品应急空运"),"海运，不进行分析")</f>
        <v>老品应急空运</v>
      </c>
      <c r="E785" s="2">
        <v>44703</v>
      </c>
      <c r="F785" s="2">
        <f>_xlfn.XLOOKUP(J785,数据!E:E,数据!C:C)</f>
        <v>46031</v>
      </c>
      <c r="G785" s="4">
        <v>124</v>
      </c>
      <c r="H785" s="4">
        <f t="shared" si="36"/>
        <v>0.496</v>
      </c>
      <c r="I785" s="4">
        <f>_xlfn.XLOOKUP(J785,数据!E:E,数据!S:S)*(H785/_xlfn.XLOOKUP(J785,数据!E:E,数据!X:X))</f>
        <v>30.4211906200547</v>
      </c>
      <c r="J785" t="s">
        <v>133</v>
      </c>
      <c r="K785" t="s">
        <v>31</v>
      </c>
      <c r="L785" t="s">
        <v>2374</v>
      </c>
      <c r="M785" t="s">
        <v>6961</v>
      </c>
      <c r="N785" t="s">
        <v>2376</v>
      </c>
      <c r="O785" t="s">
        <v>2400</v>
      </c>
      <c r="P785" t="s">
        <v>2378</v>
      </c>
      <c r="Q785" t="s">
        <v>2379</v>
      </c>
      <c r="S785" t="s">
        <v>2511</v>
      </c>
      <c r="T785" s="3" t="s">
        <v>6962</v>
      </c>
      <c r="U785" t="s">
        <v>6963</v>
      </c>
      <c r="V785" t="s">
        <v>6964</v>
      </c>
      <c r="W785" t="s">
        <v>6965</v>
      </c>
      <c r="X785" t="s">
        <v>2403</v>
      </c>
      <c r="Y785" t="s">
        <v>6966</v>
      </c>
      <c r="Z785" t="s">
        <v>2405</v>
      </c>
      <c r="AA785" t="s">
        <v>6962</v>
      </c>
      <c r="AB785" t="s">
        <v>6967</v>
      </c>
      <c r="AC785" t="s">
        <v>6968</v>
      </c>
      <c r="AD785" t="s">
        <v>5997</v>
      </c>
      <c r="AG785" t="s">
        <v>2432</v>
      </c>
      <c r="AH785" t="s">
        <v>6483</v>
      </c>
      <c r="AI785" t="s">
        <v>5982</v>
      </c>
      <c r="AJ785" t="s">
        <v>6261</v>
      </c>
      <c r="AK785" t="s">
        <v>6262</v>
      </c>
      <c r="AL785" t="s">
        <v>6263</v>
      </c>
      <c r="AM785" t="s">
        <v>6263</v>
      </c>
      <c r="AN785" t="s">
        <v>6264</v>
      </c>
      <c r="AO785" t="s">
        <v>6261</v>
      </c>
      <c r="AP785">
        <v>4</v>
      </c>
      <c r="AQ785">
        <v>4</v>
      </c>
      <c r="AR785">
        <v>4</v>
      </c>
      <c r="AS785" t="s">
        <v>6975</v>
      </c>
      <c r="AT785">
        <v>0</v>
      </c>
      <c r="AU785">
        <v>0</v>
      </c>
      <c r="AV785">
        <v>0</v>
      </c>
    </row>
    <row r="786" spans="1:48">
      <c r="A786" s="1">
        <f>_xlfn.XLOOKUP(J786,数据!E:E,数据!A:A)</f>
        <v>1</v>
      </c>
      <c r="B786" s="1">
        <f>_xlfn.XLOOKUP(J786,数据!E:E,数据!B:B)</f>
        <v>2</v>
      </c>
      <c r="C786" s="1" t="str">
        <f>_xlfn.XLOOKUP(J786,数据!E:E,数据!J:J)</f>
        <v>空派</v>
      </c>
      <c r="D786" s="1" t="str" cm="1">
        <f t="array" ref="D786">IF(OR(C786="红单",C786="空派"),_xlfn.IFS(E786="未开售","新品首批发货",F786&lt;E786,"新品首批发货",F786-E786&lt;=60,"新品期补货空运",F786-E786&gt;60,"老品应急空运"),"海运，不进行分析")</f>
        <v>新品期补货空运</v>
      </c>
      <c r="E786" s="2">
        <v>46015</v>
      </c>
      <c r="F786" s="2">
        <f>_xlfn.XLOOKUP(J786,数据!E:E,数据!C:C)</f>
        <v>46031</v>
      </c>
      <c r="G786" s="4">
        <v>210</v>
      </c>
      <c r="H786" s="4">
        <f t="shared" si="36"/>
        <v>2.52</v>
      </c>
      <c r="I786" s="4">
        <f>_xlfn.XLOOKUP(J786,数据!E:E,数据!S:S)*(H786/_xlfn.XLOOKUP(J786,数据!E:E,数据!X:X))</f>
        <v>154.559274924471</v>
      </c>
      <c r="J786" t="s">
        <v>133</v>
      </c>
      <c r="K786" t="s">
        <v>31</v>
      </c>
      <c r="L786" t="s">
        <v>2374</v>
      </c>
      <c r="M786" t="s">
        <v>6961</v>
      </c>
      <c r="N786" t="s">
        <v>2376</v>
      </c>
      <c r="O786" t="s">
        <v>2400</v>
      </c>
      <c r="P786" t="s">
        <v>2378</v>
      </c>
      <c r="Q786" t="s">
        <v>2379</v>
      </c>
      <c r="S786" t="s">
        <v>2511</v>
      </c>
      <c r="T786" s="3" t="s">
        <v>6962</v>
      </c>
      <c r="U786" t="s">
        <v>6963</v>
      </c>
      <c r="V786" t="s">
        <v>6964</v>
      </c>
      <c r="W786" t="s">
        <v>6965</v>
      </c>
      <c r="X786" t="s">
        <v>2403</v>
      </c>
      <c r="Y786" t="s">
        <v>6966</v>
      </c>
      <c r="Z786" t="s">
        <v>2405</v>
      </c>
      <c r="AA786" t="s">
        <v>6962</v>
      </c>
      <c r="AB786" t="s">
        <v>6967</v>
      </c>
      <c r="AC786" t="s">
        <v>6968</v>
      </c>
      <c r="AD786" t="s">
        <v>5997</v>
      </c>
      <c r="AG786" t="s">
        <v>2432</v>
      </c>
      <c r="AH786" t="s">
        <v>6483</v>
      </c>
      <c r="AI786" t="s">
        <v>5982</v>
      </c>
      <c r="AJ786" t="s">
        <v>6976</v>
      </c>
      <c r="AK786" t="s">
        <v>6977</v>
      </c>
      <c r="AL786" t="s">
        <v>6978</v>
      </c>
      <c r="AM786" t="s">
        <v>6978</v>
      </c>
      <c r="AN786" t="s">
        <v>6979</v>
      </c>
      <c r="AO786" t="s">
        <v>6976</v>
      </c>
      <c r="AP786">
        <v>12</v>
      </c>
      <c r="AQ786">
        <v>12</v>
      </c>
      <c r="AR786">
        <v>12</v>
      </c>
      <c r="AS786" t="s">
        <v>6980</v>
      </c>
      <c r="AT786">
        <v>0</v>
      </c>
      <c r="AU786">
        <v>0</v>
      </c>
      <c r="AV786">
        <v>0</v>
      </c>
    </row>
    <row r="787" spans="1:48">
      <c r="A787" s="1">
        <f>_xlfn.XLOOKUP(J787,数据!E:E,数据!A:A)</f>
        <v>1</v>
      </c>
      <c r="B787" s="1">
        <f>_xlfn.XLOOKUP(J787,数据!E:E,数据!B:B)</f>
        <v>2</v>
      </c>
      <c r="C787" s="1" t="str">
        <f>_xlfn.XLOOKUP(J787,数据!E:E,数据!J:J)</f>
        <v>红单</v>
      </c>
      <c r="D787" s="1" t="str" cm="1">
        <f t="array" ref="D787">IF(OR(C787="红单",C787="空派"),_xlfn.IFS(E787="未开售","新品首批发货",F787&lt;E787,"新品首批发货",F787-E787&lt;=60,"新品期补货空运",F787-E787&gt;60,"老品应急空运"),"海运，不进行分析")</f>
        <v>老品应急空运</v>
      </c>
      <c r="E787" s="2">
        <v>45352</v>
      </c>
      <c r="F787" s="2">
        <f>_xlfn.XLOOKUP(J787,数据!E:E,数据!C:C)</f>
        <v>46030</v>
      </c>
      <c r="G787" s="4">
        <v>86</v>
      </c>
      <c r="H787" s="4">
        <f>G787*AP787/1000</f>
        <v>2.58</v>
      </c>
      <c r="I787" s="4">
        <f>_xlfn.XLOOKUP(J787,数据!E:E,数据!S:S)*(H787/_xlfn.XLOOKUP(J787,数据!E:E,数据!X:X))</f>
        <v>161.769866816664</v>
      </c>
      <c r="J787" t="s">
        <v>209</v>
      </c>
      <c r="K787" t="s">
        <v>39</v>
      </c>
      <c r="L787" t="s">
        <v>2374</v>
      </c>
      <c r="M787" t="s">
        <v>6981</v>
      </c>
      <c r="N787" t="s">
        <v>2376</v>
      </c>
      <c r="O787" t="s">
        <v>2400</v>
      </c>
      <c r="P787" t="s">
        <v>2378</v>
      </c>
      <c r="Q787" t="s">
        <v>2379</v>
      </c>
      <c r="R787" t="s">
        <v>209</v>
      </c>
      <c r="S787" t="s">
        <v>2511</v>
      </c>
      <c r="T787" s="3" t="s">
        <v>6982</v>
      </c>
      <c r="U787" t="s">
        <v>6983</v>
      </c>
      <c r="V787" t="s">
        <v>6984</v>
      </c>
      <c r="W787" t="s">
        <v>6985</v>
      </c>
      <c r="X787" t="s">
        <v>2403</v>
      </c>
      <c r="Y787" t="s">
        <v>6986</v>
      </c>
      <c r="Z787" t="s">
        <v>2387</v>
      </c>
      <c r="AA787" t="s">
        <v>6982</v>
      </c>
      <c r="AB787" t="s">
        <v>6987</v>
      </c>
      <c r="AC787" t="s">
        <v>6988</v>
      </c>
      <c r="AD787" t="s">
        <v>6989</v>
      </c>
      <c r="AH787" t="s">
        <v>6874</v>
      </c>
      <c r="AI787" t="s">
        <v>6483</v>
      </c>
      <c r="AJ787" t="s">
        <v>6990</v>
      </c>
      <c r="AK787" t="s">
        <v>6991</v>
      </c>
      <c r="AL787" t="s">
        <v>6992</v>
      </c>
      <c r="AM787" t="s">
        <v>6993</v>
      </c>
      <c r="AN787" t="s">
        <v>6994</v>
      </c>
      <c r="AO787" t="s">
        <v>6990</v>
      </c>
      <c r="AP787">
        <v>30</v>
      </c>
      <c r="AQ787">
        <v>30</v>
      </c>
      <c r="AR787">
        <v>30</v>
      </c>
      <c r="AS787" t="s">
        <v>6995</v>
      </c>
      <c r="AT787">
        <v>0</v>
      </c>
      <c r="AU787">
        <v>0</v>
      </c>
      <c r="AV787">
        <v>0</v>
      </c>
    </row>
    <row r="788" spans="1:48">
      <c r="A788" s="1">
        <f>_xlfn.XLOOKUP(J788,数据!E:E,数据!A:A)</f>
        <v>1</v>
      </c>
      <c r="B788" s="1">
        <f>_xlfn.XLOOKUP(J788,数据!E:E,数据!B:B)</f>
        <v>2</v>
      </c>
      <c r="C788" s="1" t="str">
        <f>_xlfn.XLOOKUP(J788,数据!E:E,数据!J:J)</f>
        <v>红单</v>
      </c>
      <c r="D788" s="1" t="str" cm="1">
        <f t="array" ref="D788">IF(OR(C788="红单",C788="空派"),_xlfn.IFS(E788="未开售","新品首批发货",F788&lt;E788,"新品首批发货",F788-E788&lt;=60,"新品期补货空运",F788-E788&gt;60,"老品应急空运"),"海运，不进行分析")</f>
        <v>老品应急空运</v>
      </c>
      <c r="E788" s="2">
        <v>45266</v>
      </c>
      <c r="F788" s="2">
        <f>_xlfn.XLOOKUP(J788,数据!E:E,数据!C:C)</f>
        <v>46030</v>
      </c>
      <c r="G788" s="4">
        <v>141</v>
      </c>
      <c r="H788" s="4">
        <f>G788*AP788/1000</f>
        <v>0.423</v>
      </c>
      <c r="I788" s="4">
        <f>_xlfn.XLOOKUP(J788,数据!E:E,数据!S:S)*(H788/_xlfn.XLOOKUP(J788,数据!E:E,数据!X:X))</f>
        <v>26.522733978081</v>
      </c>
      <c r="J788" t="s">
        <v>209</v>
      </c>
      <c r="K788" t="s">
        <v>39</v>
      </c>
      <c r="L788" t="s">
        <v>2374</v>
      </c>
      <c r="M788" t="s">
        <v>6981</v>
      </c>
      <c r="N788" t="s">
        <v>2376</v>
      </c>
      <c r="O788" t="s">
        <v>2400</v>
      </c>
      <c r="P788" t="s">
        <v>2378</v>
      </c>
      <c r="Q788" t="s">
        <v>2379</v>
      </c>
      <c r="R788" t="s">
        <v>209</v>
      </c>
      <c r="S788" t="s">
        <v>2511</v>
      </c>
      <c r="T788" s="3" t="s">
        <v>6982</v>
      </c>
      <c r="U788" t="s">
        <v>6983</v>
      </c>
      <c r="V788" t="s">
        <v>6984</v>
      </c>
      <c r="W788" t="s">
        <v>6985</v>
      </c>
      <c r="X788" t="s">
        <v>2403</v>
      </c>
      <c r="Y788" t="s">
        <v>6986</v>
      </c>
      <c r="Z788" t="s">
        <v>2387</v>
      </c>
      <c r="AA788" t="s">
        <v>6982</v>
      </c>
      <c r="AB788" t="s">
        <v>6987</v>
      </c>
      <c r="AC788" t="s">
        <v>6988</v>
      </c>
      <c r="AD788" t="s">
        <v>6989</v>
      </c>
      <c r="AH788" t="s">
        <v>6874</v>
      </c>
      <c r="AI788" t="s">
        <v>6483</v>
      </c>
      <c r="AJ788" t="s">
        <v>6996</v>
      </c>
      <c r="AK788" t="s">
        <v>6997</v>
      </c>
      <c r="AL788" t="s">
        <v>6998</v>
      </c>
      <c r="AM788" t="s">
        <v>6488</v>
      </c>
      <c r="AN788" t="s">
        <v>6999</v>
      </c>
      <c r="AO788" t="s">
        <v>6996</v>
      </c>
      <c r="AP788">
        <v>3</v>
      </c>
      <c r="AQ788">
        <v>3</v>
      </c>
      <c r="AR788">
        <v>3</v>
      </c>
      <c r="AS788" t="s">
        <v>7000</v>
      </c>
      <c r="AT788">
        <v>0</v>
      </c>
      <c r="AU788">
        <v>0</v>
      </c>
      <c r="AV788">
        <v>0</v>
      </c>
    </row>
    <row r="789" spans="1:48">
      <c r="A789" s="1">
        <f>_xlfn.XLOOKUP(J789,数据!E:E,数据!A:A)</f>
        <v>1</v>
      </c>
      <c r="B789" s="1">
        <f>_xlfn.XLOOKUP(J789,数据!E:E,数据!B:B)</f>
        <v>2</v>
      </c>
      <c r="C789" s="1" t="str">
        <f>_xlfn.XLOOKUP(J789,数据!E:E,数据!J:J)</f>
        <v>红单</v>
      </c>
      <c r="D789" s="1" t="str" cm="1">
        <f t="array" ref="D789">IF(OR(C789="红单",C789="空派"),_xlfn.IFS(E789="未开售","新品首批发货",F789&lt;E789,"新品首批发货",F789-E789&lt;=60,"新品期补货空运",F789-E789&gt;60,"老品应急空运"),"海运，不进行分析")</f>
        <v>新品期补货空运</v>
      </c>
      <c r="E789" s="2">
        <v>46017</v>
      </c>
      <c r="F789" s="2">
        <f>_xlfn.XLOOKUP(J789,数据!E:E,数据!C:C)</f>
        <v>46030</v>
      </c>
      <c r="G789" s="4">
        <v>474.2</v>
      </c>
      <c r="H789" s="4">
        <f>G789*AP789/1000</f>
        <v>1.8968</v>
      </c>
      <c r="I789" s="4">
        <f>_xlfn.XLOOKUP(J789,数据!E:E,数据!S:S)*(H789/_xlfn.XLOOKUP(J789,数据!E:E,数据!X:X))</f>
        <v>118.932202859631</v>
      </c>
      <c r="J789" t="s">
        <v>209</v>
      </c>
      <c r="K789" t="s">
        <v>39</v>
      </c>
      <c r="L789" t="s">
        <v>2374</v>
      </c>
      <c r="M789" t="s">
        <v>6981</v>
      </c>
      <c r="N789" t="s">
        <v>2376</v>
      </c>
      <c r="O789" t="s">
        <v>2400</v>
      </c>
      <c r="P789" t="s">
        <v>2378</v>
      </c>
      <c r="Q789" t="s">
        <v>2379</v>
      </c>
      <c r="R789" t="s">
        <v>209</v>
      </c>
      <c r="S789" t="s">
        <v>2511</v>
      </c>
      <c r="T789" s="3" t="s">
        <v>6982</v>
      </c>
      <c r="U789" t="s">
        <v>6983</v>
      </c>
      <c r="V789" t="s">
        <v>6984</v>
      </c>
      <c r="W789" t="s">
        <v>6985</v>
      </c>
      <c r="X789" t="s">
        <v>2403</v>
      </c>
      <c r="Y789" t="s">
        <v>6986</v>
      </c>
      <c r="Z789" t="s">
        <v>2387</v>
      </c>
      <c r="AA789" t="s">
        <v>6982</v>
      </c>
      <c r="AB789" t="s">
        <v>6987</v>
      </c>
      <c r="AC789" t="s">
        <v>6988</v>
      </c>
      <c r="AD789" t="s">
        <v>6989</v>
      </c>
      <c r="AH789" t="s">
        <v>6874</v>
      </c>
      <c r="AI789" t="s">
        <v>6483</v>
      </c>
      <c r="AJ789" t="s">
        <v>6456</v>
      </c>
      <c r="AK789" t="s">
        <v>6457</v>
      </c>
      <c r="AL789" t="s">
        <v>6458</v>
      </c>
      <c r="AM789" t="s">
        <v>4050</v>
      </c>
      <c r="AN789" t="s">
        <v>6459</v>
      </c>
      <c r="AO789" t="s">
        <v>6456</v>
      </c>
      <c r="AP789">
        <v>4</v>
      </c>
      <c r="AQ789">
        <v>4</v>
      </c>
      <c r="AR789">
        <v>4</v>
      </c>
      <c r="AS789" t="s">
        <v>7001</v>
      </c>
      <c r="AT789">
        <v>0</v>
      </c>
      <c r="AU789">
        <v>0</v>
      </c>
      <c r="AV789">
        <v>0</v>
      </c>
    </row>
    <row r="790" spans="1:48">
      <c r="A790" s="1">
        <f>_xlfn.XLOOKUP(J790,数据!E:E,数据!A:A)</f>
        <v>1</v>
      </c>
      <c r="B790" s="1">
        <f>_xlfn.XLOOKUP(J790,数据!E:E,数据!B:B)</f>
        <v>2</v>
      </c>
      <c r="C790" s="1" t="str">
        <f>_xlfn.XLOOKUP(J790,数据!E:E,数据!J:J)</f>
        <v>红单</v>
      </c>
      <c r="D790" s="1" t="str" cm="1">
        <f t="array" ref="D790">IF(OR(C790="红单",C790="空派"),_xlfn.IFS(E790="未开售","新品首批发货",F790&lt;E790,"新品首批发货",F790-E790&lt;=60,"新品期补货空运",F790-E790&gt;60,"老品应急空运"),"海运，不进行分析")</f>
        <v>新品期补货空运</v>
      </c>
      <c r="E790" s="2">
        <v>46016</v>
      </c>
      <c r="F790" s="2">
        <f>_xlfn.XLOOKUP(J790,数据!E:E,数据!C:C)</f>
        <v>46030</v>
      </c>
      <c r="G790" s="4">
        <v>467</v>
      </c>
      <c r="H790" s="4">
        <f>G790*AP790/1000</f>
        <v>1.401</v>
      </c>
      <c r="I790" s="4">
        <f>_xlfn.XLOOKUP(J790,数据!E:E,数据!S:S)*(H790/_xlfn.XLOOKUP(J790,数据!E:E,数据!X:X))</f>
        <v>87.8447997713747</v>
      </c>
      <c r="J790" t="s">
        <v>209</v>
      </c>
      <c r="K790" t="s">
        <v>39</v>
      </c>
      <c r="L790" t="s">
        <v>2374</v>
      </c>
      <c r="M790" t="s">
        <v>6981</v>
      </c>
      <c r="N790" t="s">
        <v>2376</v>
      </c>
      <c r="O790" t="s">
        <v>2400</v>
      </c>
      <c r="P790" t="s">
        <v>2378</v>
      </c>
      <c r="Q790" t="s">
        <v>2379</v>
      </c>
      <c r="R790" t="s">
        <v>209</v>
      </c>
      <c r="S790" t="s">
        <v>2511</v>
      </c>
      <c r="T790" s="3" t="s">
        <v>6982</v>
      </c>
      <c r="U790" t="s">
        <v>6983</v>
      </c>
      <c r="V790" t="s">
        <v>6984</v>
      </c>
      <c r="W790" t="s">
        <v>6985</v>
      </c>
      <c r="X790" t="s">
        <v>2403</v>
      </c>
      <c r="Y790" t="s">
        <v>6986</v>
      </c>
      <c r="Z790" t="s">
        <v>2387</v>
      </c>
      <c r="AA790" t="s">
        <v>6982</v>
      </c>
      <c r="AB790" t="s">
        <v>6987</v>
      </c>
      <c r="AC790" t="s">
        <v>6988</v>
      </c>
      <c r="AD790" t="s">
        <v>6989</v>
      </c>
      <c r="AH790" t="s">
        <v>6874</v>
      </c>
      <c r="AI790" t="s">
        <v>6483</v>
      </c>
      <c r="AJ790" t="s">
        <v>7002</v>
      </c>
      <c r="AK790" t="s">
        <v>7003</v>
      </c>
      <c r="AL790" t="s">
        <v>7004</v>
      </c>
      <c r="AM790" t="s">
        <v>4050</v>
      </c>
      <c r="AN790" t="s">
        <v>7005</v>
      </c>
      <c r="AO790" t="s">
        <v>7002</v>
      </c>
      <c r="AP790">
        <v>3</v>
      </c>
      <c r="AQ790">
        <v>3</v>
      </c>
      <c r="AR790">
        <v>3</v>
      </c>
      <c r="AS790" t="s">
        <v>7000</v>
      </c>
      <c r="AT790">
        <v>0</v>
      </c>
      <c r="AU790">
        <v>0</v>
      </c>
      <c r="AV790">
        <v>0</v>
      </c>
    </row>
    <row r="791" spans="1:48">
      <c r="A791" s="1">
        <f>_xlfn.XLOOKUP(J791,数据!E:E,数据!A:A)</f>
        <v>1</v>
      </c>
      <c r="B791" s="1">
        <f>_xlfn.XLOOKUP(J791,数据!E:E,数据!B:B)</f>
        <v>2</v>
      </c>
      <c r="C791" s="1" t="str">
        <f>_xlfn.XLOOKUP(J791,数据!E:E,数据!J:J)</f>
        <v>红单</v>
      </c>
      <c r="D791" s="1" t="str" cm="1">
        <f t="array" ref="D791">IF(OR(C791="红单",C791="空派"),_xlfn.IFS(E791="未开售","新品首批发货",F791&lt;E791,"新品首批发货",F791-E791&lt;=60,"新品期补货空运",F791-E791&gt;60,"老品应急空运"),"海运，不进行分析")</f>
        <v>新品期补货空运</v>
      </c>
      <c r="E791" s="2">
        <v>46017</v>
      </c>
      <c r="F791" s="2">
        <f>_xlfn.XLOOKUP(J791,数据!E:E,数据!C:C)</f>
        <v>46030</v>
      </c>
      <c r="G791" s="4">
        <v>463</v>
      </c>
      <c r="H791" s="4">
        <f>G791*AP791/1000</f>
        <v>1.389</v>
      </c>
      <c r="I791" s="4">
        <f>_xlfn.XLOOKUP(J791,数据!E:E,数据!S:S)*(H791/_xlfn.XLOOKUP(J791,数据!E:E,数据!X:X))</f>
        <v>87.0923817861809</v>
      </c>
      <c r="J791" t="s">
        <v>209</v>
      </c>
      <c r="K791" t="s">
        <v>39</v>
      </c>
      <c r="L791" t="s">
        <v>2374</v>
      </c>
      <c r="M791" t="s">
        <v>6981</v>
      </c>
      <c r="N791" t="s">
        <v>2376</v>
      </c>
      <c r="O791" t="s">
        <v>2400</v>
      </c>
      <c r="P791" t="s">
        <v>2378</v>
      </c>
      <c r="Q791" t="s">
        <v>2379</v>
      </c>
      <c r="R791" t="s">
        <v>209</v>
      </c>
      <c r="S791" t="s">
        <v>2511</v>
      </c>
      <c r="T791" s="3" t="s">
        <v>6982</v>
      </c>
      <c r="U791" t="s">
        <v>6983</v>
      </c>
      <c r="V791" t="s">
        <v>6984</v>
      </c>
      <c r="W791" t="s">
        <v>6985</v>
      </c>
      <c r="X791" t="s">
        <v>2403</v>
      </c>
      <c r="Y791" t="s">
        <v>6986</v>
      </c>
      <c r="Z791" t="s">
        <v>2387</v>
      </c>
      <c r="AA791" t="s">
        <v>6982</v>
      </c>
      <c r="AB791" t="s">
        <v>6987</v>
      </c>
      <c r="AC791" t="s">
        <v>6988</v>
      </c>
      <c r="AD791" t="s">
        <v>6989</v>
      </c>
      <c r="AH791" t="s">
        <v>6874</v>
      </c>
      <c r="AI791" t="s">
        <v>6483</v>
      </c>
      <c r="AJ791" t="s">
        <v>7006</v>
      </c>
      <c r="AK791" t="s">
        <v>7007</v>
      </c>
      <c r="AL791" t="s">
        <v>7008</v>
      </c>
      <c r="AM791" t="s">
        <v>4050</v>
      </c>
      <c r="AN791" t="s">
        <v>7009</v>
      </c>
      <c r="AO791" t="s">
        <v>7006</v>
      </c>
      <c r="AP791">
        <v>3</v>
      </c>
      <c r="AQ791">
        <v>3</v>
      </c>
      <c r="AR791">
        <v>3</v>
      </c>
      <c r="AS791" t="s">
        <v>7000</v>
      </c>
      <c r="AT791">
        <v>0</v>
      </c>
      <c r="AU791">
        <v>0</v>
      </c>
      <c r="AV791">
        <v>0</v>
      </c>
    </row>
    <row r="792" spans="1:48">
      <c r="A792" s="1">
        <f>_xlfn.XLOOKUP(J792,数据!E:E,数据!A:A)</f>
        <v>1</v>
      </c>
      <c r="B792" s="1">
        <f>_xlfn.XLOOKUP(J792,数据!E:E,数据!B:B)</f>
        <v>2</v>
      </c>
      <c r="C792" s="1" t="str">
        <f>_xlfn.XLOOKUP(J792,数据!E:E,数据!J:J)</f>
        <v>红单</v>
      </c>
      <c r="D792" s="1" t="str" cm="1">
        <f t="array" ref="D792">IF(OR(C792="红单",C792="空派"),_xlfn.IFS(E792="未开售","新品首批发货",F792&lt;E792,"新品首批发货",F792-E792&lt;=60,"新品期补货空运",F792-E792&gt;60,"老品应急空运"),"海运，不进行分析")</f>
        <v>新品期补货空运</v>
      </c>
      <c r="E792" s="2">
        <v>46017</v>
      </c>
      <c r="F792" s="2">
        <f>_xlfn.XLOOKUP(J792,数据!E:E,数据!C:C)</f>
        <v>46030</v>
      </c>
      <c r="G792" s="4">
        <v>473</v>
      </c>
      <c r="H792" s="4">
        <f>G792*AP792/1000</f>
        <v>1.892</v>
      </c>
      <c r="I792" s="4">
        <f>_xlfn.XLOOKUP(J792,数据!E:E,数据!S:S)*(H792/_xlfn.XLOOKUP(J792,数据!E:E,数据!X:X))</f>
        <v>118.631235665554</v>
      </c>
      <c r="J792" t="s">
        <v>209</v>
      </c>
      <c r="K792" t="s">
        <v>39</v>
      </c>
      <c r="L792" t="s">
        <v>2374</v>
      </c>
      <c r="M792" t="s">
        <v>6981</v>
      </c>
      <c r="N792" t="s">
        <v>2376</v>
      </c>
      <c r="O792" t="s">
        <v>2400</v>
      </c>
      <c r="P792" t="s">
        <v>2378</v>
      </c>
      <c r="Q792" t="s">
        <v>2379</v>
      </c>
      <c r="R792" t="s">
        <v>209</v>
      </c>
      <c r="S792" t="s">
        <v>2511</v>
      </c>
      <c r="T792" s="3" t="s">
        <v>6982</v>
      </c>
      <c r="U792" t="s">
        <v>6983</v>
      </c>
      <c r="V792" t="s">
        <v>6984</v>
      </c>
      <c r="W792" t="s">
        <v>6985</v>
      </c>
      <c r="X792" t="s">
        <v>2403</v>
      </c>
      <c r="Y792" t="s">
        <v>6986</v>
      </c>
      <c r="Z792" t="s">
        <v>2387</v>
      </c>
      <c r="AA792" t="s">
        <v>6982</v>
      </c>
      <c r="AB792" t="s">
        <v>6987</v>
      </c>
      <c r="AC792" t="s">
        <v>6988</v>
      </c>
      <c r="AD792" t="s">
        <v>6989</v>
      </c>
      <c r="AH792" t="s">
        <v>6874</v>
      </c>
      <c r="AI792" t="s">
        <v>6483</v>
      </c>
      <c r="AJ792" t="s">
        <v>4052</v>
      </c>
      <c r="AK792" t="s">
        <v>4053</v>
      </c>
      <c r="AL792" t="s">
        <v>4054</v>
      </c>
      <c r="AM792" t="s">
        <v>4050</v>
      </c>
      <c r="AN792" t="s">
        <v>4055</v>
      </c>
      <c r="AO792" t="s">
        <v>4052</v>
      </c>
      <c r="AP792">
        <v>4</v>
      </c>
      <c r="AQ792">
        <v>4</v>
      </c>
      <c r="AR792">
        <v>4</v>
      </c>
      <c r="AS792" t="s">
        <v>7010</v>
      </c>
      <c r="AT792">
        <v>0</v>
      </c>
      <c r="AU792">
        <v>0</v>
      </c>
      <c r="AV792">
        <v>0</v>
      </c>
    </row>
    <row r="793" spans="1:48">
      <c r="A793" s="1">
        <f>_xlfn.XLOOKUP(J793,数据!E:E,数据!A:A)</f>
        <v>1</v>
      </c>
      <c r="B793" s="1">
        <f>_xlfn.XLOOKUP(J793,数据!E:E,数据!B:B)</f>
        <v>2</v>
      </c>
      <c r="C793" s="1" t="str">
        <f>_xlfn.XLOOKUP(J793,数据!E:E,数据!J:J)</f>
        <v>红单</v>
      </c>
      <c r="D793" s="1" t="str" cm="1">
        <f t="array" ref="D793">IF(OR(C793="红单",C793="空派"),_xlfn.IFS(E793="未开售","新品首批发货",F793&lt;E793,"新品首批发货",F793-E793&lt;=60,"新品期补货空运",F793-E793&gt;60,"老品应急空运"),"海运，不进行分析")</f>
        <v>新品期补货空运</v>
      </c>
      <c r="E793" s="2">
        <v>46017</v>
      </c>
      <c r="F793" s="2">
        <f>_xlfn.XLOOKUP(J793,数据!E:E,数据!C:C)</f>
        <v>46030</v>
      </c>
      <c r="G793" s="4">
        <v>463</v>
      </c>
      <c r="H793" s="4">
        <f>G793*AP793/1000</f>
        <v>4.167</v>
      </c>
      <c r="I793" s="4">
        <f>_xlfn.XLOOKUP(J793,数据!E:E,数据!S:S)*(H793/_xlfn.XLOOKUP(J793,数据!E:E,数据!X:X))</f>
        <v>261.277145358543</v>
      </c>
      <c r="J793" t="s">
        <v>209</v>
      </c>
      <c r="K793" t="s">
        <v>39</v>
      </c>
      <c r="L793" t="s">
        <v>2374</v>
      </c>
      <c r="M793" t="s">
        <v>6981</v>
      </c>
      <c r="N793" t="s">
        <v>2376</v>
      </c>
      <c r="O793" t="s">
        <v>2400</v>
      </c>
      <c r="P793" t="s">
        <v>2378</v>
      </c>
      <c r="Q793" t="s">
        <v>2379</v>
      </c>
      <c r="R793" t="s">
        <v>209</v>
      </c>
      <c r="S793" t="s">
        <v>2511</v>
      </c>
      <c r="T793" s="3" t="s">
        <v>6982</v>
      </c>
      <c r="U793" t="s">
        <v>6983</v>
      </c>
      <c r="V793" t="s">
        <v>6984</v>
      </c>
      <c r="W793" t="s">
        <v>6985</v>
      </c>
      <c r="X793" t="s">
        <v>2403</v>
      </c>
      <c r="Y793" t="s">
        <v>6986</v>
      </c>
      <c r="Z793" t="s">
        <v>2387</v>
      </c>
      <c r="AA793" t="s">
        <v>6982</v>
      </c>
      <c r="AB793" t="s">
        <v>6987</v>
      </c>
      <c r="AC793" t="s">
        <v>6988</v>
      </c>
      <c r="AD793" t="s">
        <v>6989</v>
      </c>
      <c r="AH793" t="s">
        <v>6874</v>
      </c>
      <c r="AI793" t="s">
        <v>6483</v>
      </c>
      <c r="AJ793" t="s">
        <v>4767</v>
      </c>
      <c r="AK793" t="s">
        <v>4768</v>
      </c>
      <c r="AL793" t="s">
        <v>4769</v>
      </c>
      <c r="AM793" t="s">
        <v>4050</v>
      </c>
      <c r="AN793" t="s">
        <v>4770</v>
      </c>
      <c r="AO793" t="s">
        <v>4767</v>
      </c>
      <c r="AP793">
        <v>9</v>
      </c>
      <c r="AQ793">
        <v>9</v>
      </c>
      <c r="AR793">
        <v>9</v>
      </c>
      <c r="AS793" t="s">
        <v>7011</v>
      </c>
      <c r="AT793">
        <v>0</v>
      </c>
      <c r="AU793">
        <v>0</v>
      </c>
      <c r="AV793">
        <v>0</v>
      </c>
    </row>
    <row r="794" spans="1:48">
      <c r="A794" s="1">
        <f>_xlfn.XLOOKUP(J794,数据!E:E,数据!A:A)</f>
        <v>1</v>
      </c>
      <c r="B794" s="1">
        <f>_xlfn.XLOOKUP(J794,数据!E:E,数据!B:B)</f>
        <v>2</v>
      </c>
      <c r="C794" s="1" t="str">
        <f>_xlfn.XLOOKUP(J794,数据!E:E,数据!J:J)</f>
        <v>红单</v>
      </c>
      <c r="D794" s="1" t="str" cm="1">
        <f t="array" ref="D794">IF(OR(C794="红单",C794="空派"),_xlfn.IFS(E794="未开售","新品首批发货",F794&lt;E794,"新品首批发货",F794-E794&lt;=60,"新品期补货空运",F794-E794&gt;60,"老品应急空运"),"海运，不进行分析")</f>
        <v>新品期补货空运</v>
      </c>
      <c r="E794" s="2">
        <v>46018</v>
      </c>
      <c r="F794" s="2">
        <f>_xlfn.XLOOKUP(J794,数据!E:E,数据!C:C)</f>
        <v>46030</v>
      </c>
      <c r="G794" s="4">
        <v>465</v>
      </c>
      <c r="H794" s="4">
        <f>G794*AP794/1000</f>
        <v>1.86</v>
      </c>
      <c r="I794" s="4">
        <f>_xlfn.XLOOKUP(J794,数据!E:E,数据!S:S)*(H794/_xlfn.XLOOKUP(J794,数据!E:E,数据!X:X))</f>
        <v>116.624787705037</v>
      </c>
      <c r="J794" t="s">
        <v>209</v>
      </c>
      <c r="K794" t="s">
        <v>39</v>
      </c>
      <c r="L794" t="s">
        <v>2374</v>
      </c>
      <c r="M794" t="s">
        <v>6981</v>
      </c>
      <c r="N794" t="s">
        <v>2376</v>
      </c>
      <c r="O794" t="s">
        <v>2400</v>
      </c>
      <c r="P794" t="s">
        <v>2378</v>
      </c>
      <c r="Q794" t="s">
        <v>2379</v>
      </c>
      <c r="R794" t="s">
        <v>209</v>
      </c>
      <c r="S794" t="s">
        <v>2511</v>
      </c>
      <c r="T794" s="3" t="s">
        <v>6982</v>
      </c>
      <c r="U794" t="s">
        <v>6983</v>
      </c>
      <c r="V794" t="s">
        <v>6984</v>
      </c>
      <c r="W794" t="s">
        <v>6985</v>
      </c>
      <c r="X794" t="s">
        <v>2403</v>
      </c>
      <c r="Y794" t="s">
        <v>6986</v>
      </c>
      <c r="Z794" t="s">
        <v>2387</v>
      </c>
      <c r="AA794" t="s">
        <v>6982</v>
      </c>
      <c r="AB794" t="s">
        <v>6987</v>
      </c>
      <c r="AC794" t="s">
        <v>6988</v>
      </c>
      <c r="AD794" t="s">
        <v>6989</v>
      </c>
      <c r="AH794" t="s">
        <v>6874</v>
      </c>
      <c r="AI794" t="s">
        <v>6483</v>
      </c>
      <c r="AJ794" t="s">
        <v>7012</v>
      </c>
      <c r="AK794" t="s">
        <v>7013</v>
      </c>
      <c r="AL794" t="s">
        <v>7014</v>
      </c>
      <c r="AM794" t="s">
        <v>4050</v>
      </c>
      <c r="AN794" t="s">
        <v>7015</v>
      </c>
      <c r="AO794" t="s">
        <v>7012</v>
      </c>
      <c r="AP794">
        <v>4</v>
      </c>
      <c r="AQ794">
        <v>4</v>
      </c>
      <c r="AR794">
        <v>4</v>
      </c>
      <c r="AS794" t="s">
        <v>7010</v>
      </c>
      <c r="AT794">
        <v>0</v>
      </c>
      <c r="AU794">
        <v>0</v>
      </c>
      <c r="AV794">
        <v>0</v>
      </c>
    </row>
    <row r="795" spans="1:48">
      <c r="A795" s="1">
        <f>_xlfn.XLOOKUP(J795,数据!E:E,数据!A:A)</f>
        <v>1</v>
      </c>
      <c r="B795" s="1">
        <f>_xlfn.XLOOKUP(J795,数据!E:E,数据!B:B)</f>
        <v>2</v>
      </c>
      <c r="C795" s="1" t="str">
        <f>_xlfn.XLOOKUP(J795,数据!E:E,数据!J:J)</f>
        <v>红单</v>
      </c>
      <c r="D795" s="1" t="str" cm="1">
        <f t="array" ref="D795">IF(OR(C795="红单",C795="空派"),_xlfn.IFS(E795="未开售","新品首批发货",F795&lt;E795,"新品首批发货",F795-E795&lt;=60,"新品期补货空运",F795-E795&gt;60,"老品应急空运"),"海运，不进行分析")</f>
        <v>新品期补货空运</v>
      </c>
      <c r="E795" s="2">
        <v>46016</v>
      </c>
      <c r="F795" s="2">
        <f>_xlfn.XLOOKUP(J795,数据!E:E,数据!C:C)</f>
        <v>46030</v>
      </c>
      <c r="G795" s="4">
        <v>476</v>
      </c>
      <c r="H795" s="4">
        <f>G795*AP795/1000</f>
        <v>1.428</v>
      </c>
      <c r="I795" s="4">
        <f>_xlfn.XLOOKUP(J795,数据!E:E,数据!S:S)*(H795/_xlfn.XLOOKUP(J795,数据!E:E,数据!X:X))</f>
        <v>89.5377402380607</v>
      </c>
      <c r="J795" t="s">
        <v>209</v>
      </c>
      <c r="K795" t="s">
        <v>39</v>
      </c>
      <c r="L795" t="s">
        <v>2374</v>
      </c>
      <c r="M795" t="s">
        <v>6981</v>
      </c>
      <c r="N795" t="s">
        <v>2376</v>
      </c>
      <c r="O795" t="s">
        <v>2400</v>
      </c>
      <c r="P795" t="s">
        <v>2378</v>
      </c>
      <c r="Q795" t="s">
        <v>2379</v>
      </c>
      <c r="R795" t="s">
        <v>209</v>
      </c>
      <c r="S795" t="s">
        <v>2511</v>
      </c>
      <c r="T795" s="3" t="s">
        <v>6982</v>
      </c>
      <c r="U795" t="s">
        <v>6983</v>
      </c>
      <c r="V795" t="s">
        <v>6984</v>
      </c>
      <c r="W795" t="s">
        <v>6985</v>
      </c>
      <c r="X795" t="s">
        <v>2403</v>
      </c>
      <c r="Y795" t="s">
        <v>6986</v>
      </c>
      <c r="Z795" t="s">
        <v>2387</v>
      </c>
      <c r="AA795" t="s">
        <v>6982</v>
      </c>
      <c r="AB795" t="s">
        <v>6987</v>
      </c>
      <c r="AC795" t="s">
        <v>6988</v>
      </c>
      <c r="AD795" t="s">
        <v>6989</v>
      </c>
      <c r="AH795" t="s">
        <v>6874</v>
      </c>
      <c r="AI795" t="s">
        <v>6483</v>
      </c>
      <c r="AJ795" t="s">
        <v>7016</v>
      </c>
      <c r="AK795" t="s">
        <v>7017</v>
      </c>
      <c r="AL795" t="s">
        <v>7018</v>
      </c>
      <c r="AM795" t="s">
        <v>4382</v>
      </c>
      <c r="AN795" t="s">
        <v>7019</v>
      </c>
      <c r="AO795" t="s">
        <v>7016</v>
      </c>
      <c r="AP795">
        <v>3</v>
      </c>
      <c r="AQ795">
        <v>3</v>
      </c>
      <c r="AR795">
        <v>3</v>
      </c>
      <c r="AS795" t="s">
        <v>7000</v>
      </c>
      <c r="AT795">
        <v>0</v>
      </c>
      <c r="AU795">
        <v>0</v>
      </c>
      <c r="AV795">
        <v>0</v>
      </c>
    </row>
    <row r="796" spans="1:48">
      <c r="A796" s="1">
        <f>_xlfn.XLOOKUP(J796,数据!E:E,数据!A:A)</f>
        <v>1</v>
      </c>
      <c r="B796" s="1">
        <f>_xlfn.XLOOKUP(J796,数据!E:E,数据!B:B)</f>
        <v>2</v>
      </c>
      <c r="C796" s="1" t="str">
        <f>_xlfn.XLOOKUP(J796,数据!E:E,数据!J:J)</f>
        <v>红单</v>
      </c>
      <c r="D796" s="1" t="str" cm="1">
        <f t="array" ref="D796">IF(OR(C796="红单",C796="空派"),_xlfn.IFS(E796="未开售","新品首批发货",F796&lt;E796,"新品首批发货",F796-E796&lt;=60,"新品期补货空运",F796-E796&gt;60,"老品应急空运"),"海运，不进行分析")</f>
        <v>新品期补货空运</v>
      </c>
      <c r="E796" s="2">
        <v>46017</v>
      </c>
      <c r="F796" s="2">
        <f>_xlfn.XLOOKUP(J796,数据!E:E,数据!C:C)</f>
        <v>46030</v>
      </c>
      <c r="G796" s="4">
        <v>457</v>
      </c>
      <c r="H796" s="4">
        <f>G796*AP796/1000</f>
        <v>1.828</v>
      </c>
      <c r="I796" s="4">
        <f>_xlfn.XLOOKUP(J796,数据!E:E,数据!S:S)*(H796/_xlfn.XLOOKUP(J796,数据!E:E,数据!X:X))</f>
        <v>114.61833974452</v>
      </c>
      <c r="J796" t="s">
        <v>209</v>
      </c>
      <c r="K796" t="s">
        <v>39</v>
      </c>
      <c r="L796" t="s">
        <v>2374</v>
      </c>
      <c r="M796" t="s">
        <v>6981</v>
      </c>
      <c r="N796" t="s">
        <v>2376</v>
      </c>
      <c r="O796" t="s">
        <v>2400</v>
      </c>
      <c r="P796" t="s">
        <v>2378</v>
      </c>
      <c r="Q796" t="s">
        <v>2379</v>
      </c>
      <c r="R796" t="s">
        <v>209</v>
      </c>
      <c r="S796" t="s">
        <v>2511</v>
      </c>
      <c r="T796" s="3" t="s">
        <v>6982</v>
      </c>
      <c r="U796" t="s">
        <v>6983</v>
      </c>
      <c r="V796" t="s">
        <v>6984</v>
      </c>
      <c r="W796" t="s">
        <v>6985</v>
      </c>
      <c r="X796" t="s">
        <v>2403</v>
      </c>
      <c r="Y796" t="s">
        <v>6986</v>
      </c>
      <c r="Z796" t="s">
        <v>2387</v>
      </c>
      <c r="AA796" t="s">
        <v>6982</v>
      </c>
      <c r="AB796" t="s">
        <v>6987</v>
      </c>
      <c r="AC796" t="s">
        <v>6988</v>
      </c>
      <c r="AD796" t="s">
        <v>6989</v>
      </c>
      <c r="AH796" t="s">
        <v>6874</v>
      </c>
      <c r="AI796" t="s">
        <v>6483</v>
      </c>
      <c r="AJ796" t="s">
        <v>5161</v>
      </c>
      <c r="AK796" t="s">
        <v>5162</v>
      </c>
      <c r="AL796" t="s">
        <v>5163</v>
      </c>
      <c r="AM796" t="s">
        <v>4050</v>
      </c>
      <c r="AN796" t="s">
        <v>5164</v>
      </c>
      <c r="AO796" t="s">
        <v>5161</v>
      </c>
      <c r="AP796">
        <v>4</v>
      </c>
      <c r="AQ796">
        <v>4</v>
      </c>
      <c r="AR796">
        <v>4</v>
      </c>
      <c r="AS796" t="s">
        <v>7010</v>
      </c>
      <c r="AT796">
        <v>0</v>
      </c>
      <c r="AU796">
        <v>0</v>
      </c>
      <c r="AV796">
        <v>0</v>
      </c>
    </row>
    <row r="797" spans="1:48">
      <c r="A797" s="1">
        <f>_xlfn.XLOOKUP(J797,数据!E:E,数据!A:A)</f>
        <v>1</v>
      </c>
      <c r="B797" s="1">
        <f>_xlfn.XLOOKUP(J797,数据!E:E,数据!B:B)</f>
        <v>2</v>
      </c>
      <c r="C797" s="1" t="str">
        <f>_xlfn.XLOOKUP(J797,数据!E:E,数据!J:J)</f>
        <v>红单</v>
      </c>
      <c r="D797" s="1" t="str" cm="1">
        <f t="array" ref="D797">IF(OR(C797="红单",C797="空派"),_xlfn.IFS(E797="未开售","新品首批发货",F797&lt;E797,"新品首批发货",F797-E797&lt;=60,"新品期补货空运",F797-E797&gt;60,"老品应急空运"),"海运，不进行分析")</f>
        <v>新品期补货空运</v>
      </c>
      <c r="E797" s="2">
        <v>46019</v>
      </c>
      <c r="F797" s="2">
        <f>_xlfn.XLOOKUP(J797,数据!E:E,数据!C:C)</f>
        <v>46030</v>
      </c>
      <c r="G797" s="4">
        <v>106</v>
      </c>
      <c r="H797" s="4">
        <f>G797*AP797/1000</f>
        <v>3.18</v>
      </c>
      <c r="I797" s="4">
        <f>_xlfn.XLOOKUP(J797,数据!E:E,数据!S:S)*(H797/_xlfn.XLOOKUP(J797,数据!E:E,数据!X:X))</f>
        <v>199.390766076354</v>
      </c>
      <c r="J797" t="s">
        <v>209</v>
      </c>
      <c r="K797" t="s">
        <v>39</v>
      </c>
      <c r="L797" t="s">
        <v>2374</v>
      </c>
      <c r="M797" t="s">
        <v>6981</v>
      </c>
      <c r="N797" t="s">
        <v>2376</v>
      </c>
      <c r="O797" t="s">
        <v>2400</v>
      </c>
      <c r="P797" t="s">
        <v>2378</v>
      </c>
      <c r="Q797" t="s">
        <v>2379</v>
      </c>
      <c r="R797" t="s">
        <v>209</v>
      </c>
      <c r="S797" t="s">
        <v>2511</v>
      </c>
      <c r="T797" s="3" t="s">
        <v>6982</v>
      </c>
      <c r="U797" t="s">
        <v>6983</v>
      </c>
      <c r="V797" t="s">
        <v>6984</v>
      </c>
      <c r="W797" t="s">
        <v>6985</v>
      </c>
      <c r="X797" t="s">
        <v>2403</v>
      </c>
      <c r="Y797" t="s">
        <v>6986</v>
      </c>
      <c r="Z797" t="s">
        <v>2387</v>
      </c>
      <c r="AA797" t="s">
        <v>6982</v>
      </c>
      <c r="AB797" t="s">
        <v>6987</v>
      </c>
      <c r="AC797" t="s">
        <v>6988</v>
      </c>
      <c r="AD797" t="s">
        <v>6989</v>
      </c>
      <c r="AH797" t="s">
        <v>6874</v>
      </c>
      <c r="AI797" t="s">
        <v>6483</v>
      </c>
      <c r="AJ797" t="s">
        <v>7020</v>
      </c>
      <c r="AK797" t="s">
        <v>7021</v>
      </c>
      <c r="AL797" t="s">
        <v>7022</v>
      </c>
      <c r="AM797" t="s">
        <v>3643</v>
      </c>
      <c r="AN797" t="s">
        <v>7023</v>
      </c>
      <c r="AO797" t="s">
        <v>7020</v>
      </c>
      <c r="AP797">
        <v>30</v>
      </c>
      <c r="AQ797">
        <v>30</v>
      </c>
      <c r="AR797">
        <v>29</v>
      </c>
      <c r="AS797" t="s">
        <v>7024</v>
      </c>
      <c r="AT797">
        <v>0</v>
      </c>
      <c r="AU797">
        <v>-1</v>
      </c>
      <c r="AV797">
        <v>1</v>
      </c>
    </row>
    <row r="798" spans="1:48">
      <c r="A798" s="1">
        <f>_xlfn.XLOOKUP(J798,数据!E:E,数据!A:A)</f>
        <v>1</v>
      </c>
      <c r="B798" s="1">
        <f>_xlfn.XLOOKUP(J798,数据!E:E,数据!B:B)</f>
        <v>2</v>
      </c>
      <c r="C798" s="1" t="str">
        <f>_xlfn.XLOOKUP(J798,数据!E:E,数据!J:J)</f>
        <v>红单</v>
      </c>
      <c r="D798" s="1" t="str" cm="1">
        <f t="array" ref="D798">IF(OR(C798="红单",C798="空派"),_xlfn.IFS(E798="未开售","新品首批发货",F798&lt;E798,"新品首批发货",F798-E798&lt;=60,"新品期补货空运",F798-E798&gt;60,"老品应急空运"),"海运，不进行分析")</f>
        <v>新品期补货空运</v>
      </c>
      <c r="E798" s="2">
        <v>46015</v>
      </c>
      <c r="F798" s="2">
        <f>_xlfn.XLOOKUP(J798,数据!E:E,数据!C:C)</f>
        <v>46030</v>
      </c>
      <c r="G798" s="4">
        <v>105</v>
      </c>
      <c r="H798" s="4">
        <f>G798*AP798/1000</f>
        <v>4.935</v>
      </c>
      <c r="I798" s="4">
        <f>_xlfn.XLOOKUP(J798,数据!E:E,数据!S:S)*(H798/_xlfn.XLOOKUP(J798,数据!E:E,数据!X:X))</f>
        <v>327.407194940885</v>
      </c>
      <c r="J798" t="s">
        <v>206</v>
      </c>
      <c r="K798" t="s">
        <v>78</v>
      </c>
      <c r="L798" t="s">
        <v>2374</v>
      </c>
      <c r="M798" t="s">
        <v>7025</v>
      </c>
      <c r="N798" t="s">
        <v>2376</v>
      </c>
      <c r="O798" t="s">
        <v>2400</v>
      </c>
      <c r="P798" t="s">
        <v>2378</v>
      </c>
      <c r="Q798" t="s">
        <v>2379</v>
      </c>
      <c r="R798" t="s">
        <v>206</v>
      </c>
      <c r="S798" t="s">
        <v>2511</v>
      </c>
      <c r="T798" s="3" t="s">
        <v>7026</v>
      </c>
      <c r="U798" t="s">
        <v>7027</v>
      </c>
      <c r="V798" t="s">
        <v>7028</v>
      </c>
      <c r="W798" t="s">
        <v>7029</v>
      </c>
      <c r="X798" t="s">
        <v>2403</v>
      </c>
      <c r="Y798" t="s">
        <v>7030</v>
      </c>
      <c r="Z798" t="s">
        <v>2387</v>
      </c>
      <c r="AA798" t="s">
        <v>7026</v>
      </c>
      <c r="AB798" t="s">
        <v>7031</v>
      </c>
      <c r="AC798" t="s">
        <v>7032</v>
      </c>
      <c r="AD798" t="s">
        <v>6989</v>
      </c>
      <c r="AH798" t="s">
        <v>6874</v>
      </c>
      <c r="AI798" t="s">
        <v>6483</v>
      </c>
      <c r="AJ798" t="s">
        <v>3135</v>
      </c>
      <c r="AK798" t="s">
        <v>3136</v>
      </c>
      <c r="AL798" t="s">
        <v>3137</v>
      </c>
      <c r="AM798" t="s">
        <v>3138</v>
      </c>
      <c r="AN798" t="s">
        <v>3139</v>
      </c>
      <c r="AO798" t="s">
        <v>3135</v>
      </c>
      <c r="AP798">
        <v>47</v>
      </c>
      <c r="AQ798">
        <v>47</v>
      </c>
      <c r="AR798">
        <v>46</v>
      </c>
      <c r="AS798" t="s">
        <v>7033</v>
      </c>
      <c r="AT798">
        <v>0</v>
      </c>
      <c r="AU798">
        <v>-1</v>
      </c>
      <c r="AV798">
        <v>1</v>
      </c>
    </row>
    <row r="799" spans="1:48">
      <c r="A799" s="1">
        <f>_xlfn.XLOOKUP(J799,数据!E:E,数据!A:A)</f>
        <v>1</v>
      </c>
      <c r="B799" s="1">
        <f>_xlfn.XLOOKUP(J799,数据!E:E,数据!B:B)</f>
        <v>2</v>
      </c>
      <c r="C799" s="1" t="str">
        <f>_xlfn.XLOOKUP(J799,数据!E:E,数据!J:J)</f>
        <v>红单</v>
      </c>
      <c r="D799" s="1" t="str" cm="1">
        <f t="array" ref="D799">IF(OR(C799="红单",C799="空派"),_xlfn.IFS(E799="未开售","新品首批发货",F799&lt;E799,"新品首批发货",F799-E799&lt;=60,"新品期补货空运",F799-E799&gt;60,"老品应急空运"),"海运，不进行分析")</f>
        <v>新品期补货空运</v>
      </c>
      <c r="E799" s="2">
        <v>46019</v>
      </c>
      <c r="F799" s="2">
        <f>_xlfn.XLOOKUP(J799,数据!E:E,数据!C:C)</f>
        <v>46030</v>
      </c>
      <c r="G799" s="4">
        <v>106</v>
      </c>
      <c r="H799" s="4">
        <f>G799*AP799/1000</f>
        <v>11.13</v>
      </c>
      <c r="I799" s="4">
        <f>_xlfn.XLOOKUP(J799,数据!E:E,数据!S:S)*(H799/_xlfn.XLOOKUP(J799,数据!E:E,数据!X:X))</f>
        <v>738.407716249656</v>
      </c>
      <c r="J799" t="s">
        <v>206</v>
      </c>
      <c r="K799" t="s">
        <v>78</v>
      </c>
      <c r="L799" t="s">
        <v>2374</v>
      </c>
      <c r="M799" t="s">
        <v>7025</v>
      </c>
      <c r="N799" t="s">
        <v>2376</v>
      </c>
      <c r="O799" t="s">
        <v>2400</v>
      </c>
      <c r="P799" t="s">
        <v>2378</v>
      </c>
      <c r="Q799" t="s">
        <v>2379</v>
      </c>
      <c r="R799" t="s">
        <v>206</v>
      </c>
      <c r="S799" t="s">
        <v>2511</v>
      </c>
      <c r="T799" s="3" t="s">
        <v>7026</v>
      </c>
      <c r="U799" t="s">
        <v>7027</v>
      </c>
      <c r="V799" t="s">
        <v>7028</v>
      </c>
      <c r="W799" t="s">
        <v>7029</v>
      </c>
      <c r="X799" t="s">
        <v>2403</v>
      </c>
      <c r="Y799" t="s">
        <v>7030</v>
      </c>
      <c r="Z799" t="s">
        <v>2387</v>
      </c>
      <c r="AA799" t="s">
        <v>7026</v>
      </c>
      <c r="AB799" t="s">
        <v>7031</v>
      </c>
      <c r="AC799" t="s">
        <v>7032</v>
      </c>
      <c r="AD799" t="s">
        <v>6989</v>
      </c>
      <c r="AH799" t="s">
        <v>6874</v>
      </c>
      <c r="AI799" t="s">
        <v>6483</v>
      </c>
      <c r="AJ799" t="s">
        <v>7034</v>
      </c>
      <c r="AK799" t="s">
        <v>7035</v>
      </c>
      <c r="AL799" t="s">
        <v>7036</v>
      </c>
      <c r="AM799" t="s">
        <v>3138</v>
      </c>
      <c r="AN799" t="s">
        <v>7037</v>
      </c>
      <c r="AO799" t="s">
        <v>7034</v>
      </c>
      <c r="AP799">
        <v>105</v>
      </c>
      <c r="AQ799">
        <v>105</v>
      </c>
      <c r="AR799">
        <v>105</v>
      </c>
      <c r="AS799" t="s">
        <v>7038</v>
      </c>
      <c r="AT799">
        <v>0</v>
      </c>
      <c r="AU799">
        <v>0</v>
      </c>
      <c r="AV799">
        <v>0</v>
      </c>
    </row>
    <row r="800" spans="1:48">
      <c r="A800" s="1">
        <f>_xlfn.XLOOKUP(J800,数据!E:E,数据!A:A)</f>
        <v>1</v>
      </c>
      <c r="B800" s="1">
        <f>_xlfn.XLOOKUP(J800,数据!E:E,数据!B:B)</f>
        <v>2</v>
      </c>
      <c r="C800" s="1" t="str">
        <f>_xlfn.XLOOKUP(J800,数据!E:E,数据!J:J)</f>
        <v>红单</v>
      </c>
      <c r="D800" s="1" t="str" cm="1">
        <f t="array" ref="D800">IF(OR(C800="红单",C800="空派"),_xlfn.IFS(E800="未开售","新品首批发货",F800&lt;E800,"新品首批发货",F800-E800&lt;=60,"新品期补货空运",F800-E800&gt;60,"老品应急空运"),"海运，不进行分析")</f>
        <v>新品期补货空运</v>
      </c>
      <c r="E800" s="2">
        <v>46004</v>
      </c>
      <c r="F800" s="2">
        <f>_xlfn.XLOOKUP(J800,数据!E:E,数据!C:C)</f>
        <v>46030</v>
      </c>
      <c r="G800" s="4">
        <v>106</v>
      </c>
      <c r="H800" s="4">
        <f>G800*AP800/1000</f>
        <v>2.12</v>
      </c>
      <c r="I800" s="4">
        <f>_xlfn.XLOOKUP(J800,数据!E:E,数据!S:S)*(H800/_xlfn.XLOOKUP(J800,数据!E:E,数据!X:X))</f>
        <v>140.649088809458</v>
      </c>
      <c r="J800" t="s">
        <v>206</v>
      </c>
      <c r="K800" t="s">
        <v>78</v>
      </c>
      <c r="L800" t="s">
        <v>2374</v>
      </c>
      <c r="M800" t="s">
        <v>7025</v>
      </c>
      <c r="N800" t="s">
        <v>2376</v>
      </c>
      <c r="O800" t="s">
        <v>2400</v>
      </c>
      <c r="P800" t="s">
        <v>2378</v>
      </c>
      <c r="Q800" t="s">
        <v>2379</v>
      </c>
      <c r="R800" t="s">
        <v>206</v>
      </c>
      <c r="S800" t="s">
        <v>2511</v>
      </c>
      <c r="T800" s="3" t="s">
        <v>7026</v>
      </c>
      <c r="U800" t="s">
        <v>7027</v>
      </c>
      <c r="V800" t="s">
        <v>7028</v>
      </c>
      <c r="W800" t="s">
        <v>7029</v>
      </c>
      <c r="X800" t="s">
        <v>2403</v>
      </c>
      <c r="Y800" t="s">
        <v>7030</v>
      </c>
      <c r="Z800" t="s">
        <v>2387</v>
      </c>
      <c r="AA800" t="s">
        <v>7026</v>
      </c>
      <c r="AB800" t="s">
        <v>7031</v>
      </c>
      <c r="AC800" t="s">
        <v>7032</v>
      </c>
      <c r="AD800" t="s">
        <v>6989</v>
      </c>
      <c r="AH800" t="s">
        <v>6874</v>
      </c>
      <c r="AI800" t="s">
        <v>6483</v>
      </c>
      <c r="AJ800" t="s">
        <v>7039</v>
      </c>
      <c r="AK800" t="s">
        <v>7040</v>
      </c>
      <c r="AL800" t="s">
        <v>7041</v>
      </c>
      <c r="AM800" t="s">
        <v>7042</v>
      </c>
      <c r="AN800" t="s">
        <v>7043</v>
      </c>
      <c r="AO800" t="s">
        <v>7039</v>
      </c>
      <c r="AP800">
        <v>20</v>
      </c>
      <c r="AQ800">
        <v>20</v>
      </c>
      <c r="AR800">
        <v>20</v>
      </c>
      <c r="AS800" t="s">
        <v>7044</v>
      </c>
      <c r="AT800">
        <v>0</v>
      </c>
      <c r="AU800">
        <v>0</v>
      </c>
      <c r="AV800">
        <v>0</v>
      </c>
    </row>
    <row r="801" spans="1:48">
      <c r="A801" s="1">
        <f>_xlfn.XLOOKUP(J801,数据!E:E,数据!A:A)</f>
        <v>1</v>
      </c>
      <c r="B801" s="1">
        <f>_xlfn.XLOOKUP(J801,数据!E:E,数据!B:B)</f>
        <v>2</v>
      </c>
      <c r="C801" s="1" t="str">
        <f>_xlfn.XLOOKUP(J801,数据!E:E,数据!J:J)</f>
        <v>空派</v>
      </c>
      <c r="D801" s="1" t="str" cm="1">
        <f t="array" ref="D801">IF(OR(C801="红单",C801="空派"),_xlfn.IFS(E801="未开售","新品首批发货",F801&lt;E801,"新品首批发货",F801-E801&lt;=60,"新品期补货空运",F801-E801&gt;60,"老品应急空运"),"海运，不进行分析")</f>
        <v>老品应急空运</v>
      </c>
      <c r="E801" s="2">
        <v>45415</v>
      </c>
      <c r="F801" s="2">
        <f>_xlfn.XLOOKUP(J801,数据!E:E,数据!C:C)</f>
        <v>46029</v>
      </c>
      <c r="G801" s="4">
        <v>400</v>
      </c>
      <c r="H801" s="4">
        <f>G801*AP801/1000</f>
        <v>13.6</v>
      </c>
      <c r="I801" s="4">
        <f>_xlfn.XLOOKUP(J801,数据!E:E,数据!S:S)*(H801/_xlfn.XLOOKUP(J801,数据!E:E,数据!X:X))</f>
        <v>528.986</v>
      </c>
      <c r="J801" t="s">
        <v>58</v>
      </c>
      <c r="K801" t="s">
        <v>59</v>
      </c>
      <c r="L801" t="s">
        <v>2374</v>
      </c>
      <c r="M801" t="s">
        <v>7045</v>
      </c>
      <c r="N801" t="s">
        <v>2376</v>
      </c>
      <c r="O801" t="s">
        <v>2377</v>
      </c>
      <c r="P801" t="s">
        <v>2378</v>
      </c>
      <c r="Q801" t="s">
        <v>2379</v>
      </c>
      <c r="S801" t="s">
        <v>2511</v>
      </c>
      <c r="T801" s="3" t="s">
        <v>7046</v>
      </c>
      <c r="U801" t="s">
        <v>7047</v>
      </c>
      <c r="V801" t="s">
        <v>7048</v>
      </c>
      <c r="W801" t="s">
        <v>7049</v>
      </c>
      <c r="X801" t="s">
        <v>2403</v>
      </c>
      <c r="Y801" t="s">
        <v>7050</v>
      </c>
      <c r="Z801" t="s">
        <v>2405</v>
      </c>
      <c r="AA801" t="s">
        <v>7046</v>
      </c>
      <c r="AB801" t="s">
        <v>6967</v>
      </c>
      <c r="AC801" t="s">
        <v>7051</v>
      </c>
      <c r="AD801" t="s">
        <v>6989</v>
      </c>
      <c r="AG801" t="s">
        <v>2432</v>
      </c>
      <c r="AH801" t="s">
        <v>6874</v>
      </c>
      <c r="AI801" t="s">
        <v>6483</v>
      </c>
      <c r="AJ801" t="s">
        <v>5998</v>
      </c>
      <c r="AK801" t="s">
        <v>5999</v>
      </c>
      <c r="AL801" t="s">
        <v>6000</v>
      </c>
      <c r="AM801" t="s">
        <v>6001</v>
      </c>
      <c r="AN801" t="s">
        <v>6002</v>
      </c>
      <c r="AO801" t="s">
        <v>5998</v>
      </c>
      <c r="AP801">
        <v>34</v>
      </c>
      <c r="AQ801">
        <v>34</v>
      </c>
      <c r="AR801">
        <v>34</v>
      </c>
      <c r="AS801" t="s">
        <v>7052</v>
      </c>
      <c r="AT801">
        <v>0</v>
      </c>
      <c r="AU801">
        <v>0</v>
      </c>
      <c r="AV801">
        <v>0</v>
      </c>
    </row>
    <row r="802" spans="1:48">
      <c r="A802" s="1">
        <f>_xlfn.XLOOKUP(J802,数据!E:E,数据!A:A)</f>
        <v>1</v>
      </c>
      <c r="B802" s="1">
        <f>_xlfn.XLOOKUP(J802,数据!E:E,数据!B:B)</f>
        <v>2</v>
      </c>
      <c r="C802" s="1" t="str">
        <f>_xlfn.XLOOKUP(J802,数据!E:E,数据!J:J)</f>
        <v>空派</v>
      </c>
      <c r="D802" s="1" t="str" cm="1">
        <f t="array" ref="D802">IF(OR(C802="红单",C802="空派"),_xlfn.IFS(E802="未开售","新品首批发货",F802&lt;E802,"新品首批发货",F802-E802&lt;=60,"新品期补货空运",F802-E802&gt;60,"老品应急空运"),"海运，不进行分析")</f>
        <v>新品期补货空运</v>
      </c>
      <c r="E802" s="2">
        <v>46017</v>
      </c>
      <c r="F802" s="2">
        <f>_xlfn.XLOOKUP(J802,数据!E:E,数据!C:C)</f>
        <v>46029</v>
      </c>
      <c r="G802" s="4">
        <v>490</v>
      </c>
      <c r="H802" s="4">
        <f>G802*AP802/1000</f>
        <v>56.84</v>
      </c>
      <c r="I802" s="4">
        <f>_xlfn.XLOOKUP(J802,数据!E:E,数据!S:S)*(H802/_xlfn.XLOOKUP(J802,数据!E:E,数据!X:X))</f>
        <v>2215.02778875523</v>
      </c>
      <c r="J802" t="s">
        <v>57</v>
      </c>
      <c r="K802" t="s">
        <v>46</v>
      </c>
      <c r="L802" t="s">
        <v>2374</v>
      </c>
      <c r="M802" t="s">
        <v>7053</v>
      </c>
      <c r="N802" t="s">
        <v>2376</v>
      </c>
      <c r="O802" t="s">
        <v>2400</v>
      </c>
      <c r="P802" t="s">
        <v>2378</v>
      </c>
      <c r="Q802" t="s">
        <v>2379</v>
      </c>
      <c r="S802" t="s">
        <v>2511</v>
      </c>
      <c r="T802" s="3" t="s">
        <v>7054</v>
      </c>
      <c r="U802" t="s">
        <v>7055</v>
      </c>
      <c r="V802" t="s">
        <v>7056</v>
      </c>
      <c r="W802" t="s">
        <v>7057</v>
      </c>
      <c r="X802" t="s">
        <v>2403</v>
      </c>
      <c r="Y802" t="s">
        <v>7058</v>
      </c>
      <c r="Z802" t="s">
        <v>2405</v>
      </c>
      <c r="AA802" t="s">
        <v>7054</v>
      </c>
      <c r="AB802" t="s">
        <v>7059</v>
      </c>
      <c r="AC802" t="s">
        <v>7060</v>
      </c>
      <c r="AD802" t="s">
        <v>6989</v>
      </c>
      <c r="AG802" t="s">
        <v>2432</v>
      </c>
      <c r="AH802" t="s">
        <v>6874</v>
      </c>
      <c r="AI802" t="s">
        <v>6483</v>
      </c>
      <c r="AJ802" t="s">
        <v>5485</v>
      </c>
      <c r="AK802" t="s">
        <v>5486</v>
      </c>
      <c r="AL802" t="s">
        <v>5487</v>
      </c>
      <c r="AM802" t="s">
        <v>5487</v>
      </c>
      <c r="AN802" t="s">
        <v>5488</v>
      </c>
      <c r="AO802" t="s">
        <v>5485</v>
      </c>
      <c r="AP802">
        <v>116</v>
      </c>
      <c r="AQ802">
        <v>116</v>
      </c>
      <c r="AR802">
        <v>113</v>
      </c>
      <c r="AS802" t="s">
        <v>7061</v>
      </c>
      <c r="AT802">
        <v>0</v>
      </c>
      <c r="AU802">
        <v>-3</v>
      </c>
      <c r="AV802">
        <v>3</v>
      </c>
    </row>
    <row r="803" spans="1:48">
      <c r="A803" s="1">
        <f>_xlfn.XLOOKUP(J803,数据!E:E,数据!A:A)</f>
        <v>1</v>
      </c>
      <c r="B803" s="1">
        <f>_xlfn.XLOOKUP(J803,数据!E:E,数据!B:B)</f>
        <v>2</v>
      </c>
      <c r="C803" s="1" t="str">
        <f>_xlfn.XLOOKUP(J803,数据!E:E,数据!J:J)</f>
        <v>空派</v>
      </c>
      <c r="D803" s="1" t="str" cm="1">
        <f t="array" ref="D803">IF(OR(C803="红单",C803="空派"),_xlfn.IFS(E803="未开售","新品首批发货",F803&lt;E803,"新品首批发货",F803-E803&lt;=60,"新品期补货空运",F803-E803&gt;60,"老品应急空运"),"海运，不进行分析")</f>
        <v>老品应急空运</v>
      </c>
      <c r="E803" s="2">
        <v>45968</v>
      </c>
      <c r="F803" s="2">
        <f>_xlfn.XLOOKUP(J803,数据!E:E,数据!C:C)</f>
        <v>46029</v>
      </c>
      <c r="G803" s="4">
        <v>353</v>
      </c>
      <c r="H803" s="4">
        <f>G803*AP803/1000</f>
        <v>1.765</v>
      </c>
      <c r="I803" s="4">
        <f>_xlfn.XLOOKUP(J803,数据!E:E,数据!S:S)*(H803/_xlfn.XLOOKUP(J803,数据!E:E,数据!X:X))</f>
        <v>68.7812112447743</v>
      </c>
      <c r="J803" t="s">
        <v>57</v>
      </c>
      <c r="K803" t="s">
        <v>46</v>
      </c>
      <c r="L803" t="s">
        <v>2374</v>
      </c>
      <c r="M803" t="s">
        <v>7053</v>
      </c>
      <c r="N803" t="s">
        <v>2376</v>
      </c>
      <c r="O803" t="s">
        <v>2400</v>
      </c>
      <c r="P803" t="s">
        <v>2378</v>
      </c>
      <c r="Q803" t="s">
        <v>2379</v>
      </c>
      <c r="S803" t="s">
        <v>2511</v>
      </c>
      <c r="T803" s="3" t="s">
        <v>7054</v>
      </c>
      <c r="U803" t="s">
        <v>7055</v>
      </c>
      <c r="V803" t="s">
        <v>7056</v>
      </c>
      <c r="W803" t="s">
        <v>7057</v>
      </c>
      <c r="X803" t="s">
        <v>2403</v>
      </c>
      <c r="Y803" t="s">
        <v>7058</v>
      </c>
      <c r="Z803" t="s">
        <v>2405</v>
      </c>
      <c r="AA803" t="s">
        <v>7054</v>
      </c>
      <c r="AB803" t="s">
        <v>7059</v>
      </c>
      <c r="AC803" t="s">
        <v>7060</v>
      </c>
      <c r="AD803" t="s">
        <v>6989</v>
      </c>
      <c r="AG803" t="s">
        <v>2432</v>
      </c>
      <c r="AH803" t="s">
        <v>6874</v>
      </c>
      <c r="AI803" t="s">
        <v>6483</v>
      </c>
      <c r="AJ803" t="s">
        <v>5480</v>
      </c>
      <c r="AK803" t="s">
        <v>5481</v>
      </c>
      <c r="AL803" t="s">
        <v>5482</v>
      </c>
      <c r="AM803" t="s">
        <v>5482</v>
      </c>
      <c r="AN803" t="s">
        <v>5483</v>
      </c>
      <c r="AO803" t="s">
        <v>5480</v>
      </c>
      <c r="AP803">
        <v>5</v>
      </c>
      <c r="AQ803">
        <v>5</v>
      </c>
      <c r="AR803">
        <v>5</v>
      </c>
      <c r="AS803" t="s">
        <v>7062</v>
      </c>
      <c r="AT803">
        <v>0</v>
      </c>
      <c r="AU803">
        <v>0</v>
      </c>
      <c r="AV803">
        <v>0</v>
      </c>
    </row>
    <row r="804" spans="1:48">
      <c r="A804" s="1">
        <f>_xlfn.XLOOKUP(J804,数据!E:E,数据!A:A)</f>
        <v>1</v>
      </c>
      <c r="B804" s="1">
        <f>_xlfn.XLOOKUP(J804,数据!E:E,数据!B:B)</f>
        <v>2</v>
      </c>
      <c r="C804" s="1" t="str">
        <f>_xlfn.XLOOKUP(J804,数据!E:E,数据!J:J)</f>
        <v>空派</v>
      </c>
      <c r="D804" s="1" t="str" cm="1">
        <f t="array" ref="D804">IF(OR(C804="红单",C804="空派"),_xlfn.IFS(E804="未开售","新品首批发货",F804&lt;E804,"新品首批发货",F804-E804&lt;=60,"新品期补货空运",F804-E804&gt;60,"老品应急空运"),"海运，不进行分析")</f>
        <v>新品期补货空运</v>
      </c>
      <c r="E804" s="2">
        <v>46008</v>
      </c>
      <c r="F804" s="2">
        <f>_xlfn.XLOOKUP(J804,数据!E:E,数据!C:C)</f>
        <v>46029</v>
      </c>
      <c r="G804" s="4">
        <v>106</v>
      </c>
      <c r="H804" s="4">
        <f>G804*AP804/1000</f>
        <v>4.664</v>
      </c>
      <c r="I804" s="4">
        <f>_xlfn.XLOOKUP(J804,数据!E:E,数据!S:S)*(H804/_xlfn.XLOOKUP(J804,数据!E:E,数据!X:X))</f>
        <v>265.469058195108</v>
      </c>
      <c r="J804" t="s">
        <v>60</v>
      </c>
      <c r="K804" t="s">
        <v>31</v>
      </c>
      <c r="L804" t="s">
        <v>2374</v>
      </c>
      <c r="M804" t="s">
        <v>7063</v>
      </c>
      <c r="N804" t="s">
        <v>2376</v>
      </c>
      <c r="O804" t="s">
        <v>2400</v>
      </c>
      <c r="P804" t="s">
        <v>2378</v>
      </c>
      <c r="Q804" t="s">
        <v>2379</v>
      </c>
      <c r="S804" t="s">
        <v>2511</v>
      </c>
      <c r="T804" s="3" t="s">
        <v>7064</v>
      </c>
      <c r="U804" t="s">
        <v>7065</v>
      </c>
      <c r="V804" t="s">
        <v>7066</v>
      </c>
      <c r="W804" t="s">
        <v>7067</v>
      </c>
      <c r="X804" t="s">
        <v>2403</v>
      </c>
      <c r="Y804" t="s">
        <v>7068</v>
      </c>
      <c r="Z804" t="s">
        <v>2405</v>
      </c>
      <c r="AA804" t="s">
        <v>7064</v>
      </c>
      <c r="AB804" t="s">
        <v>6967</v>
      </c>
      <c r="AC804" t="s">
        <v>7069</v>
      </c>
      <c r="AD804" t="s">
        <v>6768</v>
      </c>
      <c r="AG804" t="s">
        <v>2432</v>
      </c>
      <c r="AH804" t="s">
        <v>6483</v>
      </c>
      <c r="AI804" t="s">
        <v>5982</v>
      </c>
      <c r="AJ804" t="s">
        <v>6969</v>
      </c>
      <c r="AK804" t="s">
        <v>6970</v>
      </c>
      <c r="AL804" t="s">
        <v>6971</v>
      </c>
      <c r="AM804" t="s">
        <v>6253</v>
      </c>
      <c r="AN804" t="s">
        <v>6972</v>
      </c>
      <c r="AO804" t="s">
        <v>6969</v>
      </c>
      <c r="AP804">
        <v>44</v>
      </c>
      <c r="AQ804">
        <v>44</v>
      </c>
      <c r="AR804">
        <v>44</v>
      </c>
      <c r="AS804" t="s">
        <v>7070</v>
      </c>
      <c r="AT804">
        <v>0</v>
      </c>
      <c r="AU804">
        <v>0</v>
      </c>
      <c r="AV804">
        <v>0</v>
      </c>
    </row>
    <row r="805" spans="1:48">
      <c r="A805" s="1">
        <f>_xlfn.XLOOKUP(J805,数据!E:E,数据!A:A)</f>
        <v>1</v>
      </c>
      <c r="B805" s="1">
        <f>_xlfn.XLOOKUP(J805,数据!E:E,数据!B:B)</f>
        <v>2</v>
      </c>
      <c r="C805" s="1" t="str">
        <f>_xlfn.XLOOKUP(J805,数据!E:E,数据!J:J)</f>
        <v>空派</v>
      </c>
      <c r="D805" s="1" t="str" cm="1">
        <f t="array" ref="D805">IF(OR(C805="红单",C805="空派"),_xlfn.IFS(E805="未开售","新品首批发货",F805&lt;E805,"新品首批发货",F805-E805&lt;=60,"新品期补货空运",F805-E805&gt;60,"老品应急空运"),"海运，不进行分析")</f>
        <v>老品应急空运</v>
      </c>
      <c r="E805" s="2">
        <v>45956</v>
      </c>
      <c r="F805" s="2">
        <f>_xlfn.XLOOKUP(J805,数据!E:E,数据!C:C)</f>
        <v>46029</v>
      </c>
      <c r="G805" s="4">
        <v>435</v>
      </c>
      <c r="H805" s="4">
        <f>G805*AP805/1000</f>
        <v>8.7</v>
      </c>
      <c r="I805" s="4">
        <f>_xlfn.XLOOKUP(J805,数据!E:E,数据!S:S)*(H805/_xlfn.XLOOKUP(J805,数据!E:E,数据!X:X))</f>
        <v>495.193140286758</v>
      </c>
      <c r="J805" t="s">
        <v>60</v>
      </c>
      <c r="K805" t="s">
        <v>31</v>
      </c>
      <c r="L805" t="s">
        <v>2374</v>
      </c>
      <c r="M805" t="s">
        <v>7063</v>
      </c>
      <c r="N805" t="s">
        <v>2376</v>
      </c>
      <c r="O805" t="s">
        <v>2400</v>
      </c>
      <c r="P805" t="s">
        <v>2378</v>
      </c>
      <c r="Q805" t="s">
        <v>2379</v>
      </c>
      <c r="S805" t="s">
        <v>2511</v>
      </c>
      <c r="T805" s="3" t="s">
        <v>7064</v>
      </c>
      <c r="U805" t="s">
        <v>7065</v>
      </c>
      <c r="V805" t="s">
        <v>7066</v>
      </c>
      <c r="W805" t="s">
        <v>7067</v>
      </c>
      <c r="X805" t="s">
        <v>2403</v>
      </c>
      <c r="Y805" t="s">
        <v>7068</v>
      </c>
      <c r="Z805" t="s">
        <v>2405</v>
      </c>
      <c r="AA805" t="s">
        <v>7064</v>
      </c>
      <c r="AB805" t="s">
        <v>6967</v>
      </c>
      <c r="AC805" t="s">
        <v>7069</v>
      </c>
      <c r="AD805" t="s">
        <v>6768</v>
      </c>
      <c r="AG805" t="s">
        <v>2432</v>
      </c>
      <c r="AH805" t="s">
        <v>6483</v>
      </c>
      <c r="AI805" t="s">
        <v>5982</v>
      </c>
      <c r="AJ805" t="s">
        <v>4513</v>
      </c>
      <c r="AK805" t="s">
        <v>4514</v>
      </c>
      <c r="AL805" t="s">
        <v>4515</v>
      </c>
      <c r="AM805" t="s">
        <v>4516</v>
      </c>
      <c r="AN805" t="s">
        <v>4517</v>
      </c>
      <c r="AO805" t="s">
        <v>4513</v>
      </c>
      <c r="AP805">
        <v>20</v>
      </c>
      <c r="AQ805">
        <v>20</v>
      </c>
      <c r="AR805">
        <v>20</v>
      </c>
      <c r="AS805" t="s">
        <v>7071</v>
      </c>
      <c r="AT805">
        <v>0</v>
      </c>
      <c r="AU805">
        <v>0</v>
      </c>
      <c r="AV805">
        <v>0</v>
      </c>
    </row>
    <row r="806" spans="1:48">
      <c r="A806" s="1">
        <f>_xlfn.XLOOKUP(J806,数据!E:E,数据!A:A)</f>
        <v>1</v>
      </c>
      <c r="B806" s="1">
        <f>_xlfn.XLOOKUP(J806,数据!E:E,数据!B:B)</f>
        <v>2</v>
      </c>
      <c r="C806" s="1" t="str">
        <f>_xlfn.XLOOKUP(J806,数据!E:E,数据!J:J)</f>
        <v>空派</v>
      </c>
      <c r="D806" s="1" t="str" cm="1">
        <f t="array" ref="D806">IF(OR(C806="红单",C806="空派"),_xlfn.IFS(E806="未开售","新品首批发货",F806&lt;E806,"新品首批发货",F806-E806&lt;=60,"新品期补货空运",F806-E806&gt;60,"老品应急空运"),"海运，不进行分析")</f>
        <v>新品期补货空运</v>
      </c>
      <c r="E806" s="2">
        <v>46023</v>
      </c>
      <c r="F806" s="2">
        <f>_xlfn.XLOOKUP(J806,数据!E:E,数据!C:C)</f>
        <v>46029</v>
      </c>
      <c r="G806" s="4">
        <v>144</v>
      </c>
      <c r="H806" s="4">
        <f>G806*AP806/1000</f>
        <v>0.864</v>
      </c>
      <c r="I806" s="4">
        <f>_xlfn.XLOOKUP(J806,数据!E:E,数据!S:S)*(H806/_xlfn.XLOOKUP(J806,数据!E:E,数据!X:X))</f>
        <v>49.1778015181333</v>
      </c>
      <c r="J806" t="s">
        <v>60</v>
      </c>
      <c r="K806" t="s">
        <v>31</v>
      </c>
      <c r="L806" t="s">
        <v>2374</v>
      </c>
      <c r="M806" t="s">
        <v>7063</v>
      </c>
      <c r="N806" t="s">
        <v>2376</v>
      </c>
      <c r="O806" t="s">
        <v>2400</v>
      </c>
      <c r="P806" t="s">
        <v>2378</v>
      </c>
      <c r="Q806" t="s">
        <v>2379</v>
      </c>
      <c r="S806" t="s">
        <v>2511</v>
      </c>
      <c r="T806" s="3" t="s">
        <v>7064</v>
      </c>
      <c r="U806" t="s">
        <v>7065</v>
      </c>
      <c r="V806" t="s">
        <v>7066</v>
      </c>
      <c r="W806" t="s">
        <v>7067</v>
      </c>
      <c r="X806" t="s">
        <v>2403</v>
      </c>
      <c r="Y806" t="s">
        <v>7068</v>
      </c>
      <c r="Z806" t="s">
        <v>2405</v>
      </c>
      <c r="AA806" t="s">
        <v>7064</v>
      </c>
      <c r="AB806" t="s">
        <v>6967</v>
      </c>
      <c r="AC806" t="s">
        <v>7069</v>
      </c>
      <c r="AD806" t="s">
        <v>6768</v>
      </c>
      <c r="AG806" t="s">
        <v>2432</v>
      </c>
      <c r="AH806" t="s">
        <v>6483</v>
      </c>
      <c r="AI806" t="s">
        <v>5982</v>
      </c>
      <c r="AJ806" t="s">
        <v>2604</v>
      </c>
      <c r="AK806" t="s">
        <v>2605</v>
      </c>
      <c r="AL806" t="s">
        <v>2606</v>
      </c>
      <c r="AM806" t="s">
        <v>2607</v>
      </c>
      <c r="AN806" t="s">
        <v>2608</v>
      </c>
      <c r="AO806" t="s">
        <v>2604</v>
      </c>
      <c r="AP806">
        <v>6</v>
      </c>
      <c r="AQ806">
        <v>6</v>
      </c>
      <c r="AR806">
        <v>6</v>
      </c>
      <c r="AS806" t="s">
        <v>7072</v>
      </c>
      <c r="AT806">
        <v>0</v>
      </c>
      <c r="AU806">
        <v>0</v>
      </c>
      <c r="AV806">
        <v>0</v>
      </c>
    </row>
    <row r="807" spans="1:48">
      <c r="A807" s="1">
        <f>_xlfn.XLOOKUP(J807,数据!E:E,数据!A:A)</f>
        <v>1</v>
      </c>
      <c r="B807" s="1">
        <f>_xlfn.XLOOKUP(J807,数据!E:E,数据!B:B)</f>
        <v>2</v>
      </c>
      <c r="C807" s="1" t="str">
        <f>_xlfn.XLOOKUP(J807,数据!E:E,数据!J:J)</f>
        <v>空派</v>
      </c>
      <c r="D807" s="1" t="str" cm="1">
        <f t="array" ref="D807">IF(OR(C807="红单",C807="空派"),_xlfn.IFS(E807="未开售","新品首批发货",F807&lt;E807,"新品首批发货",F807-E807&lt;=60,"新品期补货空运",F807-E807&gt;60,"老品应急空运"),"海运，不进行分析")</f>
        <v>老品应急空运</v>
      </c>
      <c r="E807" s="2">
        <v>45965</v>
      </c>
      <c r="F807" s="2">
        <f>_xlfn.XLOOKUP(J807,数据!E:E,数据!C:C)</f>
        <v>46028</v>
      </c>
      <c r="G807" s="4">
        <v>236</v>
      </c>
      <c r="H807" s="4">
        <f t="shared" ref="H807:H827" si="37">G807*AP807/1000</f>
        <v>4.484</v>
      </c>
      <c r="I807" s="4">
        <f>_xlfn.XLOOKUP(J807,数据!E:E,数据!S:S)*(H807/_xlfn.XLOOKUP(J807,数据!E:E,数据!X:X))</f>
        <v>224.430498480696</v>
      </c>
      <c r="J807" t="s">
        <v>55</v>
      </c>
      <c r="K807" t="s">
        <v>56</v>
      </c>
      <c r="L807" t="s">
        <v>2374</v>
      </c>
      <c r="M807" t="s">
        <v>7073</v>
      </c>
      <c r="N807" t="s">
        <v>2376</v>
      </c>
      <c r="O807" t="s">
        <v>2400</v>
      </c>
      <c r="P807" t="s">
        <v>2378</v>
      </c>
      <c r="Q807" t="s">
        <v>2379</v>
      </c>
      <c r="S807" t="s">
        <v>2511</v>
      </c>
      <c r="T807" s="3" t="s">
        <v>7074</v>
      </c>
      <c r="U807" t="s">
        <v>7075</v>
      </c>
      <c r="V807" t="s">
        <v>7076</v>
      </c>
      <c r="W807" t="s">
        <v>7077</v>
      </c>
      <c r="X807" t="s">
        <v>2403</v>
      </c>
      <c r="Y807" t="s">
        <v>7078</v>
      </c>
      <c r="Z807" t="s">
        <v>2387</v>
      </c>
      <c r="AA807" t="s">
        <v>7074</v>
      </c>
      <c r="AB807" t="s">
        <v>7079</v>
      </c>
      <c r="AC807" t="s">
        <v>7080</v>
      </c>
      <c r="AD807" t="s">
        <v>7081</v>
      </c>
      <c r="AG807" t="s">
        <v>2432</v>
      </c>
      <c r="AH807" t="s">
        <v>6874</v>
      </c>
      <c r="AI807" t="s">
        <v>6483</v>
      </c>
      <c r="AJ807" t="s">
        <v>4871</v>
      </c>
      <c r="AK807" t="s">
        <v>4872</v>
      </c>
      <c r="AL807" t="s">
        <v>4873</v>
      </c>
      <c r="AM807" t="s">
        <v>2396</v>
      </c>
      <c r="AN807" t="s">
        <v>4874</v>
      </c>
      <c r="AO807" t="s">
        <v>4871</v>
      </c>
      <c r="AP807">
        <v>19</v>
      </c>
      <c r="AQ807">
        <v>19</v>
      </c>
      <c r="AR807">
        <v>19</v>
      </c>
      <c r="AS807" t="s">
        <v>7082</v>
      </c>
      <c r="AT807">
        <v>0</v>
      </c>
      <c r="AU807">
        <v>0</v>
      </c>
      <c r="AV807">
        <v>0</v>
      </c>
    </row>
    <row r="808" spans="1:48">
      <c r="A808" s="1">
        <f>_xlfn.XLOOKUP(J808,数据!E:E,数据!A:A)</f>
        <v>1</v>
      </c>
      <c r="B808" s="1">
        <f>_xlfn.XLOOKUP(J808,数据!E:E,数据!B:B)</f>
        <v>2</v>
      </c>
      <c r="C808" s="1" t="str">
        <f>_xlfn.XLOOKUP(J808,数据!E:E,数据!J:J)</f>
        <v>空派</v>
      </c>
      <c r="D808" s="1" t="str" cm="1">
        <f t="array" ref="D808">IF(OR(C808="红单",C808="空派"),_xlfn.IFS(E808="未开售","新品首批发货",F808&lt;E808,"新品首批发货",F808-E808&lt;=60,"新品期补货空运",F808-E808&gt;60,"老品应急空运"),"海运，不进行分析")</f>
        <v>新品期补货空运</v>
      </c>
      <c r="E808" s="2">
        <v>46021</v>
      </c>
      <c r="F808" s="2">
        <f>_xlfn.XLOOKUP(J808,数据!E:E,数据!C:C)</f>
        <v>46028</v>
      </c>
      <c r="G808" s="4">
        <v>230.8</v>
      </c>
      <c r="H808" s="4">
        <f t="shared" si="37"/>
        <v>9.0012</v>
      </c>
      <c r="I808" s="4">
        <f>_xlfn.XLOOKUP(J808,数据!E:E,数据!S:S)*(H808/_xlfn.XLOOKUP(J808,数据!E:E,数据!X:X))</f>
        <v>450.522703595996</v>
      </c>
      <c r="J808" t="s">
        <v>55</v>
      </c>
      <c r="K808" t="s">
        <v>56</v>
      </c>
      <c r="L808" t="s">
        <v>2374</v>
      </c>
      <c r="M808" t="s">
        <v>7073</v>
      </c>
      <c r="N808" t="s">
        <v>2376</v>
      </c>
      <c r="O808" t="s">
        <v>2400</v>
      </c>
      <c r="P808" t="s">
        <v>2378</v>
      </c>
      <c r="Q808" t="s">
        <v>2379</v>
      </c>
      <c r="S808" t="s">
        <v>2511</v>
      </c>
      <c r="T808" s="3" t="s">
        <v>7074</v>
      </c>
      <c r="U808" t="s">
        <v>7075</v>
      </c>
      <c r="V808" t="s">
        <v>7076</v>
      </c>
      <c r="W808" t="s">
        <v>7077</v>
      </c>
      <c r="X808" t="s">
        <v>2403</v>
      </c>
      <c r="Y808" t="s">
        <v>7078</v>
      </c>
      <c r="Z808" t="s">
        <v>2387</v>
      </c>
      <c r="AA808" t="s">
        <v>7074</v>
      </c>
      <c r="AB808" t="s">
        <v>7079</v>
      </c>
      <c r="AC808" t="s">
        <v>7080</v>
      </c>
      <c r="AD808" t="s">
        <v>7081</v>
      </c>
      <c r="AG808" t="s">
        <v>2432</v>
      </c>
      <c r="AH808" t="s">
        <v>6874</v>
      </c>
      <c r="AI808" t="s">
        <v>6483</v>
      </c>
      <c r="AJ808" t="s">
        <v>3083</v>
      </c>
      <c r="AK808" t="s">
        <v>3084</v>
      </c>
      <c r="AL808" t="s">
        <v>3085</v>
      </c>
      <c r="AM808" t="s">
        <v>2396</v>
      </c>
      <c r="AN808" t="s">
        <v>3086</v>
      </c>
      <c r="AO808" t="s">
        <v>3083</v>
      </c>
      <c r="AP808">
        <v>39</v>
      </c>
      <c r="AQ808">
        <v>39</v>
      </c>
      <c r="AR808">
        <v>39</v>
      </c>
      <c r="AS808" t="s">
        <v>7083</v>
      </c>
      <c r="AT808">
        <v>0</v>
      </c>
      <c r="AU808">
        <v>0</v>
      </c>
      <c r="AV808">
        <v>0</v>
      </c>
    </row>
    <row r="809" spans="1:48">
      <c r="A809" s="1">
        <f>_xlfn.XLOOKUP(J809,数据!E:E,数据!A:A)</f>
        <v>1</v>
      </c>
      <c r="B809" s="1">
        <f>_xlfn.XLOOKUP(J809,数据!E:E,数据!B:B)</f>
        <v>2</v>
      </c>
      <c r="C809" s="1" t="str">
        <f>_xlfn.XLOOKUP(J809,数据!E:E,数据!J:J)</f>
        <v>空派</v>
      </c>
      <c r="D809" s="1" t="str" cm="1">
        <f t="array" ref="D809">IF(OR(C809="红单",C809="空派"),_xlfn.IFS(E809="未开售","新品首批发货",F809&lt;E809,"新品首批发货",F809-E809&lt;=60,"新品期补货空运",F809-E809&gt;60,"老品应急空运"),"海运，不进行分析")</f>
        <v>老品应急空运</v>
      </c>
      <c r="E809" s="2">
        <v>44940</v>
      </c>
      <c r="F809" s="2">
        <f>_xlfn.XLOOKUP(J809,数据!E:E,数据!C:C)</f>
        <v>46028</v>
      </c>
      <c r="G809" s="4">
        <v>270</v>
      </c>
      <c r="H809" s="4">
        <f t="shared" si="37"/>
        <v>2.43</v>
      </c>
      <c r="I809" s="4">
        <f>_xlfn.XLOOKUP(J809,数据!E:E,数据!S:S)*(H809/_xlfn.XLOOKUP(J809,数据!E:E,数据!X:X))</f>
        <v>121.62491331581</v>
      </c>
      <c r="J809" t="s">
        <v>55</v>
      </c>
      <c r="K809" t="s">
        <v>56</v>
      </c>
      <c r="L809" t="s">
        <v>2374</v>
      </c>
      <c r="M809" t="s">
        <v>7073</v>
      </c>
      <c r="N809" t="s">
        <v>2376</v>
      </c>
      <c r="O809" t="s">
        <v>2400</v>
      </c>
      <c r="P809" t="s">
        <v>2378</v>
      </c>
      <c r="Q809" t="s">
        <v>2379</v>
      </c>
      <c r="S809" t="s">
        <v>2511</v>
      </c>
      <c r="T809" s="3" t="s">
        <v>7074</v>
      </c>
      <c r="U809" t="s">
        <v>7075</v>
      </c>
      <c r="V809" t="s">
        <v>7076</v>
      </c>
      <c r="W809" t="s">
        <v>7077</v>
      </c>
      <c r="X809" t="s">
        <v>2403</v>
      </c>
      <c r="Y809" t="s">
        <v>7078</v>
      </c>
      <c r="Z809" t="s">
        <v>2387</v>
      </c>
      <c r="AA809" t="s">
        <v>7074</v>
      </c>
      <c r="AB809" t="s">
        <v>7079</v>
      </c>
      <c r="AC809" t="s">
        <v>7080</v>
      </c>
      <c r="AD809" t="s">
        <v>7081</v>
      </c>
      <c r="AG809" t="s">
        <v>2432</v>
      </c>
      <c r="AH809" t="s">
        <v>6874</v>
      </c>
      <c r="AI809" t="s">
        <v>6483</v>
      </c>
      <c r="AJ809" t="s">
        <v>7084</v>
      </c>
      <c r="AK809" t="s">
        <v>7085</v>
      </c>
      <c r="AL809" t="s">
        <v>7086</v>
      </c>
      <c r="AM809" t="s">
        <v>3031</v>
      </c>
      <c r="AN809" t="s">
        <v>7087</v>
      </c>
      <c r="AO809" t="s">
        <v>7084</v>
      </c>
      <c r="AP809">
        <v>9</v>
      </c>
      <c r="AQ809">
        <v>9</v>
      </c>
      <c r="AR809">
        <v>9</v>
      </c>
      <c r="AS809" t="s">
        <v>7088</v>
      </c>
      <c r="AT809">
        <v>0</v>
      </c>
      <c r="AU809">
        <v>0</v>
      </c>
      <c r="AV809">
        <v>0</v>
      </c>
    </row>
    <row r="810" spans="1:48">
      <c r="A810" s="1">
        <f>_xlfn.XLOOKUP(J810,数据!E:E,数据!A:A)</f>
        <v>1</v>
      </c>
      <c r="B810" s="1">
        <f>_xlfn.XLOOKUP(J810,数据!E:E,数据!B:B)</f>
        <v>2</v>
      </c>
      <c r="C810" s="1" t="str">
        <f>_xlfn.XLOOKUP(J810,数据!E:E,数据!J:J)</f>
        <v>空派</v>
      </c>
      <c r="D810" s="1" t="str" cm="1">
        <f t="array" ref="D810">IF(OR(C810="红单",C810="空派"),_xlfn.IFS(E810="未开售","新品首批发货",F810&lt;E810,"新品首批发货",F810-E810&lt;=60,"新品期补货空运",F810-E810&gt;60,"老品应急空运"),"海运，不进行分析")</f>
        <v>新品期补货空运</v>
      </c>
      <c r="E810" s="2">
        <v>46017</v>
      </c>
      <c r="F810" s="2">
        <f>_xlfn.XLOOKUP(J810,数据!E:E,数据!C:C)</f>
        <v>46028</v>
      </c>
      <c r="G810" s="4">
        <v>163</v>
      </c>
      <c r="H810" s="4">
        <f t="shared" si="37"/>
        <v>5.542</v>
      </c>
      <c r="I810" s="4">
        <f>_xlfn.XLOOKUP(J810,数据!E:E,数据!S:S)*(H810/_xlfn.XLOOKUP(J810,数据!E:E,数据!X:X))</f>
        <v>277.384884607498</v>
      </c>
      <c r="J810" t="s">
        <v>55</v>
      </c>
      <c r="K810" t="s">
        <v>56</v>
      </c>
      <c r="L810" t="s">
        <v>2374</v>
      </c>
      <c r="M810" t="s">
        <v>7073</v>
      </c>
      <c r="N810" t="s">
        <v>2376</v>
      </c>
      <c r="O810" t="s">
        <v>2400</v>
      </c>
      <c r="P810" t="s">
        <v>2378</v>
      </c>
      <c r="Q810" t="s">
        <v>2379</v>
      </c>
      <c r="S810" t="s">
        <v>2511</v>
      </c>
      <c r="T810" s="3" t="s">
        <v>7074</v>
      </c>
      <c r="U810" t="s">
        <v>7075</v>
      </c>
      <c r="V810" t="s">
        <v>7076</v>
      </c>
      <c r="W810" t="s">
        <v>7077</v>
      </c>
      <c r="X810" t="s">
        <v>2403</v>
      </c>
      <c r="Y810" t="s">
        <v>7078</v>
      </c>
      <c r="Z810" t="s">
        <v>2387</v>
      </c>
      <c r="AA810" t="s">
        <v>7074</v>
      </c>
      <c r="AB810" t="s">
        <v>7079</v>
      </c>
      <c r="AC810" t="s">
        <v>7080</v>
      </c>
      <c r="AD810" t="s">
        <v>7081</v>
      </c>
      <c r="AG810" t="s">
        <v>2432</v>
      </c>
      <c r="AH810" t="s">
        <v>6874</v>
      </c>
      <c r="AI810" t="s">
        <v>6483</v>
      </c>
      <c r="AJ810" t="s">
        <v>2835</v>
      </c>
      <c r="AK810" t="s">
        <v>2836</v>
      </c>
      <c r="AL810" t="s">
        <v>2837</v>
      </c>
      <c r="AM810" t="s">
        <v>2821</v>
      </c>
      <c r="AN810" t="s">
        <v>2838</v>
      </c>
      <c r="AO810" t="s">
        <v>2835</v>
      </c>
      <c r="AP810">
        <v>34</v>
      </c>
      <c r="AQ810">
        <v>34</v>
      </c>
      <c r="AR810">
        <v>32</v>
      </c>
      <c r="AS810" t="s">
        <v>7089</v>
      </c>
      <c r="AT810">
        <v>0</v>
      </c>
      <c r="AU810">
        <v>-2</v>
      </c>
      <c r="AV810">
        <v>2</v>
      </c>
    </row>
    <row r="811" spans="1:48">
      <c r="A811" s="1">
        <f>_xlfn.XLOOKUP(J811,数据!E:E,数据!A:A)</f>
        <v>1</v>
      </c>
      <c r="B811" s="1">
        <f>_xlfn.XLOOKUP(J811,数据!E:E,数据!B:B)</f>
        <v>2</v>
      </c>
      <c r="C811" s="1" t="str">
        <f>_xlfn.XLOOKUP(J811,数据!E:E,数据!J:J)</f>
        <v>空派</v>
      </c>
      <c r="D811" s="1" t="str" cm="1">
        <f t="array" ref="D811">IF(OR(C811="红单",C811="空派"),_xlfn.IFS(E811="未开售","新品首批发货",F811&lt;E811,"新品首批发货",F811-E811&lt;=60,"新品期补货空运",F811-E811&gt;60,"老品应急空运"),"海运，不进行分析")</f>
        <v>新品期补货空运</v>
      </c>
      <c r="E811" s="2">
        <v>46017</v>
      </c>
      <c r="F811" s="2">
        <f>_xlfn.XLOOKUP(J811,数据!E:E,数据!C:C)</f>
        <v>46028</v>
      </c>
      <c r="G811" s="4">
        <v>113</v>
      </c>
      <c r="H811" s="4">
        <f t="shared" si="37"/>
        <v>0.452</v>
      </c>
      <c r="I811" s="4">
        <f>_xlfn.XLOOKUP(J811,数据!E:E,数据!S:S)*(H811/_xlfn.XLOOKUP(J811,数据!E:E,数据!X:X))</f>
        <v>22.3736910457963</v>
      </c>
      <c r="J811" t="s">
        <v>53</v>
      </c>
      <c r="K811" t="s">
        <v>54</v>
      </c>
      <c r="L811" t="s">
        <v>2374</v>
      </c>
      <c r="M811" t="s">
        <v>7090</v>
      </c>
      <c r="N811" t="s">
        <v>2376</v>
      </c>
      <c r="O811" t="s">
        <v>2400</v>
      </c>
      <c r="P811" t="s">
        <v>2378</v>
      </c>
      <c r="Q811" t="s">
        <v>2379</v>
      </c>
      <c r="S811" t="s">
        <v>2511</v>
      </c>
      <c r="T811" s="3" t="s">
        <v>7074</v>
      </c>
      <c r="U811" t="s">
        <v>7075</v>
      </c>
      <c r="V811" t="s">
        <v>7091</v>
      </c>
      <c r="W811" t="s">
        <v>7092</v>
      </c>
      <c r="X811" t="s">
        <v>2403</v>
      </c>
      <c r="Y811" t="s">
        <v>7093</v>
      </c>
      <c r="Z811" t="s">
        <v>2405</v>
      </c>
      <c r="AA811" t="s">
        <v>7074</v>
      </c>
      <c r="AB811" t="s">
        <v>7094</v>
      </c>
      <c r="AC811" t="s">
        <v>7095</v>
      </c>
      <c r="AD811" t="s">
        <v>7081</v>
      </c>
      <c r="AG811" t="s">
        <v>2432</v>
      </c>
      <c r="AH811" t="s">
        <v>6874</v>
      </c>
      <c r="AI811" t="s">
        <v>6483</v>
      </c>
      <c r="AJ811" t="s">
        <v>7096</v>
      </c>
      <c r="AK811" t="s">
        <v>7097</v>
      </c>
      <c r="AL811" t="s">
        <v>7098</v>
      </c>
      <c r="AM811" t="s">
        <v>3219</v>
      </c>
      <c r="AN811" t="s">
        <v>7099</v>
      </c>
      <c r="AO811" t="s">
        <v>7096</v>
      </c>
      <c r="AP811">
        <v>4</v>
      </c>
      <c r="AQ811">
        <v>4</v>
      </c>
      <c r="AR811">
        <v>4</v>
      </c>
      <c r="AS811" t="s">
        <v>7100</v>
      </c>
      <c r="AT811">
        <v>0</v>
      </c>
      <c r="AU811">
        <v>0</v>
      </c>
      <c r="AV811">
        <v>0</v>
      </c>
    </row>
    <row r="812" spans="1:48">
      <c r="A812" s="1">
        <f>_xlfn.XLOOKUP(J812,数据!E:E,数据!A:A)</f>
        <v>1</v>
      </c>
      <c r="B812" s="1">
        <f>_xlfn.XLOOKUP(J812,数据!E:E,数据!B:B)</f>
        <v>2</v>
      </c>
      <c r="C812" s="1" t="str">
        <f>_xlfn.XLOOKUP(J812,数据!E:E,数据!J:J)</f>
        <v>空派</v>
      </c>
      <c r="D812" s="1" t="str" cm="1">
        <f t="array" ref="D812">IF(OR(C812="红单",C812="空派"),_xlfn.IFS(E812="未开售","新品首批发货",F812&lt;E812,"新品首批发货",F812-E812&lt;=60,"新品期补货空运",F812-E812&gt;60,"老品应急空运"),"海运，不进行分析")</f>
        <v>新品期补货空运</v>
      </c>
      <c r="E812" s="2">
        <v>46017</v>
      </c>
      <c r="F812" s="2">
        <f>_xlfn.XLOOKUP(J812,数据!E:E,数据!C:C)</f>
        <v>46028</v>
      </c>
      <c r="G812" s="4">
        <v>97</v>
      </c>
      <c r="H812" s="4">
        <f t="shared" si="37"/>
        <v>7.275</v>
      </c>
      <c r="I812" s="4">
        <f>_xlfn.XLOOKUP(J812,数据!E:E,数据!S:S)*(H812/_xlfn.XLOOKUP(J812,数据!E:E,数据!X:X))</f>
        <v>360.10752734108</v>
      </c>
      <c r="J812" t="s">
        <v>53</v>
      </c>
      <c r="K812" t="s">
        <v>54</v>
      </c>
      <c r="L812" t="s">
        <v>2374</v>
      </c>
      <c r="M812" t="s">
        <v>7090</v>
      </c>
      <c r="N812" t="s">
        <v>2376</v>
      </c>
      <c r="O812" t="s">
        <v>2400</v>
      </c>
      <c r="P812" t="s">
        <v>2378</v>
      </c>
      <c r="Q812" t="s">
        <v>2379</v>
      </c>
      <c r="S812" t="s">
        <v>2511</v>
      </c>
      <c r="T812" s="3" t="s">
        <v>7074</v>
      </c>
      <c r="U812" t="s">
        <v>7075</v>
      </c>
      <c r="V812" t="s">
        <v>7091</v>
      </c>
      <c r="W812" t="s">
        <v>7092</v>
      </c>
      <c r="X812" t="s">
        <v>2403</v>
      </c>
      <c r="Y812" t="s">
        <v>7093</v>
      </c>
      <c r="Z812" t="s">
        <v>2405</v>
      </c>
      <c r="AA812" t="s">
        <v>7074</v>
      </c>
      <c r="AB812" t="s">
        <v>7094</v>
      </c>
      <c r="AC812" t="s">
        <v>7095</v>
      </c>
      <c r="AD812" t="s">
        <v>7081</v>
      </c>
      <c r="AG812" t="s">
        <v>2432</v>
      </c>
      <c r="AH812" t="s">
        <v>6874</v>
      </c>
      <c r="AI812" t="s">
        <v>6483</v>
      </c>
      <c r="AJ812" t="s">
        <v>5078</v>
      </c>
      <c r="AK812" t="s">
        <v>5079</v>
      </c>
      <c r="AL812" t="s">
        <v>5080</v>
      </c>
      <c r="AM812" t="s">
        <v>5081</v>
      </c>
      <c r="AN812" t="s">
        <v>5082</v>
      </c>
      <c r="AO812" t="s">
        <v>5078</v>
      </c>
      <c r="AP812">
        <v>75</v>
      </c>
      <c r="AQ812">
        <v>75</v>
      </c>
      <c r="AR812">
        <v>75</v>
      </c>
      <c r="AS812" t="s">
        <v>7101</v>
      </c>
      <c r="AT812">
        <v>0</v>
      </c>
      <c r="AU812">
        <v>0</v>
      </c>
      <c r="AV812">
        <v>0</v>
      </c>
    </row>
    <row r="813" spans="1:48">
      <c r="A813" s="1">
        <f>_xlfn.XLOOKUP(J813,数据!E:E,数据!A:A)</f>
        <v>1</v>
      </c>
      <c r="B813" s="1">
        <f>_xlfn.XLOOKUP(J813,数据!E:E,数据!B:B)</f>
        <v>2</v>
      </c>
      <c r="C813" s="1" t="str">
        <f>_xlfn.XLOOKUP(J813,数据!E:E,数据!J:J)</f>
        <v>空派</v>
      </c>
      <c r="D813" s="1" t="str" cm="1">
        <f t="array" ref="D813">IF(OR(C813="红单",C813="空派"),_xlfn.IFS(E813="未开售","新品首批发货",F813&lt;E813,"新品首批发货",F813-E813&lt;=60,"新品期补货空运",F813-E813&gt;60,"老品应急空运"),"海运，不进行分析")</f>
        <v>新品期补货空运</v>
      </c>
      <c r="E813" s="2">
        <v>46017</v>
      </c>
      <c r="F813" s="2">
        <f>_xlfn.XLOOKUP(J813,数据!E:E,数据!C:C)</f>
        <v>46028</v>
      </c>
      <c r="G813" s="4">
        <v>97</v>
      </c>
      <c r="H813" s="4">
        <f t="shared" si="37"/>
        <v>3.977</v>
      </c>
      <c r="I813" s="4">
        <f>_xlfn.XLOOKUP(J813,数据!E:E,数据!S:S)*(H813/_xlfn.XLOOKUP(J813,数据!E:E,数据!X:X))</f>
        <v>196.858781613124</v>
      </c>
      <c r="J813" t="s">
        <v>53</v>
      </c>
      <c r="K813" t="s">
        <v>54</v>
      </c>
      <c r="L813" t="s">
        <v>2374</v>
      </c>
      <c r="M813" t="s">
        <v>7090</v>
      </c>
      <c r="N813" t="s">
        <v>2376</v>
      </c>
      <c r="O813" t="s">
        <v>2400</v>
      </c>
      <c r="P813" t="s">
        <v>2378</v>
      </c>
      <c r="Q813" t="s">
        <v>2379</v>
      </c>
      <c r="S813" t="s">
        <v>2511</v>
      </c>
      <c r="T813" s="3" t="s">
        <v>7074</v>
      </c>
      <c r="U813" t="s">
        <v>7075</v>
      </c>
      <c r="V813" t="s">
        <v>7091</v>
      </c>
      <c r="W813" t="s">
        <v>7092</v>
      </c>
      <c r="X813" t="s">
        <v>2403</v>
      </c>
      <c r="Y813" t="s">
        <v>7093</v>
      </c>
      <c r="Z813" t="s">
        <v>2405</v>
      </c>
      <c r="AA813" t="s">
        <v>7074</v>
      </c>
      <c r="AB813" t="s">
        <v>7094</v>
      </c>
      <c r="AC813" t="s">
        <v>7095</v>
      </c>
      <c r="AD813" t="s">
        <v>7081</v>
      </c>
      <c r="AG813" t="s">
        <v>2432</v>
      </c>
      <c r="AH813" t="s">
        <v>6874</v>
      </c>
      <c r="AI813" t="s">
        <v>6483</v>
      </c>
      <c r="AJ813" t="s">
        <v>7102</v>
      </c>
      <c r="AK813" t="s">
        <v>7103</v>
      </c>
      <c r="AL813" t="s">
        <v>7104</v>
      </c>
      <c r="AM813" t="s">
        <v>5081</v>
      </c>
      <c r="AN813" t="s">
        <v>7105</v>
      </c>
      <c r="AO813" t="s">
        <v>7102</v>
      </c>
      <c r="AP813">
        <v>41</v>
      </c>
      <c r="AQ813">
        <v>41</v>
      </c>
      <c r="AR813">
        <v>41</v>
      </c>
      <c r="AS813" t="s">
        <v>7106</v>
      </c>
      <c r="AT813">
        <v>0</v>
      </c>
      <c r="AU813">
        <v>0</v>
      </c>
      <c r="AV813">
        <v>0</v>
      </c>
    </row>
    <row r="814" spans="1:48">
      <c r="A814" s="1">
        <f>_xlfn.XLOOKUP(J814,数据!E:E,数据!A:A)</f>
        <v>1</v>
      </c>
      <c r="B814" s="1">
        <f>_xlfn.XLOOKUP(J814,数据!E:E,数据!B:B)</f>
        <v>2</v>
      </c>
      <c r="C814" s="1" t="str">
        <f>_xlfn.XLOOKUP(J814,数据!E:E,数据!J:J)</f>
        <v>空派</v>
      </c>
      <c r="D814" s="1" t="str" cm="1">
        <f t="array" ref="D814">IF(OR(C814="红单",C814="空派"),_xlfn.IFS(E814="未开售","新品首批发货",F814&lt;E814,"新品首批发货",F814-E814&lt;=60,"新品期补货空运",F814-E814&gt;60,"老品应急空运"),"海运，不进行分析")</f>
        <v>老品应急空运</v>
      </c>
      <c r="E814" s="2">
        <v>45938</v>
      </c>
      <c r="F814" s="2">
        <f>_xlfn.XLOOKUP(J814,数据!E:E,数据!C:C)</f>
        <v>46028</v>
      </c>
      <c r="G814" s="4">
        <v>95</v>
      </c>
      <c r="H814" s="4">
        <f t="shared" si="37"/>
        <v>5.035</v>
      </c>
      <c r="I814" s="4">
        <f>_xlfn.XLOOKUP(J814,数据!E:E,数据!S:S)*(H814/_xlfn.XLOOKUP(J814,数据!E:E,数据!X:X))</f>
        <v>343.063881619938</v>
      </c>
      <c r="J814" t="s">
        <v>50</v>
      </c>
      <c r="K814" t="s">
        <v>51</v>
      </c>
      <c r="L814" t="s">
        <v>2374</v>
      </c>
      <c r="M814" t="s">
        <v>7107</v>
      </c>
      <c r="N814" t="s">
        <v>2376</v>
      </c>
      <c r="O814" t="s">
        <v>2400</v>
      </c>
      <c r="P814" t="s">
        <v>2378</v>
      </c>
      <c r="Q814" t="s">
        <v>2379</v>
      </c>
      <c r="S814" t="s">
        <v>2511</v>
      </c>
      <c r="T814" s="3" t="s">
        <v>7108</v>
      </c>
      <c r="U814" t="s">
        <v>7109</v>
      </c>
      <c r="V814" t="s">
        <v>7110</v>
      </c>
      <c r="W814" t="s">
        <v>7111</v>
      </c>
      <c r="X814" t="s">
        <v>2403</v>
      </c>
      <c r="Y814" t="s">
        <v>7112</v>
      </c>
      <c r="Z814" t="s">
        <v>2405</v>
      </c>
      <c r="AA814" t="s">
        <v>7108</v>
      </c>
      <c r="AB814" t="s">
        <v>7113</v>
      </c>
      <c r="AC814" t="s">
        <v>7114</v>
      </c>
      <c r="AD814" t="s">
        <v>7115</v>
      </c>
      <c r="AG814" t="s">
        <v>2432</v>
      </c>
      <c r="AH814" t="s">
        <v>6874</v>
      </c>
      <c r="AI814" t="s">
        <v>6483</v>
      </c>
      <c r="AJ814" t="s">
        <v>7116</v>
      </c>
      <c r="AK814" t="s">
        <v>7117</v>
      </c>
      <c r="AL814" t="s">
        <v>7118</v>
      </c>
      <c r="AM814" t="s">
        <v>7119</v>
      </c>
      <c r="AN814" t="s">
        <v>7120</v>
      </c>
      <c r="AO814" t="s">
        <v>7116</v>
      </c>
      <c r="AP814">
        <v>53</v>
      </c>
      <c r="AQ814">
        <v>53</v>
      </c>
      <c r="AR814">
        <v>50</v>
      </c>
      <c r="AS814" t="s">
        <v>7121</v>
      </c>
      <c r="AT814">
        <v>0</v>
      </c>
      <c r="AU814">
        <v>-3</v>
      </c>
      <c r="AV814">
        <v>3</v>
      </c>
    </row>
    <row r="815" spans="1:48">
      <c r="A815" s="1">
        <f>_xlfn.XLOOKUP(J815,数据!E:E,数据!A:A)</f>
        <v>1</v>
      </c>
      <c r="B815" s="1">
        <f>_xlfn.XLOOKUP(J815,数据!E:E,数据!B:B)</f>
        <v>2</v>
      </c>
      <c r="C815" s="1" t="str">
        <f>_xlfn.XLOOKUP(J815,数据!E:E,数据!J:J)</f>
        <v>空派</v>
      </c>
      <c r="D815" s="1" t="str" cm="1">
        <f t="array" ref="D815">IF(OR(C815="红单",C815="空派"),_xlfn.IFS(E815="未开售","新品首批发货",F815&lt;E815,"新品首批发货",F815-E815&lt;=60,"新品期补货空运",F815-E815&gt;60,"老品应急空运"),"海运，不进行分析")</f>
        <v>新品期补货空运</v>
      </c>
      <c r="E815" s="2">
        <v>46017</v>
      </c>
      <c r="F815" s="2">
        <f>_xlfn.XLOOKUP(J815,数据!E:E,数据!C:C)</f>
        <v>46028</v>
      </c>
      <c r="G815" s="4">
        <v>109</v>
      </c>
      <c r="H815" s="4">
        <f t="shared" si="37"/>
        <v>3.161</v>
      </c>
      <c r="I815" s="4">
        <f>_xlfn.XLOOKUP(J815,数据!E:E,数据!S:S)*(H815/_xlfn.XLOOKUP(J815,数据!E:E,数据!X:X))</f>
        <v>215.377344548287</v>
      </c>
      <c r="J815" t="s">
        <v>50</v>
      </c>
      <c r="K815" t="s">
        <v>51</v>
      </c>
      <c r="L815" t="s">
        <v>2374</v>
      </c>
      <c r="M815" t="s">
        <v>7107</v>
      </c>
      <c r="N815" t="s">
        <v>2376</v>
      </c>
      <c r="O815" t="s">
        <v>2400</v>
      </c>
      <c r="P815" t="s">
        <v>2378</v>
      </c>
      <c r="Q815" t="s">
        <v>2379</v>
      </c>
      <c r="S815" t="s">
        <v>2511</v>
      </c>
      <c r="T815" s="3" t="s">
        <v>7108</v>
      </c>
      <c r="U815" t="s">
        <v>7109</v>
      </c>
      <c r="V815" t="s">
        <v>7110</v>
      </c>
      <c r="W815" t="s">
        <v>7111</v>
      </c>
      <c r="X815" t="s">
        <v>2403</v>
      </c>
      <c r="Y815" t="s">
        <v>7112</v>
      </c>
      <c r="Z815" t="s">
        <v>2405</v>
      </c>
      <c r="AA815" t="s">
        <v>7108</v>
      </c>
      <c r="AB815" t="s">
        <v>7113</v>
      </c>
      <c r="AC815" t="s">
        <v>7114</v>
      </c>
      <c r="AD815" t="s">
        <v>7115</v>
      </c>
      <c r="AG815" t="s">
        <v>2432</v>
      </c>
      <c r="AH815" t="s">
        <v>6874</v>
      </c>
      <c r="AI815" t="s">
        <v>6483</v>
      </c>
      <c r="AJ815" t="s">
        <v>5707</v>
      </c>
      <c r="AK815" t="s">
        <v>5708</v>
      </c>
      <c r="AL815" t="s">
        <v>5709</v>
      </c>
      <c r="AM815" t="s">
        <v>2590</v>
      </c>
      <c r="AN815" t="s">
        <v>5710</v>
      </c>
      <c r="AO815" t="s">
        <v>5707</v>
      </c>
      <c r="AP815">
        <v>29</v>
      </c>
      <c r="AQ815">
        <v>29</v>
      </c>
      <c r="AR815">
        <v>29</v>
      </c>
      <c r="AS815" t="s">
        <v>7122</v>
      </c>
      <c r="AT815">
        <v>0</v>
      </c>
      <c r="AU815">
        <v>0</v>
      </c>
      <c r="AV815">
        <v>0</v>
      </c>
    </row>
    <row r="816" spans="1:48">
      <c r="A816" s="1">
        <f>_xlfn.XLOOKUP(J816,数据!E:E,数据!A:A)</f>
        <v>1</v>
      </c>
      <c r="B816" s="1">
        <f>_xlfn.XLOOKUP(J816,数据!E:E,数据!B:B)</f>
        <v>2</v>
      </c>
      <c r="C816" s="1" t="str">
        <f>_xlfn.XLOOKUP(J816,数据!E:E,数据!J:J)</f>
        <v>空派</v>
      </c>
      <c r="D816" s="1" t="str" cm="1">
        <f t="array" ref="D816">IF(OR(C816="红单",C816="空派"),_xlfn.IFS(E816="未开售","新品首批发货",F816&lt;E816,"新品首批发货",F816-E816&lt;=60,"新品期补货空运",F816-E816&gt;60,"老品应急空运"),"海运，不进行分析")</f>
        <v>新品期补货空运</v>
      </c>
      <c r="E816" s="2">
        <v>46017</v>
      </c>
      <c r="F816" s="2">
        <f>_xlfn.XLOOKUP(J816,数据!E:E,数据!C:C)</f>
        <v>46028</v>
      </c>
      <c r="G816" s="4">
        <v>108</v>
      </c>
      <c r="H816" s="4">
        <f t="shared" si="37"/>
        <v>2.484</v>
      </c>
      <c r="I816" s="4">
        <f>_xlfn.XLOOKUP(J816,数据!E:E,数据!S:S)*(H816/_xlfn.XLOOKUP(J816,数据!E:E,数据!X:X))</f>
        <v>169.249390654206</v>
      </c>
      <c r="J816" t="s">
        <v>50</v>
      </c>
      <c r="K816" t="s">
        <v>51</v>
      </c>
      <c r="L816" t="s">
        <v>2374</v>
      </c>
      <c r="M816" t="s">
        <v>7107</v>
      </c>
      <c r="N816" t="s">
        <v>2376</v>
      </c>
      <c r="O816" t="s">
        <v>2400</v>
      </c>
      <c r="P816" t="s">
        <v>2378</v>
      </c>
      <c r="Q816" t="s">
        <v>2379</v>
      </c>
      <c r="S816" t="s">
        <v>2511</v>
      </c>
      <c r="T816" s="3" t="s">
        <v>7108</v>
      </c>
      <c r="U816" t="s">
        <v>7109</v>
      </c>
      <c r="V816" t="s">
        <v>7110</v>
      </c>
      <c r="W816" t="s">
        <v>7111</v>
      </c>
      <c r="X816" t="s">
        <v>2403</v>
      </c>
      <c r="Y816" t="s">
        <v>7112</v>
      </c>
      <c r="Z816" t="s">
        <v>2405</v>
      </c>
      <c r="AA816" t="s">
        <v>7108</v>
      </c>
      <c r="AB816" t="s">
        <v>7113</v>
      </c>
      <c r="AC816" t="s">
        <v>7114</v>
      </c>
      <c r="AD816" t="s">
        <v>7115</v>
      </c>
      <c r="AG816" t="s">
        <v>2432</v>
      </c>
      <c r="AH816" t="s">
        <v>6874</v>
      </c>
      <c r="AI816" t="s">
        <v>6483</v>
      </c>
      <c r="AJ816" t="s">
        <v>6215</v>
      </c>
      <c r="AK816" t="s">
        <v>6216</v>
      </c>
      <c r="AL816" t="s">
        <v>6217</v>
      </c>
      <c r="AM816" t="s">
        <v>2590</v>
      </c>
      <c r="AN816" t="s">
        <v>6218</v>
      </c>
      <c r="AO816" t="s">
        <v>6215</v>
      </c>
      <c r="AP816">
        <v>23</v>
      </c>
      <c r="AQ816">
        <v>23</v>
      </c>
      <c r="AR816">
        <v>23</v>
      </c>
      <c r="AS816" t="s">
        <v>7123</v>
      </c>
      <c r="AT816">
        <v>0</v>
      </c>
      <c r="AU816">
        <v>0</v>
      </c>
      <c r="AV816">
        <v>0</v>
      </c>
    </row>
    <row r="817" spans="1:48">
      <c r="A817" s="1">
        <f>_xlfn.XLOOKUP(J817,数据!E:E,数据!A:A)</f>
        <v>1</v>
      </c>
      <c r="B817" s="1">
        <f>_xlfn.XLOOKUP(J817,数据!E:E,数据!B:B)</f>
        <v>2</v>
      </c>
      <c r="C817" s="1" t="str">
        <f>_xlfn.XLOOKUP(J817,数据!E:E,数据!J:J)</f>
        <v>空派</v>
      </c>
      <c r="D817" s="1" t="str" cm="1">
        <f t="array" ref="D817">IF(OR(C817="红单",C817="空派"),_xlfn.IFS(E817="未开售","新品首批发货",F817&lt;E817,"新品首批发货",F817-E817&lt;=60,"新品期补货空运",F817-E817&gt;60,"老品应急空运"),"海运，不进行分析")</f>
        <v>新品期补货空运</v>
      </c>
      <c r="E817" s="2">
        <v>46017</v>
      </c>
      <c r="F817" s="2">
        <f>_xlfn.XLOOKUP(J817,数据!E:E,数据!C:C)</f>
        <v>46028</v>
      </c>
      <c r="G817" s="4">
        <v>108</v>
      </c>
      <c r="H817" s="4">
        <f t="shared" si="37"/>
        <v>2.16</v>
      </c>
      <c r="I817" s="4">
        <f>_xlfn.XLOOKUP(J817,数据!E:E,数据!S:S)*(H817/_xlfn.XLOOKUP(J817,数据!E:E,数据!X:X))</f>
        <v>147.17338317757</v>
      </c>
      <c r="J817" t="s">
        <v>50</v>
      </c>
      <c r="K817" t="s">
        <v>51</v>
      </c>
      <c r="L817" t="s">
        <v>2374</v>
      </c>
      <c r="M817" t="s">
        <v>7107</v>
      </c>
      <c r="N817" t="s">
        <v>2376</v>
      </c>
      <c r="O817" t="s">
        <v>2400</v>
      </c>
      <c r="P817" t="s">
        <v>2378</v>
      </c>
      <c r="Q817" t="s">
        <v>2379</v>
      </c>
      <c r="S817" t="s">
        <v>2511</v>
      </c>
      <c r="T817" s="3" t="s">
        <v>7108</v>
      </c>
      <c r="U817" t="s">
        <v>7109</v>
      </c>
      <c r="V817" t="s">
        <v>7110</v>
      </c>
      <c r="W817" t="s">
        <v>7111</v>
      </c>
      <c r="X817" t="s">
        <v>2403</v>
      </c>
      <c r="Y817" t="s">
        <v>7112</v>
      </c>
      <c r="Z817" t="s">
        <v>2405</v>
      </c>
      <c r="AA817" t="s">
        <v>7108</v>
      </c>
      <c r="AB817" t="s">
        <v>7113</v>
      </c>
      <c r="AC817" t="s">
        <v>7114</v>
      </c>
      <c r="AD817" t="s">
        <v>7115</v>
      </c>
      <c r="AG817" t="s">
        <v>2432</v>
      </c>
      <c r="AH817" t="s">
        <v>6874</v>
      </c>
      <c r="AI817" t="s">
        <v>6483</v>
      </c>
      <c r="AJ817" t="s">
        <v>7124</v>
      </c>
      <c r="AK817" t="s">
        <v>7125</v>
      </c>
      <c r="AL817" t="s">
        <v>7126</v>
      </c>
      <c r="AM817" t="s">
        <v>2590</v>
      </c>
      <c r="AN817" t="s">
        <v>7127</v>
      </c>
      <c r="AO817" t="s">
        <v>7124</v>
      </c>
      <c r="AP817">
        <v>20</v>
      </c>
      <c r="AQ817">
        <v>20</v>
      </c>
      <c r="AR817">
        <v>20</v>
      </c>
      <c r="AS817" t="s">
        <v>7128</v>
      </c>
      <c r="AT817">
        <v>0</v>
      </c>
      <c r="AU817">
        <v>0</v>
      </c>
      <c r="AV817">
        <v>0</v>
      </c>
    </row>
    <row r="818" spans="1:48">
      <c r="A818" s="1">
        <f>_xlfn.XLOOKUP(J818,数据!E:E,数据!A:A)</f>
        <v>1</v>
      </c>
      <c r="B818" s="1">
        <f>_xlfn.XLOOKUP(J818,数据!E:E,数据!B:B)</f>
        <v>2</v>
      </c>
      <c r="C818" s="1" t="str">
        <f>_xlfn.XLOOKUP(J818,数据!E:E,数据!J:J)</f>
        <v>空派</v>
      </c>
      <c r="D818" s="1" t="str" cm="1">
        <f t="array" ref="D818">IF(OR(C818="红单",C818="空派"),_xlfn.IFS(E818="未开售","新品首批发货",F818&lt;E818,"新品首批发货",F818-E818&lt;=60,"新品期补货空运",F818-E818&gt;60,"老品应急空运"),"海运，不进行分析")</f>
        <v>新品期补货空运</v>
      </c>
      <c r="E818" s="2">
        <v>46017</v>
      </c>
      <c r="F818" s="2">
        <f>_xlfn.XLOOKUP(J818,数据!E:E,数据!C:C)</f>
        <v>46028</v>
      </c>
      <c r="G818" s="4">
        <v>107</v>
      </c>
      <c r="H818" s="4">
        <f t="shared" si="37"/>
        <v>6.42</v>
      </c>
      <c r="I818" s="4">
        <f>_xlfn.XLOOKUP(J818,数据!E:E,数据!S:S)*(H818/_xlfn.XLOOKUP(J818,数据!E:E,数据!X:X))</f>
        <v>283.009844993716</v>
      </c>
      <c r="J818" t="s">
        <v>52</v>
      </c>
      <c r="K818" t="s">
        <v>51</v>
      </c>
      <c r="L818" t="s">
        <v>2374</v>
      </c>
      <c r="M818" t="s">
        <v>7129</v>
      </c>
      <c r="N818" t="s">
        <v>2376</v>
      </c>
      <c r="O818" t="s">
        <v>2400</v>
      </c>
      <c r="P818" t="s">
        <v>2378</v>
      </c>
      <c r="Q818" t="s">
        <v>2379</v>
      </c>
      <c r="S818" t="s">
        <v>2511</v>
      </c>
      <c r="T818" s="3" t="s">
        <v>7130</v>
      </c>
      <c r="U818" t="s">
        <v>7109</v>
      </c>
      <c r="V818" t="s">
        <v>7131</v>
      </c>
      <c r="W818" t="s">
        <v>7132</v>
      </c>
      <c r="X818" t="s">
        <v>2403</v>
      </c>
      <c r="Y818" t="s">
        <v>7133</v>
      </c>
      <c r="Z818" t="s">
        <v>2405</v>
      </c>
      <c r="AA818" t="s">
        <v>7130</v>
      </c>
      <c r="AB818" t="s">
        <v>7134</v>
      </c>
      <c r="AC818" t="s">
        <v>7135</v>
      </c>
      <c r="AD818" t="s">
        <v>7081</v>
      </c>
      <c r="AG818" t="s">
        <v>2432</v>
      </c>
      <c r="AH818" t="s">
        <v>6874</v>
      </c>
      <c r="AI818" t="s">
        <v>6483</v>
      </c>
      <c r="AJ818" t="s">
        <v>6205</v>
      </c>
      <c r="AK818" t="s">
        <v>6206</v>
      </c>
      <c r="AL818" t="s">
        <v>6207</v>
      </c>
      <c r="AM818" t="s">
        <v>2590</v>
      </c>
      <c r="AN818" t="s">
        <v>6208</v>
      </c>
      <c r="AO818" t="s">
        <v>6205</v>
      </c>
      <c r="AP818">
        <v>60</v>
      </c>
      <c r="AQ818">
        <v>60</v>
      </c>
      <c r="AR818">
        <v>60</v>
      </c>
      <c r="AS818" t="s">
        <v>7136</v>
      </c>
      <c r="AT818">
        <v>0</v>
      </c>
      <c r="AU818">
        <v>0</v>
      </c>
      <c r="AV818">
        <v>0</v>
      </c>
    </row>
    <row r="819" spans="1:48">
      <c r="A819" s="1">
        <f>_xlfn.XLOOKUP(J819,数据!E:E,数据!A:A)</f>
        <v>1</v>
      </c>
      <c r="B819" s="1">
        <f>_xlfn.XLOOKUP(J819,数据!E:E,数据!B:B)</f>
        <v>2</v>
      </c>
      <c r="C819" s="1" t="str">
        <f>_xlfn.XLOOKUP(J819,数据!E:E,数据!J:J)</f>
        <v>空派</v>
      </c>
      <c r="D819" s="1" t="str" cm="1">
        <f t="array" ref="D819">IF(OR(C819="红单",C819="空派"),_xlfn.IFS(E819="未开售","新品首批发货",F819&lt;E819,"新品首批发货",F819-E819&lt;=60,"新品期补货空运",F819-E819&gt;60,"老品应急空运"),"海运，不进行分析")</f>
        <v>新品期补货空运</v>
      </c>
      <c r="E819" s="2">
        <v>46017</v>
      </c>
      <c r="F819" s="2">
        <f>_xlfn.XLOOKUP(J819,数据!E:E,数据!C:C)</f>
        <v>46028</v>
      </c>
      <c r="G819" s="4">
        <v>109</v>
      </c>
      <c r="H819" s="4">
        <f t="shared" si="37"/>
        <v>8.72</v>
      </c>
      <c r="I819" s="4">
        <f>_xlfn.XLOOKUP(J819,数据!E:E,数据!S:S)*(H819/_xlfn.XLOOKUP(J819,数据!E:E,数据!X:X))</f>
        <v>384.399664851278</v>
      </c>
      <c r="J819" t="s">
        <v>52</v>
      </c>
      <c r="K819" t="s">
        <v>51</v>
      </c>
      <c r="L819" t="s">
        <v>2374</v>
      </c>
      <c r="M819" t="s">
        <v>7129</v>
      </c>
      <c r="N819" t="s">
        <v>2376</v>
      </c>
      <c r="O819" t="s">
        <v>2400</v>
      </c>
      <c r="P819" t="s">
        <v>2378</v>
      </c>
      <c r="Q819" t="s">
        <v>2379</v>
      </c>
      <c r="S819" t="s">
        <v>2511</v>
      </c>
      <c r="T819" s="3" t="s">
        <v>7130</v>
      </c>
      <c r="U819" t="s">
        <v>7109</v>
      </c>
      <c r="V819" t="s">
        <v>7131</v>
      </c>
      <c r="W819" t="s">
        <v>7132</v>
      </c>
      <c r="X819" t="s">
        <v>2403</v>
      </c>
      <c r="Y819" t="s">
        <v>7133</v>
      </c>
      <c r="Z819" t="s">
        <v>2405</v>
      </c>
      <c r="AA819" t="s">
        <v>7130</v>
      </c>
      <c r="AB819" t="s">
        <v>7134</v>
      </c>
      <c r="AC819" t="s">
        <v>7135</v>
      </c>
      <c r="AD819" t="s">
        <v>7081</v>
      </c>
      <c r="AG819" t="s">
        <v>2432</v>
      </c>
      <c r="AH819" t="s">
        <v>6874</v>
      </c>
      <c r="AI819" t="s">
        <v>6483</v>
      </c>
      <c r="AJ819" t="s">
        <v>5707</v>
      </c>
      <c r="AK819" t="s">
        <v>5708</v>
      </c>
      <c r="AL819" t="s">
        <v>5709</v>
      </c>
      <c r="AM819" t="s">
        <v>2590</v>
      </c>
      <c r="AN819" t="s">
        <v>5710</v>
      </c>
      <c r="AO819" t="s">
        <v>5707</v>
      </c>
      <c r="AP819">
        <v>80</v>
      </c>
      <c r="AQ819">
        <v>80</v>
      </c>
      <c r="AR819">
        <v>80</v>
      </c>
      <c r="AS819" t="s">
        <v>7137</v>
      </c>
      <c r="AT819">
        <v>0</v>
      </c>
      <c r="AU819">
        <v>0</v>
      </c>
      <c r="AV819">
        <v>0</v>
      </c>
    </row>
    <row r="820" spans="1:48">
      <c r="A820" s="1">
        <f>_xlfn.XLOOKUP(J820,数据!E:E,数据!A:A)</f>
        <v>1</v>
      </c>
      <c r="B820" s="1">
        <f>_xlfn.XLOOKUP(J820,数据!E:E,数据!B:B)</f>
        <v>2</v>
      </c>
      <c r="C820" s="1" t="str">
        <f>_xlfn.XLOOKUP(J820,数据!E:E,数据!J:J)</f>
        <v>空派</v>
      </c>
      <c r="D820" s="1" t="str" cm="1">
        <f t="array" ref="D820">IF(OR(C820="红单",C820="空派"),_xlfn.IFS(E820="未开售","新品首批发货",F820&lt;E820,"新品首批发货",F820-E820&lt;=60,"新品期补货空运",F820-E820&gt;60,"老品应急空运"),"海运，不进行分析")</f>
        <v>新品期补货空运</v>
      </c>
      <c r="E820" s="2">
        <v>46020</v>
      </c>
      <c r="F820" s="2">
        <f>_xlfn.XLOOKUP(J820,数据!E:E,数据!C:C)</f>
        <v>46028</v>
      </c>
      <c r="G820" s="4">
        <v>109</v>
      </c>
      <c r="H820" s="4">
        <f t="shared" si="37"/>
        <v>6.54</v>
      </c>
      <c r="I820" s="4">
        <f>_xlfn.XLOOKUP(J820,数据!E:E,数据!S:S)*(H820/_xlfn.XLOOKUP(J820,数据!E:E,数据!X:X))</f>
        <v>288.299748638458</v>
      </c>
      <c r="J820" t="s">
        <v>52</v>
      </c>
      <c r="K820" t="s">
        <v>51</v>
      </c>
      <c r="L820" t="s">
        <v>2374</v>
      </c>
      <c r="M820" t="s">
        <v>7129</v>
      </c>
      <c r="N820" t="s">
        <v>2376</v>
      </c>
      <c r="O820" t="s">
        <v>2400</v>
      </c>
      <c r="P820" t="s">
        <v>2378</v>
      </c>
      <c r="Q820" t="s">
        <v>2379</v>
      </c>
      <c r="S820" t="s">
        <v>2511</v>
      </c>
      <c r="T820" s="3" t="s">
        <v>7130</v>
      </c>
      <c r="U820" t="s">
        <v>7109</v>
      </c>
      <c r="V820" t="s">
        <v>7131</v>
      </c>
      <c r="W820" t="s">
        <v>7132</v>
      </c>
      <c r="X820" t="s">
        <v>2403</v>
      </c>
      <c r="Y820" t="s">
        <v>7133</v>
      </c>
      <c r="Z820" t="s">
        <v>2405</v>
      </c>
      <c r="AA820" t="s">
        <v>7130</v>
      </c>
      <c r="AB820" t="s">
        <v>7134</v>
      </c>
      <c r="AC820" t="s">
        <v>7135</v>
      </c>
      <c r="AD820" t="s">
        <v>7081</v>
      </c>
      <c r="AG820" t="s">
        <v>2432</v>
      </c>
      <c r="AH820" t="s">
        <v>6874</v>
      </c>
      <c r="AI820" t="s">
        <v>6483</v>
      </c>
      <c r="AJ820" t="s">
        <v>6583</v>
      </c>
      <c r="AK820" t="s">
        <v>6584</v>
      </c>
      <c r="AL820" t="s">
        <v>6585</v>
      </c>
      <c r="AM820" t="s">
        <v>2590</v>
      </c>
      <c r="AN820" t="s">
        <v>6586</v>
      </c>
      <c r="AO820" t="s">
        <v>6583</v>
      </c>
      <c r="AP820">
        <v>60</v>
      </c>
      <c r="AQ820">
        <v>60</v>
      </c>
      <c r="AR820">
        <v>60</v>
      </c>
      <c r="AS820" t="s">
        <v>7138</v>
      </c>
      <c r="AT820">
        <v>0</v>
      </c>
      <c r="AU820">
        <v>0</v>
      </c>
      <c r="AV820">
        <v>0</v>
      </c>
    </row>
    <row r="821" spans="1:48">
      <c r="A821" s="1">
        <f>_xlfn.XLOOKUP(J821,数据!E:E,数据!A:A)</f>
        <v>1</v>
      </c>
      <c r="B821" s="1">
        <f>_xlfn.XLOOKUP(J821,数据!E:E,数据!B:B)</f>
        <v>2</v>
      </c>
      <c r="C821" s="1" t="str">
        <f>_xlfn.XLOOKUP(J821,数据!E:E,数据!J:J)</f>
        <v>空派</v>
      </c>
      <c r="D821" s="1" t="str" cm="1">
        <f t="array" ref="D821">IF(OR(C821="红单",C821="空派"),_xlfn.IFS(E821="未开售","新品首批发货",F821&lt;E821,"新品首批发货",F821-E821&lt;=60,"新品期补货空运",F821-E821&gt;60,"老品应急空运"),"海运，不进行分析")</f>
        <v>新品期补货空运</v>
      </c>
      <c r="E821" s="2">
        <v>46020</v>
      </c>
      <c r="F821" s="2">
        <f>_xlfn.XLOOKUP(J821,数据!E:E,数据!C:C)</f>
        <v>46028</v>
      </c>
      <c r="G821" s="4">
        <v>109</v>
      </c>
      <c r="H821" s="4">
        <f t="shared" si="37"/>
        <v>8.72</v>
      </c>
      <c r="I821" s="4">
        <f>_xlfn.XLOOKUP(J821,数据!E:E,数据!S:S)*(H821/_xlfn.XLOOKUP(J821,数据!E:E,数据!X:X))</f>
        <v>384.399664851278</v>
      </c>
      <c r="J821" t="s">
        <v>52</v>
      </c>
      <c r="K821" t="s">
        <v>51</v>
      </c>
      <c r="L821" t="s">
        <v>2374</v>
      </c>
      <c r="M821" t="s">
        <v>7129</v>
      </c>
      <c r="N821" t="s">
        <v>2376</v>
      </c>
      <c r="O821" t="s">
        <v>2400</v>
      </c>
      <c r="P821" t="s">
        <v>2378</v>
      </c>
      <c r="Q821" t="s">
        <v>2379</v>
      </c>
      <c r="S821" t="s">
        <v>2511</v>
      </c>
      <c r="T821" s="3" t="s">
        <v>7130</v>
      </c>
      <c r="U821" t="s">
        <v>7109</v>
      </c>
      <c r="V821" t="s">
        <v>7131</v>
      </c>
      <c r="W821" t="s">
        <v>7132</v>
      </c>
      <c r="X821" t="s">
        <v>2403</v>
      </c>
      <c r="Y821" t="s">
        <v>7133</v>
      </c>
      <c r="Z821" t="s">
        <v>2405</v>
      </c>
      <c r="AA821" t="s">
        <v>7130</v>
      </c>
      <c r="AB821" t="s">
        <v>7134</v>
      </c>
      <c r="AC821" t="s">
        <v>7135</v>
      </c>
      <c r="AD821" t="s">
        <v>7081</v>
      </c>
      <c r="AG821" t="s">
        <v>2432</v>
      </c>
      <c r="AH821" t="s">
        <v>6874</v>
      </c>
      <c r="AI821" t="s">
        <v>6483</v>
      </c>
      <c r="AJ821" t="s">
        <v>6578</v>
      </c>
      <c r="AK821" t="s">
        <v>6579</v>
      </c>
      <c r="AL821" t="s">
        <v>6580</v>
      </c>
      <c r="AM821" t="s">
        <v>2590</v>
      </c>
      <c r="AN821" t="s">
        <v>6581</v>
      </c>
      <c r="AO821" t="s">
        <v>6578</v>
      </c>
      <c r="AP821">
        <v>80</v>
      </c>
      <c r="AQ821">
        <v>80</v>
      </c>
      <c r="AR821">
        <v>80</v>
      </c>
      <c r="AS821" t="s">
        <v>7139</v>
      </c>
      <c r="AT821">
        <v>0</v>
      </c>
      <c r="AU821">
        <v>0</v>
      </c>
      <c r="AV821">
        <v>0</v>
      </c>
    </row>
    <row r="822" spans="1:48">
      <c r="A822" s="1">
        <f>_xlfn.XLOOKUP(J822,数据!E:E,数据!A:A)</f>
        <v>1</v>
      </c>
      <c r="B822" s="1">
        <f>_xlfn.XLOOKUP(J822,数据!E:E,数据!B:B)</f>
        <v>2</v>
      </c>
      <c r="C822" s="1" t="str">
        <f>_xlfn.XLOOKUP(J822,数据!E:E,数据!J:J)</f>
        <v>空派</v>
      </c>
      <c r="D822" s="1" t="str" cm="1">
        <f t="array" ref="D822">IF(OR(C822="红单",C822="空派"),_xlfn.IFS(E822="未开售","新品首批发货",F822&lt;E822,"新品首批发货",F822-E822&lt;=60,"新品期补货空运",F822-E822&gt;60,"老品应急空运"),"海运，不进行分析")</f>
        <v>新品期补货空运</v>
      </c>
      <c r="E822" s="2">
        <v>46017</v>
      </c>
      <c r="F822" s="2">
        <f>_xlfn.XLOOKUP(J822,数据!E:E,数据!C:C)</f>
        <v>46028</v>
      </c>
      <c r="G822" s="4">
        <v>107</v>
      </c>
      <c r="H822" s="4">
        <f t="shared" si="37"/>
        <v>3.21</v>
      </c>
      <c r="I822" s="4">
        <f>_xlfn.XLOOKUP(J822,数据!E:E,数据!S:S)*(H822/_xlfn.XLOOKUP(J822,数据!E:E,数据!X:X))</f>
        <v>141.504922496858</v>
      </c>
      <c r="J822" t="s">
        <v>52</v>
      </c>
      <c r="K822" t="s">
        <v>51</v>
      </c>
      <c r="L822" t="s">
        <v>2374</v>
      </c>
      <c r="M822" t="s">
        <v>7129</v>
      </c>
      <c r="N822" t="s">
        <v>2376</v>
      </c>
      <c r="O822" t="s">
        <v>2400</v>
      </c>
      <c r="P822" t="s">
        <v>2378</v>
      </c>
      <c r="Q822" t="s">
        <v>2379</v>
      </c>
      <c r="S822" t="s">
        <v>2511</v>
      </c>
      <c r="T822" s="3" t="s">
        <v>7130</v>
      </c>
      <c r="U822" t="s">
        <v>7109</v>
      </c>
      <c r="V822" t="s">
        <v>7131</v>
      </c>
      <c r="W822" t="s">
        <v>7132</v>
      </c>
      <c r="X822" t="s">
        <v>2403</v>
      </c>
      <c r="Y822" t="s">
        <v>7133</v>
      </c>
      <c r="Z822" t="s">
        <v>2405</v>
      </c>
      <c r="AA822" t="s">
        <v>7130</v>
      </c>
      <c r="AB822" t="s">
        <v>7134</v>
      </c>
      <c r="AC822" t="s">
        <v>7135</v>
      </c>
      <c r="AD822" t="s">
        <v>7081</v>
      </c>
      <c r="AG822" t="s">
        <v>2432</v>
      </c>
      <c r="AH822" t="s">
        <v>6874</v>
      </c>
      <c r="AI822" t="s">
        <v>6483</v>
      </c>
      <c r="AJ822" t="s">
        <v>6210</v>
      </c>
      <c r="AK822" t="s">
        <v>6211</v>
      </c>
      <c r="AL822" t="s">
        <v>6212</v>
      </c>
      <c r="AM822" t="s">
        <v>2590</v>
      </c>
      <c r="AN822" t="s">
        <v>6213</v>
      </c>
      <c r="AO822" t="s">
        <v>6210</v>
      </c>
      <c r="AP822">
        <v>30</v>
      </c>
      <c r="AQ822">
        <v>30</v>
      </c>
      <c r="AR822">
        <v>30</v>
      </c>
      <c r="AS822" t="s">
        <v>7140</v>
      </c>
      <c r="AT822">
        <v>0</v>
      </c>
      <c r="AU822">
        <v>0</v>
      </c>
      <c r="AV822">
        <v>0</v>
      </c>
    </row>
    <row r="823" spans="1:48">
      <c r="A823" s="1">
        <f>_xlfn.XLOOKUP(J823,数据!E:E,数据!A:A)</f>
        <v>1</v>
      </c>
      <c r="B823" s="1">
        <f>_xlfn.XLOOKUP(J823,数据!E:E,数据!B:B)</f>
        <v>2</v>
      </c>
      <c r="C823" s="1" t="str">
        <f>_xlfn.XLOOKUP(J823,数据!E:E,数据!J:J)</f>
        <v>空派</v>
      </c>
      <c r="D823" s="1" t="str" cm="1">
        <f t="array" ref="D823">IF(OR(C823="红单",C823="空派"),_xlfn.IFS(E823="未开售","新品首批发货",F823&lt;E823,"新品首批发货",F823-E823&lt;=60,"新品期补货空运",F823-E823&gt;60,"老品应急空运"),"海运，不进行分析")</f>
        <v>新品期补货空运</v>
      </c>
      <c r="E823" s="2">
        <v>46017</v>
      </c>
      <c r="F823" s="2">
        <f>_xlfn.XLOOKUP(J823,数据!E:E,数据!C:C)</f>
        <v>46028</v>
      </c>
      <c r="G823" s="4">
        <v>108</v>
      </c>
      <c r="H823" s="4">
        <f t="shared" si="37"/>
        <v>2.16</v>
      </c>
      <c r="I823" s="4">
        <f>_xlfn.XLOOKUP(J823,数据!E:E,数据!S:S)*(H823/_xlfn.XLOOKUP(J823,数据!E:E,数据!X:X))</f>
        <v>95.2182656053624</v>
      </c>
      <c r="J823" t="s">
        <v>52</v>
      </c>
      <c r="K823" t="s">
        <v>51</v>
      </c>
      <c r="L823" t="s">
        <v>2374</v>
      </c>
      <c r="M823" t="s">
        <v>7129</v>
      </c>
      <c r="N823" t="s">
        <v>2376</v>
      </c>
      <c r="O823" t="s">
        <v>2400</v>
      </c>
      <c r="P823" t="s">
        <v>2378</v>
      </c>
      <c r="Q823" t="s">
        <v>2379</v>
      </c>
      <c r="S823" t="s">
        <v>2511</v>
      </c>
      <c r="T823" s="3" t="s">
        <v>7130</v>
      </c>
      <c r="U823" t="s">
        <v>7109</v>
      </c>
      <c r="V823" t="s">
        <v>7131</v>
      </c>
      <c r="W823" t="s">
        <v>7132</v>
      </c>
      <c r="X823" t="s">
        <v>2403</v>
      </c>
      <c r="Y823" t="s">
        <v>7133</v>
      </c>
      <c r="Z823" t="s">
        <v>2405</v>
      </c>
      <c r="AA823" t="s">
        <v>7130</v>
      </c>
      <c r="AB823" t="s">
        <v>7134</v>
      </c>
      <c r="AC823" t="s">
        <v>7135</v>
      </c>
      <c r="AD823" t="s">
        <v>7081</v>
      </c>
      <c r="AG823" t="s">
        <v>2432</v>
      </c>
      <c r="AH823" t="s">
        <v>6874</v>
      </c>
      <c r="AI823" t="s">
        <v>6483</v>
      </c>
      <c r="AJ823" t="s">
        <v>6215</v>
      </c>
      <c r="AK823" t="s">
        <v>6216</v>
      </c>
      <c r="AL823" t="s">
        <v>6217</v>
      </c>
      <c r="AM823" t="s">
        <v>2590</v>
      </c>
      <c r="AN823" t="s">
        <v>6218</v>
      </c>
      <c r="AO823" t="s">
        <v>6215</v>
      </c>
      <c r="AP823">
        <v>20</v>
      </c>
      <c r="AQ823">
        <v>20</v>
      </c>
      <c r="AR823">
        <v>20</v>
      </c>
      <c r="AS823" t="s">
        <v>7141</v>
      </c>
      <c r="AT823">
        <v>0</v>
      </c>
      <c r="AU823">
        <v>0</v>
      </c>
      <c r="AV823">
        <v>0</v>
      </c>
    </row>
    <row r="824" spans="1:48">
      <c r="A824" s="1">
        <f>_xlfn.XLOOKUP(J824,数据!E:E,数据!A:A)</f>
        <v>1</v>
      </c>
      <c r="B824" s="1">
        <f>_xlfn.XLOOKUP(J824,数据!E:E,数据!B:B)</f>
        <v>2</v>
      </c>
      <c r="C824" s="1" t="str">
        <f>_xlfn.XLOOKUP(J824,数据!E:E,数据!J:J)</f>
        <v>空派</v>
      </c>
      <c r="D824" s="1" t="str" cm="1">
        <f t="array" ref="D824">IF(OR(C824="红单",C824="空派"),_xlfn.IFS(E824="未开售","新品首批发货",F824&lt;E824,"新品首批发货",F824-E824&lt;=60,"新品期补货空运",F824-E824&gt;60,"老品应急空运"),"海运，不进行分析")</f>
        <v>新品期补货空运</v>
      </c>
      <c r="E824" s="2">
        <v>46017</v>
      </c>
      <c r="F824" s="2">
        <f>_xlfn.XLOOKUP(J824,数据!E:E,数据!C:C)</f>
        <v>46028</v>
      </c>
      <c r="G824" s="4">
        <v>108</v>
      </c>
      <c r="H824" s="4">
        <f t="shared" si="37"/>
        <v>2.16</v>
      </c>
      <c r="I824" s="4">
        <f>_xlfn.XLOOKUP(J824,数据!E:E,数据!S:S)*(H824/_xlfn.XLOOKUP(J824,数据!E:E,数据!X:X))</f>
        <v>95.2182656053624</v>
      </c>
      <c r="J824" t="s">
        <v>52</v>
      </c>
      <c r="K824" t="s">
        <v>51</v>
      </c>
      <c r="L824" t="s">
        <v>2374</v>
      </c>
      <c r="M824" t="s">
        <v>7129</v>
      </c>
      <c r="N824" t="s">
        <v>2376</v>
      </c>
      <c r="O824" t="s">
        <v>2400</v>
      </c>
      <c r="P824" t="s">
        <v>2378</v>
      </c>
      <c r="Q824" t="s">
        <v>2379</v>
      </c>
      <c r="S824" t="s">
        <v>2511</v>
      </c>
      <c r="T824" s="3" t="s">
        <v>7130</v>
      </c>
      <c r="U824" t="s">
        <v>7109</v>
      </c>
      <c r="V824" t="s">
        <v>7131</v>
      </c>
      <c r="W824" t="s">
        <v>7132</v>
      </c>
      <c r="X824" t="s">
        <v>2403</v>
      </c>
      <c r="Y824" t="s">
        <v>7133</v>
      </c>
      <c r="Z824" t="s">
        <v>2405</v>
      </c>
      <c r="AA824" t="s">
        <v>7130</v>
      </c>
      <c r="AB824" t="s">
        <v>7134</v>
      </c>
      <c r="AC824" t="s">
        <v>7135</v>
      </c>
      <c r="AD824" t="s">
        <v>7081</v>
      </c>
      <c r="AG824" t="s">
        <v>2432</v>
      </c>
      <c r="AH824" t="s">
        <v>6874</v>
      </c>
      <c r="AI824" t="s">
        <v>6483</v>
      </c>
      <c r="AJ824" t="s">
        <v>7124</v>
      </c>
      <c r="AK824" t="s">
        <v>7125</v>
      </c>
      <c r="AL824" t="s">
        <v>7126</v>
      </c>
      <c r="AM824" t="s">
        <v>2590</v>
      </c>
      <c r="AN824" t="s">
        <v>7127</v>
      </c>
      <c r="AO824" t="s">
        <v>7124</v>
      </c>
      <c r="AP824">
        <v>20</v>
      </c>
      <c r="AQ824">
        <v>20</v>
      </c>
      <c r="AR824">
        <v>20</v>
      </c>
      <c r="AS824" t="s">
        <v>7128</v>
      </c>
      <c r="AT824">
        <v>0</v>
      </c>
      <c r="AU824">
        <v>0</v>
      </c>
      <c r="AV824">
        <v>0</v>
      </c>
    </row>
    <row r="825" spans="1:48">
      <c r="A825" s="1">
        <f>_xlfn.XLOOKUP(J825,数据!E:E,数据!A:A)</f>
        <v>1</v>
      </c>
      <c r="B825" s="1">
        <f>_xlfn.XLOOKUP(J825,数据!E:E,数据!B:B)</f>
        <v>2</v>
      </c>
      <c r="C825" s="1" t="str">
        <f>_xlfn.XLOOKUP(J825,数据!E:E,数据!J:J)</f>
        <v>空派</v>
      </c>
      <c r="D825" s="1" t="str" cm="1">
        <f t="array" ref="D825">IF(OR(C825="红单",C825="空派"),_xlfn.IFS(E825="未开售","新品首批发货",F825&lt;E825,"新品首批发货",F825-E825&lt;=60,"新品期补货空运",F825-E825&gt;60,"老品应急空运"),"海运，不进行分析")</f>
        <v>新品期补货空运</v>
      </c>
      <c r="E825" s="2">
        <v>46020</v>
      </c>
      <c r="F825" s="2">
        <f>_xlfn.XLOOKUP(J825,数据!E:E,数据!C:C)</f>
        <v>46028</v>
      </c>
      <c r="G825" s="4">
        <v>114</v>
      </c>
      <c r="H825" s="4">
        <f t="shared" si="37"/>
        <v>2.28</v>
      </c>
      <c r="I825" s="4">
        <f>_xlfn.XLOOKUP(J825,数据!E:E,数据!S:S)*(H825/_xlfn.XLOOKUP(J825,数据!E:E,数据!X:X))</f>
        <v>100.508169250105</v>
      </c>
      <c r="J825" t="s">
        <v>52</v>
      </c>
      <c r="K825" t="s">
        <v>51</v>
      </c>
      <c r="L825" t="s">
        <v>2374</v>
      </c>
      <c r="M825" t="s">
        <v>7129</v>
      </c>
      <c r="N825" t="s">
        <v>2376</v>
      </c>
      <c r="O825" t="s">
        <v>2400</v>
      </c>
      <c r="P825" t="s">
        <v>2378</v>
      </c>
      <c r="Q825" t="s">
        <v>2379</v>
      </c>
      <c r="S825" t="s">
        <v>2511</v>
      </c>
      <c r="T825" s="3" t="s">
        <v>7130</v>
      </c>
      <c r="U825" t="s">
        <v>7109</v>
      </c>
      <c r="V825" t="s">
        <v>7131</v>
      </c>
      <c r="W825" t="s">
        <v>7132</v>
      </c>
      <c r="X825" t="s">
        <v>2403</v>
      </c>
      <c r="Y825" t="s">
        <v>7133</v>
      </c>
      <c r="Z825" t="s">
        <v>2405</v>
      </c>
      <c r="AA825" t="s">
        <v>7130</v>
      </c>
      <c r="AB825" t="s">
        <v>7134</v>
      </c>
      <c r="AC825" t="s">
        <v>7135</v>
      </c>
      <c r="AD825" t="s">
        <v>7081</v>
      </c>
      <c r="AG825" t="s">
        <v>2432</v>
      </c>
      <c r="AH825" t="s">
        <v>6874</v>
      </c>
      <c r="AI825" t="s">
        <v>6483</v>
      </c>
      <c r="AJ825" t="s">
        <v>6573</v>
      </c>
      <c r="AK825" t="s">
        <v>6574</v>
      </c>
      <c r="AL825" t="s">
        <v>6575</v>
      </c>
      <c r="AM825" t="s">
        <v>3781</v>
      </c>
      <c r="AN825" t="s">
        <v>6576</v>
      </c>
      <c r="AO825" t="s">
        <v>6573</v>
      </c>
      <c r="AP825">
        <v>20</v>
      </c>
      <c r="AQ825">
        <v>20</v>
      </c>
      <c r="AR825">
        <v>20</v>
      </c>
      <c r="AS825" t="s">
        <v>7142</v>
      </c>
      <c r="AT825">
        <v>0</v>
      </c>
      <c r="AU825">
        <v>0</v>
      </c>
      <c r="AV825">
        <v>0</v>
      </c>
    </row>
    <row r="826" spans="1:48">
      <c r="A826" s="1">
        <f>_xlfn.XLOOKUP(J826,数据!E:E,数据!A:A)</f>
        <v>1</v>
      </c>
      <c r="B826" s="1">
        <f>_xlfn.XLOOKUP(J826,数据!E:E,数据!B:B)</f>
        <v>2</v>
      </c>
      <c r="C826" s="1" t="str">
        <f>_xlfn.XLOOKUP(J826,数据!E:E,数据!J:J)</f>
        <v>空派</v>
      </c>
      <c r="D826" s="1" t="str" cm="1">
        <f t="array" ref="D826">IF(OR(C826="红单",C826="空派"),_xlfn.IFS(E826="未开售","新品首批发货",F826&lt;E826,"新品首批发货",F826-E826&lt;=60,"新品期补货空运",F826-E826&gt;60,"老品应急空运"),"海运，不进行分析")</f>
        <v>新品期补货空运</v>
      </c>
      <c r="E826" s="2">
        <v>46017</v>
      </c>
      <c r="F826" s="2">
        <f>_xlfn.XLOOKUP(J826,数据!E:E,数据!C:C)</f>
        <v>46028</v>
      </c>
      <c r="G826" s="4">
        <v>394</v>
      </c>
      <c r="H826" s="4">
        <f t="shared" si="37"/>
        <v>19.7</v>
      </c>
      <c r="I826" s="4">
        <f>_xlfn.XLOOKUP(J826,数据!E:E,数据!S:S)*(H826/_xlfn.XLOOKUP(J826,数据!E:E,数据!X:X))</f>
        <v>868.425848345203</v>
      </c>
      <c r="J826" t="s">
        <v>52</v>
      </c>
      <c r="K826" t="s">
        <v>51</v>
      </c>
      <c r="L826" t="s">
        <v>2374</v>
      </c>
      <c r="M826" t="s">
        <v>7129</v>
      </c>
      <c r="N826" t="s">
        <v>2376</v>
      </c>
      <c r="O826" t="s">
        <v>2400</v>
      </c>
      <c r="P826" t="s">
        <v>2378</v>
      </c>
      <c r="Q826" t="s">
        <v>2379</v>
      </c>
      <c r="S826" t="s">
        <v>2511</v>
      </c>
      <c r="T826" s="3" t="s">
        <v>7130</v>
      </c>
      <c r="U826" t="s">
        <v>7109</v>
      </c>
      <c r="V826" t="s">
        <v>7131</v>
      </c>
      <c r="W826" t="s">
        <v>7132</v>
      </c>
      <c r="X826" t="s">
        <v>2403</v>
      </c>
      <c r="Y826" t="s">
        <v>7133</v>
      </c>
      <c r="Z826" t="s">
        <v>2405</v>
      </c>
      <c r="AA826" t="s">
        <v>7130</v>
      </c>
      <c r="AB826" t="s">
        <v>7134</v>
      </c>
      <c r="AC826" t="s">
        <v>7135</v>
      </c>
      <c r="AD826" t="s">
        <v>7081</v>
      </c>
      <c r="AG826" t="s">
        <v>2432</v>
      </c>
      <c r="AH826" t="s">
        <v>6874</v>
      </c>
      <c r="AI826" t="s">
        <v>6483</v>
      </c>
      <c r="AJ826" t="s">
        <v>6889</v>
      </c>
      <c r="AK826" t="s">
        <v>6890</v>
      </c>
      <c r="AL826" t="s">
        <v>6891</v>
      </c>
      <c r="AM826" t="s">
        <v>3373</v>
      </c>
      <c r="AN826" t="s">
        <v>6892</v>
      </c>
      <c r="AO826" t="s">
        <v>6889</v>
      </c>
      <c r="AP826">
        <v>50</v>
      </c>
      <c r="AQ826">
        <v>50</v>
      </c>
      <c r="AR826">
        <v>49</v>
      </c>
      <c r="AS826" t="s">
        <v>7143</v>
      </c>
      <c r="AT826">
        <v>0</v>
      </c>
      <c r="AU826">
        <v>-1</v>
      </c>
      <c r="AV826">
        <v>1</v>
      </c>
    </row>
    <row r="827" spans="1:48">
      <c r="A827" s="1">
        <f>_xlfn.XLOOKUP(J827,数据!E:E,数据!A:A)</f>
        <v>1</v>
      </c>
      <c r="B827" s="1">
        <f>_xlfn.XLOOKUP(J827,数据!E:E,数据!B:B)</f>
        <v>2</v>
      </c>
      <c r="C827" s="1" t="str">
        <f>_xlfn.XLOOKUP(J827,数据!E:E,数据!J:J)</f>
        <v>空派</v>
      </c>
      <c r="D827" s="1" t="str" cm="1">
        <f t="array" ref="D827">IF(OR(C827="红单",C827="空派"),_xlfn.IFS(E827="未开售","新品首批发货",F827&lt;E827,"新品首批发货",F827-E827&lt;=60,"新品期补货空运",F827-E827&gt;60,"老品应急空运"),"海运，不进行分析")</f>
        <v>新品期补货空运</v>
      </c>
      <c r="E827" s="2">
        <v>46017</v>
      </c>
      <c r="F827" s="2">
        <f>_xlfn.XLOOKUP(J827,数据!E:E,数据!C:C)</f>
        <v>46028</v>
      </c>
      <c r="G827" s="4">
        <v>117</v>
      </c>
      <c r="H827" s="4">
        <f t="shared" si="37"/>
        <v>11.7</v>
      </c>
      <c r="I827" s="4">
        <f>_xlfn.XLOOKUP(J827,数据!E:E,数据!S:S)*(H827/_xlfn.XLOOKUP(J827,数据!E:E,数据!X:X))</f>
        <v>515.76560536238</v>
      </c>
      <c r="J827" t="s">
        <v>52</v>
      </c>
      <c r="K827" t="s">
        <v>51</v>
      </c>
      <c r="L827" t="s">
        <v>2374</v>
      </c>
      <c r="M827" t="s">
        <v>7129</v>
      </c>
      <c r="N827" t="s">
        <v>2376</v>
      </c>
      <c r="O827" t="s">
        <v>2400</v>
      </c>
      <c r="P827" t="s">
        <v>2378</v>
      </c>
      <c r="Q827" t="s">
        <v>2379</v>
      </c>
      <c r="S827" t="s">
        <v>2511</v>
      </c>
      <c r="T827" s="3" t="s">
        <v>7130</v>
      </c>
      <c r="U827" t="s">
        <v>7109</v>
      </c>
      <c r="V827" t="s">
        <v>7131</v>
      </c>
      <c r="W827" t="s">
        <v>7132</v>
      </c>
      <c r="X827" t="s">
        <v>2403</v>
      </c>
      <c r="Y827" t="s">
        <v>7133</v>
      </c>
      <c r="Z827" t="s">
        <v>2405</v>
      </c>
      <c r="AA827" t="s">
        <v>7130</v>
      </c>
      <c r="AB827" t="s">
        <v>7134</v>
      </c>
      <c r="AC827" t="s">
        <v>7135</v>
      </c>
      <c r="AD827" t="s">
        <v>7081</v>
      </c>
      <c r="AG827" t="s">
        <v>2432</v>
      </c>
      <c r="AH827" t="s">
        <v>6874</v>
      </c>
      <c r="AI827" t="s">
        <v>6483</v>
      </c>
      <c r="AJ827" t="s">
        <v>7144</v>
      </c>
      <c r="AK827" t="s">
        <v>7145</v>
      </c>
      <c r="AL827" t="s">
        <v>7146</v>
      </c>
      <c r="AM827" t="s">
        <v>3891</v>
      </c>
      <c r="AN827" t="s">
        <v>7147</v>
      </c>
      <c r="AO827" t="s">
        <v>7144</v>
      </c>
      <c r="AP827">
        <v>100</v>
      </c>
      <c r="AQ827">
        <v>100</v>
      </c>
      <c r="AR827">
        <v>98</v>
      </c>
      <c r="AS827" t="s">
        <v>7148</v>
      </c>
      <c r="AT827">
        <v>0</v>
      </c>
      <c r="AU827">
        <v>-2</v>
      </c>
      <c r="AV827">
        <v>2</v>
      </c>
    </row>
    <row r="828" spans="1:48">
      <c r="A828" s="1">
        <f>_xlfn.XLOOKUP(J828,数据!E:E,数据!A:A)</f>
        <v>1</v>
      </c>
      <c r="B828" s="1">
        <f>_xlfn.XLOOKUP(J828,数据!E:E,数据!B:B)</f>
        <v>2</v>
      </c>
      <c r="C828" s="1" t="str">
        <f>_xlfn.XLOOKUP(J828,数据!E:E,数据!J:J)</f>
        <v>空派</v>
      </c>
      <c r="D828" s="1" t="str" cm="1">
        <f t="array" ref="D828">IF(OR(C828="红单",C828="空派"),_xlfn.IFS(E828="未开售","新品首批发货",F828&lt;E828,"新品首批发货",F828-E828&lt;=60,"新品期补货空运",F828-E828&gt;60,"老品应急空运"),"海运，不进行分析")</f>
        <v>新品首批发货</v>
      </c>
      <c r="E828" s="2">
        <v>46051</v>
      </c>
      <c r="F828" s="2">
        <f>_xlfn.XLOOKUP(J828,数据!E:E,数据!C:C)</f>
        <v>46027</v>
      </c>
      <c r="G828" s="4">
        <v>95</v>
      </c>
      <c r="H828" s="4">
        <f>G828*AP828/1000</f>
        <v>9.69</v>
      </c>
      <c r="I828" s="4">
        <f>_xlfn.XLOOKUP(J828,数据!E:E,数据!S:S)*(H828/_xlfn.XLOOKUP(J828,数据!E:E,数据!X:X))</f>
        <v>648.66</v>
      </c>
      <c r="J828" t="s">
        <v>28</v>
      </c>
      <c r="K828" t="s">
        <v>31</v>
      </c>
      <c r="L828" t="s">
        <v>2374</v>
      </c>
      <c r="M828" t="s">
        <v>7149</v>
      </c>
      <c r="N828" t="s">
        <v>2376</v>
      </c>
      <c r="O828" t="s">
        <v>2400</v>
      </c>
      <c r="P828" t="s">
        <v>2378</v>
      </c>
      <c r="Q828" t="s">
        <v>2379</v>
      </c>
      <c r="S828" t="s">
        <v>2511</v>
      </c>
      <c r="T828" s="3" t="s">
        <v>7150</v>
      </c>
      <c r="U828" t="s">
        <v>7151</v>
      </c>
      <c r="V828" t="s">
        <v>7152</v>
      </c>
      <c r="W828" t="s">
        <v>7153</v>
      </c>
      <c r="X828" t="s">
        <v>2403</v>
      </c>
      <c r="Y828" t="s">
        <v>7154</v>
      </c>
      <c r="Z828" t="s">
        <v>2405</v>
      </c>
      <c r="AA828" t="s">
        <v>7150</v>
      </c>
      <c r="AB828" t="s">
        <v>7155</v>
      </c>
      <c r="AC828" t="s">
        <v>7156</v>
      </c>
      <c r="AD828" t="s">
        <v>6989</v>
      </c>
      <c r="AG828" t="s">
        <v>2432</v>
      </c>
      <c r="AH828" t="s">
        <v>6874</v>
      </c>
      <c r="AI828" t="s">
        <v>6483</v>
      </c>
      <c r="AJ828" t="s">
        <v>7157</v>
      </c>
      <c r="AK828" t="s">
        <v>7158</v>
      </c>
      <c r="AL828" t="s">
        <v>7159</v>
      </c>
      <c r="AM828" t="s">
        <v>7160</v>
      </c>
      <c r="AN828" t="s">
        <v>7161</v>
      </c>
      <c r="AO828" t="s">
        <v>7157</v>
      </c>
      <c r="AP828">
        <v>102</v>
      </c>
      <c r="AQ828">
        <v>102</v>
      </c>
      <c r="AR828">
        <v>102</v>
      </c>
      <c r="AS828" t="s">
        <v>7162</v>
      </c>
      <c r="AT828">
        <v>0</v>
      </c>
      <c r="AU828">
        <v>0</v>
      </c>
      <c r="AV828">
        <v>0</v>
      </c>
    </row>
    <row r="829" spans="1:48">
      <c r="A829" s="1">
        <f>_xlfn.XLOOKUP(J829,数据!E:E,数据!A:A)</f>
        <v>1</v>
      </c>
      <c r="B829" s="1">
        <f>_xlfn.XLOOKUP(J829,数据!E:E,数据!B:B)</f>
        <v>2</v>
      </c>
      <c r="C829" s="1" t="str">
        <f>_xlfn.XLOOKUP(J829,数据!E:E,数据!J:J)</f>
        <v>空派</v>
      </c>
      <c r="D829" s="1" t="str" cm="1">
        <f t="array" ref="D829">IF(OR(C829="红单",C829="空派"),_xlfn.IFS(E829="未开售","新品首批发货",F829&lt;E829,"新品首批发货",F829-E829&lt;=60,"新品期补货空运",F829-E829&gt;60,"老品应急空运"),"海运，不进行分析")</f>
        <v>新品首批发货</v>
      </c>
      <c r="E829" s="2">
        <v>46047</v>
      </c>
      <c r="F829" s="2">
        <f>_xlfn.XLOOKUP(J829,数据!E:E,数据!C:C)</f>
        <v>46027</v>
      </c>
      <c r="G829" s="4">
        <v>96</v>
      </c>
      <c r="H829" s="4">
        <f>G829*AP829/1000</f>
        <v>9.792</v>
      </c>
      <c r="I829" s="4">
        <f>_xlfn.XLOOKUP(J829,数据!E:E,数据!S:S)*(H829/_xlfn.XLOOKUP(J829,数据!E:E,数据!X:X))</f>
        <v>655.488</v>
      </c>
      <c r="J829" t="s">
        <v>28</v>
      </c>
      <c r="K829" t="s">
        <v>31</v>
      </c>
      <c r="L829" t="s">
        <v>2374</v>
      </c>
      <c r="M829" t="s">
        <v>7149</v>
      </c>
      <c r="N829" t="s">
        <v>2376</v>
      </c>
      <c r="O829" t="s">
        <v>2400</v>
      </c>
      <c r="P829" t="s">
        <v>2378</v>
      </c>
      <c r="Q829" t="s">
        <v>2379</v>
      </c>
      <c r="S829" t="s">
        <v>2511</v>
      </c>
      <c r="T829" s="3" t="s">
        <v>7150</v>
      </c>
      <c r="U829" t="s">
        <v>7151</v>
      </c>
      <c r="V829" t="s">
        <v>7152</v>
      </c>
      <c r="W829" t="s">
        <v>7153</v>
      </c>
      <c r="X829" t="s">
        <v>2403</v>
      </c>
      <c r="Y829" t="s">
        <v>7154</v>
      </c>
      <c r="Z829" t="s">
        <v>2405</v>
      </c>
      <c r="AA829" t="s">
        <v>7150</v>
      </c>
      <c r="AB829" t="s">
        <v>7155</v>
      </c>
      <c r="AC829" t="s">
        <v>7156</v>
      </c>
      <c r="AD829" t="s">
        <v>6989</v>
      </c>
      <c r="AG829" t="s">
        <v>2432</v>
      </c>
      <c r="AH829" t="s">
        <v>6874</v>
      </c>
      <c r="AI829" t="s">
        <v>6483</v>
      </c>
      <c r="AJ829" t="s">
        <v>7163</v>
      </c>
      <c r="AK829" t="s">
        <v>7164</v>
      </c>
      <c r="AL829" t="s">
        <v>7165</v>
      </c>
      <c r="AM829" t="s">
        <v>7160</v>
      </c>
      <c r="AN829" t="s">
        <v>7166</v>
      </c>
      <c r="AO829" t="s">
        <v>7163</v>
      </c>
      <c r="AP829">
        <v>102</v>
      </c>
      <c r="AQ829">
        <v>102</v>
      </c>
      <c r="AR829">
        <v>101</v>
      </c>
      <c r="AS829" t="s">
        <v>7167</v>
      </c>
      <c r="AT829">
        <v>0</v>
      </c>
      <c r="AU829">
        <v>-1</v>
      </c>
      <c r="AV829">
        <v>1</v>
      </c>
    </row>
    <row r="830" spans="1:48">
      <c r="A830" s="1">
        <f>_xlfn.XLOOKUP(J830,数据!E:E,数据!A:A)</f>
        <v>1</v>
      </c>
      <c r="B830" s="1">
        <f>_xlfn.XLOOKUP(J830,数据!E:E,数据!B:B)</f>
        <v>2</v>
      </c>
      <c r="C830" s="1" t="str">
        <f>_xlfn.XLOOKUP(J830,数据!E:E,数据!J:J)</f>
        <v>空派</v>
      </c>
      <c r="D830" s="1" t="str" cm="1">
        <f t="array" ref="D830">IF(OR(C830="红单",C830="空派"),_xlfn.IFS(E830="未开售","新品首批发货",F830&lt;E830,"新品首批发货",F830-E830&lt;=60,"新品期补货空运",F830-E830&gt;60,"老品应急空运"),"海运，不进行分析")</f>
        <v>新品期补货空运</v>
      </c>
      <c r="E830" s="2">
        <v>46017</v>
      </c>
      <c r="F830" s="2">
        <f>_xlfn.XLOOKUP(J830,数据!E:E,数据!C:C)</f>
        <v>46027</v>
      </c>
      <c r="G830" s="4">
        <v>106</v>
      </c>
      <c r="H830" s="4">
        <f>G830*AP830/1000</f>
        <v>12.084</v>
      </c>
      <c r="I830" s="4">
        <f>_xlfn.XLOOKUP(J830,数据!E:E,数据!S:S)*(H830/_xlfn.XLOOKUP(J830,数据!E:E,数据!X:X))</f>
        <v>736.702969325153</v>
      </c>
      <c r="J830" t="s">
        <v>38</v>
      </c>
      <c r="K830" t="s">
        <v>39</v>
      </c>
      <c r="L830" t="s">
        <v>2374</v>
      </c>
      <c r="M830" t="s">
        <v>7168</v>
      </c>
      <c r="N830" t="s">
        <v>2376</v>
      </c>
      <c r="O830" t="s">
        <v>2400</v>
      </c>
      <c r="P830" t="s">
        <v>2378</v>
      </c>
      <c r="Q830" t="s">
        <v>2379</v>
      </c>
      <c r="S830" t="s">
        <v>2511</v>
      </c>
      <c r="T830" s="3" t="s">
        <v>7169</v>
      </c>
      <c r="U830" t="s">
        <v>7170</v>
      </c>
      <c r="V830" t="s">
        <v>7171</v>
      </c>
      <c r="W830" t="s">
        <v>7172</v>
      </c>
      <c r="X830" t="s">
        <v>2403</v>
      </c>
      <c r="Y830" t="s">
        <v>7173</v>
      </c>
      <c r="Z830" t="s">
        <v>2387</v>
      </c>
      <c r="AA830" t="s">
        <v>7169</v>
      </c>
      <c r="AB830" t="s">
        <v>6886</v>
      </c>
      <c r="AC830" t="s">
        <v>7174</v>
      </c>
      <c r="AD830" t="s">
        <v>6989</v>
      </c>
      <c r="AG830" t="s">
        <v>2432</v>
      </c>
      <c r="AH830" t="s">
        <v>6874</v>
      </c>
      <c r="AI830" t="s">
        <v>6483</v>
      </c>
      <c r="AJ830" t="s">
        <v>7175</v>
      </c>
      <c r="AK830" t="s">
        <v>7176</v>
      </c>
      <c r="AL830" t="s">
        <v>7177</v>
      </c>
      <c r="AM830" t="s">
        <v>3643</v>
      </c>
      <c r="AN830" t="s">
        <v>7178</v>
      </c>
      <c r="AO830" t="s">
        <v>7175</v>
      </c>
      <c r="AP830">
        <v>114</v>
      </c>
      <c r="AQ830">
        <v>114</v>
      </c>
      <c r="AR830">
        <v>113</v>
      </c>
      <c r="AS830" t="s">
        <v>7179</v>
      </c>
      <c r="AT830">
        <v>0</v>
      </c>
      <c r="AU830">
        <v>-1</v>
      </c>
      <c r="AV830">
        <v>1</v>
      </c>
    </row>
    <row r="831" spans="1:48">
      <c r="A831" s="1">
        <f>_xlfn.XLOOKUP(J831,数据!E:E,数据!A:A)</f>
        <v>1</v>
      </c>
      <c r="B831" s="1">
        <f>_xlfn.XLOOKUP(J831,数据!E:E,数据!B:B)</f>
        <v>2</v>
      </c>
      <c r="C831" s="1" t="str">
        <f>_xlfn.XLOOKUP(J831,数据!E:E,数据!J:J)</f>
        <v>空派</v>
      </c>
      <c r="D831" s="1" t="str" cm="1">
        <f t="array" ref="D831">IF(OR(C831="红单",C831="空派"),_xlfn.IFS(E831="未开售","新品首批发货",F831&lt;E831,"新品首批发货",F831-E831&lt;=60,"新品期补货空运",F831-E831&gt;60,"老品应急空运"),"海运，不进行分析")</f>
        <v>新品期补货空运</v>
      </c>
      <c r="E831" s="2">
        <v>46019</v>
      </c>
      <c r="F831" s="2">
        <f>_xlfn.XLOOKUP(J831,数据!E:E,数据!C:C)</f>
        <v>46027</v>
      </c>
      <c r="G831" s="4">
        <v>106</v>
      </c>
      <c r="H831" s="4">
        <f>G831*AP831/1000</f>
        <v>1.908</v>
      </c>
      <c r="I831" s="4">
        <f>_xlfn.XLOOKUP(J831,数据!E:E,数据!S:S)*(H831/_xlfn.XLOOKUP(J831,数据!E:E,数据!X:X))</f>
        <v>116.321521472393</v>
      </c>
      <c r="J831" t="s">
        <v>38</v>
      </c>
      <c r="K831" t="s">
        <v>39</v>
      </c>
      <c r="L831" t="s">
        <v>2374</v>
      </c>
      <c r="M831" t="s">
        <v>7168</v>
      </c>
      <c r="N831" t="s">
        <v>2376</v>
      </c>
      <c r="O831" t="s">
        <v>2400</v>
      </c>
      <c r="P831" t="s">
        <v>2378</v>
      </c>
      <c r="Q831" t="s">
        <v>2379</v>
      </c>
      <c r="S831" t="s">
        <v>2511</v>
      </c>
      <c r="T831" s="3" t="s">
        <v>7169</v>
      </c>
      <c r="U831" t="s">
        <v>7170</v>
      </c>
      <c r="V831" t="s">
        <v>7171</v>
      </c>
      <c r="W831" t="s">
        <v>7172</v>
      </c>
      <c r="X831" t="s">
        <v>2403</v>
      </c>
      <c r="Y831" t="s">
        <v>7173</v>
      </c>
      <c r="Z831" t="s">
        <v>2387</v>
      </c>
      <c r="AA831" t="s">
        <v>7169</v>
      </c>
      <c r="AB831" t="s">
        <v>6886</v>
      </c>
      <c r="AC831" t="s">
        <v>7174</v>
      </c>
      <c r="AD831" t="s">
        <v>6989</v>
      </c>
      <c r="AG831" t="s">
        <v>2432</v>
      </c>
      <c r="AH831" t="s">
        <v>6874</v>
      </c>
      <c r="AI831" t="s">
        <v>6483</v>
      </c>
      <c r="AJ831" t="s">
        <v>7020</v>
      </c>
      <c r="AK831" t="s">
        <v>7021</v>
      </c>
      <c r="AL831" t="s">
        <v>7022</v>
      </c>
      <c r="AM831" t="s">
        <v>3643</v>
      </c>
      <c r="AN831" t="s">
        <v>7023</v>
      </c>
      <c r="AO831" t="s">
        <v>7020</v>
      </c>
      <c r="AP831">
        <v>18</v>
      </c>
      <c r="AQ831">
        <v>18</v>
      </c>
      <c r="AR831">
        <v>18</v>
      </c>
      <c r="AS831" t="s">
        <v>7180</v>
      </c>
      <c r="AT831">
        <v>0</v>
      </c>
      <c r="AU831">
        <v>0</v>
      </c>
      <c r="AV831">
        <v>0</v>
      </c>
    </row>
    <row r="832" spans="1:48">
      <c r="A832" s="1">
        <f>_xlfn.XLOOKUP(J832,数据!E:E,数据!A:A)</f>
        <v>1</v>
      </c>
      <c r="B832" s="1">
        <f>_xlfn.XLOOKUP(J832,数据!E:E,数据!B:B)</f>
        <v>2</v>
      </c>
      <c r="C832" s="1" t="str">
        <f>_xlfn.XLOOKUP(J832,数据!E:E,数据!J:J)</f>
        <v>空派</v>
      </c>
      <c r="D832" s="1" t="str" cm="1">
        <f t="array" ref="D832">IF(OR(C832="红单",C832="空派"),_xlfn.IFS(E832="未开售","新品首批发货",F832&lt;E832,"新品首批发货",F832-E832&lt;=60,"新品期补货空运",F832-E832&gt;60,"老品应急空运"),"海运，不进行分析")</f>
        <v>新品期补货空运</v>
      </c>
      <c r="E832" s="2">
        <v>46017</v>
      </c>
      <c r="F832" s="2">
        <f>_xlfn.XLOOKUP(J832,数据!E:E,数据!C:C)</f>
        <v>46027</v>
      </c>
      <c r="G832" s="4">
        <v>106</v>
      </c>
      <c r="H832" s="4">
        <f>G832*AP832/1000</f>
        <v>3.286</v>
      </c>
      <c r="I832" s="4">
        <f>_xlfn.XLOOKUP(J832,数据!E:E,数据!S:S)*(H832/_xlfn.XLOOKUP(J832,数据!E:E,数据!X:X))</f>
        <v>200.331509202454</v>
      </c>
      <c r="J832" t="s">
        <v>38</v>
      </c>
      <c r="K832" t="s">
        <v>39</v>
      </c>
      <c r="L832" t="s">
        <v>2374</v>
      </c>
      <c r="M832" t="s">
        <v>7168</v>
      </c>
      <c r="N832" t="s">
        <v>2376</v>
      </c>
      <c r="O832" t="s">
        <v>2400</v>
      </c>
      <c r="P832" t="s">
        <v>2378</v>
      </c>
      <c r="Q832" t="s">
        <v>2379</v>
      </c>
      <c r="S832" t="s">
        <v>2511</v>
      </c>
      <c r="T832" s="3" t="s">
        <v>7169</v>
      </c>
      <c r="U832" t="s">
        <v>7170</v>
      </c>
      <c r="V832" t="s">
        <v>7171</v>
      </c>
      <c r="W832" t="s">
        <v>7172</v>
      </c>
      <c r="X832" t="s">
        <v>2403</v>
      </c>
      <c r="Y832" t="s">
        <v>7173</v>
      </c>
      <c r="Z832" t="s">
        <v>2387</v>
      </c>
      <c r="AA832" t="s">
        <v>7169</v>
      </c>
      <c r="AB832" t="s">
        <v>6886</v>
      </c>
      <c r="AC832" t="s">
        <v>7174</v>
      </c>
      <c r="AD832" t="s">
        <v>6989</v>
      </c>
      <c r="AG832" t="s">
        <v>2432</v>
      </c>
      <c r="AH832" t="s">
        <v>6874</v>
      </c>
      <c r="AI832" t="s">
        <v>6483</v>
      </c>
      <c r="AJ832" t="s">
        <v>7181</v>
      </c>
      <c r="AK832" t="s">
        <v>7182</v>
      </c>
      <c r="AL832" t="s">
        <v>7183</v>
      </c>
      <c r="AM832" t="s">
        <v>3643</v>
      </c>
      <c r="AN832" t="s">
        <v>7184</v>
      </c>
      <c r="AO832" t="s">
        <v>7181</v>
      </c>
      <c r="AP832">
        <v>31</v>
      </c>
      <c r="AQ832">
        <v>31</v>
      </c>
      <c r="AR832">
        <v>30</v>
      </c>
      <c r="AS832" t="s">
        <v>7185</v>
      </c>
      <c r="AT832">
        <v>0</v>
      </c>
      <c r="AU832">
        <v>-1</v>
      </c>
      <c r="AV832">
        <v>1</v>
      </c>
    </row>
    <row r="833" spans="1:48">
      <c r="A833" s="1">
        <f>_xlfn.XLOOKUP(J833,数据!E:E,数据!A:A)</f>
        <v>1</v>
      </c>
      <c r="B833" s="1">
        <f>_xlfn.XLOOKUP(J833,数据!E:E,数据!B:B)</f>
        <v>2</v>
      </c>
      <c r="C833" s="1" t="str">
        <f>_xlfn.XLOOKUP(J833,数据!E:E,数据!J:J)</f>
        <v>空派</v>
      </c>
      <c r="D833" s="1" t="str" cm="1">
        <f t="array" ref="D833">IF(OR(C833="红单",C833="空派"),_xlfn.IFS(E833="未开售","新品首批发货",F833&lt;E833,"新品首批发货",F833-E833&lt;=60,"新品期补货空运",F833-E833&gt;60,"老品应急空运"),"海运，不进行分析")</f>
        <v>新品首批发货</v>
      </c>
      <c r="E833" s="2">
        <v>46045</v>
      </c>
      <c r="F833" s="2">
        <f>_xlfn.XLOOKUP(J833,数据!E:E,数据!C:C)</f>
        <v>46027</v>
      </c>
      <c r="G833" s="4">
        <v>95</v>
      </c>
      <c r="H833" s="4">
        <f>G833*AP833/1000</f>
        <v>12.35</v>
      </c>
      <c r="I833" s="4">
        <f>_xlfn.XLOOKUP(J833,数据!E:E,数据!S:S)*(H833/_xlfn.XLOOKUP(J833,数据!E:E,数据!X:X))</f>
        <v>862.76</v>
      </c>
      <c r="J833" t="s">
        <v>36</v>
      </c>
      <c r="K833" t="s">
        <v>37</v>
      </c>
      <c r="L833" t="s">
        <v>2374</v>
      </c>
      <c r="M833" t="s">
        <v>7186</v>
      </c>
      <c r="N833" t="s">
        <v>2376</v>
      </c>
      <c r="O833" t="s">
        <v>2377</v>
      </c>
      <c r="P833" t="s">
        <v>2378</v>
      </c>
      <c r="Q833" t="s">
        <v>2379</v>
      </c>
      <c r="R833" t="s">
        <v>7187</v>
      </c>
      <c r="S833" t="s">
        <v>2511</v>
      </c>
      <c r="T833" s="3" t="s">
        <v>7169</v>
      </c>
      <c r="U833" t="s">
        <v>7188</v>
      </c>
      <c r="V833" t="s">
        <v>7189</v>
      </c>
      <c r="W833" t="s">
        <v>7190</v>
      </c>
      <c r="X833" t="s">
        <v>2403</v>
      </c>
      <c r="Y833" t="s">
        <v>7191</v>
      </c>
      <c r="Z833" t="s">
        <v>2405</v>
      </c>
      <c r="AA833" t="s">
        <v>7169</v>
      </c>
      <c r="AB833" t="s">
        <v>7094</v>
      </c>
      <c r="AC833" t="s">
        <v>7192</v>
      </c>
      <c r="AD833" t="s">
        <v>6989</v>
      </c>
      <c r="AG833" t="s">
        <v>2541</v>
      </c>
      <c r="AH833" t="s">
        <v>6874</v>
      </c>
      <c r="AI833" t="s">
        <v>6483</v>
      </c>
      <c r="AJ833" t="s">
        <v>7193</v>
      </c>
      <c r="AK833" t="s">
        <v>7194</v>
      </c>
      <c r="AL833" t="s">
        <v>7195</v>
      </c>
      <c r="AM833" t="s">
        <v>3067</v>
      </c>
      <c r="AN833" t="s">
        <v>7196</v>
      </c>
      <c r="AO833" t="s">
        <v>7193</v>
      </c>
      <c r="AP833">
        <v>130</v>
      </c>
      <c r="AQ833">
        <v>130</v>
      </c>
      <c r="AR833">
        <v>130</v>
      </c>
      <c r="AS833" t="s">
        <v>7197</v>
      </c>
      <c r="AT833">
        <v>0</v>
      </c>
      <c r="AU833">
        <v>0</v>
      </c>
      <c r="AV833">
        <v>0</v>
      </c>
    </row>
    <row r="834" spans="1:48">
      <c r="A834" s="1">
        <f>_xlfn.XLOOKUP(J834,数据!E:E,数据!A:A)</f>
        <v>1</v>
      </c>
      <c r="B834" s="1">
        <f>_xlfn.XLOOKUP(J834,数据!E:E,数据!B:B)</f>
        <v>2</v>
      </c>
      <c r="C834" s="1" t="str">
        <f>_xlfn.XLOOKUP(J834,数据!E:E,数据!J:J)</f>
        <v>空派</v>
      </c>
      <c r="D834" s="1" t="str" cm="1">
        <f t="array" ref="D834">IF(OR(C834="红单",C834="空派"),_xlfn.IFS(E834="未开售","新品首批发货",F834&lt;E834,"新品首批发货",F834-E834&lt;=60,"新品期补货空运",F834-E834&gt;60,"老品应急空运"),"海运，不进行分析")</f>
        <v>新品首批发货</v>
      </c>
      <c r="E834" s="2">
        <v>46048</v>
      </c>
      <c r="F834" s="2">
        <f>_xlfn.XLOOKUP(J834,数据!E:E,数据!C:C)</f>
        <v>46028</v>
      </c>
      <c r="G834" s="4">
        <v>360</v>
      </c>
      <c r="H834" s="4">
        <f>G834*AP834/1000</f>
        <v>43.2</v>
      </c>
      <c r="I834" s="4">
        <f>_xlfn.XLOOKUP(J834,数据!E:E,数据!S:S)*(H834/_xlfn.XLOOKUP(J834,数据!E:E,数据!X:X))</f>
        <v>2002.14666666667</v>
      </c>
      <c r="J834" t="s">
        <v>49</v>
      </c>
      <c r="K834" t="s">
        <v>39</v>
      </c>
      <c r="L834" t="s">
        <v>2374</v>
      </c>
      <c r="M834" t="s">
        <v>7198</v>
      </c>
      <c r="N834" t="s">
        <v>2376</v>
      </c>
      <c r="O834" t="s">
        <v>2377</v>
      </c>
      <c r="P834" t="s">
        <v>2378</v>
      </c>
      <c r="Q834" t="s">
        <v>2379</v>
      </c>
      <c r="R834" t="s">
        <v>7199</v>
      </c>
      <c r="S834" t="s">
        <v>2511</v>
      </c>
      <c r="T834" s="3" t="s">
        <v>7200</v>
      </c>
      <c r="U834" t="s">
        <v>7201</v>
      </c>
      <c r="V834" t="s">
        <v>7202</v>
      </c>
      <c r="W834" t="s">
        <v>7203</v>
      </c>
      <c r="X834" t="s">
        <v>2403</v>
      </c>
      <c r="Y834" t="s">
        <v>7204</v>
      </c>
      <c r="Z834" t="s">
        <v>2405</v>
      </c>
      <c r="AA834" t="s">
        <v>7200</v>
      </c>
      <c r="AB834" t="s">
        <v>7205</v>
      </c>
      <c r="AC834" t="s">
        <v>7206</v>
      </c>
      <c r="AD834" t="s">
        <v>7081</v>
      </c>
      <c r="AH834" t="s">
        <v>6874</v>
      </c>
      <c r="AI834" t="s">
        <v>6483</v>
      </c>
      <c r="AJ834" t="s">
        <v>4057</v>
      </c>
      <c r="AK834" t="s">
        <v>4058</v>
      </c>
      <c r="AL834" t="s">
        <v>4059</v>
      </c>
      <c r="AM834" t="s">
        <v>4060</v>
      </c>
      <c r="AN834" t="s">
        <v>4061</v>
      </c>
      <c r="AO834" t="s">
        <v>4057</v>
      </c>
      <c r="AP834">
        <v>120</v>
      </c>
      <c r="AQ834">
        <v>120</v>
      </c>
      <c r="AR834">
        <v>120</v>
      </c>
      <c r="AS834" t="s">
        <v>7207</v>
      </c>
      <c r="AT834">
        <v>0</v>
      </c>
      <c r="AU834">
        <v>0</v>
      </c>
      <c r="AV834">
        <v>0</v>
      </c>
    </row>
    <row r="835" spans="1:48">
      <c r="A835" s="1">
        <f>_xlfn.XLOOKUP(J835,数据!E:E,数据!A:A)</f>
        <v>1</v>
      </c>
      <c r="B835" s="1">
        <f>_xlfn.XLOOKUP(J835,数据!E:E,数据!B:B)</f>
        <v>2</v>
      </c>
      <c r="C835" s="1" t="str">
        <f>_xlfn.XLOOKUP(J835,数据!E:E,数据!J:J)</f>
        <v>空派</v>
      </c>
      <c r="D835" s="1" t="str" cm="1">
        <f t="array" ref="D835">IF(OR(C835="红单",C835="空派"),_xlfn.IFS(E835="未开售","新品首批发货",F835&lt;E835,"新品首批发货",F835-E835&lt;=60,"新品期补货空运",F835-E835&gt;60,"老品应急空运"),"海运，不进行分析")</f>
        <v>新品首批发货</v>
      </c>
      <c r="E835" s="2">
        <v>46050</v>
      </c>
      <c r="F835" s="2">
        <f>_xlfn.XLOOKUP(J835,数据!E:E,数据!C:C)</f>
        <v>46028</v>
      </c>
      <c r="G835" s="4">
        <v>360</v>
      </c>
      <c r="H835" s="4">
        <f>G835*AP835/1000</f>
        <v>36</v>
      </c>
      <c r="I835" s="4">
        <f>_xlfn.XLOOKUP(J835,数据!E:E,数据!S:S)*(H835/_xlfn.XLOOKUP(J835,数据!E:E,数据!X:X))</f>
        <v>1593.86072423398</v>
      </c>
      <c r="J835" t="s">
        <v>48</v>
      </c>
      <c r="K835" t="s">
        <v>31</v>
      </c>
      <c r="L835" t="s">
        <v>2374</v>
      </c>
      <c r="M835" t="s">
        <v>7208</v>
      </c>
      <c r="N835" t="s">
        <v>2376</v>
      </c>
      <c r="O835" t="s">
        <v>2400</v>
      </c>
      <c r="P835" t="s">
        <v>2378</v>
      </c>
      <c r="Q835" t="s">
        <v>2379</v>
      </c>
      <c r="R835" t="s">
        <v>7209</v>
      </c>
      <c r="S835" t="s">
        <v>2511</v>
      </c>
      <c r="T835" s="3" t="s">
        <v>7210</v>
      </c>
      <c r="U835" t="s">
        <v>7211</v>
      </c>
      <c r="V835" t="s">
        <v>7212</v>
      </c>
      <c r="W835" t="s">
        <v>7213</v>
      </c>
      <c r="X835" t="s">
        <v>2403</v>
      </c>
      <c r="Y835" t="s">
        <v>7214</v>
      </c>
      <c r="Z835" t="s">
        <v>2405</v>
      </c>
      <c r="AA835" t="s">
        <v>7210</v>
      </c>
      <c r="AB835" t="s">
        <v>6742</v>
      </c>
      <c r="AC835" t="s">
        <v>7215</v>
      </c>
      <c r="AD835" t="s">
        <v>7081</v>
      </c>
      <c r="AH835" t="s">
        <v>6874</v>
      </c>
      <c r="AI835" t="s">
        <v>6483</v>
      </c>
      <c r="AJ835" t="s">
        <v>7216</v>
      </c>
      <c r="AK835" t="s">
        <v>7217</v>
      </c>
      <c r="AL835" t="s">
        <v>7218</v>
      </c>
      <c r="AM835" t="s">
        <v>2781</v>
      </c>
      <c r="AN835" t="s">
        <v>7219</v>
      </c>
      <c r="AO835" t="s">
        <v>7216</v>
      </c>
      <c r="AP835">
        <v>100</v>
      </c>
      <c r="AQ835">
        <v>100</v>
      </c>
      <c r="AR835">
        <v>100</v>
      </c>
      <c r="AS835" t="s">
        <v>7220</v>
      </c>
      <c r="AT835">
        <v>0</v>
      </c>
      <c r="AU835">
        <v>0</v>
      </c>
      <c r="AV835">
        <v>0</v>
      </c>
    </row>
    <row r="836" spans="1:48">
      <c r="A836" s="1">
        <f>_xlfn.XLOOKUP(J836,数据!E:E,数据!A:A)</f>
        <v>1</v>
      </c>
      <c r="B836" s="1">
        <f>_xlfn.XLOOKUP(J836,数据!E:E,数据!B:B)</f>
        <v>2</v>
      </c>
      <c r="C836" s="1" t="str">
        <f>_xlfn.XLOOKUP(J836,数据!E:E,数据!J:J)</f>
        <v>空派</v>
      </c>
      <c r="D836" s="1" t="str" cm="1">
        <f t="array" ref="D836">IF(OR(C836="红单",C836="空派"),_xlfn.IFS(E836="未开售","新品首批发货",F836&lt;E836,"新品首批发货",F836-E836&lt;=60,"新品期补货空运",F836-E836&gt;60,"老品应急空运"),"海运，不进行分析")</f>
        <v>新品首批发货</v>
      </c>
      <c r="E836" s="2">
        <v>46048</v>
      </c>
      <c r="F836" s="2">
        <f>_xlfn.XLOOKUP(J836,数据!E:E,数据!C:C)</f>
        <v>46028</v>
      </c>
      <c r="G836" s="4">
        <v>358</v>
      </c>
      <c r="H836" s="4">
        <f>G836*AP836/1000</f>
        <v>35.8</v>
      </c>
      <c r="I836" s="4">
        <f>_xlfn.XLOOKUP(J836,数据!E:E,数据!S:S)*(H836/_xlfn.XLOOKUP(J836,数据!E:E,数据!X:X))</f>
        <v>1585.00594243268</v>
      </c>
      <c r="J836" t="s">
        <v>48</v>
      </c>
      <c r="K836" t="s">
        <v>31</v>
      </c>
      <c r="L836" t="s">
        <v>2374</v>
      </c>
      <c r="M836" t="s">
        <v>7208</v>
      </c>
      <c r="N836" t="s">
        <v>2376</v>
      </c>
      <c r="O836" t="s">
        <v>2400</v>
      </c>
      <c r="P836" t="s">
        <v>2378</v>
      </c>
      <c r="Q836" t="s">
        <v>2379</v>
      </c>
      <c r="R836" t="s">
        <v>7209</v>
      </c>
      <c r="S836" t="s">
        <v>2511</v>
      </c>
      <c r="T836" s="3" t="s">
        <v>7210</v>
      </c>
      <c r="U836" t="s">
        <v>7211</v>
      </c>
      <c r="V836" t="s">
        <v>7212</v>
      </c>
      <c r="W836" t="s">
        <v>7213</v>
      </c>
      <c r="X836" t="s">
        <v>2403</v>
      </c>
      <c r="Y836" t="s">
        <v>7214</v>
      </c>
      <c r="Z836" t="s">
        <v>2405</v>
      </c>
      <c r="AA836" t="s">
        <v>7210</v>
      </c>
      <c r="AB836" t="s">
        <v>6742</v>
      </c>
      <c r="AC836" t="s">
        <v>7215</v>
      </c>
      <c r="AD836" t="s">
        <v>7081</v>
      </c>
      <c r="AH836" t="s">
        <v>6874</v>
      </c>
      <c r="AI836" t="s">
        <v>6483</v>
      </c>
      <c r="AJ836" t="s">
        <v>7221</v>
      </c>
      <c r="AK836" t="s">
        <v>7222</v>
      </c>
      <c r="AL836" t="s">
        <v>7223</v>
      </c>
      <c r="AM836" t="s">
        <v>2781</v>
      </c>
      <c r="AN836" t="s">
        <v>7224</v>
      </c>
      <c r="AO836" t="s">
        <v>7221</v>
      </c>
      <c r="AP836">
        <v>100</v>
      </c>
      <c r="AQ836">
        <v>100</v>
      </c>
      <c r="AR836">
        <v>100</v>
      </c>
      <c r="AS836" t="s">
        <v>7225</v>
      </c>
      <c r="AT836">
        <v>0</v>
      </c>
      <c r="AU836">
        <v>0</v>
      </c>
      <c r="AV836">
        <v>0</v>
      </c>
    </row>
    <row r="837" spans="1:48">
      <c r="A837" s="1">
        <f>_xlfn.XLOOKUP(J837,数据!E:E,数据!A:A)</f>
        <v>1</v>
      </c>
      <c r="B837" s="1">
        <f>_xlfn.XLOOKUP(J837,数据!E:E,数据!B:B)</f>
        <v>2</v>
      </c>
      <c r="C837" s="1" t="str">
        <f>_xlfn.XLOOKUP(J837,数据!E:E,数据!J:J)</f>
        <v>空派</v>
      </c>
      <c r="D837" s="1" t="str" cm="1">
        <f t="array" ref="D837">IF(OR(C837="红单",C837="空派"),_xlfn.IFS(E837="未开售","新品首批发货",F837&lt;E837,"新品首批发货",F837-E837&lt;=60,"新品期补货空运",F837-E837&gt;60,"老品应急空运"),"海运，不进行分析")</f>
        <v>新品首批发货</v>
      </c>
      <c r="E837" s="2">
        <v>46043</v>
      </c>
      <c r="F837" s="2">
        <f>_xlfn.XLOOKUP(J837,数据!E:E,数据!C:C)</f>
        <v>46028</v>
      </c>
      <c r="G837" s="4">
        <v>132</v>
      </c>
      <c r="H837" s="4">
        <f>G837*AP837/1000</f>
        <v>17.16</v>
      </c>
      <c r="I837" s="4">
        <f>_xlfn.XLOOKUP(J837,数据!E:E,数据!S:S)*(H837/_xlfn.XLOOKUP(J837,数据!E:E,数据!X:X))</f>
        <v>841.326388968689</v>
      </c>
      <c r="J837" t="s">
        <v>45</v>
      </c>
      <c r="K837" t="s">
        <v>46</v>
      </c>
      <c r="L837" t="s">
        <v>2374</v>
      </c>
      <c r="M837" t="s">
        <v>7226</v>
      </c>
      <c r="N837" t="s">
        <v>2376</v>
      </c>
      <c r="O837" t="s">
        <v>2400</v>
      </c>
      <c r="P837" t="s">
        <v>2378</v>
      </c>
      <c r="Q837" t="s">
        <v>2379</v>
      </c>
      <c r="R837" t="s">
        <v>7227</v>
      </c>
      <c r="S837" t="s">
        <v>2511</v>
      </c>
      <c r="T837" s="3" t="s">
        <v>7228</v>
      </c>
      <c r="U837" t="s">
        <v>7201</v>
      </c>
      <c r="V837" t="s">
        <v>7229</v>
      </c>
      <c r="W837" t="s">
        <v>7230</v>
      </c>
      <c r="X837" t="s">
        <v>2403</v>
      </c>
      <c r="Y837" t="s">
        <v>7231</v>
      </c>
      <c r="Z837" t="s">
        <v>2405</v>
      </c>
      <c r="AA837" t="s">
        <v>7228</v>
      </c>
      <c r="AB837" t="s">
        <v>7232</v>
      </c>
      <c r="AC837" t="s">
        <v>7233</v>
      </c>
      <c r="AD837" t="s">
        <v>7081</v>
      </c>
      <c r="AH837" t="s">
        <v>6874</v>
      </c>
      <c r="AI837" t="s">
        <v>6483</v>
      </c>
      <c r="AJ837" t="s">
        <v>5214</v>
      </c>
      <c r="AK837" t="s">
        <v>5215</v>
      </c>
      <c r="AL837" t="s">
        <v>5216</v>
      </c>
      <c r="AM837" t="s">
        <v>2437</v>
      </c>
      <c r="AN837" t="s">
        <v>5217</v>
      </c>
      <c r="AO837" t="s">
        <v>5214</v>
      </c>
      <c r="AP837">
        <v>130</v>
      </c>
      <c r="AQ837">
        <v>130</v>
      </c>
      <c r="AR837">
        <v>130</v>
      </c>
      <c r="AS837" t="s">
        <v>7234</v>
      </c>
      <c r="AT837">
        <v>0</v>
      </c>
      <c r="AU837">
        <v>0</v>
      </c>
      <c r="AV837">
        <v>0</v>
      </c>
    </row>
    <row r="838" spans="1:48">
      <c r="A838" s="1">
        <f>_xlfn.XLOOKUP(J838,数据!E:E,数据!A:A)</f>
        <v>1</v>
      </c>
      <c r="B838" s="1">
        <f>_xlfn.XLOOKUP(J838,数据!E:E,数据!B:B)</f>
        <v>2</v>
      </c>
      <c r="C838" s="1" t="str">
        <f>_xlfn.XLOOKUP(J838,数据!E:E,数据!J:J)</f>
        <v>空派</v>
      </c>
      <c r="D838" s="1" t="str" cm="1">
        <f t="array" ref="D838">IF(OR(C838="红单",C838="空派"),_xlfn.IFS(E838="未开售","新品首批发货",F838&lt;E838,"新品首批发货",F838-E838&lt;=60,"新品期补货空运",F838-E838&gt;60,"老品应急空运"),"海运，不进行分析")</f>
        <v>新品期补货空运</v>
      </c>
      <c r="E838" s="2">
        <v>45968</v>
      </c>
      <c r="F838" s="2">
        <f>_xlfn.XLOOKUP(J838,数据!E:E,数据!C:C)</f>
        <v>46028</v>
      </c>
      <c r="G838" s="4">
        <v>353</v>
      </c>
      <c r="H838" s="4">
        <f>G838*AP838/1000</f>
        <v>17.65</v>
      </c>
      <c r="I838" s="4">
        <f>_xlfn.XLOOKUP(J838,数据!E:E,数据!S:S)*(H838/_xlfn.XLOOKUP(J838,数据!E:E,数据!X:X))</f>
        <v>865.350277697981</v>
      </c>
      <c r="J838" t="s">
        <v>45</v>
      </c>
      <c r="K838" t="s">
        <v>46</v>
      </c>
      <c r="L838" t="s">
        <v>2374</v>
      </c>
      <c r="M838" t="s">
        <v>7226</v>
      </c>
      <c r="N838" t="s">
        <v>2376</v>
      </c>
      <c r="O838" t="s">
        <v>2400</v>
      </c>
      <c r="P838" t="s">
        <v>2378</v>
      </c>
      <c r="Q838" t="s">
        <v>2379</v>
      </c>
      <c r="R838" t="s">
        <v>7227</v>
      </c>
      <c r="S838" t="s">
        <v>2511</v>
      </c>
      <c r="T838" s="3" t="s">
        <v>7228</v>
      </c>
      <c r="U838" t="s">
        <v>7201</v>
      </c>
      <c r="V838" t="s">
        <v>7229</v>
      </c>
      <c r="W838" t="s">
        <v>7230</v>
      </c>
      <c r="X838" t="s">
        <v>2403</v>
      </c>
      <c r="Y838" t="s">
        <v>7231</v>
      </c>
      <c r="Z838" t="s">
        <v>2405</v>
      </c>
      <c r="AA838" t="s">
        <v>7228</v>
      </c>
      <c r="AB838" t="s">
        <v>7232</v>
      </c>
      <c r="AC838" t="s">
        <v>7233</v>
      </c>
      <c r="AD838" t="s">
        <v>7081</v>
      </c>
      <c r="AH838" t="s">
        <v>6874</v>
      </c>
      <c r="AI838" t="s">
        <v>6483</v>
      </c>
      <c r="AJ838" t="s">
        <v>5480</v>
      </c>
      <c r="AK838" t="s">
        <v>5481</v>
      </c>
      <c r="AL838" t="s">
        <v>5482</v>
      </c>
      <c r="AM838" t="s">
        <v>5482</v>
      </c>
      <c r="AN838" t="s">
        <v>5483</v>
      </c>
      <c r="AO838" t="s">
        <v>5480</v>
      </c>
      <c r="AP838">
        <v>50</v>
      </c>
      <c r="AQ838">
        <v>50</v>
      </c>
      <c r="AR838">
        <v>50</v>
      </c>
      <c r="AS838" t="s">
        <v>7235</v>
      </c>
      <c r="AT838">
        <v>0</v>
      </c>
      <c r="AU838">
        <v>0</v>
      </c>
      <c r="AV838">
        <v>0</v>
      </c>
    </row>
    <row r="839" spans="1:48">
      <c r="A839" s="1">
        <f>_xlfn.XLOOKUP(J839,数据!E:E,数据!A:A)</f>
        <v>1</v>
      </c>
      <c r="B839" s="1">
        <f>_xlfn.XLOOKUP(J839,数据!E:E,数据!B:B)</f>
        <v>2</v>
      </c>
      <c r="C839" s="1" t="str">
        <f>_xlfn.XLOOKUP(J839,数据!E:E,数据!J:J)</f>
        <v>红单</v>
      </c>
      <c r="D839" s="1" t="str" cm="1">
        <f t="array" ref="D839">IF(OR(C839="红单",C839="空派"),_xlfn.IFS(E839="未开售","新品首批发货",F839&lt;E839,"新品首批发货",F839-E839&lt;=60,"新品期补货空运",F839-E839&gt;60,"老品应急空运"),"海运，不进行分析")</f>
        <v>新品期补货空运</v>
      </c>
      <c r="E839" s="2">
        <v>45986</v>
      </c>
      <c r="F839" s="2">
        <f>_xlfn.XLOOKUP(J839,数据!E:E,数据!C:C)</f>
        <v>46028</v>
      </c>
      <c r="G839" s="4">
        <v>94.8</v>
      </c>
      <c r="H839" s="4">
        <f>G839*AP839/1000</f>
        <v>11.376</v>
      </c>
      <c r="I839" s="4">
        <f>_xlfn.XLOOKUP(J839,数据!E:E,数据!S:S)*(H839/_xlfn.XLOOKUP(J839,数据!E:E,数据!X:X))</f>
        <v>839.712541336137</v>
      </c>
      <c r="J839" t="s">
        <v>40</v>
      </c>
      <c r="K839" t="s">
        <v>37</v>
      </c>
      <c r="L839" t="s">
        <v>2374</v>
      </c>
      <c r="M839" t="s">
        <v>7236</v>
      </c>
      <c r="N839" t="s">
        <v>2376</v>
      </c>
      <c r="O839" t="s">
        <v>2400</v>
      </c>
      <c r="P839" t="s">
        <v>2378</v>
      </c>
      <c r="Q839" t="s">
        <v>2379</v>
      </c>
      <c r="R839" t="s">
        <v>7237</v>
      </c>
      <c r="S839" t="s">
        <v>2511</v>
      </c>
      <c r="T839" s="3" t="s">
        <v>7238</v>
      </c>
      <c r="U839" t="s">
        <v>7211</v>
      </c>
      <c r="V839" t="s">
        <v>7239</v>
      </c>
      <c r="W839" t="s">
        <v>7240</v>
      </c>
      <c r="X839" t="s">
        <v>2403</v>
      </c>
      <c r="Y839" t="s">
        <v>7241</v>
      </c>
      <c r="Z839" t="s">
        <v>2405</v>
      </c>
      <c r="AA839" t="s">
        <v>7238</v>
      </c>
      <c r="AB839" t="s">
        <v>7242</v>
      </c>
      <c r="AC839" t="s">
        <v>7243</v>
      </c>
      <c r="AD839" t="s">
        <v>6483</v>
      </c>
      <c r="AH839" t="s">
        <v>6874</v>
      </c>
      <c r="AI839" t="s">
        <v>6483</v>
      </c>
      <c r="AJ839" t="s">
        <v>7244</v>
      </c>
      <c r="AK839" t="s">
        <v>7245</v>
      </c>
      <c r="AL839" t="s">
        <v>7246</v>
      </c>
      <c r="AM839" t="s">
        <v>3492</v>
      </c>
      <c r="AN839" t="s">
        <v>7247</v>
      </c>
      <c r="AO839" t="s">
        <v>7244</v>
      </c>
      <c r="AP839">
        <v>120</v>
      </c>
      <c r="AQ839">
        <v>120</v>
      </c>
      <c r="AR839">
        <v>105</v>
      </c>
      <c r="AS839" t="s">
        <v>7248</v>
      </c>
      <c r="AT839">
        <v>0</v>
      </c>
      <c r="AU839">
        <v>-15</v>
      </c>
      <c r="AV839">
        <v>15</v>
      </c>
    </row>
    <row r="840" spans="1:48">
      <c r="A840" s="1">
        <f>_xlfn.XLOOKUP(J840,数据!E:E,数据!A:A)</f>
        <v>1</v>
      </c>
      <c r="B840" s="1">
        <f>_xlfn.XLOOKUP(J840,数据!E:E,数据!B:B)</f>
        <v>2</v>
      </c>
      <c r="C840" s="1" t="str">
        <f>_xlfn.XLOOKUP(J840,数据!E:E,数据!J:J)</f>
        <v>红单</v>
      </c>
      <c r="D840" s="1" t="str" cm="1">
        <f t="array" ref="D840">IF(OR(C840="红单",C840="空派"),_xlfn.IFS(E840="未开售","新品首批发货",F840&lt;E840,"新品首批发货",F840-E840&lt;=60,"新品期补货空运",F840-E840&gt;60,"老品应急空运"),"海运，不进行分析")</f>
        <v>老品应急空运</v>
      </c>
      <c r="E840" s="2">
        <v>45836</v>
      </c>
      <c r="F840" s="2">
        <f>_xlfn.XLOOKUP(J840,数据!E:E,数据!C:C)</f>
        <v>46028</v>
      </c>
      <c r="G840" s="4">
        <v>95.5</v>
      </c>
      <c r="H840" s="4">
        <f>G840*AP840/1000</f>
        <v>9.55</v>
      </c>
      <c r="I840" s="4">
        <f>_xlfn.XLOOKUP(J840,数据!E:E,数据!S:S)*(H840/_xlfn.XLOOKUP(J840,数据!E:E,数据!X:X))</f>
        <v>704.927458663863</v>
      </c>
      <c r="J840" t="s">
        <v>40</v>
      </c>
      <c r="K840" t="s">
        <v>37</v>
      </c>
      <c r="L840" t="s">
        <v>2374</v>
      </c>
      <c r="M840" t="s">
        <v>7236</v>
      </c>
      <c r="N840" t="s">
        <v>2376</v>
      </c>
      <c r="O840" t="s">
        <v>2400</v>
      </c>
      <c r="P840" t="s">
        <v>2378</v>
      </c>
      <c r="Q840" t="s">
        <v>2379</v>
      </c>
      <c r="R840" t="s">
        <v>7237</v>
      </c>
      <c r="S840" t="s">
        <v>2511</v>
      </c>
      <c r="T840" s="3" t="s">
        <v>7238</v>
      </c>
      <c r="U840" t="s">
        <v>7211</v>
      </c>
      <c r="V840" t="s">
        <v>7239</v>
      </c>
      <c r="W840" t="s">
        <v>7240</v>
      </c>
      <c r="X840" t="s">
        <v>2403</v>
      </c>
      <c r="Y840" t="s">
        <v>7241</v>
      </c>
      <c r="Z840" t="s">
        <v>2405</v>
      </c>
      <c r="AA840" t="s">
        <v>7238</v>
      </c>
      <c r="AB840" t="s">
        <v>7242</v>
      </c>
      <c r="AC840" t="s">
        <v>7243</v>
      </c>
      <c r="AD840" t="s">
        <v>6483</v>
      </c>
      <c r="AH840" t="s">
        <v>6874</v>
      </c>
      <c r="AI840" t="s">
        <v>6483</v>
      </c>
      <c r="AJ840" t="s">
        <v>7249</v>
      </c>
      <c r="AK840" t="s">
        <v>7250</v>
      </c>
      <c r="AL840" t="s">
        <v>7251</v>
      </c>
      <c r="AM840" t="s">
        <v>3492</v>
      </c>
      <c r="AN840" t="s">
        <v>7252</v>
      </c>
      <c r="AO840" t="s">
        <v>7249</v>
      </c>
      <c r="AP840">
        <v>100</v>
      </c>
      <c r="AQ840">
        <v>100</v>
      </c>
      <c r="AR840">
        <v>96</v>
      </c>
      <c r="AS840" t="s">
        <v>7253</v>
      </c>
      <c r="AT840">
        <v>0</v>
      </c>
      <c r="AU840">
        <v>-4</v>
      </c>
      <c r="AV840">
        <v>4</v>
      </c>
    </row>
  </sheetData>
  <autoFilter xmlns:etc="http://www.wps.cn/officeDocument/2017/etCustomData" ref="A1:AV84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货件明细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2026-05-25T03:55:11Z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A453AFB0CC21422D90C0B3CFFE65D803_12</vt:lpwstr>
  </property>
  <property fmtid="{D5CDD505-2E9C-101B-9397-08002B2CF9AE}" pid="4" name="CalculationRule">
    <vt:i4>0</vt:i4>
  </property>
</Properties>
</file>